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codeName="ThisWorkbook" defaultThemeVersion="166925"/>
  <mc:AlternateContent xmlns:mc="http://schemas.openxmlformats.org/markup-compatibility/2006">
    <mc:Choice Requires="x15">
      <x15ac:absPath xmlns:x15ac="http://schemas.microsoft.com/office/spreadsheetml/2010/11/ac" url="C:\Users\mark.de-melo\OneDrive - Arup\time_booking\"/>
    </mc:Choice>
  </mc:AlternateContent>
  <xr:revisionPtr revIDLastSave="4" documentId="8_{C7FFFB45-13AF-4E16-95FA-C6F82E8E1CC8}" xr6:coauthVersionLast="44" xr6:coauthVersionMax="44" xr10:uidLastSave="{94EB45C8-75E0-4DB7-9D3E-C1B199D7778C}"/>
  <bookViews>
    <workbookView xWindow="6810" yWindow="5040" windowWidth="27705" windowHeight="15885" activeTab="2" autoFilterDateGrouping="0" xr2:uid="{077BB09F-D062-45D7-B97A-0C4A5B00FB77}"/>
  </bookViews>
  <sheets>
    <sheet name="projects" sheetId="15" r:id="rId1"/>
    <sheet name="journal" sheetId="14" r:id="rId2"/>
    <sheet name="timesheet" sheetId="1" r:id="rId3"/>
    <sheet name="time_day" sheetId="10" r:id="rId4"/>
    <sheet name="time_job_month" sheetId="16" r:id="rId5"/>
    <sheet name="time_job_total" sheetId="17" r:id="rId6"/>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 i="1" l="1"/>
  <c r="H3" i="1"/>
  <c r="O3" i="1"/>
  <c r="P3" i="1"/>
  <c r="Q3" i="1"/>
  <c r="G4" i="1" l="1"/>
  <c r="H4" i="1"/>
  <c r="O4" i="1"/>
  <c r="P4" i="1"/>
  <c r="Q4" i="1"/>
  <c r="G5" i="1" l="1"/>
  <c r="H5" i="1"/>
  <c r="O5" i="1"/>
  <c r="P5" i="1"/>
  <c r="Q5" i="1"/>
  <c r="G6" i="1" l="1"/>
  <c r="H6" i="1"/>
  <c r="O6" i="1"/>
  <c r="P6" i="1"/>
  <c r="Q6" i="1"/>
  <c r="G7" i="1" l="1"/>
  <c r="H7" i="1"/>
  <c r="O7" i="1"/>
  <c r="P7" i="1"/>
  <c r="Q7" i="1"/>
  <c r="G8" i="1" l="1"/>
  <c r="H8" i="1"/>
  <c r="O8" i="1"/>
  <c r="P8" i="1"/>
  <c r="Q8" i="1"/>
  <c r="G9" i="1" l="1"/>
  <c r="H9" i="1"/>
  <c r="O9" i="1"/>
  <c r="P9" i="1"/>
  <c r="Q9" i="1"/>
  <c r="G10" i="1"/>
  <c r="H10" i="1"/>
  <c r="O10" i="1"/>
  <c r="P10" i="1"/>
  <c r="Q10" i="1"/>
  <c r="G11" i="1" l="1"/>
  <c r="H11" i="1"/>
  <c r="O11" i="1"/>
  <c r="P11" i="1"/>
  <c r="Q11" i="1"/>
  <c r="G12" i="1" l="1"/>
  <c r="H12" i="1"/>
  <c r="O12" i="1"/>
  <c r="P12" i="1"/>
  <c r="Q12" i="1"/>
  <c r="G13" i="1"/>
  <c r="H13" i="1"/>
  <c r="O13" i="1"/>
  <c r="P13" i="1"/>
  <c r="Q13" i="1"/>
  <c r="G14" i="1" l="1"/>
  <c r="H14" i="1"/>
  <c r="O14" i="1"/>
  <c r="P14" i="1"/>
  <c r="Q14" i="1"/>
  <c r="G15" i="1" l="1"/>
  <c r="H15" i="1"/>
  <c r="O15" i="1"/>
  <c r="P15" i="1"/>
  <c r="Q15" i="1"/>
  <c r="G16" i="1" l="1"/>
  <c r="H16" i="1"/>
  <c r="O16" i="1"/>
  <c r="P16" i="1"/>
  <c r="Q16" i="1"/>
  <c r="G17" i="1"/>
  <c r="H17" i="1"/>
  <c r="O17" i="1"/>
  <c r="P17" i="1"/>
  <c r="Q17" i="1"/>
  <c r="G18" i="1" l="1"/>
  <c r="H18" i="1"/>
  <c r="O18" i="1"/>
  <c r="P18" i="1"/>
  <c r="Q18" i="1"/>
  <c r="G19" i="1" l="1"/>
  <c r="H19" i="1"/>
  <c r="O19" i="1"/>
  <c r="P19" i="1"/>
  <c r="Q19" i="1"/>
  <c r="G20" i="1"/>
  <c r="H20" i="1"/>
  <c r="O20" i="1"/>
  <c r="P20" i="1"/>
  <c r="Q20" i="1"/>
  <c r="E2" i="14" l="1"/>
  <c r="G21" i="1"/>
  <c r="H21" i="1"/>
  <c r="O21" i="1"/>
  <c r="P21" i="1"/>
  <c r="Q21" i="1"/>
  <c r="G22" i="1" l="1"/>
  <c r="H22" i="1"/>
  <c r="O22" i="1"/>
  <c r="P22" i="1"/>
  <c r="Q22" i="1"/>
  <c r="G23" i="1" l="1"/>
  <c r="H23" i="1"/>
  <c r="O23" i="1"/>
  <c r="P23" i="1"/>
  <c r="Q23" i="1"/>
  <c r="H24" i="1" l="1"/>
  <c r="O24" i="1"/>
  <c r="P24" i="1"/>
  <c r="Q24" i="1"/>
  <c r="G25" i="1"/>
  <c r="H25" i="1"/>
  <c r="O25" i="1"/>
  <c r="P25" i="1"/>
  <c r="Q25" i="1"/>
  <c r="G26" i="1" l="1"/>
  <c r="H26" i="1"/>
  <c r="O26" i="1"/>
  <c r="P26" i="1"/>
  <c r="Q26" i="1"/>
  <c r="G27" i="1" l="1"/>
  <c r="H27" i="1"/>
  <c r="O27" i="1"/>
  <c r="P27" i="1"/>
  <c r="Q27" i="1"/>
  <c r="G28" i="1"/>
  <c r="H28" i="1"/>
  <c r="O28" i="1"/>
  <c r="P28" i="1"/>
  <c r="Q28" i="1"/>
  <c r="E6" i="15" l="1"/>
  <c r="H29" i="1" l="1"/>
  <c r="O29" i="1"/>
  <c r="P29" i="1"/>
  <c r="Q29" i="1"/>
  <c r="H30" i="1"/>
  <c r="O30" i="1"/>
  <c r="P30" i="1"/>
  <c r="Q30" i="1"/>
  <c r="H31" i="1" l="1"/>
  <c r="O31" i="1"/>
  <c r="P31" i="1"/>
  <c r="Q31" i="1"/>
  <c r="H32" i="1"/>
  <c r="O32" i="1"/>
  <c r="P32" i="1"/>
  <c r="Q32" i="1"/>
  <c r="E3" i="14" l="1"/>
  <c r="H33" i="1"/>
  <c r="O33" i="1"/>
  <c r="P33" i="1"/>
  <c r="Q33" i="1"/>
  <c r="H34" i="1" l="1"/>
  <c r="O34" i="1"/>
  <c r="P34" i="1"/>
  <c r="Q34" i="1"/>
  <c r="H35" i="1"/>
  <c r="O35" i="1"/>
  <c r="P35" i="1"/>
  <c r="Q35" i="1"/>
  <c r="H36" i="1" l="1"/>
  <c r="O36" i="1"/>
  <c r="P36" i="1"/>
  <c r="Q36" i="1"/>
  <c r="H37" i="1" l="1"/>
  <c r="O37" i="1"/>
  <c r="P37" i="1"/>
  <c r="Q37" i="1"/>
  <c r="H38" i="1" l="1"/>
  <c r="O38" i="1"/>
  <c r="P38" i="1"/>
  <c r="Q38" i="1"/>
  <c r="H39" i="1" l="1"/>
  <c r="O39" i="1"/>
  <c r="P39" i="1"/>
  <c r="Q39" i="1"/>
  <c r="H40" i="1"/>
  <c r="O40" i="1"/>
  <c r="P40" i="1"/>
  <c r="Q40" i="1"/>
  <c r="H41" i="1" l="1"/>
  <c r="O41" i="1"/>
  <c r="P41" i="1"/>
  <c r="Q41" i="1"/>
  <c r="H42" i="1" l="1"/>
  <c r="O42" i="1"/>
  <c r="P42" i="1"/>
  <c r="Q42" i="1"/>
  <c r="H43" i="1" l="1"/>
  <c r="O43" i="1"/>
  <c r="P43" i="1"/>
  <c r="Q43" i="1"/>
  <c r="H44" i="1" l="1"/>
  <c r="O44" i="1"/>
  <c r="P44" i="1"/>
  <c r="Q44" i="1"/>
  <c r="H45" i="1"/>
  <c r="O45" i="1"/>
  <c r="P45" i="1"/>
  <c r="Q45" i="1"/>
  <c r="E4" i="14" l="1"/>
  <c r="H46" i="1"/>
  <c r="O46" i="1"/>
  <c r="P46" i="1"/>
  <c r="Q46" i="1"/>
  <c r="H47" i="1"/>
  <c r="O47" i="1"/>
  <c r="P47" i="1"/>
  <c r="Q47" i="1"/>
  <c r="H48" i="1" l="1"/>
  <c r="O48" i="1"/>
  <c r="P48" i="1"/>
  <c r="Q48" i="1"/>
  <c r="H49" i="1" l="1"/>
  <c r="O49" i="1"/>
  <c r="P49" i="1"/>
  <c r="Q49" i="1"/>
  <c r="H50" i="1" l="1"/>
  <c r="O50" i="1"/>
  <c r="P50" i="1"/>
  <c r="Q50" i="1"/>
  <c r="H51" i="1"/>
  <c r="O51" i="1"/>
  <c r="P51" i="1"/>
  <c r="Q51" i="1"/>
  <c r="H52" i="1" l="1"/>
  <c r="O52" i="1"/>
  <c r="P52" i="1"/>
  <c r="Q52" i="1"/>
  <c r="H53" i="1" l="1"/>
  <c r="O53" i="1"/>
  <c r="P53" i="1"/>
  <c r="Q53" i="1"/>
  <c r="H54" i="1"/>
  <c r="O54" i="1"/>
  <c r="P54" i="1"/>
  <c r="Q54" i="1"/>
  <c r="H55" i="1" l="1"/>
  <c r="O55" i="1"/>
  <c r="P55" i="1"/>
  <c r="Q55" i="1"/>
  <c r="H56" i="1" l="1"/>
  <c r="O56" i="1"/>
  <c r="P56" i="1"/>
  <c r="Q56" i="1"/>
  <c r="H57" i="1"/>
  <c r="O57" i="1"/>
  <c r="P57" i="1"/>
  <c r="Q57" i="1"/>
  <c r="H58" i="1" l="1"/>
  <c r="O58" i="1"/>
  <c r="P58" i="1"/>
  <c r="Q58" i="1"/>
  <c r="H59" i="1" l="1"/>
  <c r="O59" i="1"/>
  <c r="P59" i="1"/>
  <c r="Q59" i="1"/>
  <c r="H60" i="1" l="1"/>
  <c r="O60" i="1"/>
  <c r="P60" i="1"/>
  <c r="Q60" i="1"/>
  <c r="H61" i="1"/>
  <c r="O61" i="1"/>
  <c r="P61" i="1"/>
  <c r="Q61" i="1"/>
  <c r="H62" i="1" l="1"/>
  <c r="O62" i="1"/>
  <c r="P62" i="1"/>
  <c r="Q62" i="1"/>
  <c r="H63" i="1" l="1"/>
  <c r="O63" i="1"/>
  <c r="P63" i="1"/>
  <c r="Q63" i="1"/>
  <c r="H64" i="1" l="1"/>
  <c r="O64" i="1"/>
  <c r="P64" i="1"/>
  <c r="Q64" i="1"/>
  <c r="H65" i="1" l="1"/>
  <c r="O65" i="1"/>
  <c r="P65" i="1"/>
  <c r="Q65" i="1"/>
  <c r="H66" i="1"/>
  <c r="O66" i="1"/>
  <c r="P66" i="1"/>
  <c r="Q66" i="1"/>
  <c r="E29" i="15" l="1"/>
  <c r="H67" i="1" l="1"/>
  <c r="O67" i="1"/>
  <c r="P67" i="1"/>
  <c r="Q67" i="1"/>
  <c r="H68" i="1"/>
  <c r="O68" i="1"/>
  <c r="P68" i="1"/>
  <c r="Q68" i="1"/>
  <c r="H69" i="1" l="1"/>
  <c r="O69" i="1"/>
  <c r="P69" i="1"/>
  <c r="Q69" i="1"/>
  <c r="H70" i="1"/>
  <c r="O70" i="1"/>
  <c r="P70" i="1"/>
  <c r="Q70" i="1"/>
  <c r="H71" i="1" l="1"/>
  <c r="O71" i="1"/>
  <c r="P71" i="1"/>
  <c r="Q71" i="1"/>
  <c r="H72" i="1" l="1"/>
  <c r="O72" i="1"/>
  <c r="P72" i="1"/>
  <c r="Q72" i="1"/>
  <c r="H879" i="1" l="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2" i="1"/>
  <c r="Q73" i="1"/>
  <c r="F73" i="1" s="1"/>
  <c r="S73" i="1" s="1"/>
  <c r="P73" i="1"/>
  <c r="O73" i="1"/>
  <c r="R73" i="1" l="1"/>
  <c r="T73" i="1" s="1"/>
  <c r="O74" i="1"/>
  <c r="P74" i="1"/>
  <c r="Q74" i="1"/>
  <c r="O75" i="1"/>
  <c r="P75" i="1"/>
  <c r="Q75" i="1"/>
  <c r="O76" i="1" l="1"/>
  <c r="P76" i="1"/>
  <c r="Q76" i="1"/>
  <c r="A2" i="1" l="1"/>
  <c r="O77" i="1" l="1"/>
  <c r="P77" i="1"/>
  <c r="Q77" i="1"/>
  <c r="O78" i="1"/>
  <c r="P78" i="1"/>
  <c r="Q78" i="1"/>
  <c r="E5" i="14" l="1"/>
  <c r="O79" i="1"/>
  <c r="P79" i="1"/>
  <c r="Q79" i="1"/>
  <c r="O80" i="1" l="1"/>
  <c r="P80" i="1"/>
  <c r="Q80" i="1"/>
  <c r="O81" i="1"/>
  <c r="P81" i="1"/>
  <c r="Q81" i="1"/>
  <c r="O82" i="1" l="1"/>
  <c r="P82" i="1"/>
  <c r="Q82" i="1"/>
  <c r="O83" i="1"/>
  <c r="P83" i="1"/>
  <c r="Q83" i="1"/>
  <c r="O84" i="1" l="1"/>
  <c r="P84" i="1"/>
  <c r="Q84" i="1"/>
  <c r="E39" i="15" l="1"/>
  <c r="O85" i="1" l="1"/>
  <c r="P85" i="1"/>
  <c r="Q85" i="1"/>
  <c r="O86" i="1" l="1"/>
  <c r="P86" i="1"/>
  <c r="Q86" i="1"/>
  <c r="O87" i="1"/>
  <c r="P87" i="1"/>
  <c r="Q87" i="1"/>
  <c r="O88" i="1" l="1"/>
  <c r="P88" i="1"/>
  <c r="Q88" i="1"/>
  <c r="O89" i="1"/>
  <c r="P89" i="1"/>
  <c r="Q89" i="1"/>
  <c r="O90" i="1" l="1"/>
  <c r="P90" i="1"/>
  <c r="Q90" i="1"/>
  <c r="O91" i="1"/>
  <c r="P91" i="1"/>
  <c r="Q91" i="1"/>
  <c r="G92" i="1" l="1"/>
  <c r="O92" i="1"/>
  <c r="P92" i="1"/>
  <c r="Q92" i="1"/>
  <c r="Q94" i="1" l="1"/>
  <c r="F94" i="1" s="1"/>
  <c r="S94" i="1" s="1"/>
  <c r="P94" i="1"/>
  <c r="O94" i="1"/>
  <c r="E3" i="15"/>
  <c r="E4" i="15"/>
  <c r="E7" i="15"/>
  <c r="G24" i="1" s="1"/>
  <c r="E5" i="15"/>
  <c r="E9" i="15"/>
  <c r="E8" i="15"/>
  <c r="E10" i="15"/>
  <c r="E11" i="15"/>
  <c r="E12" i="15"/>
  <c r="E13" i="15"/>
  <c r="E14" i="15"/>
  <c r="E15" i="15"/>
  <c r="E16" i="15"/>
  <c r="E17" i="15"/>
  <c r="E18" i="15"/>
  <c r="E19" i="15"/>
  <c r="E20" i="15"/>
  <c r="E21" i="15"/>
  <c r="E22" i="15"/>
  <c r="E23" i="15"/>
  <c r="G94" i="1" s="1"/>
  <c r="E24" i="15"/>
  <c r="E25" i="15"/>
  <c r="E26" i="15"/>
  <c r="E27" i="15"/>
  <c r="E28" i="15"/>
  <c r="E30" i="15"/>
  <c r="E31" i="15"/>
  <c r="E32" i="15"/>
  <c r="E33" i="15"/>
  <c r="E34" i="15"/>
  <c r="E35" i="15"/>
  <c r="E36" i="15"/>
  <c r="G77" i="1" s="1"/>
  <c r="E37" i="15"/>
  <c r="E38" i="15"/>
  <c r="E40" i="15"/>
  <c r="E41" i="15"/>
  <c r="E42" i="15"/>
  <c r="E43" i="15"/>
  <c r="E44" i="15"/>
  <c r="G44" i="1" s="1"/>
  <c r="E45" i="15"/>
  <c r="E46" i="15"/>
  <c r="E47" i="15"/>
  <c r="E48" i="15"/>
  <c r="E51" i="15"/>
  <c r="E49" i="15"/>
  <c r="E50" i="15"/>
  <c r="E52" i="15"/>
  <c r="E53" i="15"/>
  <c r="E54" i="15"/>
  <c r="E2" i="15"/>
  <c r="G29" i="1" l="1"/>
  <c r="G47" i="1"/>
  <c r="G57" i="1"/>
  <c r="G60" i="1"/>
  <c r="G30" i="1"/>
  <c r="G31" i="1"/>
  <c r="G32" i="1"/>
  <c r="G33" i="1"/>
  <c r="G34" i="1"/>
  <c r="G35" i="1"/>
  <c r="G36" i="1"/>
  <c r="G37" i="1"/>
  <c r="G38" i="1"/>
  <c r="G39" i="1"/>
  <c r="G40" i="1"/>
  <c r="G41" i="1"/>
  <c r="G42" i="1"/>
  <c r="G43" i="1"/>
  <c r="G45" i="1"/>
  <c r="G46" i="1"/>
  <c r="G48" i="1"/>
  <c r="G49" i="1"/>
  <c r="G50" i="1"/>
  <c r="G51" i="1"/>
  <c r="G52" i="1"/>
  <c r="G53" i="1"/>
  <c r="G54" i="1"/>
  <c r="G55" i="1"/>
  <c r="G56" i="1"/>
  <c r="G58" i="1"/>
  <c r="G59" i="1"/>
  <c r="G61" i="1"/>
  <c r="G62" i="1"/>
  <c r="G63" i="1"/>
  <c r="G64" i="1"/>
  <c r="G65" i="1"/>
  <c r="G66" i="1"/>
  <c r="G68" i="1"/>
  <c r="G69" i="1"/>
  <c r="G80" i="1"/>
  <c r="G82" i="1"/>
  <c r="G67" i="1"/>
  <c r="G70" i="1"/>
  <c r="G71" i="1"/>
  <c r="G72" i="1"/>
  <c r="G73" i="1"/>
  <c r="G74" i="1"/>
  <c r="G75" i="1"/>
  <c r="G76" i="1"/>
  <c r="G78" i="1"/>
  <c r="G79" i="1"/>
  <c r="G81" i="1"/>
  <c r="G83" i="1"/>
  <c r="G84" i="1"/>
  <c r="G85" i="1"/>
  <c r="G86" i="1"/>
  <c r="G87" i="1"/>
  <c r="G89" i="1"/>
  <c r="G88" i="1"/>
  <c r="G90" i="1"/>
  <c r="G91" i="1"/>
  <c r="R94" i="1"/>
  <c r="T94" i="1" s="1"/>
  <c r="G93" i="1"/>
  <c r="O93" i="1"/>
  <c r="P93" i="1"/>
  <c r="Q93" i="1"/>
  <c r="G95" i="1"/>
  <c r="O95" i="1"/>
  <c r="P95" i="1"/>
  <c r="Q95" i="1"/>
  <c r="G96" i="1" l="1"/>
  <c r="O96" i="1"/>
  <c r="P96" i="1"/>
  <c r="Q96" i="1"/>
  <c r="G97" i="1" l="1"/>
  <c r="O97" i="1"/>
  <c r="P97" i="1"/>
  <c r="Q97" i="1"/>
  <c r="E6" i="14" l="1"/>
  <c r="G98" i="1"/>
  <c r="O98" i="1"/>
  <c r="P98" i="1"/>
  <c r="Q98" i="1"/>
  <c r="G99" i="1" l="1"/>
  <c r="O99" i="1"/>
  <c r="P99" i="1"/>
  <c r="Q99" i="1"/>
  <c r="G100" i="1"/>
  <c r="O100" i="1"/>
  <c r="P100" i="1"/>
  <c r="Q100" i="1"/>
  <c r="G105" i="1" l="1"/>
  <c r="G106" i="1"/>
  <c r="G107" i="1"/>
  <c r="G108" i="1"/>
  <c r="G109" i="1"/>
  <c r="G110" i="1"/>
  <c r="G111" i="1"/>
  <c r="G112" i="1"/>
  <c r="G113" i="1"/>
  <c r="G114" i="1"/>
  <c r="G115" i="1"/>
  <c r="G116" i="1"/>
  <c r="G117" i="1"/>
  <c r="G2" i="1"/>
  <c r="G101" i="1"/>
  <c r="G102" i="1"/>
  <c r="G103" i="1"/>
  <c r="G104"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O101" i="1" l="1"/>
  <c r="P101" i="1"/>
  <c r="Q101" i="1"/>
  <c r="O102" i="1"/>
  <c r="P102" i="1"/>
  <c r="Q102" i="1"/>
  <c r="E7" i="14" l="1"/>
  <c r="O103" i="1" l="1"/>
  <c r="P103" i="1"/>
  <c r="Q103" i="1"/>
  <c r="O104" i="1"/>
  <c r="P104" i="1"/>
  <c r="Q104" i="1"/>
  <c r="E8" i="14" l="1"/>
  <c r="O105" i="1"/>
  <c r="P105" i="1"/>
  <c r="Q105" i="1"/>
  <c r="F105" i="1" s="1"/>
  <c r="O106" i="1" l="1"/>
  <c r="P106" i="1"/>
  <c r="Q106" i="1"/>
  <c r="F106" i="1" s="1"/>
  <c r="O107" i="1"/>
  <c r="P107" i="1"/>
  <c r="Q107" i="1"/>
  <c r="F107" i="1" s="1"/>
  <c r="O108" i="1" l="1"/>
  <c r="P108" i="1"/>
  <c r="Q108" i="1"/>
  <c r="F108" i="1" s="1"/>
  <c r="O109" i="1" l="1"/>
  <c r="P109" i="1"/>
  <c r="Q109" i="1"/>
  <c r="F109" i="1" s="1"/>
  <c r="O110" i="1"/>
  <c r="P110" i="1"/>
  <c r="Q110" i="1"/>
  <c r="F110" i="1" s="1"/>
  <c r="O111" i="1" l="1"/>
  <c r="P111" i="1"/>
  <c r="Q111" i="1"/>
  <c r="F111" i="1" s="1"/>
  <c r="O112" i="1"/>
  <c r="P112" i="1"/>
  <c r="Q112" i="1"/>
  <c r="F112" i="1" s="1"/>
  <c r="O113" i="1" l="1"/>
  <c r="P113" i="1"/>
  <c r="Q113" i="1"/>
  <c r="F113" i="1" s="1"/>
  <c r="O114" i="1"/>
  <c r="P114" i="1"/>
  <c r="Q114" i="1"/>
  <c r="F114" i="1" s="1"/>
  <c r="O115" i="1" l="1"/>
  <c r="P115" i="1"/>
  <c r="Q115" i="1"/>
  <c r="F115" i="1" s="1"/>
  <c r="O116" i="1" l="1"/>
  <c r="P116" i="1"/>
  <c r="Q116" i="1"/>
  <c r="F116" i="1" s="1"/>
  <c r="O117" i="1" l="1"/>
  <c r="P117" i="1"/>
  <c r="Q117" i="1"/>
  <c r="F117" i="1" s="1"/>
  <c r="O2" i="1" l="1"/>
  <c r="P2" i="1"/>
  <c r="Q2" i="1"/>
  <c r="F2" i="1"/>
  <c r="P879" i="1"/>
  <c r="O879" i="1"/>
  <c r="P878" i="1"/>
  <c r="O878" i="1"/>
  <c r="P877" i="1"/>
  <c r="O877" i="1"/>
  <c r="P876" i="1"/>
  <c r="O876" i="1"/>
  <c r="P875" i="1"/>
  <c r="O875" i="1"/>
  <c r="P874" i="1"/>
  <c r="O874" i="1"/>
  <c r="P873" i="1"/>
  <c r="O873" i="1"/>
  <c r="P872" i="1"/>
  <c r="O872" i="1"/>
  <c r="P871" i="1"/>
  <c r="O871" i="1"/>
  <c r="P870" i="1"/>
  <c r="O870" i="1"/>
  <c r="P869" i="1"/>
  <c r="O869" i="1"/>
  <c r="P868" i="1"/>
  <c r="O868" i="1"/>
  <c r="P867" i="1"/>
  <c r="O867" i="1"/>
  <c r="P866" i="1"/>
  <c r="O866" i="1"/>
  <c r="P865" i="1"/>
  <c r="O865" i="1"/>
  <c r="P864" i="1"/>
  <c r="O864" i="1"/>
  <c r="P863" i="1"/>
  <c r="O863" i="1"/>
  <c r="P862" i="1"/>
  <c r="O862" i="1"/>
  <c r="P861" i="1"/>
  <c r="O861" i="1"/>
  <c r="P860" i="1"/>
  <c r="O860" i="1"/>
  <c r="P859" i="1"/>
  <c r="O859" i="1"/>
  <c r="P858" i="1"/>
  <c r="O858" i="1"/>
  <c r="P857" i="1"/>
  <c r="O857" i="1"/>
  <c r="P856" i="1"/>
  <c r="O856" i="1"/>
  <c r="P855" i="1"/>
  <c r="O855" i="1"/>
  <c r="P854" i="1"/>
  <c r="O854" i="1"/>
  <c r="P853" i="1"/>
  <c r="O853" i="1"/>
  <c r="P852" i="1"/>
  <c r="O852" i="1"/>
  <c r="P851" i="1"/>
  <c r="O851" i="1"/>
  <c r="P850" i="1"/>
  <c r="O850" i="1"/>
  <c r="P849" i="1"/>
  <c r="O849" i="1"/>
  <c r="P848" i="1"/>
  <c r="O848" i="1"/>
  <c r="P847" i="1"/>
  <c r="O847" i="1"/>
  <c r="P846" i="1"/>
  <c r="O846" i="1"/>
  <c r="P845" i="1"/>
  <c r="O845" i="1"/>
  <c r="P844" i="1"/>
  <c r="O844" i="1"/>
  <c r="P843" i="1"/>
  <c r="O843" i="1"/>
  <c r="P842" i="1"/>
  <c r="O842" i="1"/>
  <c r="P841" i="1"/>
  <c r="O841" i="1"/>
  <c r="P840" i="1"/>
  <c r="O840" i="1"/>
  <c r="P839" i="1"/>
  <c r="O839" i="1"/>
  <c r="P838" i="1"/>
  <c r="O838" i="1"/>
  <c r="P837" i="1"/>
  <c r="O837" i="1"/>
  <c r="P836" i="1"/>
  <c r="O836" i="1"/>
  <c r="P835" i="1"/>
  <c r="O835" i="1"/>
  <c r="P834" i="1"/>
  <c r="O834" i="1"/>
  <c r="P833" i="1"/>
  <c r="O833" i="1"/>
  <c r="P832" i="1"/>
  <c r="O832" i="1"/>
  <c r="P831" i="1"/>
  <c r="O831" i="1"/>
  <c r="P830" i="1"/>
  <c r="O830" i="1"/>
  <c r="P829" i="1"/>
  <c r="O829" i="1"/>
  <c r="P828" i="1"/>
  <c r="O828" i="1"/>
  <c r="P827" i="1"/>
  <c r="O827" i="1"/>
  <c r="P826" i="1"/>
  <c r="O826" i="1"/>
  <c r="P825" i="1"/>
  <c r="O825" i="1"/>
  <c r="P824" i="1"/>
  <c r="O824" i="1"/>
  <c r="P823" i="1"/>
  <c r="O823" i="1"/>
  <c r="P822" i="1"/>
  <c r="O822" i="1"/>
  <c r="P821" i="1"/>
  <c r="O821" i="1"/>
  <c r="P820" i="1"/>
  <c r="O820" i="1"/>
  <c r="P819" i="1"/>
  <c r="O819" i="1"/>
  <c r="P818" i="1"/>
  <c r="O818" i="1"/>
  <c r="P817" i="1"/>
  <c r="O817" i="1"/>
  <c r="P816" i="1"/>
  <c r="O816" i="1"/>
  <c r="P815" i="1"/>
  <c r="O815" i="1"/>
  <c r="P814" i="1"/>
  <c r="O814" i="1"/>
  <c r="P813" i="1"/>
  <c r="O813" i="1"/>
  <c r="P812" i="1"/>
  <c r="O812" i="1"/>
  <c r="P811" i="1"/>
  <c r="O811" i="1"/>
  <c r="P810" i="1"/>
  <c r="O810" i="1"/>
  <c r="P809" i="1"/>
  <c r="O809" i="1"/>
  <c r="P808" i="1"/>
  <c r="O808" i="1"/>
  <c r="P807" i="1"/>
  <c r="O807" i="1"/>
  <c r="P806" i="1"/>
  <c r="O806" i="1"/>
  <c r="P805" i="1"/>
  <c r="O805" i="1"/>
  <c r="P804" i="1"/>
  <c r="O804" i="1"/>
  <c r="P803" i="1"/>
  <c r="O803" i="1"/>
  <c r="P802" i="1"/>
  <c r="O802" i="1"/>
  <c r="P801" i="1"/>
  <c r="O801" i="1"/>
  <c r="P800" i="1"/>
  <c r="O800" i="1"/>
  <c r="P799" i="1"/>
  <c r="O799" i="1"/>
  <c r="P798" i="1"/>
  <c r="O798" i="1"/>
  <c r="P797" i="1"/>
  <c r="O797" i="1"/>
  <c r="P796" i="1"/>
  <c r="O796" i="1"/>
  <c r="P795" i="1"/>
  <c r="O795" i="1"/>
  <c r="P794" i="1"/>
  <c r="O794" i="1"/>
  <c r="P793" i="1"/>
  <c r="O793" i="1"/>
  <c r="P792" i="1"/>
  <c r="O792" i="1"/>
  <c r="P791" i="1"/>
  <c r="O791" i="1"/>
  <c r="P790" i="1"/>
  <c r="O790" i="1"/>
  <c r="P789" i="1"/>
  <c r="O789" i="1"/>
  <c r="P788" i="1"/>
  <c r="O788" i="1"/>
  <c r="P787" i="1"/>
  <c r="O787" i="1"/>
  <c r="P786" i="1"/>
  <c r="O786" i="1"/>
  <c r="P785" i="1"/>
  <c r="O785" i="1"/>
  <c r="P784" i="1"/>
  <c r="O784" i="1"/>
  <c r="P783" i="1"/>
  <c r="O783" i="1"/>
  <c r="P782" i="1"/>
  <c r="O782" i="1"/>
  <c r="P781" i="1"/>
  <c r="O781" i="1"/>
  <c r="P780" i="1"/>
  <c r="O780" i="1"/>
  <c r="P779" i="1"/>
  <c r="O779" i="1"/>
  <c r="P778" i="1"/>
  <c r="O778" i="1"/>
  <c r="P777" i="1"/>
  <c r="O777" i="1"/>
  <c r="P776" i="1"/>
  <c r="O776" i="1"/>
  <c r="P775" i="1"/>
  <c r="O775" i="1"/>
  <c r="P774" i="1"/>
  <c r="O774" i="1"/>
  <c r="P773" i="1"/>
  <c r="O773" i="1"/>
  <c r="P772" i="1"/>
  <c r="O772" i="1"/>
  <c r="P771" i="1"/>
  <c r="O771" i="1"/>
  <c r="P770" i="1"/>
  <c r="O770" i="1"/>
  <c r="P769" i="1"/>
  <c r="O769" i="1"/>
  <c r="P768" i="1"/>
  <c r="O768" i="1"/>
  <c r="P767" i="1"/>
  <c r="O767" i="1"/>
  <c r="P766" i="1"/>
  <c r="O766" i="1"/>
  <c r="P765" i="1"/>
  <c r="O765" i="1"/>
  <c r="P764" i="1"/>
  <c r="O764" i="1"/>
  <c r="P763" i="1"/>
  <c r="O763" i="1"/>
  <c r="P762" i="1"/>
  <c r="O762" i="1"/>
  <c r="P761" i="1"/>
  <c r="O761" i="1"/>
  <c r="P760" i="1"/>
  <c r="O760" i="1"/>
  <c r="P759" i="1"/>
  <c r="O759" i="1"/>
  <c r="P758" i="1"/>
  <c r="O758" i="1"/>
  <c r="P757" i="1"/>
  <c r="O757" i="1"/>
  <c r="P756" i="1"/>
  <c r="O756" i="1"/>
  <c r="P755" i="1"/>
  <c r="O755" i="1"/>
  <c r="P754" i="1"/>
  <c r="O754" i="1"/>
  <c r="P753" i="1"/>
  <c r="O753" i="1"/>
  <c r="P752" i="1"/>
  <c r="O752" i="1"/>
  <c r="P751" i="1"/>
  <c r="O751" i="1"/>
  <c r="P750" i="1"/>
  <c r="O750" i="1"/>
  <c r="P749" i="1"/>
  <c r="O749" i="1"/>
  <c r="P748" i="1"/>
  <c r="O748" i="1"/>
  <c r="P747" i="1"/>
  <c r="O747" i="1"/>
  <c r="P746" i="1"/>
  <c r="O746" i="1"/>
  <c r="P745" i="1"/>
  <c r="O745" i="1"/>
  <c r="P744" i="1"/>
  <c r="O744" i="1"/>
  <c r="P743" i="1"/>
  <c r="O743" i="1"/>
  <c r="P742" i="1"/>
  <c r="O742" i="1"/>
  <c r="P741" i="1"/>
  <c r="O741" i="1"/>
  <c r="P740" i="1"/>
  <c r="O740" i="1"/>
  <c r="P739" i="1"/>
  <c r="O739" i="1"/>
  <c r="P738" i="1"/>
  <c r="O738" i="1"/>
  <c r="P737" i="1"/>
  <c r="O737" i="1"/>
  <c r="P736" i="1"/>
  <c r="O736" i="1"/>
  <c r="P735" i="1"/>
  <c r="O735" i="1"/>
  <c r="P734" i="1"/>
  <c r="O734" i="1"/>
  <c r="P733" i="1"/>
  <c r="O733" i="1"/>
  <c r="P732" i="1"/>
  <c r="O732" i="1"/>
  <c r="P731" i="1"/>
  <c r="O731" i="1"/>
  <c r="P730" i="1"/>
  <c r="O730" i="1"/>
  <c r="P729" i="1"/>
  <c r="O729" i="1"/>
  <c r="P728" i="1"/>
  <c r="O728" i="1"/>
  <c r="P727" i="1"/>
  <c r="O727" i="1"/>
  <c r="P726" i="1"/>
  <c r="O726" i="1"/>
  <c r="P725" i="1"/>
  <c r="O725" i="1"/>
  <c r="P724" i="1"/>
  <c r="O724" i="1"/>
  <c r="P723" i="1"/>
  <c r="O723" i="1"/>
  <c r="P722" i="1"/>
  <c r="O722" i="1"/>
  <c r="P721" i="1"/>
  <c r="O721" i="1"/>
  <c r="P720" i="1"/>
  <c r="O720" i="1"/>
  <c r="P719" i="1"/>
  <c r="O719" i="1"/>
  <c r="P718" i="1"/>
  <c r="O718" i="1"/>
  <c r="P717" i="1"/>
  <c r="O717" i="1"/>
  <c r="P716" i="1"/>
  <c r="O716" i="1"/>
  <c r="P715" i="1"/>
  <c r="O715" i="1"/>
  <c r="P714" i="1"/>
  <c r="O714" i="1"/>
  <c r="P713" i="1"/>
  <c r="O713" i="1"/>
  <c r="P712" i="1"/>
  <c r="O712" i="1"/>
  <c r="P711" i="1"/>
  <c r="O711" i="1"/>
  <c r="P710" i="1"/>
  <c r="O710" i="1"/>
  <c r="P709" i="1"/>
  <c r="O709" i="1"/>
  <c r="P708" i="1"/>
  <c r="O708" i="1"/>
  <c r="P707" i="1"/>
  <c r="O707" i="1"/>
  <c r="P706" i="1"/>
  <c r="O706" i="1"/>
  <c r="P705" i="1"/>
  <c r="O705" i="1"/>
  <c r="P704" i="1"/>
  <c r="O704" i="1"/>
  <c r="P703" i="1"/>
  <c r="O703" i="1"/>
  <c r="P702" i="1"/>
  <c r="O702" i="1"/>
  <c r="P701" i="1"/>
  <c r="O701" i="1"/>
  <c r="P700" i="1"/>
  <c r="O700" i="1"/>
  <c r="P699" i="1"/>
  <c r="O699" i="1"/>
  <c r="P698" i="1"/>
  <c r="O698" i="1"/>
  <c r="P697" i="1"/>
  <c r="O697" i="1"/>
  <c r="P696" i="1"/>
  <c r="O696" i="1"/>
  <c r="P695" i="1"/>
  <c r="O695" i="1"/>
  <c r="P694" i="1"/>
  <c r="O694" i="1"/>
  <c r="P693" i="1"/>
  <c r="O693" i="1"/>
  <c r="P692" i="1"/>
  <c r="O692" i="1"/>
  <c r="P691" i="1"/>
  <c r="O691" i="1"/>
  <c r="P690" i="1"/>
  <c r="O690" i="1"/>
  <c r="P689" i="1"/>
  <c r="O689" i="1"/>
  <c r="P688" i="1"/>
  <c r="O688" i="1"/>
  <c r="P687" i="1"/>
  <c r="O687" i="1"/>
  <c r="P686" i="1"/>
  <c r="O686" i="1"/>
  <c r="P685" i="1"/>
  <c r="O685" i="1"/>
  <c r="P684" i="1"/>
  <c r="O684" i="1"/>
  <c r="P683" i="1"/>
  <c r="O683" i="1"/>
  <c r="P682" i="1"/>
  <c r="O682" i="1"/>
  <c r="P681" i="1"/>
  <c r="O681" i="1"/>
  <c r="P680" i="1"/>
  <c r="O680" i="1"/>
  <c r="P679" i="1"/>
  <c r="O679" i="1"/>
  <c r="P678" i="1"/>
  <c r="O678" i="1"/>
  <c r="P677" i="1"/>
  <c r="O677" i="1"/>
  <c r="P676" i="1"/>
  <c r="O676" i="1"/>
  <c r="P675" i="1"/>
  <c r="O675" i="1"/>
  <c r="P674" i="1"/>
  <c r="O674" i="1"/>
  <c r="P673" i="1"/>
  <c r="O673" i="1"/>
  <c r="P672" i="1"/>
  <c r="O672" i="1"/>
  <c r="P671" i="1"/>
  <c r="O671" i="1"/>
  <c r="P670" i="1"/>
  <c r="O670" i="1"/>
  <c r="P669" i="1"/>
  <c r="O669" i="1"/>
  <c r="P668" i="1"/>
  <c r="O668" i="1"/>
  <c r="P667" i="1"/>
  <c r="O667" i="1"/>
  <c r="P666" i="1"/>
  <c r="O666" i="1"/>
  <c r="P665" i="1"/>
  <c r="O665" i="1"/>
  <c r="P664" i="1"/>
  <c r="O664" i="1"/>
  <c r="P663" i="1"/>
  <c r="O663" i="1"/>
  <c r="P662" i="1"/>
  <c r="O662" i="1"/>
  <c r="P661" i="1"/>
  <c r="O661" i="1"/>
  <c r="P660" i="1"/>
  <c r="O660" i="1"/>
  <c r="P659" i="1"/>
  <c r="O659" i="1"/>
  <c r="P658" i="1"/>
  <c r="O658" i="1"/>
  <c r="P657" i="1"/>
  <c r="O657" i="1"/>
  <c r="P656" i="1"/>
  <c r="O656" i="1"/>
  <c r="P655" i="1"/>
  <c r="O655" i="1"/>
  <c r="P654" i="1"/>
  <c r="O654" i="1"/>
  <c r="P653" i="1"/>
  <c r="O653" i="1"/>
  <c r="P652" i="1"/>
  <c r="O652" i="1"/>
  <c r="P651" i="1"/>
  <c r="O651" i="1"/>
  <c r="P650" i="1"/>
  <c r="O650" i="1"/>
  <c r="P649" i="1"/>
  <c r="O649" i="1"/>
  <c r="P648" i="1"/>
  <c r="O648" i="1"/>
  <c r="P647" i="1"/>
  <c r="O647" i="1"/>
  <c r="P646" i="1"/>
  <c r="O646" i="1"/>
  <c r="P645" i="1"/>
  <c r="O645" i="1"/>
  <c r="P644" i="1"/>
  <c r="O644" i="1"/>
  <c r="P643" i="1"/>
  <c r="O643" i="1"/>
  <c r="P642" i="1"/>
  <c r="O642" i="1"/>
  <c r="P641" i="1"/>
  <c r="O641" i="1"/>
  <c r="P640" i="1"/>
  <c r="O640" i="1"/>
  <c r="P639" i="1"/>
  <c r="O639" i="1"/>
  <c r="P638" i="1"/>
  <c r="O638" i="1"/>
  <c r="P637" i="1"/>
  <c r="O637" i="1"/>
  <c r="P636" i="1"/>
  <c r="O636" i="1"/>
  <c r="P635" i="1"/>
  <c r="O635" i="1"/>
  <c r="P634" i="1"/>
  <c r="O634" i="1"/>
  <c r="P633" i="1"/>
  <c r="O633" i="1"/>
  <c r="P632" i="1"/>
  <c r="O632" i="1"/>
  <c r="P631" i="1"/>
  <c r="O631" i="1"/>
  <c r="P630" i="1"/>
  <c r="O630" i="1"/>
  <c r="P629" i="1"/>
  <c r="O629" i="1"/>
  <c r="P628" i="1"/>
  <c r="O628" i="1"/>
  <c r="P627" i="1"/>
  <c r="O627" i="1"/>
  <c r="P626" i="1"/>
  <c r="O626" i="1"/>
  <c r="P625" i="1"/>
  <c r="O625" i="1"/>
  <c r="P624" i="1"/>
  <c r="O624" i="1"/>
  <c r="P623" i="1"/>
  <c r="O623" i="1"/>
  <c r="P622" i="1"/>
  <c r="O622" i="1"/>
  <c r="P621" i="1"/>
  <c r="O621" i="1"/>
  <c r="P620" i="1"/>
  <c r="O620" i="1"/>
  <c r="P619" i="1"/>
  <c r="O619" i="1"/>
  <c r="P618" i="1"/>
  <c r="O618" i="1"/>
  <c r="P617" i="1"/>
  <c r="O617" i="1"/>
  <c r="P616" i="1"/>
  <c r="O616" i="1"/>
  <c r="P615" i="1"/>
  <c r="O615" i="1"/>
  <c r="P614" i="1"/>
  <c r="O614" i="1"/>
  <c r="P613" i="1"/>
  <c r="O613" i="1"/>
  <c r="P612" i="1"/>
  <c r="O612" i="1"/>
  <c r="P611" i="1"/>
  <c r="O611" i="1"/>
  <c r="P610" i="1"/>
  <c r="O610" i="1"/>
  <c r="P609" i="1"/>
  <c r="O609" i="1"/>
  <c r="P608" i="1"/>
  <c r="O608" i="1"/>
  <c r="P607" i="1"/>
  <c r="O607" i="1"/>
  <c r="P606" i="1"/>
  <c r="O606" i="1"/>
  <c r="P605" i="1"/>
  <c r="O605" i="1"/>
  <c r="P604" i="1"/>
  <c r="O604" i="1"/>
  <c r="P603" i="1"/>
  <c r="O603" i="1"/>
  <c r="P602" i="1"/>
  <c r="O602" i="1"/>
  <c r="P601" i="1"/>
  <c r="O601" i="1"/>
  <c r="P600" i="1"/>
  <c r="O600" i="1"/>
  <c r="P599" i="1"/>
  <c r="O599" i="1"/>
  <c r="P598" i="1"/>
  <c r="O598" i="1"/>
  <c r="P597" i="1"/>
  <c r="O597" i="1"/>
  <c r="P596" i="1"/>
  <c r="O596" i="1"/>
  <c r="P595" i="1"/>
  <c r="O595" i="1"/>
  <c r="P594" i="1"/>
  <c r="O594" i="1"/>
  <c r="P593" i="1"/>
  <c r="O593" i="1"/>
  <c r="P592" i="1"/>
  <c r="O592" i="1"/>
  <c r="P591" i="1"/>
  <c r="O591" i="1"/>
  <c r="P590" i="1"/>
  <c r="O590" i="1"/>
  <c r="P589" i="1"/>
  <c r="O589" i="1"/>
  <c r="P588" i="1"/>
  <c r="O588" i="1"/>
  <c r="P587" i="1"/>
  <c r="O587" i="1"/>
  <c r="P586" i="1"/>
  <c r="O586" i="1"/>
  <c r="P585" i="1"/>
  <c r="O585" i="1"/>
  <c r="P584" i="1"/>
  <c r="O584" i="1"/>
  <c r="P583" i="1"/>
  <c r="O583" i="1"/>
  <c r="P582" i="1"/>
  <c r="O582" i="1"/>
  <c r="P581" i="1"/>
  <c r="O581" i="1"/>
  <c r="P580" i="1"/>
  <c r="O580" i="1"/>
  <c r="P579" i="1"/>
  <c r="O579" i="1"/>
  <c r="P578" i="1"/>
  <c r="O578" i="1"/>
  <c r="P577" i="1"/>
  <c r="O577" i="1"/>
  <c r="P576" i="1"/>
  <c r="O576" i="1"/>
  <c r="P575" i="1"/>
  <c r="O575" i="1"/>
  <c r="P574" i="1"/>
  <c r="O574" i="1"/>
  <c r="P573" i="1"/>
  <c r="O573" i="1"/>
  <c r="P572" i="1"/>
  <c r="O572" i="1"/>
  <c r="P571" i="1"/>
  <c r="O571" i="1"/>
  <c r="P570" i="1"/>
  <c r="O570" i="1"/>
  <c r="P569" i="1"/>
  <c r="O569" i="1"/>
  <c r="P568" i="1"/>
  <c r="O568" i="1"/>
  <c r="P567" i="1"/>
  <c r="O567" i="1"/>
  <c r="P566" i="1"/>
  <c r="O566" i="1"/>
  <c r="P565" i="1"/>
  <c r="O565" i="1"/>
  <c r="P564" i="1"/>
  <c r="O564" i="1"/>
  <c r="P563" i="1"/>
  <c r="O563" i="1"/>
  <c r="P562" i="1"/>
  <c r="O562" i="1"/>
  <c r="P561" i="1"/>
  <c r="O561" i="1"/>
  <c r="P560" i="1"/>
  <c r="O560" i="1"/>
  <c r="P559" i="1"/>
  <c r="O559" i="1"/>
  <c r="P558" i="1"/>
  <c r="O558" i="1"/>
  <c r="P557" i="1"/>
  <c r="O557" i="1"/>
  <c r="P556" i="1"/>
  <c r="O556" i="1"/>
  <c r="P555" i="1"/>
  <c r="O555" i="1"/>
  <c r="P554" i="1"/>
  <c r="O554" i="1"/>
  <c r="P553" i="1"/>
  <c r="O553" i="1"/>
  <c r="P552" i="1"/>
  <c r="O552" i="1"/>
  <c r="P551" i="1"/>
  <c r="O551" i="1"/>
  <c r="P550" i="1"/>
  <c r="O550" i="1"/>
  <c r="P549" i="1"/>
  <c r="O549" i="1"/>
  <c r="P548" i="1"/>
  <c r="O548" i="1"/>
  <c r="P547" i="1"/>
  <c r="O547" i="1"/>
  <c r="P546" i="1"/>
  <c r="O546" i="1"/>
  <c r="P545" i="1"/>
  <c r="O545" i="1"/>
  <c r="P544" i="1"/>
  <c r="O544" i="1"/>
  <c r="P543" i="1"/>
  <c r="O543" i="1"/>
  <c r="P542" i="1"/>
  <c r="O542" i="1"/>
  <c r="P541" i="1"/>
  <c r="O541" i="1"/>
  <c r="P540" i="1"/>
  <c r="O540" i="1"/>
  <c r="P539" i="1"/>
  <c r="O539" i="1"/>
  <c r="P538" i="1"/>
  <c r="O538" i="1"/>
  <c r="P537" i="1"/>
  <c r="O537" i="1"/>
  <c r="P536" i="1"/>
  <c r="O536" i="1"/>
  <c r="P535" i="1"/>
  <c r="O535" i="1"/>
  <c r="P534" i="1"/>
  <c r="O534" i="1"/>
  <c r="P533" i="1"/>
  <c r="O533" i="1"/>
  <c r="P532" i="1"/>
  <c r="O532" i="1"/>
  <c r="P531" i="1"/>
  <c r="O531" i="1"/>
  <c r="P530" i="1"/>
  <c r="O530" i="1"/>
  <c r="P529" i="1"/>
  <c r="O529" i="1"/>
  <c r="P528" i="1"/>
  <c r="O528" i="1"/>
  <c r="P527" i="1"/>
  <c r="O527" i="1"/>
  <c r="P526" i="1"/>
  <c r="O526" i="1"/>
  <c r="P525" i="1"/>
  <c r="O525" i="1"/>
  <c r="P524" i="1"/>
  <c r="O524" i="1"/>
  <c r="P523" i="1"/>
  <c r="O523" i="1"/>
  <c r="P522" i="1"/>
  <c r="O522" i="1"/>
  <c r="P521" i="1"/>
  <c r="O521" i="1"/>
  <c r="P520" i="1"/>
  <c r="O520" i="1"/>
  <c r="P519" i="1"/>
  <c r="O519" i="1"/>
  <c r="P518" i="1"/>
  <c r="O518" i="1"/>
  <c r="P517" i="1"/>
  <c r="O517" i="1"/>
  <c r="P516" i="1"/>
  <c r="O516" i="1"/>
  <c r="P515" i="1"/>
  <c r="O515" i="1"/>
  <c r="P514" i="1"/>
  <c r="O514" i="1"/>
  <c r="P513" i="1"/>
  <c r="O513" i="1"/>
  <c r="P512" i="1"/>
  <c r="O512" i="1"/>
  <c r="P511" i="1"/>
  <c r="O511" i="1"/>
  <c r="P510" i="1"/>
  <c r="O510" i="1"/>
  <c r="P509" i="1"/>
  <c r="O509" i="1"/>
  <c r="P508" i="1"/>
  <c r="O508" i="1"/>
  <c r="P507" i="1"/>
  <c r="O507" i="1"/>
  <c r="P506" i="1"/>
  <c r="O506" i="1"/>
  <c r="P505" i="1"/>
  <c r="O505" i="1"/>
  <c r="P504" i="1"/>
  <c r="O504" i="1"/>
  <c r="P503" i="1"/>
  <c r="O503" i="1"/>
  <c r="P502" i="1"/>
  <c r="O502" i="1"/>
  <c r="P501" i="1"/>
  <c r="O501" i="1"/>
  <c r="P500" i="1"/>
  <c r="O500" i="1"/>
  <c r="P499" i="1"/>
  <c r="O499" i="1"/>
  <c r="P498" i="1"/>
  <c r="O498" i="1"/>
  <c r="P497" i="1"/>
  <c r="O497" i="1"/>
  <c r="P496" i="1"/>
  <c r="O496" i="1"/>
  <c r="P495" i="1"/>
  <c r="O495" i="1"/>
  <c r="P494" i="1"/>
  <c r="O494" i="1"/>
  <c r="P493" i="1"/>
  <c r="O493" i="1"/>
  <c r="P492" i="1"/>
  <c r="O492" i="1"/>
  <c r="P491" i="1"/>
  <c r="O491" i="1"/>
  <c r="P490" i="1"/>
  <c r="O490" i="1"/>
  <c r="P489" i="1"/>
  <c r="O489" i="1"/>
  <c r="P488" i="1"/>
  <c r="O488" i="1"/>
  <c r="P487" i="1"/>
  <c r="O487" i="1"/>
  <c r="P486" i="1"/>
  <c r="O486" i="1"/>
  <c r="P485" i="1"/>
  <c r="O485" i="1"/>
  <c r="P484" i="1"/>
  <c r="O484" i="1"/>
  <c r="P483" i="1"/>
  <c r="O483" i="1"/>
  <c r="P482" i="1"/>
  <c r="O482" i="1"/>
  <c r="P481" i="1"/>
  <c r="O481" i="1"/>
  <c r="P480" i="1"/>
  <c r="O480" i="1"/>
  <c r="P479" i="1"/>
  <c r="O479" i="1"/>
  <c r="P478" i="1"/>
  <c r="O478" i="1"/>
  <c r="P477" i="1"/>
  <c r="O477" i="1"/>
  <c r="P476" i="1"/>
  <c r="O476" i="1"/>
  <c r="P475" i="1"/>
  <c r="O475" i="1"/>
  <c r="P474" i="1"/>
  <c r="O474" i="1"/>
  <c r="P473" i="1"/>
  <c r="O473" i="1"/>
  <c r="P472" i="1"/>
  <c r="O472" i="1"/>
  <c r="P471" i="1"/>
  <c r="O471" i="1"/>
  <c r="P470" i="1"/>
  <c r="O470" i="1"/>
  <c r="P469" i="1"/>
  <c r="O469" i="1"/>
  <c r="P468" i="1"/>
  <c r="O468" i="1"/>
  <c r="P467" i="1"/>
  <c r="O467" i="1"/>
  <c r="P466" i="1"/>
  <c r="O466" i="1"/>
  <c r="P465" i="1"/>
  <c r="O465" i="1"/>
  <c r="P464" i="1"/>
  <c r="O464" i="1"/>
  <c r="P463" i="1"/>
  <c r="O463" i="1"/>
  <c r="P462" i="1"/>
  <c r="O462" i="1"/>
  <c r="P461" i="1"/>
  <c r="O461" i="1"/>
  <c r="P460" i="1"/>
  <c r="O460" i="1"/>
  <c r="P459" i="1"/>
  <c r="O459" i="1"/>
  <c r="P458" i="1"/>
  <c r="O458" i="1"/>
  <c r="P457" i="1"/>
  <c r="O457" i="1"/>
  <c r="P456" i="1"/>
  <c r="O456" i="1"/>
  <c r="P455" i="1"/>
  <c r="O455" i="1"/>
  <c r="P454" i="1"/>
  <c r="O454" i="1"/>
  <c r="P453" i="1"/>
  <c r="O453" i="1"/>
  <c r="P452" i="1"/>
  <c r="O452" i="1"/>
  <c r="P451" i="1"/>
  <c r="O451" i="1"/>
  <c r="P450" i="1"/>
  <c r="O450" i="1"/>
  <c r="P449" i="1"/>
  <c r="O449" i="1"/>
  <c r="P448" i="1"/>
  <c r="O448" i="1"/>
  <c r="P447" i="1"/>
  <c r="O447" i="1"/>
  <c r="P446" i="1"/>
  <c r="O446" i="1"/>
  <c r="P445" i="1"/>
  <c r="O445" i="1"/>
  <c r="P444" i="1"/>
  <c r="O444" i="1"/>
  <c r="P443" i="1"/>
  <c r="O443" i="1"/>
  <c r="P442" i="1"/>
  <c r="O442" i="1"/>
  <c r="P441" i="1"/>
  <c r="O441" i="1"/>
  <c r="P440" i="1"/>
  <c r="O440" i="1"/>
  <c r="P439" i="1"/>
  <c r="O439" i="1"/>
  <c r="P438" i="1"/>
  <c r="O438" i="1"/>
  <c r="P437" i="1"/>
  <c r="O437" i="1"/>
  <c r="P436" i="1"/>
  <c r="O436" i="1"/>
  <c r="P435" i="1"/>
  <c r="O435" i="1"/>
  <c r="P434" i="1"/>
  <c r="O434" i="1"/>
  <c r="P433" i="1"/>
  <c r="O433" i="1"/>
  <c r="P432" i="1"/>
  <c r="O432" i="1"/>
  <c r="P431" i="1"/>
  <c r="O431" i="1"/>
  <c r="P430" i="1"/>
  <c r="O430" i="1"/>
  <c r="P429" i="1"/>
  <c r="O429" i="1"/>
  <c r="P428" i="1"/>
  <c r="O428" i="1"/>
  <c r="P427" i="1"/>
  <c r="O427" i="1"/>
  <c r="P426" i="1"/>
  <c r="O426" i="1"/>
  <c r="P425" i="1"/>
  <c r="O425" i="1"/>
  <c r="P424" i="1"/>
  <c r="O424" i="1"/>
  <c r="P423" i="1"/>
  <c r="O423" i="1"/>
  <c r="P422" i="1"/>
  <c r="O422" i="1"/>
  <c r="P421" i="1"/>
  <c r="O421" i="1"/>
  <c r="P420" i="1"/>
  <c r="O420" i="1"/>
  <c r="P419" i="1"/>
  <c r="O419" i="1"/>
  <c r="P418" i="1"/>
  <c r="O418" i="1"/>
  <c r="P417" i="1"/>
  <c r="O417" i="1"/>
  <c r="P416" i="1"/>
  <c r="O416" i="1"/>
  <c r="P415" i="1"/>
  <c r="O415" i="1"/>
  <c r="P414" i="1"/>
  <c r="O414" i="1"/>
  <c r="P413" i="1"/>
  <c r="O413" i="1"/>
  <c r="P412" i="1"/>
  <c r="O412" i="1"/>
  <c r="P411" i="1"/>
  <c r="O411" i="1"/>
  <c r="P410" i="1"/>
  <c r="O410" i="1"/>
  <c r="P409" i="1"/>
  <c r="O409" i="1"/>
  <c r="P408" i="1"/>
  <c r="O408" i="1"/>
  <c r="P407" i="1"/>
  <c r="O407" i="1"/>
  <c r="P406" i="1"/>
  <c r="O406" i="1"/>
  <c r="P405" i="1"/>
  <c r="O405" i="1"/>
  <c r="P404" i="1"/>
  <c r="O404" i="1"/>
  <c r="P403" i="1"/>
  <c r="O403" i="1"/>
  <c r="P402" i="1"/>
  <c r="O402" i="1"/>
  <c r="P401" i="1"/>
  <c r="O401" i="1"/>
  <c r="P400" i="1"/>
  <c r="O400" i="1"/>
  <c r="P399" i="1"/>
  <c r="O399" i="1"/>
  <c r="P398" i="1"/>
  <c r="O398" i="1"/>
  <c r="P397" i="1"/>
  <c r="O397" i="1"/>
  <c r="P396" i="1"/>
  <c r="O396" i="1"/>
  <c r="P395" i="1"/>
  <c r="O395" i="1"/>
  <c r="P394" i="1"/>
  <c r="O394" i="1"/>
  <c r="P393" i="1"/>
  <c r="O393" i="1"/>
  <c r="P392" i="1"/>
  <c r="O392" i="1"/>
  <c r="P391" i="1"/>
  <c r="O391" i="1"/>
  <c r="P390" i="1"/>
  <c r="O390" i="1"/>
  <c r="P389" i="1"/>
  <c r="O389" i="1"/>
  <c r="P388" i="1"/>
  <c r="O388" i="1"/>
  <c r="P387" i="1"/>
  <c r="O387" i="1"/>
  <c r="P386" i="1"/>
  <c r="O386" i="1"/>
  <c r="P385" i="1"/>
  <c r="O385" i="1"/>
  <c r="P384" i="1"/>
  <c r="O384" i="1"/>
  <c r="P383" i="1"/>
  <c r="O383" i="1"/>
  <c r="P382" i="1"/>
  <c r="O382" i="1"/>
  <c r="P381" i="1"/>
  <c r="O381" i="1"/>
  <c r="P380" i="1"/>
  <c r="O380" i="1"/>
  <c r="P379" i="1"/>
  <c r="O379" i="1"/>
  <c r="P378" i="1"/>
  <c r="O378" i="1"/>
  <c r="P377" i="1"/>
  <c r="O377" i="1"/>
  <c r="P376" i="1"/>
  <c r="O376" i="1"/>
  <c r="P375" i="1"/>
  <c r="O375" i="1"/>
  <c r="P374" i="1"/>
  <c r="O374" i="1"/>
  <c r="P373" i="1"/>
  <c r="O373" i="1"/>
  <c r="P372" i="1"/>
  <c r="O372" i="1"/>
  <c r="P371" i="1"/>
  <c r="O371" i="1"/>
  <c r="P370" i="1"/>
  <c r="O370" i="1"/>
  <c r="P369" i="1"/>
  <c r="O369" i="1"/>
  <c r="P368" i="1"/>
  <c r="O368" i="1"/>
  <c r="P367" i="1"/>
  <c r="O367" i="1"/>
  <c r="P366" i="1"/>
  <c r="O366" i="1"/>
  <c r="P365" i="1"/>
  <c r="O365" i="1"/>
  <c r="P364" i="1"/>
  <c r="O364" i="1"/>
  <c r="P363" i="1"/>
  <c r="O363" i="1"/>
  <c r="P362" i="1"/>
  <c r="O362" i="1"/>
  <c r="P361" i="1"/>
  <c r="O361" i="1"/>
  <c r="P360" i="1"/>
  <c r="O360" i="1"/>
  <c r="P359" i="1"/>
  <c r="O359" i="1"/>
  <c r="P358" i="1"/>
  <c r="O358" i="1"/>
  <c r="P357" i="1"/>
  <c r="O357" i="1"/>
  <c r="P356" i="1"/>
  <c r="O356" i="1"/>
  <c r="P355" i="1"/>
  <c r="O355" i="1"/>
  <c r="P354" i="1"/>
  <c r="O354" i="1"/>
  <c r="P353" i="1"/>
  <c r="O353" i="1"/>
  <c r="P352" i="1"/>
  <c r="O352" i="1"/>
  <c r="P351" i="1"/>
  <c r="O351" i="1"/>
  <c r="P350" i="1"/>
  <c r="O350" i="1"/>
  <c r="P349" i="1"/>
  <c r="O349" i="1"/>
  <c r="P348" i="1"/>
  <c r="O348" i="1"/>
  <c r="P347" i="1"/>
  <c r="O347" i="1"/>
  <c r="P346" i="1"/>
  <c r="O346" i="1"/>
  <c r="P345" i="1"/>
  <c r="O345" i="1"/>
  <c r="P344" i="1"/>
  <c r="O344" i="1"/>
  <c r="P343" i="1"/>
  <c r="O343" i="1"/>
  <c r="P342" i="1"/>
  <c r="O342" i="1"/>
  <c r="P341" i="1"/>
  <c r="O341" i="1"/>
  <c r="P340" i="1"/>
  <c r="O340" i="1"/>
  <c r="P339" i="1"/>
  <c r="O339" i="1"/>
  <c r="P338" i="1"/>
  <c r="O338" i="1"/>
  <c r="P337" i="1"/>
  <c r="O337" i="1"/>
  <c r="P336" i="1"/>
  <c r="O336" i="1"/>
  <c r="P335" i="1"/>
  <c r="O335" i="1"/>
  <c r="P334" i="1"/>
  <c r="O334" i="1"/>
  <c r="P333" i="1"/>
  <c r="O333" i="1"/>
  <c r="P332" i="1"/>
  <c r="O332" i="1"/>
  <c r="P331" i="1"/>
  <c r="O331" i="1"/>
  <c r="P330" i="1"/>
  <c r="O330" i="1"/>
  <c r="P329" i="1"/>
  <c r="O329" i="1"/>
  <c r="P328" i="1"/>
  <c r="O328" i="1"/>
  <c r="P327" i="1"/>
  <c r="O327" i="1"/>
  <c r="P326" i="1"/>
  <c r="O326" i="1"/>
  <c r="P325" i="1"/>
  <c r="O325" i="1"/>
  <c r="P324" i="1"/>
  <c r="O324" i="1"/>
  <c r="P323" i="1"/>
  <c r="O323" i="1"/>
  <c r="P322" i="1"/>
  <c r="O322" i="1"/>
  <c r="P321" i="1"/>
  <c r="O321" i="1"/>
  <c r="P320" i="1"/>
  <c r="O320" i="1"/>
  <c r="P319" i="1"/>
  <c r="O319" i="1"/>
  <c r="P318" i="1"/>
  <c r="O318" i="1"/>
  <c r="P317" i="1"/>
  <c r="O317" i="1"/>
  <c r="P316" i="1"/>
  <c r="O316" i="1"/>
  <c r="P315" i="1"/>
  <c r="O315" i="1"/>
  <c r="P314" i="1"/>
  <c r="O314" i="1"/>
  <c r="P313" i="1"/>
  <c r="O313" i="1"/>
  <c r="P312" i="1"/>
  <c r="O312" i="1"/>
  <c r="P311" i="1"/>
  <c r="O311" i="1"/>
  <c r="P310" i="1"/>
  <c r="O310" i="1"/>
  <c r="P309" i="1"/>
  <c r="O309" i="1"/>
  <c r="P308" i="1"/>
  <c r="O308" i="1"/>
  <c r="P307" i="1"/>
  <c r="O307" i="1"/>
  <c r="P306" i="1"/>
  <c r="O306" i="1"/>
  <c r="P305" i="1"/>
  <c r="O305" i="1"/>
  <c r="P304" i="1"/>
  <c r="O304" i="1"/>
  <c r="P303" i="1"/>
  <c r="O303" i="1"/>
  <c r="P302" i="1"/>
  <c r="O302" i="1"/>
  <c r="P301" i="1"/>
  <c r="O301" i="1"/>
  <c r="P300" i="1"/>
  <c r="O300" i="1"/>
  <c r="P299" i="1"/>
  <c r="O299" i="1"/>
  <c r="P298" i="1"/>
  <c r="O298" i="1"/>
  <c r="P297" i="1"/>
  <c r="O297" i="1"/>
  <c r="P296" i="1"/>
  <c r="O296" i="1"/>
  <c r="P295" i="1"/>
  <c r="O295" i="1"/>
  <c r="P294" i="1"/>
  <c r="O294" i="1"/>
  <c r="P293" i="1"/>
  <c r="O293" i="1"/>
  <c r="P292" i="1"/>
  <c r="O292" i="1"/>
  <c r="P291" i="1"/>
  <c r="O291" i="1"/>
  <c r="P290" i="1"/>
  <c r="O290" i="1"/>
  <c r="P289" i="1"/>
  <c r="O289" i="1"/>
  <c r="P288" i="1"/>
  <c r="O288" i="1"/>
  <c r="P287" i="1"/>
  <c r="O287" i="1"/>
  <c r="P286" i="1"/>
  <c r="O286" i="1"/>
  <c r="P285" i="1"/>
  <c r="O285" i="1"/>
  <c r="P284" i="1"/>
  <c r="O284" i="1"/>
  <c r="P283" i="1"/>
  <c r="O283" i="1"/>
  <c r="P282" i="1"/>
  <c r="O282" i="1"/>
  <c r="P281" i="1"/>
  <c r="O281" i="1"/>
  <c r="P280" i="1"/>
  <c r="O280" i="1"/>
  <c r="P279" i="1"/>
  <c r="O279" i="1"/>
  <c r="P278" i="1"/>
  <c r="O278" i="1"/>
  <c r="P277" i="1"/>
  <c r="O277" i="1"/>
  <c r="P276" i="1"/>
  <c r="O276" i="1"/>
  <c r="P275" i="1"/>
  <c r="O275" i="1"/>
  <c r="P274" i="1"/>
  <c r="O274" i="1"/>
  <c r="P273" i="1"/>
  <c r="O273" i="1"/>
  <c r="P272" i="1"/>
  <c r="O272" i="1"/>
  <c r="P271" i="1"/>
  <c r="O271" i="1"/>
  <c r="P270" i="1"/>
  <c r="O270" i="1"/>
  <c r="P269" i="1"/>
  <c r="O269" i="1"/>
  <c r="P268" i="1"/>
  <c r="O268" i="1"/>
  <c r="P267" i="1"/>
  <c r="O267" i="1"/>
  <c r="P266" i="1"/>
  <c r="O266" i="1"/>
  <c r="P265" i="1"/>
  <c r="O265" i="1"/>
  <c r="P264" i="1"/>
  <c r="O264" i="1"/>
  <c r="P263" i="1"/>
  <c r="O263" i="1"/>
  <c r="P262" i="1"/>
  <c r="O262" i="1"/>
  <c r="P261" i="1"/>
  <c r="O261" i="1"/>
  <c r="P260" i="1"/>
  <c r="O260" i="1"/>
  <c r="P259" i="1"/>
  <c r="O259" i="1"/>
  <c r="P258" i="1"/>
  <c r="O258" i="1"/>
  <c r="P257" i="1"/>
  <c r="O257" i="1"/>
  <c r="P256" i="1"/>
  <c r="O256" i="1"/>
  <c r="P255" i="1"/>
  <c r="O255" i="1"/>
  <c r="P254" i="1"/>
  <c r="O254" i="1"/>
  <c r="P253" i="1"/>
  <c r="O253" i="1"/>
  <c r="P252" i="1"/>
  <c r="O252" i="1"/>
  <c r="P251" i="1"/>
  <c r="O251" i="1"/>
  <c r="P250" i="1"/>
  <c r="O250" i="1"/>
  <c r="P249" i="1"/>
  <c r="O249" i="1"/>
  <c r="P248" i="1"/>
  <c r="O248" i="1"/>
  <c r="P247" i="1"/>
  <c r="O247" i="1"/>
  <c r="P246" i="1"/>
  <c r="O246" i="1"/>
  <c r="P245" i="1"/>
  <c r="O245" i="1"/>
  <c r="P244" i="1"/>
  <c r="O244" i="1"/>
  <c r="P243" i="1"/>
  <c r="O243" i="1"/>
  <c r="P242" i="1"/>
  <c r="O242" i="1"/>
  <c r="P241" i="1"/>
  <c r="O241" i="1"/>
  <c r="P240" i="1"/>
  <c r="O240" i="1"/>
  <c r="P239" i="1"/>
  <c r="O239" i="1"/>
  <c r="P238" i="1"/>
  <c r="O238" i="1"/>
  <c r="P237" i="1"/>
  <c r="O237" i="1"/>
  <c r="P236" i="1"/>
  <c r="O236" i="1"/>
  <c r="P235" i="1"/>
  <c r="O235" i="1"/>
  <c r="P234" i="1"/>
  <c r="O234" i="1"/>
  <c r="P233" i="1"/>
  <c r="O233" i="1"/>
  <c r="P232" i="1"/>
  <c r="O232" i="1"/>
  <c r="P231" i="1"/>
  <c r="O231" i="1"/>
  <c r="P230" i="1"/>
  <c r="O230" i="1"/>
  <c r="P229" i="1"/>
  <c r="O229" i="1"/>
  <c r="P228" i="1"/>
  <c r="O228" i="1"/>
  <c r="P227" i="1"/>
  <c r="O227" i="1"/>
  <c r="P226" i="1"/>
  <c r="O226" i="1"/>
  <c r="P225" i="1"/>
  <c r="O225" i="1"/>
  <c r="P224" i="1"/>
  <c r="O224" i="1"/>
  <c r="P223" i="1"/>
  <c r="O223" i="1"/>
  <c r="P222" i="1"/>
  <c r="O222" i="1"/>
  <c r="P221" i="1"/>
  <c r="O221" i="1"/>
  <c r="P220" i="1"/>
  <c r="O220" i="1"/>
  <c r="P219" i="1"/>
  <c r="O219" i="1"/>
  <c r="P218" i="1"/>
  <c r="O218" i="1"/>
  <c r="P217" i="1"/>
  <c r="O217" i="1"/>
  <c r="P216" i="1"/>
  <c r="O216" i="1"/>
  <c r="P215" i="1"/>
  <c r="O215" i="1"/>
  <c r="P214" i="1"/>
  <c r="O214" i="1"/>
  <c r="P213" i="1"/>
  <c r="O213" i="1"/>
  <c r="P212" i="1"/>
  <c r="O212" i="1"/>
  <c r="P211" i="1"/>
  <c r="O211" i="1"/>
  <c r="P210" i="1"/>
  <c r="O210" i="1"/>
  <c r="P209" i="1"/>
  <c r="O209" i="1"/>
  <c r="P208" i="1"/>
  <c r="O208" i="1"/>
  <c r="P207" i="1"/>
  <c r="O207" i="1"/>
  <c r="P206" i="1"/>
  <c r="O206" i="1"/>
  <c r="P205" i="1"/>
  <c r="O205" i="1"/>
  <c r="P204" i="1"/>
  <c r="O204" i="1"/>
  <c r="P203" i="1"/>
  <c r="O203" i="1"/>
  <c r="P202" i="1"/>
  <c r="O202" i="1"/>
  <c r="P201" i="1"/>
  <c r="O201" i="1"/>
  <c r="P200" i="1"/>
  <c r="O200" i="1"/>
  <c r="P199" i="1"/>
  <c r="O199" i="1"/>
  <c r="P198" i="1"/>
  <c r="O198" i="1"/>
  <c r="P197" i="1"/>
  <c r="O197" i="1"/>
  <c r="P196" i="1"/>
  <c r="O196" i="1"/>
  <c r="P195" i="1"/>
  <c r="O195" i="1"/>
  <c r="P194" i="1"/>
  <c r="O194" i="1"/>
  <c r="P193" i="1"/>
  <c r="O193" i="1"/>
  <c r="P192" i="1"/>
  <c r="O192" i="1"/>
  <c r="P191" i="1"/>
  <c r="O191" i="1"/>
  <c r="P190" i="1"/>
  <c r="O190" i="1"/>
  <c r="P189" i="1"/>
  <c r="O189" i="1"/>
  <c r="P188" i="1"/>
  <c r="O188" i="1"/>
  <c r="P187" i="1"/>
  <c r="O187" i="1"/>
  <c r="P186" i="1"/>
  <c r="O186" i="1"/>
  <c r="P185" i="1"/>
  <c r="O185" i="1"/>
  <c r="P184" i="1"/>
  <c r="O184" i="1"/>
  <c r="P183" i="1"/>
  <c r="O183" i="1"/>
  <c r="P182" i="1"/>
  <c r="O182" i="1"/>
  <c r="P181" i="1"/>
  <c r="O181" i="1"/>
  <c r="P180" i="1"/>
  <c r="O180" i="1"/>
  <c r="P179" i="1"/>
  <c r="O179" i="1"/>
  <c r="P178" i="1"/>
  <c r="O178" i="1"/>
  <c r="P177" i="1"/>
  <c r="O177" i="1"/>
  <c r="P176" i="1"/>
  <c r="O176" i="1"/>
  <c r="P175" i="1"/>
  <c r="O175" i="1"/>
  <c r="P174" i="1"/>
  <c r="O174" i="1"/>
  <c r="P173" i="1"/>
  <c r="O173" i="1"/>
  <c r="P172" i="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P153" i="1"/>
  <c r="O153" i="1"/>
  <c r="P152" i="1"/>
  <c r="O152" i="1"/>
  <c r="P151" i="1"/>
  <c r="O151" i="1"/>
  <c r="P150" i="1"/>
  <c r="O150" i="1"/>
  <c r="P149" i="1"/>
  <c r="O149" i="1"/>
  <c r="P148" i="1"/>
  <c r="O148" i="1"/>
  <c r="P147" i="1"/>
  <c r="O147" i="1"/>
  <c r="P146" i="1"/>
  <c r="O146" i="1"/>
  <c r="P145" i="1"/>
  <c r="O145" i="1"/>
  <c r="P144" i="1"/>
  <c r="O144" i="1"/>
  <c r="P143" i="1"/>
  <c r="O143" i="1"/>
  <c r="P142" i="1"/>
  <c r="O142" i="1"/>
  <c r="P141" i="1"/>
  <c r="O141" i="1"/>
  <c r="P140" i="1"/>
  <c r="O140" i="1"/>
  <c r="P139" i="1"/>
  <c r="O139" i="1"/>
  <c r="P138" i="1"/>
  <c r="O138" i="1"/>
  <c r="P137" i="1"/>
  <c r="O137" i="1"/>
  <c r="P136" i="1"/>
  <c r="O136" i="1"/>
  <c r="P135" i="1"/>
  <c r="O135" i="1"/>
  <c r="P134" i="1"/>
  <c r="O134" i="1"/>
  <c r="P133" i="1"/>
  <c r="O133" i="1"/>
  <c r="P132" i="1"/>
  <c r="O132" i="1"/>
  <c r="P131" i="1"/>
  <c r="O131" i="1"/>
  <c r="P130" i="1"/>
  <c r="O130" i="1"/>
  <c r="P129" i="1"/>
  <c r="O129" i="1"/>
  <c r="P128" i="1"/>
  <c r="O128" i="1"/>
  <c r="P127" i="1"/>
  <c r="O127" i="1"/>
  <c r="P126" i="1"/>
  <c r="O126" i="1"/>
  <c r="P125" i="1"/>
  <c r="O125" i="1"/>
  <c r="P124" i="1"/>
  <c r="O124" i="1"/>
  <c r="P123" i="1"/>
  <c r="O123" i="1"/>
  <c r="P122" i="1"/>
  <c r="O122" i="1"/>
  <c r="P121" i="1"/>
  <c r="O121" i="1"/>
  <c r="P120" i="1"/>
  <c r="O120" i="1"/>
  <c r="P119" i="1"/>
  <c r="O119" i="1"/>
  <c r="P118" i="1"/>
  <c r="O118" i="1"/>
  <c r="F4" i="1" l="1"/>
  <c r="F3" i="1"/>
  <c r="R4" i="1"/>
  <c r="T4" i="1" s="1"/>
  <c r="S4" i="1"/>
  <c r="F6" i="1"/>
  <c r="R6" i="1" s="1"/>
  <c r="F5" i="1"/>
  <c r="S6" i="1"/>
  <c r="F8" i="1"/>
  <c r="S8" i="1" s="1"/>
  <c r="F7" i="1"/>
  <c r="F10" i="1"/>
  <c r="R10" i="1" s="1"/>
  <c r="F9" i="1"/>
  <c r="F12" i="1"/>
  <c r="S12" i="1" s="1"/>
  <c r="F11" i="1"/>
  <c r="F14" i="1"/>
  <c r="R14" i="1" s="1"/>
  <c r="F13" i="1"/>
  <c r="F16" i="1"/>
  <c r="S16" i="1" s="1"/>
  <c r="F15" i="1"/>
  <c r="F18" i="1"/>
  <c r="R18" i="1" s="1"/>
  <c r="F17" i="1"/>
  <c r="F20" i="1"/>
  <c r="R20" i="1" s="1"/>
  <c r="F19" i="1"/>
  <c r="F22" i="1"/>
  <c r="R22" i="1" s="1"/>
  <c r="F21" i="1"/>
  <c r="F24" i="1"/>
  <c r="R24" i="1" s="1"/>
  <c r="F23" i="1"/>
  <c r="F26" i="1"/>
  <c r="R26" i="1" s="1"/>
  <c r="F25" i="1"/>
  <c r="F28" i="1"/>
  <c r="R28" i="1" s="1"/>
  <c r="F27" i="1"/>
  <c r="F30" i="1"/>
  <c r="R30" i="1" s="1"/>
  <c r="F29" i="1"/>
  <c r="F32" i="1"/>
  <c r="R32" i="1" s="1"/>
  <c r="F31" i="1"/>
  <c r="F34" i="1"/>
  <c r="R34" i="1" s="1"/>
  <c r="F33" i="1"/>
  <c r="F36" i="1"/>
  <c r="S36" i="1" s="1"/>
  <c r="F35" i="1"/>
  <c r="F38" i="1"/>
  <c r="R38" i="1" s="1"/>
  <c r="F37" i="1"/>
  <c r="F40" i="1"/>
  <c r="R40" i="1" s="1"/>
  <c r="F39" i="1"/>
  <c r="F42" i="1"/>
  <c r="R42" i="1" s="1"/>
  <c r="F41" i="1"/>
  <c r="F44" i="1"/>
  <c r="R44" i="1" s="1"/>
  <c r="F43" i="1"/>
  <c r="F46" i="1"/>
  <c r="S46" i="1" s="1"/>
  <c r="F45" i="1"/>
  <c r="F48" i="1"/>
  <c r="R48" i="1" s="1"/>
  <c r="F47" i="1"/>
  <c r="F50" i="1"/>
  <c r="F49" i="1"/>
  <c r="F52" i="1"/>
  <c r="R52" i="1" s="1"/>
  <c r="F51" i="1"/>
  <c r="F54" i="1"/>
  <c r="F53" i="1"/>
  <c r="F56" i="1"/>
  <c r="F55" i="1"/>
  <c r="F58" i="1"/>
  <c r="S58" i="1" s="1"/>
  <c r="F57" i="1"/>
  <c r="F60" i="1"/>
  <c r="R60" i="1" s="1"/>
  <c r="F59" i="1"/>
  <c r="F62" i="1"/>
  <c r="R62" i="1" s="1"/>
  <c r="F61" i="1"/>
  <c r="F64" i="1"/>
  <c r="S64" i="1" s="1"/>
  <c r="F63" i="1"/>
  <c r="F66" i="1"/>
  <c r="R66" i="1" s="1"/>
  <c r="F65" i="1"/>
  <c r="F68" i="1"/>
  <c r="R68" i="1" s="1"/>
  <c r="F67" i="1"/>
  <c r="F70" i="1"/>
  <c r="S70" i="1" s="1"/>
  <c r="F69" i="1"/>
  <c r="F72" i="1"/>
  <c r="R72" i="1" s="1"/>
  <c r="F71" i="1"/>
  <c r="F75" i="1"/>
  <c r="R75" i="1" s="1"/>
  <c r="F74" i="1"/>
  <c r="F77" i="1"/>
  <c r="R77" i="1" s="1"/>
  <c r="F76" i="1"/>
  <c r="F79" i="1"/>
  <c r="R79" i="1" s="1"/>
  <c r="F78" i="1"/>
  <c r="F81" i="1"/>
  <c r="R81" i="1" s="1"/>
  <c r="F80" i="1"/>
  <c r="F83" i="1"/>
  <c r="R83" i="1" s="1"/>
  <c r="F82" i="1"/>
  <c r="F85" i="1"/>
  <c r="S85" i="1" s="1"/>
  <c r="F84" i="1"/>
  <c r="F87" i="1"/>
  <c r="F86" i="1"/>
  <c r="F89" i="1"/>
  <c r="R89" i="1" s="1"/>
  <c r="F88" i="1"/>
  <c r="F91" i="1"/>
  <c r="F90" i="1"/>
  <c r="F92" i="1"/>
  <c r="F93" i="1"/>
  <c r="S93" i="1" s="1"/>
  <c r="F96" i="1"/>
  <c r="S96" i="1" s="1"/>
  <c r="F95" i="1"/>
  <c r="F98" i="1"/>
  <c r="S98" i="1" s="1"/>
  <c r="F97" i="1"/>
  <c r="F100" i="1"/>
  <c r="F99" i="1"/>
  <c r="F102" i="1"/>
  <c r="S102" i="1" s="1"/>
  <c r="F101" i="1"/>
  <c r="F104" i="1"/>
  <c r="R104" i="1" s="1"/>
  <c r="F103" i="1"/>
  <c r="R106" i="1"/>
  <c r="S110" i="1"/>
  <c r="R112" i="1"/>
  <c r="R2" i="1"/>
  <c r="S2" i="1"/>
  <c r="Q118" i="1"/>
  <c r="F118" i="1" s="1"/>
  <c r="S3" i="1" l="1"/>
  <c r="R3" i="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S10" i="1"/>
  <c r="R8" i="1"/>
  <c r="R5" i="1"/>
  <c r="S5" i="1"/>
  <c r="R12" i="1"/>
  <c r="T6" i="1"/>
  <c r="S7" i="1"/>
  <c r="R7" i="1"/>
  <c r="T8" i="1"/>
  <c r="S14" i="1"/>
  <c r="T14" i="1" s="1"/>
  <c r="S9" i="1"/>
  <c r="R9" i="1"/>
  <c r="T12" i="1"/>
  <c r="T10" i="1"/>
  <c r="S11" i="1"/>
  <c r="R11" i="1"/>
  <c r="R16" i="1"/>
  <c r="T16" i="1" s="1"/>
  <c r="S13" i="1"/>
  <c r="R13" i="1"/>
  <c r="S20" i="1"/>
  <c r="T20" i="1" s="1"/>
  <c r="S18" i="1"/>
  <c r="T18" i="1" s="1"/>
  <c r="R15" i="1"/>
  <c r="S15" i="1"/>
  <c r="S17" i="1"/>
  <c r="R17" i="1"/>
  <c r="S24" i="1"/>
  <c r="T24" i="1" s="1"/>
  <c r="S19" i="1"/>
  <c r="R19" i="1"/>
  <c r="S22" i="1"/>
  <c r="T22" i="1" s="1"/>
  <c r="R21" i="1"/>
  <c r="S21" i="1"/>
  <c r="R23" i="1"/>
  <c r="S23" i="1"/>
  <c r="S26" i="1"/>
  <c r="T26" i="1" s="1"/>
  <c r="S28" i="1"/>
  <c r="T28" i="1" s="1"/>
  <c r="R25" i="1"/>
  <c r="S25" i="1"/>
  <c r="S32" i="1"/>
  <c r="T32" i="1" s="1"/>
  <c r="S27" i="1"/>
  <c r="R27" i="1"/>
  <c r="S30" i="1"/>
  <c r="T30" i="1" s="1"/>
  <c r="S29" i="1"/>
  <c r="R29" i="1"/>
  <c r="R36" i="1"/>
  <c r="T36" i="1" s="1"/>
  <c r="S34" i="1"/>
  <c r="T34" i="1" s="1"/>
  <c r="S31" i="1"/>
  <c r="R31" i="1"/>
  <c r="S38" i="1"/>
  <c r="T38" i="1" s="1"/>
  <c r="S33" i="1"/>
  <c r="R33" i="1"/>
  <c r="S42" i="1"/>
  <c r="T42" i="1" s="1"/>
  <c r="S35" i="1"/>
  <c r="R35" i="1"/>
  <c r="S40" i="1"/>
  <c r="T40" i="1" s="1"/>
  <c r="S37" i="1"/>
  <c r="R37" i="1"/>
  <c r="S44" i="1"/>
  <c r="T44" i="1" s="1"/>
  <c r="R39" i="1"/>
  <c r="S39" i="1"/>
  <c r="S41" i="1"/>
  <c r="R41" i="1"/>
  <c r="R46" i="1"/>
  <c r="T46" i="1" s="1"/>
  <c r="R43" i="1"/>
  <c r="S43" i="1"/>
  <c r="S48" i="1"/>
  <c r="T48" i="1" s="1"/>
  <c r="R45" i="1"/>
  <c r="S45" i="1"/>
  <c r="S52" i="1"/>
  <c r="T52" i="1" s="1"/>
  <c r="S47" i="1"/>
  <c r="R47" i="1"/>
  <c r="R50" i="1"/>
  <c r="S50" i="1"/>
  <c r="S49" i="1"/>
  <c r="R49" i="1"/>
  <c r="R51" i="1"/>
  <c r="S51" i="1"/>
  <c r="R54" i="1"/>
  <c r="S54" i="1"/>
  <c r="S53" i="1"/>
  <c r="R53" i="1"/>
  <c r="S55" i="1"/>
  <c r="R55" i="1"/>
  <c r="R58" i="1"/>
  <c r="T58" i="1" s="1"/>
  <c r="R56" i="1"/>
  <c r="S56" i="1"/>
  <c r="S62" i="1"/>
  <c r="T62" i="1" s="1"/>
  <c r="S60" i="1"/>
  <c r="T60" i="1" s="1"/>
  <c r="S57" i="1"/>
  <c r="R57" i="1"/>
  <c r="S59" i="1"/>
  <c r="R59" i="1"/>
  <c r="R70" i="1"/>
  <c r="T70" i="1" s="1"/>
  <c r="R64" i="1"/>
  <c r="T64" i="1" s="1"/>
  <c r="S61" i="1"/>
  <c r="R61" i="1"/>
  <c r="S68" i="1"/>
  <c r="T68" i="1" s="1"/>
  <c r="S63" i="1"/>
  <c r="R63" i="1"/>
  <c r="S66" i="1"/>
  <c r="T66" i="1" s="1"/>
  <c r="R65" i="1"/>
  <c r="S65" i="1"/>
  <c r="S72" i="1"/>
  <c r="T72" i="1" s="1"/>
  <c r="R67" i="1"/>
  <c r="S67" i="1"/>
  <c r="S69" i="1"/>
  <c r="R69" i="1"/>
  <c r="R71" i="1"/>
  <c r="S71" i="1"/>
  <c r="S75" i="1"/>
  <c r="T75" i="1" s="1"/>
  <c r="S79" i="1"/>
  <c r="T79" i="1" s="1"/>
  <c r="R74" i="1"/>
  <c r="S74" i="1"/>
  <c r="S77" i="1"/>
  <c r="T77" i="1" s="1"/>
  <c r="S81" i="1"/>
  <c r="T81" i="1" s="1"/>
  <c r="R76" i="1"/>
  <c r="S76" i="1"/>
  <c r="R78" i="1"/>
  <c r="S78" i="1"/>
  <c r="R80" i="1"/>
  <c r="S80" i="1"/>
  <c r="R85" i="1"/>
  <c r="T85" i="1" s="1"/>
  <c r="S83" i="1"/>
  <c r="T83" i="1" s="1"/>
  <c r="R82" i="1"/>
  <c r="S82" i="1"/>
  <c r="R84" i="1"/>
  <c r="S84" i="1"/>
  <c r="S87" i="1"/>
  <c r="R87" i="1"/>
  <c r="R86" i="1"/>
  <c r="S86" i="1"/>
  <c r="S89" i="1"/>
  <c r="T89" i="1" s="1"/>
  <c r="R88" i="1"/>
  <c r="S88" i="1"/>
  <c r="S91" i="1"/>
  <c r="R91" i="1"/>
  <c r="R90" i="1"/>
  <c r="S90" i="1"/>
  <c r="R92" i="1"/>
  <c r="S92" i="1"/>
  <c r="R93" i="1"/>
  <c r="T93" i="1" s="1"/>
  <c r="R98" i="1"/>
  <c r="T98" i="1" s="1"/>
  <c r="R96" i="1"/>
  <c r="T96" i="1" s="1"/>
  <c r="R95" i="1"/>
  <c r="S95" i="1"/>
  <c r="R102" i="1"/>
  <c r="T102" i="1" s="1"/>
  <c r="R97" i="1"/>
  <c r="S97" i="1"/>
  <c r="S104" i="1"/>
  <c r="T104" i="1" s="1"/>
  <c r="R100" i="1"/>
  <c r="S100" i="1"/>
  <c r="R99" i="1"/>
  <c r="S99" i="1"/>
  <c r="R101" i="1"/>
  <c r="S101" i="1"/>
  <c r="R103" i="1"/>
  <c r="S103" i="1"/>
  <c r="S106" i="1"/>
  <c r="T106" i="1" s="1"/>
  <c r="S105" i="1"/>
  <c r="R105" i="1"/>
  <c r="R108" i="1"/>
  <c r="S108" i="1"/>
  <c r="R107" i="1"/>
  <c r="S107" i="1"/>
  <c r="R110" i="1"/>
  <c r="T110" i="1" s="1"/>
  <c r="R109" i="1"/>
  <c r="S109" i="1"/>
  <c r="S112" i="1"/>
  <c r="T112" i="1" s="1"/>
  <c r="R111" i="1"/>
  <c r="S111" i="1"/>
  <c r="R113" i="1"/>
  <c r="S113" i="1"/>
  <c r="S114" i="1"/>
  <c r="R114" i="1"/>
  <c r="S116" i="1"/>
  <c r="R116" i="1"/>
  <c r="R115" i="1"/>
  <c r="S115" i="1"/>
  <c r="R117" i="1"/>
  <c r="S117" i="1"/>
  <c r="T2" i="1"/>
  <c r="Q120" i="1"/>
  <c r="F120" i="1" s="1"/>
  <c r="Q119" i="1"/>
  <c r="F119" i="1" s="1"/>
  <c r="T3" i="1" l="1"/>
  <c r="T7" i="1"/>
  <c r="T9" i="1"/>
  <c r="T5" i="1"/>
  <c r="T13" i="1"/>
  <c r="T11" i="1"/>
  <c r="T15" i="1"/>
  <c r="T19" i="1"/>
  <c r="T17" i="1"/>
  <c r="T21" i="1"/>
  <c r="T23" i="1"/>
  <c r="T25" i="1"/>
  <c r="T27" i="1"/>
  <c r="T29" i="1"/>
  <c r="T31" i="1"/>
  <c r="T35" i="1"/>
  <c r="T33" i="1"/>
  <c r="T37" i="1"/>
  <c r="T41" i="1"/>
  <c r="T39" i="1"/>
  <c r="T43" i="1"/>
  <c r="T54" i="1"/>
  <c r="T50" i="1"/>
  <c r="T45" i="1"/>
  <c r="T47" i="1"/>
  <c r="T49" i="1"/>
  <c r="T57" i="1"/>
  <c r="T51" i="1"/>
  <c r="T53" i="1"/>
  <c r="T56" i="1"/>
  <c r="T55" i="1"/>
  <c r="T59" i="1"/>
  <c r="T61" i="1"/>
  <c r="T63" i="1"/>
  <c r="T65" i="1"/>
  <c r="T69" i="1"/>
  <c r="T67" i="1"/>
  <c r="T71" i="1"/>
  <c r="T74" i="1"/>
  <c r="T76" i="1"/>
  <c r="T78" i="1"/>
  <c r="T80" i="1"/>
  <c r="T91" i="1"/>
  <c r="T82" i="1"/>
  <c r="T84" i="1"/>
  <c r="T86" i="1"/>
  <c r="T87" i="1"/>
  <c r="T88" i="1"/>
  <c r="T90" i="1"/>
  <c r="T92" i="1"/>
  <c r="T95" i="1"/>
  <c r="T97" i="1"/>
  <c r="T99" i="1"/>
  <c r="T100" i="1"/>
  <c r="T101" i="1"/>
  <c r="T103" i="1"/>
  <c r="T105" i="1"/>
  <c r="T108" i="1"/>
  <c r="T107" i="1"/>
  <c r="T116" i="1"/>
  <c r="T109" i="1"/>
  <c r="T111" i="1"/>
  <c r="T114" i="1"/>
  <c r="T113" i="1"/>
  <c r="T115" i="1"/>
  <c r="T117" i="1"/>
  <c r="R118" i="1"/>
  <c r="S118" i="1"/>
  <c r="R119" i="1"/>
  <c r="S119" i="1"/>
  <c r="Q122" i="1"/>
  <c r="F122" i="1" s="1"/>
  <c r="Q121" i="1"/>
  <c r="F121" i="1" s="1"/>
  <c r="A121" i="1" s="1"/>
  <c r="A122" i="1" l="1"/>
  <c r="T118" i="1"/>
  <c r="S120" i="1"/>
  <c r="R120" i="1"/>
  <c r="T119" i="1"/>
  <c r="R122" i="1"/>
  <c r="R121" i="1"/>
  <c r="S121" i="1"/>
  <c r="T120" i="1" l="1"/>
  <c r="S122" i="1"/>
  <c r="T122" i="1" s="1"/>
  <c r="T121" i="1"/>
  <c r="Q123" i="1" l="1"/>
  <c r="F123" i="1" s="1"/>
  <c r="A123" i="1" s="1"/>
  <c r="Q124" i="1" l="1"/>
  <c r="F124" i="1" s="1"/>
  <c r="A124" i="1" s="1"/>
  <c r="Q125" i="1"/>
  <c r="F125" i="1" s="1"/>
  <c r="A125" i="1" l="1"/>
  <c r="Q126" i="1"/>
  <c r="F126" i="1" s="1"/>
  <c r="A126" i="1" l="1"/>
  <c r="R126" i="1"/>
  <c r="Q127" i="1"/>
  <c r="F127" i="1" s="1"/>
  <c r="Q128" i="1"/>
  <c r="F128" i="1" s="1"/>
  <c r="A127" i="1" l="1"/>
  <c r="A128" i="1" s="1"/>
  <c r="S126" i="1"/>
  <c r="T126" i="1" s="1"/>
  <c r="S124" i="1"/>
  <c r="R124" i="1"/>
  <c r="R123" i="1"/>
  <c r="S123" i="1"/>
  <c r="S125" i="1"/>
  <c r="R125" i="1"/>
  <c r="S127" i="1"/>
  <c r="R127" i="1"/>
  <c r="R128" i="1"/>
  <c r="S128" i="1"/>
  <c r="T124" i="1" l="1"/>
  <c r="T123" i="1"/>
  <c r="T125" i="1"/>
  <c r="T127" i="1"/>
  <c r="T128" i="1"/>
  <c r="Q129" i="1"/>
  <c r="F129" i="1" s="1"/>
  <c r="A129" i="1" s="1"/>
  <c r="A130" i="1" s="1"/>
  <c r="Q130" i="1"/>
  <c r="F130" i="1" s="1"/>
  <c r="R129" i="1" l="1"/>
  <c r="R130" i="1"/>
  <c r="S130" i="1"/>
  <c r="S129" i="1" l="1"/>
  <c r="T129" i="1" s="1"/>
  <c r="T130" i="1"/>
  <c r="Q131" i="1"/>
  <c r="F131" i="1" s="1"/>
  <c r="A131" i="1" s="1"/>
  <c r="Q132" i="1"/>
  <c r="F132" i="1" s="1"/>
  <c r="Q133" i="1"/>
  <c r="F133" i="1" s="1"/>
  <c r="Q134" i="1"/>
  <c r="F134" i="1" s="1"/>
  <c r="Q135" i="1"/>
  <c r="F135" i="1" s="1"/>
  <c r="Q136" i="1"/>
  <c r="F136" i="1" s="1"/>
  <c r="Q137" i="1"/>
  <c r="F137" i="1" s="1"/>
  <c r="Q138" i="1"/>
  <c r="F138" i="1" s="1"/>
  <c r="Q139" i="1"/>
  <c r="F139" i="1" s="1"/>
  <c r="Q140" i="1"/>
  <c r="F140" i="1" s="1"/>
  <c r="Q141" i="1"/>
  <c r="F141" i="1" s="1"/>
  <c r="Q142" i="1"/>
  <c r="F142" i="1" s="1"/>
  <c r="Q143" i="1"/>
  <c r="F143" i="1" s="1"/>
  <c r="Q144" i="1"/>
  <c r="F144" i="1" s="1"/>
  <c r="Q145" i="1"/>
  <c r="F145" i="1" s="1"/>
  <c r="Q146" i="1"/>
  <c r="F146" i="1" s="1"/>
  <c r="Q147" i="1"/>
  <c r="F147" i="1" s="1"/>
  <c r="Q148" i="1"/>
  <c r="F148" i="1" s="1"/>
  <c r="Q149" i="1"/>
  <c r="F149" i="1" s="1"/>
  <c r="Q150" i="1"/>
  <c r="F150" i="1" s="1"/>
  <c r="Q151" i="1"/>
  <c r="F151" i="1" s="1"/>
  <c r="Q152" i="1"/>
  <c r="F152" i="1" s="1"/>
  <c r="Q153" i="1"/>
  <c r="F153" i="1" s="1"/>
  <c r="Q154" i="1"/>
  <c r="F154" i="1" s="1"/>
  <c r="Q155" i="1"/>
  <c r="F155" i="1" s="1"/>
  <c r="Q156" i="1"/>
  <c r="F156" i="1" s="1"/>
  <c r="Q157" i="1"/>
  <c r="F157" i="1" s="1"/>
  <c r="Q158" i="1"/>
  <c r="F158" i="1" s="1"/>
  <c r="Q159" i="1"/>
  <c r="F159" i="1" s="1"/>
  <c r="Q160" i="1"/>
  <c r="F160" i="1" s="1"/>
  <c r="Q161" i="1"/>
  <c r="F161" i="1" s="1"/>
  <c r="Q162" i="1"/>
  <c r="F162" i="1" s="1"/>
  <c r="Q163" i="1"/>
  <c r="F163" i="1" s="1"/>
  <c r="Q164" i="1"/>
  <c r="F164" i="1" s="1"/>
  <c r="Q165" i="1"/>
  <c r="F165" i="1" s="1"/>
  <c r="Q166" i="1"/>
  <c r="F166" i="1" s="1"/>
  <c r="Q167" i="1"/>
  <c r="F167" i="1" s="1"/>
  <c r="Q168" i="1"/>
  <c r="F168" i="1" s="1"/>
  <c r="Q169" i="1"/>
  <c r="F169" i="1" s="1"/>
  <c r="Q170" i="1"/>
  <c r="F170" i="1" s="1"/>
  <c r="Q171" i="1"/>
  <c r="F171" i="1" s="1"/>
  <c r="Q172" i="1"/>
  <c r="F172" i="1" s="1"/>
  <c r="Q173" i="1"/>
  <c r="F173" i="1" s="1"/>
  <c r="Q174" i="1"/>
  <c r="F174" i="1" s="1"/>
  <c r="Q175" i="1"/>
  <c r="F175" i="1" s="1"/>
  <c r="Q176" i="1"/>
  <c r="F176" i="1" s="1"/>
  <c r="Q177" i="1"/>
  <c r="F177" i="1" s="1"/>
  <c r="Q178" i="1"/>
  <c r="F178" i="1" s="1"/>
  <c r="Q179" i="1"/>
  <c r="F179" i="1" s="1"/>
  <c r="Q180" i="1"/>
  <c r="F180" i="1" s="1"/>
  <c r="Q181" i="1"/>
  <c r="F181" i="1" s="1"/>
  <c r="Q182" i="1"/>
  <c r="F182" i="1" s="1"/>
  <c r="Q183" i="1"/>
  <c r="F183" i="1" s="1"/>
  <c r="Q184" i="1"/>
  <c r="F184" i="1" s="1"/>
  <c r="Q185" i="1"/>
  <c r="F185" i="1" s="1"/>
  <c r="Q186" i="1"/>
  <c r="F186" i="1" s="1"/>
  <c r="Q187" i="1"/>
  <c r="F187" i="1" s="1"/>
  <c r="Q188" i="1"/>
  <c r="F188" i="1" s="1"/>
  <c r="Q189" i="1"/>
  <c r="F189" i="1" s="1"/>
  <c r="Q190" i="1"/>
  <c r="F190" i="1" s="1"/>
  <c r="Q191" i="1"/>
  <c r="F191" i="1" s="1"/>
  <c r="Q192" i="1"/>
  <c r="F192" i="1" s="1"/>
  <c r="Q193" i="1"/>
  <c r="F193" i="1" s="1"/>
  <c r="Q194" i="1"/>
  <c r="F194" i="1" s="1"/>
  <c r="Q195" i="1"/>
  <c r="F195" i="1" s="1"/>
  <c r="Q196" i="1"/>
  <c r="F196" i="1" s="1"/>
  <c r="Q197" i="1"/>
  <c r="F197" i="1" s="1"/>
  <c r="Q198" i="1"/>
  <c r="F198" i="1" s="1"/>
  <c r="Q199" i="1"/>
  <c r="F199" i="1" s="1"/>
  <c r="Q200" i="1"/>
  <c r="F200" i="1" s="1"/>
  <c r="Q201" i="1"/>
  <c r="F201" i="1" s="1"/>
  <c r="Q202" i="1"/>
  <c r="F202" i="1" s="1"/>
  <c r="Q203" i="1"/>
  <c r="F203" i="1" s="1"/>
  <c r="Q204" i="1"/>
  <c r="F204" i="1" s="1"/>
  <c r="Q205" i="1"/>
  <c r="F205" i="1" s="1"/>
  <c r="Q206" i="1"/>
  <c r="F206" i="1" s="1"/>
  <c r="Q207" i="1"/>
  <c r="F207" i="1" s="1"/>
  <c r="Q208" i="1"/>
  <c r="F208" i="1" s="1"/>
  <c r="Q209" i="1"/>
  <c r="F209" i="1" s="1"/>
  <c r="Q210" i="1"/>
  <c r="F210" i="1" s="1"/>
  <c r="Q211" i="1"/>
  <c r="F211" i="1" s="1"/>
  <c r="Q212" i="1"/>
  <c r="F212" i="1" s="1"/>
  <c r="Q213" i="1"/>
  <c r="F213" i="1" s="1"/>
  <c r="Q214" i="1"/>
  <c r="F214" i="1" s="1"/>
  <c r="Q215" i="1"/>
  <c r="F215" i="1" s="1"/>
  <c r="Q216" i="1"/>
  <c r="F216" i="1" s="1"/>
  <c r="Q217" i="1"/>
  <c r="F217" i="1" s="1"/>
  <c r="Q218" i="1"/>
  <c r="F218" i="1" s="1"/>
  <c r="Q219" i="1"/>
  <c r="F219" i="1" s="1"/>
  <c r="Q220" i="1"/>
  <c r="F220" i="1" s="1"/>
  <c r="Q221" i="1"/>
  <c r="F221" i="1" s="1"/>
  <c r="Q222" i="1"/>
  <c r="F222" i="1" s="1"/>
  <c r="Q223" i="1"/>
  <c r="F223" i="1" s="1"/>
  <c r="Q224" i="1"/>
  <c r="F224" i="1" s="1"/>
  <c r="Q225" i="1"/>
  <c r="F225" i="1" s="1"/>
  <c r="Q226" i="1"/>
  <c r="F226" i="1" s="1"/>
  <c r="Q227" i="1"/>
  <c r="F227" i="1" s="1"/>
  <c r="Q228" i="1"/>
  <c r="F228" i="1" s="1"/>
  <c r="Q229" i="1"/>
  <c r="F229" i="1" s="1"/>
  <c r="Q230" i="1"/>
  <c r="F230" i="1" s="1"/>
  <c r="Q231" i="1"/>
  <c r="F231" i="1" s="1"/>
  <c r="Q232" i="1"/>
  <c r="F232" i="1" s="1"/>
  <c r="Q233" i="1"/>
  <c r="F233" i="1" s="1"/>
  <c r="Q234" i="1"/>
  <c r="F234" i="1" s="1"/>
  <c r="Q235" i="1"/>
  <c r="F235" i="1" s="1"/>
  <c r="Q236" i="1"/>
  <c r="F236" i="1" s="1"/>
  <c r="Q237" i="1"/>
  <c r="F237" i="1" s="1"/>
  <c r="Q238" i="1"/>
  <c r="F238" i="1" s="1"/>
  <c r="Q239" i="1"/>
  <c r="F239" i="1" s="1"/>
  <c r="Q240" i="1"/>
  <c r="F240" i="1" s="1"/>
  <c r="Q241" i="1"/>
  <c r="F241" i="1" s="1"/>
  <c r="Q242" i="1"/>
  <c r="F242" i="1" s="1"/>
  <c r="Q243" i="1"/>
  <c r="F243" i="1" s="1"/>
  <c r="Q244" i="1"/>
  <c r="F244" i="1" s="1"/>
  <c r="Q245" i="1"/>
  <c r="F245" i="1" s="1"/>
  <c r="Q246" i="1"/>
  <c r="F246" i="1" s="1"/>
  <c r="Q247" i="1"/>
  <c r="F247" i="1" s="1"/>
  <c r="Q248" i="1"/>
  <c r="F248" i="1" s="1"/>
  <c r="Q249" i="1"/>
  <c r="F249" i="1" s="1"/>
  <c r="Q250" i="1"/>
  <c r="F250" i="1" s="1"/>
  <c r="Q251" i="1"/>
  <c r="F251" i="1" s="1"/>
  <c r="Q252" i="1"/>
  <c r="F252" i="1" s="1"/>
  <c r="Q253" i="1"/>
  <c r="F253" i="1" s="1"/>
  <c r="Q254" i="1"/>
  <c r="F254" i="1" s="1"/>
  <c r="Q255" i="1"/>
  <c r="F255" i="1" s="1"/>
  <c r="Q256" i="1"/>
  <c r="F256" i="1" s="1"/>
  <c r="Q257" i="1"/>
  <c r="F257" i="1" s="1"/>
  <c r="Q258" i="1"/>
  <c r="F258" i="1" s="1"/>
  <c r="Q259" i="1"/>
  <c r="F259" i="1" s="1"/>
  <c r="Q260" i="1"/>
  <c r="F260" i="1" s="1"/>
  <c r="Q261" i="1"/>
  <c r="F261" i="1" s="1"/>
  <c r="Q262" i="1"/>
  <c r="F262" i="1" s="1"/>
  <c r="Q263" i="1"/>
  <c r="F263" i="1" s="1"/>
  <c r="Q264" i="1"/>
  <c r="F264" i="1" s="1"/>
  <c r="Q265" i="1"/>
  <c r="F265" i="1" s="1"/>
  <c r="Q266" i="1"/>
  <c r="F266" i="1" s="1"/>
  <c r="Q267" i="1"/>
  <c r="F267" i="1" s="1"/>
  <c r="Q268" i="1"/>
  <c r="F268" i="1" s="1"/>
  <c r="Q269" i="1"/>
  <c r="F269" i="1" s="1"/>
  <c r="Q270" i="1"/>
  <c r="F270" i="1" s="1"/>
  <c r="Q271" i="1"/>
  <c r="F271" i="1" s="1"/>
  <c r="Q272" i="1"/>
  <c r="F272" i="1" s="1"/>
  <c r="Q273" i="1"/>
  <c r="F273" i="1" s="1"/>
  <c r="Q274" i="1"/>
  <c r="F274" i="1" s="1"/>
  <c r="Q275" i="1"/>
  <c r="F275" i="1" s="1"/>
  <c r="Q276" i="1"/>
  <c r="F276" i="1" s="1"/>
  <c r="Q277" i="1"/>
  <c r="F277" i="1" s="1"/>
  <c r="Q278" i="1"/>
  <c r="F278" i="1" s="1"/>
  <c r="Q279" i="1"/>
  <c r="F279" i="1" s="1"/>
  <c r="Q280" i="1"/>
  <c r="F280" i="1" s="1"/>
  <c r="Q281" i="1"/>
  <c r="F281" i="1" s="1"/>
  <c r="Q282" i="1"/>
  <c r="F282" i="1" s="1"/>
  <c r="Q283" i="1"/>
  <c r="F283" i="1" s="1"/>
  <c r="Q284" i="1"/>
  <c r="F284" i="1" s="1"/>
  <c r="Q285" i="1"/>
  <c r="F285" i="1" s="1"/>
  <c r="Q286" i="1"/>
  <c r="F286" i="1" s="1"/>
  <c r="Q287" i="1"/>
  <c r="F287" i="1" s="1"/>
  <c r="Q288" i="1"/>
  <c r="F288" i="1" s="1"/>
  <c r="Q289" i="1"/>
  <c r="F289" i="1" s="1"/>
  <c r="Q290" i="1"/>
  <c r="F290" i="1" s="1"/>
  <c r="Q291" i="1"/>
  <c r="F291" i="1" s="1"/>
  <c r="Q292" i="1"/>
  <c r="F292" i="1" s="1"/>
  <c r="Q293" i="1"/>
  <c r="F293" i="1" s="1"/>
  <c r="Q294" i="1"/>
  <c r="F294" i="1" s="1"/>
  <c r="Q295" i="1"/>
  <c r="F295" i="1" s="1"/>
  <c r="Q296" i="1"/>
  <c r="F296" i="1" s="1"/>
  <c r="Q297" i="1"/>
  <c r="F297" i="1" s="1"/>
  <c r="Q298" i="1"/>
  <c r="F298" i="1" s="1"/>
  <c r="Q299" i="1"/>
  <c r="F299" i="1" s="1"/>
  <c r="Q300" i="1"/>
  <c r="F300" i="1" s="1"/>
  <c r="Q301" i="1"/>
  <c r="F301" i="1" s="1"/>
  <c r="Q302" i="1"/>
  <c r="F302" i="1" s="1"/>
  <c r="Q303" i="1"/>
  <c r="F303" i="1" s="1"/>
  <c r="Q304" i="1"/>
  <c r="F304" i="1" s="1"/>
  <c r="Q305" i="1"/>
  <c r="F305" i="1" s="1"/>
  <c r="Q306" i="1"/>
  <c r="F306" i="1" s="1"/>
  <c r="Q307" i="1"/>
  <c r="F307" i="1" s="1"/>
  <c r="Q308" i="1"/>
  <c r="F308" i="1" s="1"/>
  <c r="Q309" i="1"/>
  <c r="F309" i="1" s="1"/>
  <c r="Q310" i="1"/>
  <c r="F310" i="1" s="1"/>
  <c r="Q311" i="1"/>
  <c r="F311" i="1" s="1"/>
  <c r="Q312" i="1"/>
  <c r="F312" i="1" s="1"/>
  <c r="Q313" i="1"/>
  <c r="F313" i="1" s="1"/>
  <c r="Q314" i="1"/>
  <c r="F314" i="1" s="1"/>
  <c r="Q315" i="1"/>
  <c r="F315" i="1" s="1"/>
  <c r="Q316" i="1"/>
  <c r="F316" i="1" s="1"/>
  <c r="Q317" i="1"/>
  <c r="F317" i="1" s="1"/>
  <c r="Q318" i="1"/>
  <c r="F318" i="1" s="1"/>
  <c r="Q319" i="1"/>
  <c r="F319" i="1" s="1"/>
  <c r="Q320" i="1"/>
  <c r="F320" i="1" s="1"/>
  <c r="Q321" i="1"/>
  <c r="F321" i="1" s="1"/>
  <c r="Q322" i="1"/>
  <c r="F322" i="1" s="1"/>
  <c r="Q323" i="1"/>
  <c r="F323" i="1" s="1"/>
  <c r="Q324" i="1"/>
  <c r="F324" i="1" s="1"/>
  <c r="Q325" i="1"/>
  <c r="F325" i="1" s="1"/>
  <c r="Q326" i="1"/>
  <c r="F326" i="1" s="1"/>
  <c r="Q327" i="1"/>
  <c r="F327" i="1" s="1"/>
  <c r="Q328" i="1"/>
  <c r="F328" i="1" s="1"/>
  <c r="Q329" i="1"/>
  <c r="F329" i="1" s="1"/>
  <c r="Q330" i="1"/>
  <c r="F330" i="1" s="1"/>
  <c r="Q331" i="1"/>
  <c r="F331" i="1" s="1"/>
  <c r="Q332" i="1"/>
  <c r="F332" i="1" s="1"/>
  <c r="Q333" i="1"/>
  <c r="F333" i="1" s="1"/>
  <c r="Q334" i="1"/>
  <c r="F334" i="1" s="1"/>
  <c r="Q335" i="1"/>
  <c r="F335" i="1" s="1"/>
  <c r="Q336" i="1"/>
  <c r="F336" i="1" s="1"/>
  <c r="Q337" i="1"/>
  <c r="F337" i="1" s="1"/>
  <c r="Q338" i="1"/>
  <c r="F338" i="1" s="1"/>
  <c r="Q339" i="1"/>
  <c r="F339" i="1" s="1"/>
  <c r="Q340" i="1"/>
  <c r="F340" i="1" s="1"/>
  <c r="Q341" i="1"/>
  <c r="F341" i="1" s="1"/>
  <c r="Q342" i="1"/>
  <c r="F342" i="1" s="1"/>
  <c r="Q343" i="1"/>
  <c r="F343" i="1" s="1"/>
  <c r="Q344" i="1"/>
  <c r="F344" i="1" s="1"/>
  <c r="Q345" i="1"/>
  <c r="F345" i="1" s="1"/>
  <c r="Q346" i="1"/>
  <c r="F346" i="1" s="1"/>
  <c r="Q347" i="1"/>
  <c r="F347" i="1" s="1"/>
  <c r="Q348" i="1"/>
  <c r="F348" i="1" s="1"/>
  <c r="Q349" i="1"/>
  <c r="F349" i="1" s="1"/>
  <c r="Q350" i="1"/>
  <c r="F350" i="1" s="1"/>
  <c r="Q351" i="1"/>
  <c r="F351" i="1" s="1"/>
  <c r="Q352" i="1"/>
  <c r="F352" i="1" s="1"/>
  <c r="Q353" i="1"/>
  <c r="F353" i="1" s="1"/>
  <c r="Q354" i="1"/>
  <c r="F354" i="1" s="1"/>
  <c r="Q355" i="1"/>
  <c r="F355" i="1" s="1"/>
  <c r="Q356" i="1"/>
  <c r="F356" i="1" s="1"/>
  <c r="Q357" i="1"/>
  <c r="F357" i="1" s="1"/>
  <c r="Q358" i="1"/>
  <c r="F358" i="1" s="1"/>
  <c r="Q359" i="1"/>
  <c r="F359" i="1" s="1"/>
  <c r="Q360" i="1"/>
  <c r="F360" i="1" s="1"/>
  <c r="Q361" i="1"/>
  <c r="F361" i="1" s="1"/>
  <c r="Q362" i="1"/>
  <c r="F362" i="1" s="1"/>
  <c r="Q363" i="1"/>
  <c r="F363" i="1" s="1"/>
  <c r="Q364" i="1"/>
  <c r="F364" i="1" s="1"/>
  <c r="Q365" i="1"/>
  <c r="F365" i="1" s="1"/>
  <c r="Q366" i="1"/>
  <c r="F366" i="1" s="1"/>
  <c r="Q367" i="1"/>
  <c r="F367" i="1" s="1"/>
  <c r="Q368" i="1"/>
  <c r="F368" i="1" s="1"/>
  <c r="Q369" i="1"/>
  <c r="F369" i="1" s="1"/>
  <c r="Q370" i="1"/>
  <c r="F370" i="1" s="1"/>
  <c r="Q371" i="1"/>
  <c r="F371" i="1" s="1"/>
  <c r="Q372" i="1"/>
  <c r="F372" i="1" s="1"/>
  <c r="Q373" i="1"/>
  <c r="F373" i="1" s="1"/>
  <c r="Q374" i="1"/>
  <c r="F374" i="1" s="1"/>
  <c r="Q375" i="1"/>
  <c r="F375" i="1" s="1"/>
  <c r="Q376" i="1"/>
  <c r="F376" i="1" s="1"/>
  <c r="Q377" i="1"/>
  <c r="F377" i="1" s="1"/>
  <c r="Q378" i="1"/>
  <c r="F378" i="1" s="1"/>
  <c r="Q379" i="1"/>
  <c r="F379" i="1" s="1"/>
  <c r="Q380" i="1"/>
  <c r="F380" i="1" s="1"/>
  <c r="Q381" i="1"/>
  <c r="F381" i="1" s="1"/>
  <c r="Q382" i="1"/>
  <c r="F382" i="1" s="1"/>
  <c r="Q383" i="1"/>
  <c r="F383" i="1" s="1"/>
  <c r="Q384" i="1"/>
  <c r="F384" i="1" s="1"/>
  <c r="Q385" i="1"/>
  <c r="F385" i="1" s="1"/>
  <c r="Q386" i="1"/>
  <c r="F386" i="1" s="1"/>
  <c r="Q387" i="1"/>
  <c r="F387" i="1" s="1"/>
  <c r="Q388" i="1"/>
  <c r="F388" i="1" s="1"/>
  <c r="Q389" i="1"/>
  <c r="F389" i="1" s="1"/>
  <c r="Q390" i="1"/>
  <c r="F390" i="1" s="1"/>
  <c r="Q391" i="1"/>
  <c r="F391" i="1" s="1"/>
  <c r="Q392" i="1"/>
  <c r="F392" i="1" s="1"/>
  <c r="Q393" i="1"/>
  <c r="F393" i="1" s="1"/>
  <c r="Q394" i="1"/>
  <c r="F394" i="1" s="1"/>
  <c r="Q395" i="1"/>
  <c r="F395" i="1" s="1"/>
  <c r="Q396" i="1"/>
  <c r="F396" i="1" s="1"/>
  <c r="Q397" i="1"/>
  <c r="F397" i="1" s="1"/>
  <c r="Q398" i="1"/>
  <c r="F398" i="1" s="1"/>
  <c r="Q399" i="1"/>
  <c r="F399" i="1" s="1"/>
  <c r="Q400" i="1"/>
  <c r="F400" i="1" s="1"/>
  <c r="Q401" i="1"/>
  <c r="F401" i="1" s="1"/>
  <c r="Q402" i="1"/>
  <c r="F402" i="1" s="1"/>
  <c r="Q403" i="1"/>
  <c r="F403" i="1" s="1"/>
  <c r="Q404" i="1"/>
  <c r="F404" i="1" s="1"/>
  <c r="Q405" i="1"/>
  <c r="F405" i="1" s="1"/>
  <c r="Q406" i="1"/>
  <c r="F406" i="1" s="1"/>
  <c r="Q407" i="1"/>
  <c r="F407" i="1" s="1"/>
  <c r="Q408" i="1"/>
  <c r="F408" i="1" s="1"/>
  <c r="Q409" i="1"/>
  <c r="F409" i="1" s="1"/>
  <c r="Q410" i="1"/>
  <c r="F410" i="1" s="1"/>
  <c r="Q411" i="1"/>
  <c r="F411" i="1" s="1"/>
  <c r="Q412" i="1"/>
  <c r="F412" i="1" s="1"/>
  <c r="Q413" i="1"/>
  <c r="F413" i="1" s="1"/>
  <c r="Q414" i="1"/>
  <c r="F414" i="1" s="1"/>
  <c r="Q415" i="1"/>
  <c r="F415" i="1" s="1"/>
  <c r="Q416" i="1"/>
  <c r="F416" i="1" s="1"/>
  <c r="Q417" i="1"/>
  <c r="F417" i="1" s="1"/>
  <c r="Q418" i="1"/>
  <c r="F418" i="1" s="1"/>
  <c r="Q419" i="1"/>
  <c r="F419" i="1" s="1"/>
  <c r="Q420" i="1"/>
  <c r="F420" i="1" s="1"/>
  <c r="Q421" i="1"/>
  <c r="F421" i="1" s="1"/>
  <c r="Q422" i="1"/>
  <c r="F422" i="1" s="1"/>
  <c r="Q423" i="1"/>
  <c r="F423" i="1" s="1"/>
  <c r="Q424" i="1"/>
  <c r="F424" i="1" s="1"/>
  <c r="Q425" i="1"/>
  <c r="F425" i="1" s="1"/>
  <c r="Q426" i="1"/>
  <c r="F426" i="1" s="1"/>
  <c r="Q427" i="1"/>
  <c r="F427" i="1" s="1"/>
  <c r="Q428" i="1"/>
  <c r="F428" i="1" s="1"/>
  <c r="Q429" i="1"/>
  <c r="F429" i="1" s="1"/>
  <c r="Q430" i="1"/>
  <c r="F430" i="1" s="1"/>
  <c r="Q431" i="1"/>
  <c r="F431" i="1" s="1"/>
  <c r="Q432" i="1"/>
  <c r="F432" i="1" s="1"/>
  <c r="Q433" i="1"/>
  <c r="F433" i="1" s="1"/>
  <c r="Q434" i="1"/>
  <c r="F434" i="1" s="1"/>
  <c r="Q435" i="1"/>
  <c r="F435" i="1" s="1"/>
  <c r="Q436" i="1"/>
  <c r="F436" i="1" s="1"/>
  <c r="Q437" i="1"/>
  <c r="F437" i="1" s="1"/>
  <c r="Q438" i="1"/>
  <c r="F438" i="1" s="1"/>
  <c r="Q439" i="1"/>
  <c r="F439" i="1" s="1"/>
  <c r="Q440" i="1"/>
  <c r="F440" i="1" s="1"/>
  <c r="Q441" i="1"/>
  <c r="F441" i="1" s="1"/>
  <c r="Q442" i="1"/>
  <c r="F442" i="1" s="1"/>
  <c r="Q443" i="1"/>
  <c r="F443" i="1" s="1"/>
  <c r="Q444" i="1"/>
  <c r="F444" i="1" s="1"/>
  <c r="Q445" i="1"/>
  <c r="F445" i="1" s="1"/>
  <c r="Q446" i="1"/>
  <c r="F446" i="1" s="1"/>
  <c r="Q447" i="1"/>
  <c r="F447" i="1" s="1"/>
  <c r="Q448" i="1"/>
  <c r="F448" i="1" s="1"/>
  <c r="Q449" i="1"/>
  <c r="F449" i="1" s="1"/>
  <c r="Q450" i="1"/>
  <c r="F450" i="1" s="1"/>
  <c r="Q451" i="1"/>
  <c r="F451" i="1" s="1"/>
  <c r="Q452" i="1"/>
  <c r="F452" i="1" s="1"/>
  <c r="Q453" i="1"/>
  <c r="F453" i="1" s="1"/>
  <c r="Q454" i="1"/>
  <c r="F454" i="1" s="1"/>
  <c r="Q455" i="1"/>
  <c r="F455" i="1" s="1"/>
  <c r="Q456" i="1"/>
  <c r="F456" i="1" s="1"/>
  <c r="Q457" i="1"/>
  <c r="F457" i="1" s="1"/>
  <c r="Q458" i="1"/>
  <c r="F458" i="1" s="1"/>
  <c r="Q459" i="1"/>
  <c r="F459" i="1" s="1"/>
  <c r="Q460" i="1"/>
  <c r="F460" i="1" s="1"/>
  <c r="Q461" i="1"/>
  <c r="F461" i="1" s="1"/>
  <c r="Q462" i="1"/>
  <c r="F462" i="1" s="1"/>
  <c r="Q463" i="1"/>
  <c r="F463" i="1" s="1"/>
  <c r="Q464" i="1"/>
  <c r="F464" i="1" s="1"/>
  <c r="Q465" i="1"/>
  <c r="F465" i="1" s="1"/>
  <c r="Q466" i="1"/>
  <c r="F466" i="1" s="1"/>
  <c r="Q467" i="1"/>
  <c r="F467" i="1" s="1"/>
  <c r="Q468" i="1"/>
  <c r="F468" i="1" s="1"/>
  <c r="Q469" i="1"/>
  <c r="F469" i="1" s="1"/>
  <c r="Q470" i="1"/>
  <c r="F470" i="1" s="1"/>
  <c r="Q471" i="1"/>
  <c r="F471" i="1" s="1"/>
  <c r="Q472" i="1"/>
  <c r="F472" i="1" s="1"/>
  <c r="Q473" i="1"/>
  <c r="F473" i="1" s="1"/>
  <c r="Q474" i="1"/>
  <c r="F474" i="1" s="1"/>
  <c r="Q475" i="1"/>
  <c r="F475" i="1" s="1"/>
  <c r="Q476" i="1"/>
  <c r="F476" i="1" s="1"/>
  <c r="Q477" i="1"/>
  <c r="F477" i="1" s="1"/>
  <c r="Q478" i="1"/>
  <c r="F478" i="1" s="1"/>
  <c r="Q479" i="1"/>
  <c r="F479" i="1" s="1"/>
  <c r="Q480" i="1"/>
  <c r="F480" i="1" s="1"/>
  <c r="Q481" i="1"/>
  <c r="F481" i="1" s="1"/>
  <c r="Q482" i="1"/>
  <c r="F482" i="1" s="1"/>
  <c r="Q483" i="1"/>
  <c r="F483" i="1" s="1"/>
  <c r="Q484" i="1"/>
  <c r="F484" i="1" s="1"/>
  <c r="Q485" i="1"/>
  <c r="F485" i="1" s="1"/>
  <c r="Q486" i="1"/>
  <c r="F486" i="1" s="1"/>
  <c r="Q487" i="1"/>
  <c r="F487" i="1" s="1"/>
  <c r="Q488" i="1"/>
  <c r="F488" i="1" s="1"/>
  <c r="Q489" i="1"/>
  <c r="F489" i="1" s="1"/>
  <c r="Q490" i="1"/>
  <c r="F490" i="1" s="1"/>
  <c r="Q491" i="1"/>
  <c r="F491" i="1" s="1"/>
  <c r="Q492" i="1"/>
  <c r="F492" i="1" s="1"/>
  <c r="Q493" i="1"/>
  <c r="F493" i="1" s="1"/>
  <c r="Q494" i="1"/>
  <c r="F494" i="1" s="1"/>
  <c r="Q495" i="1"/>
  <c r="F495" i="1" s="1"/>
  <c r="Q496" i="1"/>
  <c r="F496" i="1" s="1"/>
  <c r="Q497" i="1"/>
  <c r="F497" i="1" s="1"/>
  <c r="Q498" i="1"/>
  <c r="F498" i="1" s="1"/>
  <c r="Q499" i="1"/>
  <c r="F499" i="1" s="1"/>
  <c r="Q500" i="1"/>
  <c r="F500" i="1" s="1"/>
  <c r="Q501" i="1"/>
  <c r="F501" i="1" s="1"/>
  <c r="Q502" i="1"/>
  <c r="F502" i="1" s="1"/>
  <c r="Q503" i="1"/>
  <c r="F503" i="1" s="1"/>
  <c r="Q504" i="1"/>
  <c r="F504" i="1" s="1"/>
  <c r="Q505" i="1"/>
  <c r="F505" i="1" s="1"/>
  <c r="Q506" i="1"/>
  <c r="F506" i="1" s="1"/>
  <c r="Q507" i="1"/>
  <c r="F507" i="1" s="1"/>
  <c r="Q508" i="1"/>
  <c r="F508" i="1" s="1"/>
  <c r="Q509" i="1"/>
  <c r="F509" i="1" s="1"/>
  <c r="Q510" i="1"/>
  <c r="F510" i="1" s="1"/>
  <c r="Q511" i="1"/>
  <c r="F511" i="1" s="1"/>
  <c r="Q512" i="1"/>
  <c r="F512" i="1" s="1"/>
  <c r="Q513" i="1"/>
  <c r="F513" i="1" s="1"/>
  <c r="Q514" i="1"/>
  <c r="F514" i="1" s="1"/>
  <c r="Q515" i="1"/>
  <c r="F515" i="1" s="1"/>
  <c r="Q516" i="1"/>
  <c r="F516" i="1" s="1"/>
  <c r="Q517" i="1"/>
  <c r="F517" i="1" s="1"/>
  <c r="Q518" i="1"/>
  <c r="F518" i="1" s="1"/>
  <c r="Q519" i="1"/>
  <c r="F519" i="1" s="1"/>
  <c r="Q520" i="1"/>
  <c r="F520" i="1" s="1"/>
  <c r="Q521" i="1"/>
  <c r="F521" i="1" s="1"/>
  <c r="Q522" i="1"/>
  <c r="F522" i="1" s="1"/>
  <c r="Q523" i="1"/>
  <c r="F523" i="1" s="1"/>
  <c r="Q524" i="1"/>
  <c r="F524" i="1" s="1"/>
  <c r="Q525" i="1"/>
  <c r="F525" i="1" s="1"/>
  <c r="Q526" i="1"/>
  <c r="F526" i="1" s="1"/>
  <c r="Q527" i="1"/>
  <c r="F527" i="1" s="1"/>
  <c r="Q528" i="1"/>
  <c r="F528" i="1" s="1"/>
  <c r="Q529" i="1"/>
  <c r="F529" i="1" s="1"/>
  <c r="Q530" i="1"/>
  <c r="F530" i="1" s="1"/>
  <c r="Q531" i="1"/>
  <c r="F531" i="1" s="1"/>
  <c r="Q532" i="1"/>
  <c r="F532" i="1" s="1"/>
  <c r="Q533" i="1"/>
  <c r="F533" i="1" s="1"/>
  <c r="Q534" i="1"/>
  <c r="F534" i="1" s="1"/>
  <c r="Q535" i="1"/>
  <c r="F535" i="1" s="1"/>
  <c r="Q536" i="1"/>
  <c r="F536" i="1" s="1"/>
  <c r="Q537" i="1"/>
  <c r="F537" i="1" s="1"/>
  <c r="Q538" i="1"/>
  <c r="F538" i="1" s="1"/>
  <c r="Q539" i="1"/>
  <c r="F539" i="1" s="1"/>
  <c r="Q540" i="1"/>
  <c r="F540" i="1" s="1"/>
  <c r="Q541" i="1"/>
  <c r="F541" i="1" s="1"/>
  <c r="Q542" i="1"/>
  <c r="F542" i="1" s="1"/>
  <c r="Q543" i="1"/>
  <c r="F543" i="1" s="1"/>
  <c r="Q544" i="1"/>
  <c r="F544" i="1" s="1"/>
  <c r="Q545" i="1"/>
  <c r="F545" i="1" s="1"/>
  <c r="Q546" i="1"/>
  <c r="F546" i="1" s="1"/>
  <c r="Q547" i="1"/>
  <c r="F547" i="1" s="1"/>
  <c r="Q548" i="1"/>
  <c r="F548" i="1" s="1"/>
  <c r="Q549" i="1"/>
  <c r="F549" i="1" s="1"/>
  <c r="Q550" i="1"/>
  <c r="F550" i="1" s="1"/>
  <c r="Q551" i="1"/>
  <c r="F551" i="1" s="1"/>
  <c r="Q552" i="1"/>
  <c r="F552" i="1" s="1"/>
  <c r="Q553" i="1"/>
  <c r="F553" i="1" s="1"/>
  <c r="Q554" i="1"/>
  <c r="F554" i="1" s="1"/>
  <c r="Q555" i="1"/>
  <c r="F555" i="1" s="1"/>
  <c r="Q556" i="1"/>
  <c r="F556" i="1" s="1"/>
  <c r="Q557" i="1"/>
  <c r="F557" i="1" s="1"/>
  <c r="Q558" i="1"/>
  <c r="F558" i="1" s="1"/>
  <c r="Q559" i="1"/>
  <c r="F559" i="1" s="1"/>
  <c r="Q560" i="1"/>
  <c r="F560" i="1" s="1"/>
  <c r="Q561" i="1"/>
  <c r="F561" i="1" s="1"/>
  <c r="Q562" i="1"/>
  <c r="F562" i="1" s="1"/>
  <c r="Q563" i="1"/>
  <c r="F563" i="1" s="1"/>
  <c r="Q564" i="1"/>
  <c r="F564" i="1" s="1"/>
  <c r="Q565" i="1"/>
  <c r="F565" i="1" s="1"/>
  <c r="Q566" i="1"/>
  <c r="F566" i="1" s="1"/>
  <c r="Q567" i="1"/>
  <c r="F567" i="1" s="1"/>
  <c r="Q568" i="1"/>
  <c r="F568" i="1" s="1"/>
  <c r="Q569" i="1"/>
  <c r="F569" i="1" s="1"/>
  <c r="Q570" i="1"/>
  <c r="F570" i="1" s="1"/>
  <c r="Q571" i="1"/>
  <c r="F571" i="1" s="1"/>
  <c r="Q572" i="1"/>
  <c r="F572" i="1" s="1"/>
  <c r="Q573" i="1"/>
  <c r="F573" i="1" s="1"/>
  <c r="Q574" i="1"/>
  <c r="F574" i="1" s="1"/>
  <c r="Q575" i="1"/>
  <c r="F575" i="1" s="1"/>
  <c r="Q576" i="1"/>
  <c r="F576" i="1" s="1"/>
  <c r="Q577" i="1"/>
  <c r="F577" i="1" s="1"/>
  <c r="Q578" i="1"/>
  <c r="F578" i="1" s="1"/>
  <c r="Q579" i="1"/>
  <c r="F579" i="1" s="1"/>
  <c r="Q580" i="1"/>
  <c r="F580" i="1" s="1"/>
  <c r="Q581" i="1"/>
  <c r="F581" i="1" s="1"/>
  <c r="Q582" i="1"/>
  <c r="F582" i="1" s="1"/>
  <c r="Q583" i="1"/>
  <c r="F583" i="1" s="1"/>
  <c r="Q584" i="1"/>
  <c r="F584" i="1" s="1"/>
  <c r="Q585" i="1"/>
  <c r="F585" i="1" s="1"/>
  <c r="Q586" i="1"/>
  <c r="F586" i="1" s="1"/>
  <c r="Q587" i="1"/>
  <c r="F587" i="1" s="1"/>
  <c r="Q588" i="1"/>
  <c r="F588" i="1" s="1"/>
  <c r="Q589" i="1"/>
  <c r="F589" i="1" s="1"/>
  <c r="Q590" i="1"/>
  <c r="F590" i="1" s="1"/>
  <c r="Q591" i="1"/>
  <c r="F591" i="1" s="1"/>
  <c r="Q592" i="1"/>
  <c r="F592" i="1" s="1"/>
  <c r="Q593" i="1"/>
  <c r="F593" i="1" s="1"/>
  <c r="Q594" i="1"/>
  <c r="F594" i="1" s="1"/>
  <c r="Q595" i="1"/>
  <c r="F595" i="1" s="1"/>
  <c r="Q596" i="1"/>
  <c r="F596" i="1" s="1"/>
  <c r="Q597" i="1"/>
  <c r="F597" i="1" s="1"/>
  <c r="Q598" i="1"/>
  <c r="F598" i="1" s="1"/>
  <c r="Q599" i="1"/>
  <c r="F599" i="1" s="1"/>
  <c r="Q600" i="1"/>
  <c r="F600" i="1" s="1"/>
  <c r="Q601" i="1"/>
  <c r="F601" i="1" s="1"/>
  <c r="Q602" i="1"/>
  <c r="F602" i="1" s="1"/>
  <c r="Q603" i="1"/>
  <c r="F603" i="1" s="1"/>
  <c r="Q604" i="1"/>
  <c r="F604" i="1" s="1"/>
  <c r="Q605" i="1"/>
  <c r="F605" i="1" s="1"/>
  <c r="Q606" i="1"/>
  <c r="F606" i="1" s="1"/>
  <c r="Q607" i="1"/>
  <c r="F607" i="1" s="1"/>
  <c r="Q608" i="1"/>
  <c r="F608" i="1" s="1"/>
  <c r="Q609" i="1"/>
  <c r="F609" i="1" s="1"/>
  <c r="Q610" i="1"/>
  <c r="F610" i="1" s="1"/>
  <c r="Q611" i="1"/>
  <c r="F611" i="1" s="1"/>
  <c r="Q612" i="1"/>
  <c r="F612" i="1" s="1"/>
  <c r="Q613" i="1"/>
  <c r="F613" i="1" s="1"/>
  <c r="Q614" i="1"/>
  <c r="F614" i="1" s="1"/>
  <c r="Q615" i="1"/>
  <c r="F615" i="1" s="1"/>
  <c r="Q616" i="1"/>
  <c r="F616" i="1" s="1"/>
  <c r="Q617" i="1"/>
  <c r="F617" i="1" s="1"/>
  <c r="Q618" i="1"/>
  <c r="F618" i="1" s="1"/>
  <c r="Q619" i="1"/>
  <c r="F619" i="1" s="1"/>
  <c r="Q620" i="1"/>
  <c r="F620" i="1" s="1"/>
  <c r="Q621" i="1"/>
  <c r="F621" i="1" s="1"/>
  <c r="Q622" i="1"/>
  <c r="F622" i="1" s="1"/>
  <c r="Q623" i="1"/>
  <c r="F623" i="1" s="1"/>
  <c r="Q624" i="1"/>
  <c r="F624" i="1" s="1"/>
  <c r="Q625" i="1"/>
  <c r="F625" i="1" s="1"/>
  <c r="Q626" i="1"/>
  <c r="F626" i="1" s="1"/>
  <c r="Q627" i="1"/>
  <c r="F627" i="1" s="1"/>
  <c r="Q628" i="1"/>
  <c r="F628" i="1" s="1"/>
  <c r="Q629" i="1"/>
  <c r="F629" i="1" s="1"/>
  <c r="Q630" i="1"/>
  <c r="F630" i="1" s="1"/>
  <c r="Q631" i="1"/>
  <c r="F631" i="1" s="1"/>
  <c r="Q632" i="1"/>
  <c r="F632" i="1" s="1"/>
  <c r="Q633" i="1"/>
  <c r="F633" i="1" s="1"/>
  <c r="Q634" i="1"/>
  <c r="F634" i="1" s="1"/>
  <c r="Q635" i="1"/>
  <c r="F635" i="1" s="1"/>
  <c r="Q636" i="1"/>
  <c r="F636" i="1" s="1"/>
  <c r="Q637" i="1"/>
  <c r="F637" i="1" s="1"/>
  <c r="Q638" i="1"/>
  <c r="F638" i="1" s="1"/>
  <c r="Q639" i="1"/>
  <c r="F639" i="1" s="1"/>
  <c r="Q640" i="1"/>
  <c r="F640" i="1" s="1"/>
  <c r="Q641" i="1"/>
  <c r="F641" i="1" s="1"/>
  <c r="Q642" i="1"/>
  <c r="F642" i="1" s="1"/>
  <c r="Q643" i="1"/>
  <c r="F643" i="1" s="1"/>
  <c r="Q644" i="1"/>
  <c r="F644" i="1" s="1"/>
  <c r="Q645" i="1"/>
  <c r="F645" i="1" s="1"/>
  <c r="Q646" i="1"/>
  <c r="F646" i="1" s="1"/>
  <c r="Q647" i="1"/>
  <c r="F647" i="1" s="1"/>
  <c r="Q648" i="1"/>
  <c r="F648" i="1" s="1"/>
  <c r="Q649" i="1"/>
  <c r="F649" i="1" s="1"/>
  <c r="Q650" i="1"/>
  <c r="F650" i="1" s="1"/>
  <c r="Q651" i="1"/>
  <c r="F651" i="1" s="1"/>
  <c r="Q652" i="1"/>
  <c r="F652" i="1" s="1"/>
  <c r="Q653" i="1"/>
  <c r="F653" i="1" s="1"/>
  <c r="Q654" i="1"/>
  <c r="F654" i="1" s="1"/>
  <c r="Q655" i="1"/>
  <c r="F655" i="1" s="1"/>
  <c r="Q656" i="1"/>
  <c r="F656" i="1" s="1"/>
  <c r="Q657" i="1"/>
  <c r="F657" i="1" s="1"/>
  <c r="Q658" i="1"/>
  <c r="F658" i="1" s="1"/>
  <c r="Q659" i="1"/>
  <c r="F659" i="1" s="1"/>
  <c r="Q660" i="1"/>
  <c r="F660" i="1" s="1"/>
  <c r="Q661" i="1"/>
  <c r="F661" i="1" s="1"/>
  <c r="Q662" i="1"/>
  <c r="F662" i="1" s="1"/>
  <c r="Q663" i="1"/>
  <c r="F663" i="1" s="1"/>
  <c r="Q664" i="1"/>
  <c r="F664" i="1" s="1"/>
  <c r="Q665" i="1"/>
  <c r="F665" i="1" s="1"/>
  <c r="Q666" i="1"/>
  <c r="F666" i="1" s="1"/>
  <c r="Q667" i="1"/>
  <c r="F667" i="1" s="1"/>
  <c r="Q668" i="1"/>
  <c r="F668" i="1" s="1"/>
  <c r="Q669" i="1"/>
  <c r="F669" i="1" s="1"/>
  <c r="Q670" i="1"/>
  <c r="F670" i="1" s="1"/>
  <c r="Q671" i="1"/>
  <c r="F671" i="1" s="1"/>
  <c r="Q672" i="1"/>
  <c r="F672" i="1" s="1"/>
  <c r="Q673" i="1"/>
  <c r="F673" i="1" s="1"/>
  <c r="Q674" i="1"/>
  <c r="F674" i="1" s="1"/>
  <c r="Q675" i="1"/>
  <c r="F675" i="1" s="1"/>
  <c r="Q676" i="1"/>
  <c r="F676" i="1" s="1"/>
  <c r="Q677" i="1"/>
  <c r="F677" i="1" s="1"/>
  <c r="Q678" i="1"/>
  <c r="F678" i="1" s="1"/>
  <c r="Q679" i="1"/>
  <c r="F679" i="1" s="1"/>
  <c r="Q680" i="1"/>
  <c r="F680" i="1" s="1"/>
  <c r="Q681" i="1"/>
  <c r="F681" i="1" s="1"/>
  <c r="Q682" i="1"/>
  <c r="F682" i="1" s="1"/>
  <c r="Q683" i="1"/>
  <c r="F683" i="1" s="1"/>
  <c r="Q684" i="1"/>
  <c r="F684" i="1" s="1"/>
  <c r="Q685" i="1"/>
  <c r="F685" i="1" s="1"/>
  <c r="Q686" i="1"/>
  <c r="F686" i="1" s="1"/>
  <c r="Q687" i="1"/>
  <c r="F687" i="1" s="1"/>
  <c r="Q688" i="1"/>
  <c r="F688" i="1" s="1"/>
  <c r="Q689" i="1"/>
  <c r="F689" i="1" s="1"/>
  <c r="Q690" i="1"/>
  <c r="F690" i="1" s="1"/>
  <c r="Q691" i="1"/>
  <c r="F691" i="1" s="1"/>
  <c r="Q692" i="1"/>
  <c r="F692" i="1" s="1"/>
  <c r="Q693" i="1"/>
  <c r="F693" i="1" s="1"/>
  <c r="Q694" i="1"/>
  <c r="F694" i="1" s="1"/>
  <c r="Q695" i="1"/>
  <c r="F695" i="1" s="1"/>
  <c r="Q696" i="1"/>
  <c r="F696" i="1" s="1"/>
  <c r="Q697" i="1"/>
  <c r="F697" i="1" s="1"/>
  <c r="Q698" i="1"/>
  <c r="F698" i="1" s="1"/>
  <c r="Q699" i="1"/>
  <c r="F699" i="1" s="1"/>
  <c r="Q700" i="1"/>
  <c r="F700" i="1" s="1"/>
  <c r="Q701" i="1"/>
  <c r="F701" i="1" s="1"/>
  <c r="Q702" i="1"/>
  <c r="F702" i="1" s="1"/>
  <c r="Q703" i="1"/>
  <c r="F703" i="1" s="1"/>
  <c r="Q704" i="1"/>
  <c r="F704" i="1" s="1"/>
  <c r="Q705" i="1"/>
  <c r="F705" i="1" s="1"/>
  <c r="Q706" i="1"/>
  <c r="F706" i="1" s="1"/>
  <c r="Q707" i="1"/>
  <c r="F707" i="1" s="1"/>
  <c r="Q708" i="1"/>
  <c r="F708" i="1" s="1"/>
  <c r="Q709" i="1"/>
  <c r="F709" i="1" s="1"/>
  <c r="Q710" i="1"/>
  <c r="F710" i="1" s="1"/>
  <c r="Q711" i="1"/>
  <c r="F711" i="1" s="1"/>
  <c r="Q712" i="1"/>
  <c r="F712" i="1" s="1"/>
  <c r="Q713" i="1"/>
  <c r="F713" i="1" s="1"/>
  <c r="Q714" i="1"/>
  <c r="F714" i="1" s="1"/>
  <c r="Q715" i="1"/>
  <c r="F715" i="1" s="1"/>
  <c r="Q716" i="1"/>
  <c r="F716" i="1" s="1"/>
  <c r="Q717" i="1"/>
  <c r="F717" i="1" s="1"/>
  <c r="Q718" i="1"/>
  <c r="F718" i="1" s="1"/>
  <c r="Q719" i="1"/>
  <c r="F719" i="1" s="1"/>
  <c r="Q720" i="1"/>
  <c r="F720" i="1" s="1"/>
  <c r="Q721" i="1"/>
  <c r="F721" i="1" s="1"/>
  <c r="Q722" i="1"/>
  <c r="F722" i="1" s="1"/>
  <c r="Q723" i="1"/>
  <c r="F723" i="1" s="1"/>
  <c r="Q724" i="1"/>
  <c r="F724" i="1" s="1"/>
  <c r="Q725" i="1"/>
  <c r="F725" i="1" s="1"/>
  <c r="Q726" i="1"/>
  <c r="F726" i="1" s="1"/>
  <c r="Q727" i="1"/>
  <c r="F727" i="1" s="1"/>
  <c r="Q728" i="1"/>
  <c r="F728" i="1" s="1"/>
  <c r="Q729" i="1"/>
  <c r="F729" i="1" s="1"/>
  <c r="Q730" i="1"/>
  <c r="F730" i="1" s="1"/>
  <c r="Q731" i="1"/>
  <c r="F731" i="1" s="1"/>
  <c r="Q732" i="1"/>
  <c r="F732" i="1" s="1"/>
  <c r="Q733" i="1"/>
  <c r="F733" i="1" s="1"/>
  <c r="Q734" i="1"/>
  <c r="F734" i="1" s="1"/>
  <c r="Q735" i="1"/>
  <c r="F735" i="1" s="1"/>
  <c r="Q736" i="1"/>
  <c r="F736" i="1" s="1"/>
  <c r="Q737" i="1"/>
  <c r="F737" i="1" s="1"/>
  <c r="Q738" i="1"/>
  <c r="F738" i="1" s="1"/>
  <c r="Q739" i="1"/>
  <c r="F739" i="1" s="1"/>
  <c r="Q740" i="1"/>
  <c r="F740" i="1" s="1"/>
  <c r="Q741" i="1"/>
  <c r="F741" i="1" s="1"/>
  <c r="Q742" i="1"/>
  <c r="F742" i="1" s="1"/>
  <c r="Q743" i="1"/>
  <c r="F743" i="1" s="1"/>
  <c r="Q744" i="1"/>
  <c r="F744" i="1" s="1"/>
  <c r="Q745" i="1"/>
  <c r="F745" i="1" s="1"/>
  <c r="Q746" i="1"/>
  <c r="F746" i="1" s="1"/>
  <c r="Q747" i="1"/>
  <c r="F747" i="1" s="1"/>
  <c r="Q748" i="1"/>
  <c r="F748" i="1" s="1"/>
  <c r="Q749" i="1"/>
  <c r="F749" i="1" s="1"/>
  <c r="Q750" i="1"/>
  <c r="F750" i="1" s="1"/>
  <c r="Q751" i="1"/>
  <c r="F751" i="1" s="1"/>
  <c r="Q752" i="1"/>
  <c r="F752" i="1" s="1"/>
  <c r="Q753" i="1"/>
  <c r="F753" i="1" s="1"/>
  <c r="Q754" i="1"/>
  <c r="F754" i="1" s="1"/>
  <c r="Q755" i="1"/>
  <c r="F755" i="1" s="1"/>
  <c r="Q756" i="1"/>
  <c r="F756" i="1" s="1"/>
  <c r="Q757" i="1"/>
  <c r="F757" i="1" s="1"/>
  <c r="Q758" i="1"/>
  <c r="F758" i="1" s="1"/>
  <c r="Q759" i="1"/>
  <c r="F759" i="1" s="1"/>
  <c r="Q760" i="1"/>
  <c r="F760" i="1" s="1"/>
  <c r="Q761" i="1"/>
  <c r="F761" i="1" s="1"/>
  <c r="Q762" i="1"/>
  <c r="F762" i="1" s="1"/>
  <c r="Q763" i="1"/>
  <c r="F763" i="1" s="1"/>
  <c r="Q764" i="1"/>
  <c r="F764" i="1" s="1"/>
  <c r="Q765" i="1"/>
  <c r="F765" i="1" s="1"/>
  <c r="Q766" i="1"/>
  <c r="F766" i="1" s="1"/>
  <c r="Q767" i="1"/>
  <c r="F767" i="1" s="1"/>
  <c r="Q768" i="1"/>
  <c r="F768" i="1" s="1"/>
  <c r="Q769" i="1"/>
  <c r="F769" i="1" s="1"/>
  <c r="Q770" i="1"/>
  <c r="F770" i="1" s="1"/>
  <c r="Q771" i="1"/>
  <c r="F771" i="1" s="1"/>
  <c r="Q772" i="1"/>
  <c r="F772" i="1" s="1"/>
  <c r="Q773" i="1"/>
  <c r="F773" i="1" s="1"/>
  <c r="Q774" i="1"/>
  <c r="F774" i="1" s="1"/>
  <c r="Q775" i="1"/>
  <c r="F775" i="1" s="1"/>
  <c r="Q776" i="1"/>
  <c r="F776" i="1" s="1"/>
  <c r="Q777" i="1"/>
  <c r="F777" i="1" s="1"/>
  <c r="Q778" i="1"/>
  <c r="F778" i="1" s="1"/>
  <c r="Q779" i="1"/>
  <c r="F779" i="1" s="1"/>
  <c r="Q780" i="1"/>
  <c r="F780" i="1" s="1"/>
  <c r="Q781" i="1"/>
  <c r="F781" i="1" s="1"/>
  <c r="Q782" i="1"/>
  <c r="F782" i="1" s="1"/>
  <c r="Q783" i="1"/>
  <c r="F783" i="1" s="1"/>
  <c r="Q784" i="1"/>
  <c r="F784" i="1" s="1"/>
  <c r="Q785" i="1"/>
  <c r="F785" i="1" s="1"/>
  <c r="Q786" i="1"/>
  <c r="F786" i="1" s="1"/>
  <c r="Q787" i="1"/>
  <c r="F787" i="1" s="1"/>
  <c r="Q788" i="1"/>
  <c r="F788" i="1" s="1"/>
  <c r="Q789" i="1"/>
  <c r="F789" i="1" s="1"/>
  <c r="Q790" i="1"/>
  <c r="F790" i="1" s="1"/>
  <c r="Q791" i="1"/>
  <c r="F791" i="1" s="1"/>
  <c r="Q792" i="1"/>
  <c r="F792" i="1" s="1"/>
  <c r="Q793" i="1"/>
  <c r="F793" i="1" s="1"/>
  <c r="Q794" i="1"/>
  <c r="F794" i="1" s="1"/>
  <c r="Q795" i="1"/>
  <c r="F795" i="1" s="1"/>
  <c r="Q796" i="1"/>
  <c r="F796" i="1" s="1"/>
  <c r="Q797" i="1"/>
  <c r="F797" i="1" s="1"/>
  <c r="Q798" i="1"/>
  <c r="F798" i="1" s="1"/>
  <c r="Q799" i="1"/>
  <c r="F799" i="1" s="1"/>
  <c r="Q800" i="1"/>
  <c r="F800" i="1" s="1"/>
  <c r="Q801" i="1"/>
  <c r="F801" i="1" s="1"/>
  <c r="Q802" i="1"/>
  <c r="F802" i="1" s="1"/>
  <c r="Q803" i="1"/>
  <c r="F803" i="1" s="1"/>
  <c r="Q804" i="1"/>
  <c r="F804" i="1" s="1"/>
  <c r="Q805" i="1"/>
  <c r="F805" i="1" s="1"/>
  <c r="Q806" i="1"/>
  <c r="F806" i="1" s="1"/>
  <c r="Q807" i="1"/>
  <c r="F807" i="1" s="1"/>
  <c r="Q808" i="1"/>
  <c r="F808" i="1" s="1"/>
  <c r="Q809" i="1"/>
  <c r="F809" i="1" s="1"/>
  <c r="Q810" i="1"/>
  <c r="F810" i="1" s="1"/>
  <c r="Q811" i="1"/>
  <c r="F811" i="1" s="1"/>
  <c r="Q812" i="1"/>
  <c r="F812" i="1" s="1"/>
  <c r="Q813" i="1"/>
  <c r="F813" i="1" s="1"/>
  <c r="Q814" i="1"/>
  <c r="F814" i="1" s="1"/>
  <c r="Q815" i="1"/>
  <c r="F815" i="1" s="1"/>
  <c r="Q816" i="1"/>
  <c r="F816" i="1" s="1"/>
  <c r="Q817" i="1"/>
  <c r="F817" i="1" s="1"/>
  <c r="Q818" i="1"/>
  <c r="F818" i="1" s="1"/>
  <c r="Q819" i="1"/>
  <c r="F819" i="1" s="1"/>
  <c r="Q820" i="1"/>
  <c r="F820" i="1" s="1"/>
  <c r="Q821" i="1"/>
  <c r="F821" i="1" s="1"/>
  <c r="Q822" i="1"/>
  <c r="F822" i="1" s="1"/>
  <c r="Q823" i="1"/>
  <c r="F823" i="1" s="1"/>
  <c r="Q824" i="1"/>
  <c r="F824" i="1" s="1"/>
  <c r="Q825" i="1"/>
  <c r="F825" i="1" s="1"/>
  <c r="Q826" i="1"/>
  <c r="F826" i="1" s="1"/>
  <c r="Q827" i="1"/>
  <c r="F827" i="1" s="1"/>
  <c r="Q828" i="1"/>
  <c r="F828" i="1" s="1"/>
  <c r="Q829" i="1"/>
  <c r="F829" i="1" s="1"/>
  <c r="Q830" i="1"/>
  <c r="F830" i="1" s="1"/>
  <c r="Q831" i="1"/>
  <c r="F831" i="1" s="1"/>
  <c r="Q832" i="1"/>
  <c r="F832" i="1" s="1"/>
  <c r="Q833" i="1"/>
  <c r="F833" i="1" s="1"/>
  <c r="Q834" i="1"/>
  <c r="F834" i="1" s="1"/>
  <c r="Q835" i="1"/>
  <c r="F835" i="1" s="1"/>
  <c r="Q836" i="1"/>
  <c r="F836" i="1" s="1"/>
  <c r="Q837" i="1"/>
  <c r="F837" i="1" s="1"/>
  <c r="Q838" i="1"/>
  <c r="F838" i="1" s="1"/>
  <c r="Q839" i="1"/>
  <c r="F839" i="1" s="1"/>
  <c r="Q840" i="1"/>
  <c r="F840" i="1" s="1"/>
  <c r="Q841" i="1"/>
  <c r="F841" i="1" s="1"/>
  <c r="Q842" i="1"/>
  <c r="F842" i="1" s="1"/>
  <c r="Q843" i="1"/>
  <c r="F843" i="1" s="1"/>
  <c r="Q844" i="1"/>
  <c r="F844" i="1" s="1"/>
  <c r="Q845" i="1"/>
  <c r="F845" i="1" s="1"/>
  <c r="Q846" i="1"/>
  <c r="F846" i="1" s="1"/>
  <c r="Q847" i="1"/>
  <c r="F847" i="1" s="1"/>
  <c r="Q848" i="1"/>
  <c r="F848" i="1" s="1"/>
  <c r="Q849" i="1"/>
  <c r="F849" i="1" s="1"/>
  <c r="Q850" i="1"/>
  <c r="F850" i="1" s="1"/>
  <c r="Q851" i="1"/>
  <c r="F851" i="1" s="1"/>
  <c r="Q852" i="1"/>
  <c r="F852" i="1" s="1"/>
  <c r="Q853" i="1"/>
  <c r="F853" i="1" s="1"/>
  <c r="Q854" i="1"/>
  <c r="F854" i="1" s="1"/>
  <c r="Q855" i="1"/>
  <c r="F855" i="1" s="1"/>
  <c r="Q856" i="1"/>
  <c r="F856" i="1" s="1"/>
  <c r="Q857" i="1"/>
  <c r="F857" i="1" s="1"/>
  <c r="Q858" i="1"/>
  <c r="F858" i="1" s="1"/>
  <c r="Q859" i="1"/>
  <c r="F859" i="1" s="1"/>
  <c r="Q860" i="1"/>
  <c r="F860" i="1" s="1"/>
  <c r="Q861" i="1"/>
  <c r="F861" i="1" s="1"/>
  <c r="Q862" i="1"/>
  <c r="F862" i="1" s="1"/>
  <c r="Q863" i="1"/>
  <c r="F863" i="1" s="1"/>
  <c r="Q864" i="1"/>
  <c r="F864" i="1" s="1"/>
  <c r="Q865" i="1"/>
  <c r="F865" i="1" s="1"/>
  <c r="Q866" i="1"/>
  <c r="F866" i="1" s="1"/>
  <c r="Q867" i="1"/>
  <c r="F867" i="1" s="1"/>
  <c r="Q868" i="1"/>
  <c r="F868" i="1" s="1"/>
  <c r="Q869" i="1"/>
  <c r="F869" i="1" s="1"/>
  <c r="Q870" i="1"/>
  <c r="F870" i="1" s="1"/>
  <c r="Q871" i="1"/>
  <c r="F871" i="1" s="1"/>
  <c r="Q872" i="1"/>
  <c r="F872" i="1" s="1"/>
  <c r="Q873" i="1"/>
  <c r="F873" i="1" s="1"/>
  <c r="Q874" i="1"/>
  <c r="F874" i="1" s="1"/>
  <c r="Q875" i="1"/>
  <c r="F875" i="1" s="1"/>
  <c r="Q876" i="1"/>
  <c r="F876" i="1" s="1"/>
  <c r="Q877" i="1"/>
  <c r="F877" i="1" s="1"/>
  <c r="Q878" i="1"/>
  <c r="F878" i="1" s="1"/>
  <c r="Q879" i="1"/>
  <c r="F879" i="1" s="1"/>
  <c r="A132" i="1" l="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R131" i="1"/>
  <c r="S131" i="1"/>
  <c r="T131" i="1" l="1"/>
  <c r="R132" i="1"/>
  <c r="S132" i="1"/>
  <c r="S143" i="1"/>
  <c r="R143" i="1"/>
  <c r="R151" i="1"/>
  <c r="S151" i="1"/>
  <c r="R133" i="1" l="1"/>
  <c r="S133" i="1"/>
  <c r="T132" i="1"/>
  <c r="T143" i="1"/>
  <c r="T151" i="1"/>
  <c r="S139" i="1"/>
  <c r="R139" i="1"/>
  <c r="S140" i="1"/>
  <c r="R134" i="1" l="1"/>
  <c r="S134" i="1"/>
  <c r="T133" i="1"/>
  <c r="T139" i="1"/>
  <c r="R140" i="1"/>
  <c r="T140" i="1" s="1"/>
  <c r="R135" i="1" l="1"/>
  <c r="S135" i="1"/>
  <c r="T134" i="1"/>
  <c r="R141" i="1"/>
  <c r="S141" i="1"/>
  <c r="R136" i="1" l="1"/>
  <c r="S136" i="1"/>
  <c r="T135" i="1"/>
  <c r="S142" i="1"/>
  <c r="T141" i="1"/>
  <c r="R142" i="1"/>
  <c r="T142" i="1" l="1"/>
  <c r="R137" i="1"/>
  <c r="S137" i="1"/>
  <c r="T136" i="1"/>
  <c r="R144" i="1"/>
  <c r="S144" i="1"/>
  <c r="R138" i="1" l="1"/>
  <c r="S138" i="1"/>
  <c r="T137" i="1"/>
  <c r="T144" i="1"/>
  <c r="R145" i="1"/>
  <c r="S145" i="1"/>
  <c r="S146" i="1"/>
  <c r="T138" i="1" l="1"/>
  <c r="T145" i="1"/>
  <c r="R146" i="1"/>
  <c r="T146" i="1" s="1"/>
  <c r="R147" i="1" l="1"/>
  <c r="S147" i="1"/>
  <c r="T147" i="1" l="1"/>
  <c r="R148" i="1"/>
  <c r="S148" i="1"/>
  <c r="T148" i="1" l="1"/>
  <c r="R149" i="1"/>
  <c r="S149" i="1"/>
  <c r="T149" i="1" l="1"/>
  <c r="R150" i="1"/>
  <c r="S150" i="1"/>
  <c r="T150" i="1" l="1"/>
  <c r="R152" i="1"/>
  <c r="S152" i="1"/>
  <c r="T152" i="1" l="1"/>
  <c r="R153" i="1"/>
  <c r="S153" i="1"/>
  <c r="T153" i="1" l="1"/>
  <c r="R154" i="1"/>
  <c r="S154" i="1"/>
  <c r="T154" i="1" l="1"/>
  <c r="R155" i="1"/>
  <c r="S155" i="1"/>
  <c r="T155" i="1" l="1"/>
  <c r="R156" i="1"/>
  <c r="S156" i="1"/>
  <c r="T156" i="1" l="1"/>
  <c r="R157" i="1"/>
  <c r="S157" i="1"/>
  <c r="T157" i="1" l="1"/>
  <c r="R158" i="1"/>
  <c r="S158" i="1"/>
  <c r="T158" i="1" l="1"/>
  <c r="R159" i="1" l="1"/>
  <c r="S159" i="1"/>
  <c r="T159" i="1" l="1"/>
  <c r="R160" i="1"/>
  <c r="S160" i="1"/>
  <c r="T160" i="1" l="1"/>
  <c r="R161" i="1"/>
  <c r="S161" i="1"/>
  <c r="T161" i="1" l="1"/>
  <c r="R162" i="1"/>
  <c r="S162" i="1"/>
  <c r="T162" i="1" l="1"/>
  <c r="R163" i="1"/>
  <c r="S163" i="1"/>
  <c r="T163" i="1" l="1"/>
  <c r="R164" i="1"/>
  <c r="S164" i="1"/>
  <c r="T164" i="1" l="1"/>
  <c r="R165" i="1"/>
  <c r="S165" i="1"/>
  <c r="T165" i="1" l="1"/>
  <c r="R166" i="1"/>
  <c r="S166" i="1"/>
  <c r="T166" i="1" l="1"/>
  <c r="R167" i="1"/>
  <c r="S167" i="1"/>
  <c r="T167" i="1" l="1"/>
  <c r="R168" i="1"/>
  <c r="S168" i="1"/>
  <c r="T168" i="1" l="1"/>
  <c r="R169" i="1"/>
  <c r="S169" i="1"/>
  <c r="T169" i="1" l="1"/>
  <c r="R170" i="1"/>
  <c r="S170" i="1"/>
  <c r="T170" i="1" l="1"/>
  <c r="R171" i="1"/>
  <c r="S171" i="1"/>
  <c r="S172" i="1"/>
  <c r="T171" i="1" l="1"/>
  <c r="R172" i="1"/>
  <c r="T172" i="1" s="1"/>
  <c r="R173" i="1" l="1"/>
  <c r="S173" i="1" l="1"/>
  <c r="T173" i="1" s="1"/>
  <c r="R174" i="1" l="1"/>
  <c r="S174" i="1"/>
  <c r="S175" i="1"/>
  <c r="T174" i="1" l="1"/>
  <c r="R175" i="1"/>
  <c r="T175" i="1" s="1"/>
  <c r="R176" i="1" l="1"/>
  <c r="S176" i="1"/>
  <c r="S177" i="1"/>
  <c r="T176" i="1" l="1"/>
  <c r="R177" i="1"/>
  <c r="T177" i="1" s="1"/>
  <c r="R178" i="1" l="1"/>
  <c r="S178" i="1"/>
  <c r="T178" i="1" l="1"/>
  <c r="S179" i="1"/>
  <c r="R179" i="1"/>
  <c r="T179" i="1" l="1"/>
  <c r="R181" i="1" l="1"/>
  <c r="S181" i="1"/>
  <c r="S180" i="1"/>
  <c r="R180" i="1"/>
  <c r="T181" i="1" l="1"/>
  <c r="T180" i="1"/>
  <c r="R182" i="1"/>
  <c r="S182" i="1"/>
  <c r="T182" i="1" l="1"/>
  <c r="S183" i="1"/>
  <c r="R183" i="1" l="1"/>
  <c r="T183" i="1" s="1"/>
  <c r="R184" i="1" l="1"/>
  <c r="S184" i="1"/>
  <c r="T184" i="1" l="1"/>
  <c r="S185" i="1"/>
  <c r="R185" i="1" l="1"/>
  <c r="T185" i="1" s="1"/>
  <c r="S186" i="1" l="1"/>
  <c r="R186" i="1"/>
  <c r="T186" i="1" l="1"/>
  <c r="R187" i="1" l="1"/>
  <c r="S187" i="1"/>
  <c r="T187" i="1" l="1"/>
  <c r="S188" i="1"/>
  <c r="R188" i="1"/>
  <c r="T188" i="1" l="1"/>
  <c r="R189" i="1"/>
  <c r="S189" i="1"/>
  <c r="T189" i="1" l="1"/>
  <c r="R190" i="1"/>
  <c r="S190" i="1"/>
  <c r="T190" i="1" l="1"/>
  <c r="S192" i="1"/>
  <c r="R191" i="1"/>
  <c r="S191" i="1"/>
  <c r="S195" i="1"/>
  <c r="R192" i="1" l="1"/>
  <c r="T192" i="1" s="1"/>
  <c r="T191" i="1"/>
  <c r="S193" i="1"/>
  <c r="R193" i="1"/>
  <c r="R195" i="1"/>
  <c r="T195" i="1" s="1"/>
  <c r="T193" i="1" l="1"/>
  <c r="R194" i="1"/>
  <c r="S194" i="1"/>
  <c r="R196" i="1"/>
  <c r="S196" i="1"/>
  <c r="T194" i="1" l="1"/>
  <c r="T196" i="1"/>
  <c r="S197" i="1"/>
  <c r="R197" i="1"/>
  <c r="T197" i="1" l="1"/>
  <c r="R198" i="1"/>
  <c r="S198" i="1"/>
  <c r="T198" i="1" l="1"/>
  <c r="R199" i="1"/>
  <c r="S199" i="1"/>
  <c r="T199" i="1" l="1"/>
  <c r="R200" i="1"/>
  <c r="S200" i="1"/>
  <c r="S202" i="1" l="1"/>
  <c r="R202" i="1"/>
  <c r="T200" i="1"/>
  <c r="R201" i="1"/>
  <c r="S201" i="1"/>
  <c r="T202" i="1" l="1"/>
  <c r="R204" i="1"/>
  <c r="S204" i="1"/>
  <c r="T201" i="1"/>
  <c r="R203" i="1"/>
  <c r="S203" i="1"/>
  <c r="T204" i="1" l="1"/>
  <c r="T203" i="1"/>
  <c r="R205" i="1"/>
  <c r="S205" i="1"/>
  <c r="T205" i="1" l="1"/>
  <c r="R206" i="1"/>
  <c r="S206" i="1"/>
  <c r="T206" i="1" l="1"/>
  <c r="R207" i="1"/>
  <c r="S207" i="1"/>
  <c r="T207" i="1" l="1"/>
  <c r="R208" i="1"/>
  <c r="S208" i="1"/>
  <c r="T208" i="1" l="1"/>
  <c r="R209" i="1"/>
  <c r="S209" i="1"/>
  <c r="T209" i="1" l="1"/>
  <c r="S210" i="1"/>
  <c r="R210" i="1"/>
  <c r="R212" i="1" l="1"/>
  <c r="S212" i="1"/>
  <c r="T210" i="1"/>
  <c r="R211" i="1"/>
  <c r="S211" i="1"/>
  <c r="T212" i="1" l="1"/>
  <c r="T211" i="1"/>
  <c r="R213" i="1" l="1"/>
  <c r="S213" i="1"/>
  <c r="T213" i="1" l="1"/>
  <c r="R214" i="1" l="1"/>
  <c r="S214" i="1"/>
  <c r="R215" i="1" l="1"/>
  <c r="S215" i="1"/>
  <c r="T214" i="1"/>
  <c r="T215" i="1" l="1"/>
  <c r="S216" i="1" l="1"/>
  <c r="R216" i="1"/>
  <c r="T216" i="1" l="1"/>
  <c r="R217" i="1"/>
  <c r="S217" i="1"/>
  <c r="T217" i="1" l="1"/>
  <c r="R218" i="1"/>
  <c r="S218" i="1"/>
  <c r="T218" i="1" l="1"/>
  <c r="R219" i="1"/>
  <c r="S219" i="1"/>
  <c r="T219" i="1" l="1"/>
  <c r="R220" i="1"/>
  <c r="S220" i="1"/>
  <c r="R222" i="1" l="1"/>
  <c r="S222" i="1"/>
  <c r="T220" i="1"/>
  <c r="R221" i="1"/>
  <c r="S221" i="1"/>
  <c r="T222" i="1" l="1"/>
  <c r="T221" i="1"/>
  <c r="R223" i="1"/>
  <c r="S223" i="1"/>
  <c r="R224" i="1" l="1"/>
  <c r="T223" i="1"/>
  <c r="S224" i="1"/>
  <c r="T224" i="1" l="1"/>
  <c r="R225" i="1" l="1"/>
  <c r="S225" i="1"/>
  <c r="R226" i="1"/>
  <c r="S226" i="1"/>
  <c r="T225" i="1" l="1"/>
  <c r="T226" i="1"/>
  <c r="R227" i="1" l="1"/>
  <c r="S227" i="1"/>
  <c r="T227" i="1" l="1"/>
  <c r="R228" i="1"/>
  <c r="S228" i="1"/>
  <c r="T228" i="1" l="1"/>
  <c r="R230" i="1" l="1"/>
  <c r="S229" i="1"/>
  <c r="R229" i="1"/>
  <c r="R231" i="1"/>
  <c r="S230" i="1" l="1"/>
  <c r="T230" i="1" s="1"/>
  <c r="T229" i="1"/>
  <c r="S231" i="1"/>
  <c r="T231" i="1" s="1"/>
  <c r="R232" i="1" l="1"/>
  <c r="S232" i="1"/>
  <c r="T232" i="1" l="1"/>
  <c r="R233" i="1"/>
  <c r="S233" i="1"/>
  <c r="T233" i="1" l="1"/>
  <c r="R234" i="1" l="1"/>
  <c r="S234" i="1"/>
  <c r="T234" i="1" l="1"/>
  <c r="R235" i="1"/>
  <c r="S235" i="1"/>
  <c r="T235" i="1" l="1"/>
  <c r="S236" i="1"/>
  <c r="R236" i="1"/>
  <c r="T236" i="1" l="1"/>
  <c r="R237" i="1"/>
  <c r="S237" i="1"/>
  <c r="T237" i="1" l="1"/>
  <c r="S240" i="1"/>
  <c r="R240" i="1" l="1"/>
  <c r="T240" i="1" s="1"/>
  <c r="R241" i="1"/>
  <c r="S241" i="1"/>
  <c r="R238" i="1"/>
  <c r="S238" i="1"/>
  <c r="T238" i="1" l="1"/>
  <c r="S239" i="1"/>
  <c r="T241" i="1"/>
  <c r="R239" i="1"/>
  <c r="T239" i="1" l="1"/>
  <c r="S242" i="1" l="1"/>
  <c r="R242" i="1"/>
  <c r="T242" i="1" l="1"/>
  <c r="R243" i="1"/>
  <c r="S243" i="1"/>
  <c r="S244" i="1"/>
  <c r="T243" i="1" l="1"/>
  <c r="R244" i="1"/>
  <c r="T244" i="1" s="1"/>
  <c r="R246" i="1" l="1"/>
  <c r="S246" i="1"/>
  <c r="R245" i="1"/>
  <c r="S245" i="1"/>
  <c r="T246" i="1" l="1"/>
  <c r="T245" i="1"/>
  <c r="R247" i="1"/>
  <c r="S247" i="1"/>
  <c r="T247" i="1" l="1"/>
  <c r="R248" i="1"/>
  <c r="S248" i="1"/>
  <c r="T248" i="1" l="1"/>
  <c r="S249" i="1"/>
  <c r="R249" i="1"/>
  <c r="T249" i="1" l="1"/>
  <c r="S250" i="1"/>
  <c r="R250" i="1"/>
  <c r="T250" i="1" l="1"/>
  <c r="S255" i="1" l="1"/>
  <c r="R255" i="1"/>
  <c r="R257" i="1"/>
  <c r="R259" i="1"/>
  <c r="S259" i="1"/>
  <c r="S260" i="1"/>
  <c r="R256" i="1"/>
  <c r="S256" i="1"/>
  <c r="S258" i="1" l="1"/>
  <c r="T255" i="1"/>
  <c r="T259" i="1"/>
  <c r="T256" i="1"/>
  <c r="S257" i="1"/>
  <c r="T257" i="1" s="1"/>
  <c r="R260" i="1"/>
  <c r="T260" i="1" s="1"/>
  <c r="R258" i="1" l="1"/>
  <c r="T258" i="1" s="1"/>
  <c r="R251" i="1"/>
  <c r="S251" i="1"/>
  <c r="S252" i="1" l="1"/>
  <c r="R252" i="1"/>
  <c r="T251" i="1"/>
  <c r="R264" i="1"/>
  <c r="S264" i="1"/>
  <c r="S261" i="1"/>
  <c r="R261" i="1"/>
  <c r="T252" i="1" l="1"/>
  <c r="R254" i="1"/>
  <c r="S254" i="1"/>
  <c r="S253" i="1"/>
  <c r="R253" i="1"/>
  <c r="T264" i="1"/>
  <c r="S267" i="1"/>
  <c r="T261" i="1"/>
  <c r="S262" i="1"/>
  <c r="R262" i="1"/>
  <c r="S265" i="1"/>
  <c r="R265" i="1"/>
  <c r="R268" i="1" l="1"/>
  <c r="T253" i="1"/>
  <c r="T254" i="1"/>
  <c r="R267" i="1"/>
  <c r="T267" i="1" s="1"/>
  <c r="T262" i="1"/>
  <c r="R266" i="1"/>
  <c r="S266" i="1"/>
  <c r="S263" i="1"/>
  <c r="R263" i="1"/>
  <c r="T265" i="1"/>
  <c r="S269" i="1"/>
  <c r="R269" i="1"/>
  <c r="S276" i="1" l="1"/>
  <c r="S268" i="1"/>
  <c r="T268" i="1" s="1"/>
  <c r="T263" i="1"/>
  <c r="T266" i="1"/>
  <c r="T269" i="1"/>
  <c r="R270" i="1"/>
  <c r="S270" i="1"/>
  <c r="S271" i="1"/>
  <c r="R271" i="1"/>
  <c r="S275" i="1"/>
  <c r="R275" i="1"/>
  <c r="R276" i="1"/>
  <c r="T276" i="1" l="1"/>
  <c r="T270" i="1"/>
  <c r="R273" i="1"/>
  <c r="S273" i="1"/>
  <c r="T271" i="1"/>
  <c r="S272" i="1"/>
  <c r="R272" i="1"/>
  <c r="T275" i="1"/>
  <c r="T273" i="1" l="1"/>
  <c r="T272" i="1"/>
  <c r="S274" i="1"/>
  <c r="R274" i="1"/>
  <c r="S278" i="1"/>
  <c r="R277" i="1"/>
  <c r="S277" i="1"/>
  <c r="R279" i="1"/>
  <c r="R280" i="1"/>
  <c r="S280" i="1"/>
  <c r="R281" i="1"/>
  <c r="R278" i="1" l="1"/>
  <c r="T278" i="1" s="1"/>
  <c r="T274" i="1"/>
  <c r="T277" i="1"/>
  <c r="S279" i="1"/>
  <c r="T279" i="1" s="1"/>
  <c r="T280" i="1"/>
  <c r="S281" i="1"/>
  <c r="T281" i="1" s="1"/>
  <c r="S282" i="1"/>
  <c r="R282" i="1"/>
  <c r="R283" i="1"/>
  <c r="S283" i="1"/>
  <c r="S284" i="1"/>
  <c r="R284" i="1"/>
  <c r="R286" i="1" l="1"/>
  <c r="T282" i="1"/>
  <c r="T283" i="1"/>
  <c r="T284" i="1"/>
  <c r="S286" i="1"/>
  <c r="R285" i="1"/>
  <c r="S285" i="1"/>
  <c r="T286" i="1" l="1"/>
  <c r="S287" i="1"/>
  <c r="R287" i="1"/>
  <c r="T285" i="1"/>
  <c r="S288" i="1"/>
  <c r="R288" i="1"/>
  <c r="T287" i="1" l="1"/>
  <c r="T288" i="1"/>
  <c r="R290" i="1" l="1"/>
  <c r="S290" i="1"/>
  <c r="S291" i="1"/>
  <c r="S292" i="1" l="1"/>
  <c r="R292" i="1"/>
  <c r="R293" i="1"/>
  <c r="S293" i="1"/>
  <c r="R294" i="1"/>
  <c r="S294" i="1"/>
  <c r="R289" i="1"/>
  <c r="S289" i="1"/>
  <c r="T290" i="1"/>
  <c r="R291" i="1"/>
  <c r="T291" i="1" s="1"/>
  <c r="T292" i="1" l="1"/>
  <c r="T293" i="1"/>
  <c r="R297" i="1"/>
  <c r="S297" i="1"/>
  <c r="R295" i="1"/>
  <c r="S295" i="1"/>
  <c r="T294" i="1"/>
  <c r="S296" i="1"/>
  <c r="R296" i="1"/>
  <c r="T289" i="1"/>
  <c r="S299" i="1" l="1"/>
  <c r="R298" i="1"/>
  <c r="R299" i="1"/>
  <c r="T297" i="1"/>
  <c r="T295" i="1"/>
  <c r="S298" i="1"/>
  <c r="T296" i="1"/>
  <c r="S300" i="1"/>
  <c r="R300" i="1"/>
  <c r="T299" i="1" l="1"/>
  <c r="T298" i="1"/>
  <c r="T300" i="1"/>
  <c r="S301" i="1"/>
  <c r="R301" i="1"/>
  <c r="S314" i="1"/>
  <c r="T301" i="1" l="1"/>
  <c r="R302" i="1"/>
  <c r="S302" i="1"/>
  <c r="R318" i="1"/>
  <c r="S318" i="1"/>
  <c r="R314" i="1"/>
  <c r="T314" i="1" s="1"/>
  <c r="R317" i="1"/>
  <c r="S317" i="1"/>
  <c r="R309" i="1"/>
  <c r="S309" i="1"/>
  <c r="R316" i="1"/>
  <c r="S316" i="1"/>
  <c r="R326" i="1"/>
  <c r="S326" i="1"/>
  <c r="S336" i="1" l="1"/>
  <c r="R336" i="1"/>
  <c r="S303" i="1"/>
  <c r="R303" i="1"/>
  <c r="T302" i="1"/>
  <c r="R304" i="1"/>
  <c r="S304" i="1"/>
  <c r="T318" i="1"/>
  <c r="S315" i="1"/>
  <c r="R315" i="1"/>
  <c r="T309" i="1"/>
  <c r="T317" i="1"/>
  <c r="R310" i="1"/>
  <c r="S310" i="1"/>
  <c r="T316" i="1"/>
  <c r="R327" i="1"/>
  <c r="S327" i="1"/>
  <c r="T326" i="1"/>
  <c r="R337" i="1"/>
  <c r="S337" i="1"/>
  <c r="R338" i="1"/>
  <c r="S338" i="1"/>
  <c r="T336" i="1" l="1"/>
  <c r="R341" i="1"/>
  <c r="S341" i="1"/>
  <c r="R342" i="1"/>
  <c r="S342" i="1"/>
  <c r="T303" i="1"/>
  <c r="R305" i="1"/>
  <c r="S305" i="1"/>
  <c r="T304" i="1"/>
  <c r="T315" i="1"/>
  <c r="S311" i="1"/>
  <c r="R311" i="1"/>
  <c r="T310" i="1"/>
  <c r="S319" i="1"/>
  <c r="R319" i="1"/>
  <c r="T327" i="1"/>
  <c r="R328" i="1"/>
  <c r="S328" i="1"/>
  <c r="T337" i="1"/>
  <c r="T338" i="1"/>
  <c r="S339" i="1"/>
  <c r="R339" i="1"/>
  <c r="T341" i="1" l="1"/>
  <c r="T342" i="1"/>
  <c r="S343" i="1"/>
  <c r="R343" i="1"/>
  <c r="S347" i="1"/>
  <c r="R347" i="1"/>
  <c r="R306" i="1"/>
  <c r="S306" i="1"/>
  <c r="T305" i="1"/>
  <c r="T311" i="1"/>
  <c r="S312" i="1"/>
  <c r="R312" i="1"/>
  <c r="T319" i="1"/>
  <c r="S320" i="1"/>
  <c r="R320" i="1"/>
  <c r="R329" i="1"/>
  <c r="S329" i="1"/>
  <c r="T328" i="1"/>
  <c r="T339" i="1"/>
  <c r="S340" i="1"/>
  <c r="R340" i="1"/>
  <c r="S345" i="1"/>
  <c r="R345" i="1"/>
  <c r="R344" i="1"/>
  <c r="S344" i="1"/>
  <c r="T343" i="1" l="1"/>
  <c r="T347" i="1"/>
  <c r="S348" i="1"/>
  <c r="R348" i="1"/>
  <c r="T306" i="1"/>
  <c r="S307" i="1"/>
  <c r="R307" i="1"/>
  <c r="T312" i="1"/>
  <c r="S313" i="1"/>
  <c r="R313" i="1"/>
  <c r="T320" i="1"/>
  <c r="R321" i="1"/>
  <c r="S321" i="1"/>
  <c r="T329" i="1"/>
  <c r="R330" i="1"/>
  <c r="S330" i="1"/>
  <c r="T340" i="1"/>
  <c r="T345" i="1"/>
  <c r="T344" i="1"/>
  <c r="R346" i="1"/>
  <c r="S346" i="1"/>
  <c r="T348" i="1" l="1"/>
  <c r="S349" i="1"/>
  <c r="R349" i="1"/>
  <c r="T307" i="1"/>
  <c r="S308" i="1"/>
  <c r="R308" i="1"/>
  <c r="T313" i="1"/>
  <c r="T321" i="1"/>
  <c r="R322" i="1"/>
  <c r="S322" i="1"/>
  <c r="T330" i="1"/>
  <c r="S331" i="1"/>
  <c r="R331" i="1"/>
  <c r="T346" i="1"/>
  <c r="T349" i="1" l="1"/>
  <c r="S350" i="1"/>
  <c r="R350" i="1"/>
  <c r="T308" i="1"/>
  <c r="R323" i="1"/>
  <c r="S323" i="1"/>
  <c r="T322" i="1"/>
  <c r="T331" i="1"/>
  <c r="S332" i="1"/>
  <c r="R332" i="1"/>
  <c r="T350" i="1" l="1"/>
  <c r="R351" i="1"/>
  <c r="S351" i="1"/>
  <c r="T323" i="1"/>
  <c r="R324" i="1"/>
  <c r="S324" i="1"/>
  <c r="T332" i="1"/>
  <c r="R333" i="1"/>
  <c r="S333" i="1"/>
  <c r="T351" i="1" l="1"/>
  <c r="S352" i="1"/>
  <c r="R352" i="1"/>
  <c r="R325" i="1"/>
  <c r="S325" i="1"/>
  <c r="T324" i="1"/>
  <c r="T333" i="1"/>
  <c r="R334" i="1"/>
  <c r="S334" i="1"/>
  <c r="T352" i="1" l="1"/>
  <c r="R353" i="1"/>
  <c r="S353" i="1"/>
  <c r="T325" i="1"/>
  <c r="T334" i="1"/>
  <c r="R335" i="1"/>
  <c r="S335" i="1"/>
  <c r="T353" i="1" l="1"/>
  <c r="R354" i="1"/>
  <c r="S354" i="1"/>
  <c r="T335" i="1"/>
  <c r="R355" i="1" l="1"/>
  <c r="S355" i="1"/>
  <c r="T354" i="1"/>
  <c r="T355" i="1" l="1"/>
  <c r="S356" i="1"/>
  <c r="R356" i="1"/>
  <c r="T356" i="1" l="1"/>
  <c r="S357" i="1"/>
  <c r="R357" i="1"/>
  <c r="T357" i="1" l="1"/>
  <c r="R358" i="1"/>
  <c r="S358" i="1"/>
  <c r="T358" i="1" l="1"/>
  <c r="R359" i="1"/>
  <c r="S359" i="1"/>
  <c r="T359" i="1" l="1"/>
  <c r="S360" i="1"/>
  <c r="R360" i="1"/>
  <c r="T360" i="1" l="1"/>
  <c r="S361" i="1"/>
  <c r="R361" i="1"/>
  <c r="T361" i="1" l="1"/>
  <c r="S362" i="1"/>
  <c r="R362" i="1"/>
  <c r="T362" i="1" l="1"/>
  <c r="S363" i="1"/>
  <c r="R363" i="1"/>
  <c r="T363" i="1" l="1"/>
  <c r="R364" i="1"/>
  <c r="S364" i="1"/>
  <c r="T364" i="1" l="1"/>
  <c r="R365" i="1"/>
  <c r="S365" i="1"/>
  <c r="R366" i="1" l="1"/>
  <c r="S366" i="1"/>
  <c r="T365" i="1"/>
  <c r="T366" i="1" l="1"/>
  <c r="R367" i="1"/>
  <c r="S367" i="1"/>
  <c r="T367" i="1" l="1"/>
  <c r="R368" i="1"/>
  <c r="S368" i="1"/>
  <c r="T368" i="1" l="1"/>
  <c r="R369" i="1"/>
  <c r="S369" i="1"/>
  <c r="T369" i="1" l="1"/>
  <c r="S370" i="1"/>
  <c r="R370" i="1"/>
  <c r="T370" i="1" l="1"/>
  <c r="S371" i="1"/>
  <c r="R371" i="1"/>
  <c r="T371" i="1" l="1"/>
  <c r="R372" i="1"/>
  <c r="S372" i="1"/>
  <c r="T372" i="1" l="1"/>
  <c r="R373" i="1"/>
  <c r="S373" i="1"/>
  <c r="T373" i="1" l="1"/>
  <c r="R374" i="1"/>
  <c r="S374" i="1"/>
  <c r="S375" i="1" l="1"/>
  <c r="R375" i="1"/>
  <c r="T374" i="1"/>
  <c r="T375" i="1" l="1"/>
  <c r="S376" i="1"/>
  <c r="R376" i="1"/>
  <c r="T376" i="1" l="1"/>
  <c r="R377" i="1"/>
  <c r="S377" i="1"/>
  <c r="T377" i="1" l="1"/>
  <c r="R378" i="1"/>
  <c r="S378" i="1"/>
  <c r="T378" i="1" l="1"/>
  <c r="S379" i="1"/>
  <c r="R379" i="1"/>
  <c r="T379" i="1" l="1"/>
  <c r="R380" i="1"/>
  <c r="S380" i="1"/>
  <c r="R381" i="1" l="1"/>
  <c r="S381" i="1"/>
  <c r="T380" i="1"/>
  <c r="T381" i="1" l="1"/>
  <c r="R382" i="1"/>
  <c r="S382" i="1"/>
  <c r="T382" i="1" l="1"/>
  <c r="S383" i="1"/>
  <c r="R383" i="1"/>
  <c r="T383" i="1" l="1"/>
  <c r="S384" i="1"/>
  <c r="R384" i="1"/>
  <c r="T384" i="1" l="1"/>
  <c r="S385" i="1"/>
  <c r="R385" i="1"/>
  <c r="T385" i="1" l="1"/>
  <c r="S386" i="1"/>
  <c r="R386" i="1"/>
  <c r="T386" i="1" l="1"/>
  <c r="S387" i="1"/>
  <c r="R387" i="1"/>
  <c r="T387" i="1" l="1"/>
  <c r="S388" i="1"/>
  <c r="R388" i="1"/>
  <c r="T388" i="1" l="1"/>
  <c r="R389" i="1"/>
  <c r="S389" i="1"/>
  <c r="T389" i="1" l="1"/>
  <c r="R390" i="1"/>
  <c r="S390" i="1"/>
  <c r="T390" i="1" l="1"/>
  <c r="R391" i="1"/>
  <c r="S391" i="1"/>
  <c r="R392" i="1" l="1"/>
  <c r="S392" i="1"/>
  <c r="T391" i="1"/>
  <c r="T392" i="1" l="1"/>
  <c r="S393" i="1"/>
  <c r="R393" i="1"/>
  <c r="T393" i="1" l="1"/>
  <c r="R394" i="1"/>
  <c r="S394" i="1"/>
  <c r="T394" i="1" l="1"/>
  <c r="S395" i="1"/>
  <c r="R395" i="1"/>
  <c r="T395" i="1" l="1"/>
  <c r="R396" i="1"/>
  <c r="S396" i="1"/>
  <c r="T396" i="1" l="1"/>
  <c r="R397" i="1"/>
  <c r="S397" i="1"/>
  <c r="T397" i="1" l="1"/>
  <c r="S398" i="1"/>
  <c r="R398" i="1"/>
  <c r="T398" i="1" l="1"/>
  <c r="S399" i="1"/>
  <c r="R399" i="1"/>
  <c r="T399" i="1" l="1"/>
  <c r="R400" i="1"/>
  <c r="S400" i="1"/>
  <c r="T400" i="1" l="1"/>
  <c r="R401" i="1"/>
  <c r="S401" i="1"/>
  <c r="T401" i="1" l="1"/>
  <c r="S402" i="1"/>
  <c r="R402" i="1"/>
  <c r="T402" i="1" l="1"/>
  <c r="R403" i="1"/>
  <c r="S403" i="1"/>
  <c r="T403" i="1" l="1"/>
  <c r="R404" i="1"/>
  <c r="S404" i="1"/>
  <c r="T404" i="1" l="1"/>
  <c r="S405" i="1"/>
  <c r="R405" i="1"/>
  <c r="T405" i="1" l="1"/>
  <c r="S406" i="1"/>
  <c r="R406" i="1"/>
  <c r="T406" i="1" l="1"/>
  <c r="R407" i="1"/>
  <c r="S407" i="1"/>
  <c r="T407" i="1" l="1"/>
  <c r="S408" i="1"/>
  <c r="R408" i="1"/>
  <c r="T408" i="1" l="1"/>
  <c r="S409" i="1"/>
  <c r="R409" i="1"/>
  <c r="T409" i="1" l="1"/>
  <c r="S410" i="1"/>
  <c r="R410" i="1"/>
  <c r="T410" i="1" l="1"/>
  <c r="S411" i="1"/>
  <c r="R411" i="1"/>
  <c r="T411" i="1" l="1"/>
  <c r="S412" i="1"/>
  <c r="R412" i="1"/>
  <c r="T412" i="1" l="1"/>
  <c r="S413" i="1"/>
  <c r="R413" i="1"/>
  <c r="T413" i="1" l="1"/>
  <c r="S414" i="1"/>
  <c r="R414" i="1"/>
  <c r="T414" i="1" l="1"/>
  <c r="S415" i="1"/>
  <c r="R415" i="1"/>
  <c r="T415" i="1" l="1"/>
  <c r="S416" i="1"/>
  <c r="R416" i="1"/>
  <c r="T416" i="1" l="1"/>
  <c r="S417" i="1"/>
  <c r="R417" i="1"/>
  <c r="T417" i="1" l="1"/>
  <c r="S418" i="1"/>
  <c r="R418" i="1"/>
  <c r="S419" i="1" l="1"/>
  <c r="R419" i="1"/>
  <c r="T418" i="1"/>
  <c r="T419" i="1" l="1"/>
  <c r="S420" i="1"/>
  <c r="R420" i="1"/>
  <c r="T420" i="1" l="1"/>
  <c r="S421" i="1"/>
  <c r="R421" i="1"/>
  <c r="T421" i="1" l="1"/>
  <c r="S422" i="1"/>
  <c r="R422" i="1"/>
  <c r="T422" i="1" l="1"/>
  <c r="R423" i="1"/>
  <c r="S423" i="1"/>
  <c r="T423" i="1" l="1"/>
  <c r="R424" i="1"/>
  <c r="S424" i="1"/>
  <c r="T424" i="1" l="1"/>
  <c r="S425" i="1"/>
  <c r="R425" i="1"/>
  <c r="T425" i="1" l="1"/>
  <c r="R426" i="1"/>
  <c r="S426" i="1"/>
  <c r="T426" i="1" l="1"/>
  <c r="S427" i="1"/>
  <c r="R427" i="1"/>
  <c r="T427" i="1" l="1"/>
  <c r="R428" i="1"/>
  <c r="S428" i="1"/>
  <c r="S429" i="1" l="1"/>
  <c r="R429" i="1"/>
  <c r="T428" i="1"/>
  <c r="T429" i="1" l="1"/>
  <c r="R430" i="1"/>
  <c r="S430" i="1"/>
  <c r="T430" i="1" l="1"/>
  <c r="R431" i="1"/>
  <c r="S431" i="1"/>
  <c r="T431" i="1" l="1"/>
  <c r="R432" i="1"/>
  <c r="S432" i="1"/>
  <c r="T432" i="1" l="1"/>
  <c r="R433" i="1"/>
  <c r="S433" i="1"/>
  <c r="T433" i="1" l="1"/>
  <c r="R434" i="1"/>
  <c r="S434" i="1"/>
  <c r="T434" i="1" l="1"/>
  <c r="R435" i="1"/>
  <c r="S435" i="1"/>
  <c r="T435" i="1" l="1"/>
  <c r="R436" i="1"/>
  <c r="S436" i="1"/>
  <c r="T436" i="1" l="1"/>
  <c r="R437" i="1"/>
  <c r="S437" i="1"/>
  <c r="T437" i="1" l="1"/>
  <c r="S438" i="1"/>
  <c r="R438" i="1"/>
  <c r="T438" i="1" l="1"/>
  <c r="R439" i="1"/>
  <c r="S439" i="1"/>
  <c r="T439" i="1" l="1"/>
  <c r="R440" i="1"/>
  <c r="S440" i="1"/>
  <c r="S441" i="1" l="1"/>
  <c r="R441" i="1"/>
  <c r="T440" i="1"/>
  <c r="T441" i="1" l="1"/>
  <c r="S442" i="1"/>
  <c r="R442" i="1"/>
  <c r="T442" i="1" l="1"/>
  <c r="R443" i="1"/>
  <c r="S443" i="1"/>
  <c r="T443" i="1" l="1"/>
  <c r="R444" i="1"/>
  <c r="S444" i="1"/>
  <c r="T444" i="1" l="1"/>
  <c r="R445" i="1"/>
  <c r="S445" i="1"/>
  <c r="S446" i="1" l="1"/>
  <c r="R446" i="1"/>
  <c r="T445" i="1"/>
  <c r="T446" i="1" l="1"/>
  <c r="R447" i="1"/>
  <c r="S447" i="1"/>
  <c r="T447" i="1" l="1"/>
  <c r="R448" i="1"/>
  <c r="S448" i="1"/>
  <c r="T448" i="1" l="1"/>
  <c r="S449" i="1"/>
  <c r="R449" i="1"/>
  <c r="T449" i="1" l="1"/>
  <c r="R450" i="1"/>
  <c r="S450" i="1"/>
  <c r="T450" i="1" l="1"/>
  <c r="S451" i="1"/>
  <c r="R451" i="1"/>
  <c r="T451" i="1" l="1"/>
  <c r="R452" i="1"/>
  <c r="S452" i="1"/>
  <c r="T452" i="1" l="1"/>
  <c r="R453" i="1"/>
  <c r="S453" i="1"/>
  <c r="T453" i="1" l="1"/>
  <c r="S454" i="1"/>
  <c r="R454" i="1"/>
  <c r="T454" i="1" l="1"/>
  <c r="S455" i="1"/>
  <c r="R455" i="1"/>
  <c r="T455" i="1" l="1"/>
  <c r="R456" i="1"/>
  <c r="S456" i="1"/>
  <c r="T456" i="1" l="1"/>
  <c r="R457" i="1"/>
  <c r="S457" i="1"/>
  <c r="T457" i="1" l="1"/>
  <c r="S458" i="1"/>
  <c r="R458" i="1"/>
  <c r="T458" i="1" l="1"/>
  <c r="S459" i="1"/>
  <c r="R459" i="1"/>
  <c r="T459" i="1" l="1"/>
  <c r="R460" i="1"/>
  <c r="S460" i="1"/>
  <c r="T460" i="1" l="1"/>
  <c r="R461" i="1"/>
  <c r="S461" i="1"/>
  <c r="T461" i="1" l="1"/>
  <c r="S462" i="1"/>
  <c r="R462" i="1"/>
  <c r="T462" i="1" l="1"/>
  <c r="S463" i="1"/>
  <c r="R463" i="1"/>
  <c r="T463" i="1" l="1"/>
  <c r="R464" i="1"/>
  <c r="S464" i="1"/>
  <c r="T464" i="1" l="1"/>
  <c r="S465" i="1"/>
  <c r="R465" i="1"/>
  <c r="T465" i="1" l="1"/>
  <c r="R466" i="1"/>
  <c r="S466" i="1"/>
  <c r="T466" i="1" l="1"/>
  <c r="S467" i="1"/>
  <c r="R467" i="1"/>
  <c r="R468" i="1" l="1"/>
  <c r="S468" i="1"/>
  <c r="T467" i="1"/>
  <c r="R469" i="1" l="1"/>
  <c r="S469" i="1"/>
  <c r="T468" i="1"/>
  <c r="T469" i="1" l="1"/>
  <c r="R470" i="1"/>
  <c r="S470" i="1"/>
  <c r="T470" i="1" l="1"/>
  <c r="R471" i="1"/>
  <c r="S471" i="1"/>
  <c r="S472" i="1" l="1"/>
  <c r="R472" i="1"/>
  <c r="T471" i="1"/>
  <c r="T472" i="1" l="1"/>
  <c r="R473" i="1"/>
  <c r="S473" i="1"/>
  <c r="T473" i="1" l="1"/>
  <c r="S474" i="1"/>
  <c r="R474" i="1"/>
  <c r="R475" i="1" l="1"/>
  <c r="S475" i="1"/>
  <c r="T474" i="1"/>
  <c r="T475" i="1" l="1"/>
  <c r="R476" i="1"/>
  <c r="S476" i="1"/>
  <c r="S477" i="1" l="1"/>
  <c r="R477" i="1"/>
  <c r="T476" i="1"/>
  <c r="T477" i="1" l="1"/>
  <c r="R478" i="1"/>
  <c r="S478" i="1"/>
  <c r="R479" i="1" l="1"/>
  <c r="S479" i="1"/>
  <c r="T478" i="1"/>
  <c r="T479" i="1" l="1"/>
  <c r="S480" i="1"/>
  <c r="R480" i="1"/>
  <c r="T480" i="1" l="1"/>
  <c r="R481" i="1"/>
  <c r="S481" i="1"/>
  <c r="T481" i="1" l="1"/>
  <c r="R482" i="1"/>
  <c r="S482" i="1"/>
  <c r="S483" i="1" l="1"/>
  <c r="R483" i="1"/>
  <c r="T482" i="1"/>
  <c r="T483" i="1" l="1"/>
  <c r="R484" i="1"/>
  <c r="S484" i="1"/>
  <c r="T484" i="1" l="1"/>
  <c r="S485" i="1"/>
  <c r="R485" i="1"/>
  <c r="T485" i="1" l="1"/>
  <c r="R486" i="1"/>
  <c r="S486" i="1"/>
  <c r="S487" i="1" l="1"/>
  <c r="R487" i="1"/>
  <c r="T486" i="1"/>
  <c r="T487" i="1" l="1"/>
  <c r="R488" i="1"/>
  <c r="S488" i="1"/>
  <c r="T488" i="1" l="1"/>
  <c r="R489" i="1"/>
  <c r="S489" i="1"/>
  <c r="R490" i="1" l="1"/>
  <c r="S490" i="1"/>
  <c r="T489" i="1"/>
  <c r="R491" i="1" l="1"/>
  <c r="S491" i="1"/>
  <c r="T490" i="1"/>
  <c r="T491" i="1" l="1"/>
  <c r="R492" i="1"/>
  <c r="S492" i="1"/>
  <c r="R493" i="1" l="1"/>
  <c r="S493" i="1"/>
  <c r="T492" i="1"/>
  <c r="T493" i="1" l="1"/>
  <c r="R494" i="1"/>
  <c r="S494" i="1"/>
  <c r="T494" i="1" l="1"/>
  <c r="R495" i="1"/>
  <c r="S495" i="1"/>
  <c r="T495" i="1" l="1"/>
  <c r="R496" i="1"/>
  <c r="S496" i="1"/>
  <c r="T496" i="1" l="1"/>
  <c r="S497" i="1"/>
  <c r="R497" i="1"/>
  <c r="T497" i="1" l="1"/>
  <c r="R498" i="1"/>
  <c r="S498" i="1"/>
  <c r="T498" i="1" l="1"/>
  <c r="R499" i="1"/>
  <c r="S499" i="1"/>
  <c r="T499" i="1" l="1"/>
  <c r="R500" i="1"/>
  <c r="S500" i="1"/>
  <c r="T500" i="1" l="1"/>
  <c r="S501" i="1"/>
  <c r="R501" i="1"/>
  <c r="T501" i="1" l="1"/>
  <c r="R502" i="1"/>
  <c r="S502" i="1"/>
  <c r="T502" i="1" l="1"/>
  <c r="S503" i="1"/>
  <c r="R503" i="1"/>
  <c r="T503" i="1" l="1"/>
  <c r="R504" i="1"/>
  <c r="S504" i="1"/>
  <c r="T504" i="1" l="1"/>
  <c r="R505" i="1"/>
  <c r="S505" i="1"/>
  <c r="T505" i="1" l="1"/>
  <c r="R506" i="1"/>
  <c r="S506" i="1"/>
  <c r="T506" i="1" l="1"/>
  <c r="R507" i="1"/>
  <c r="S507" i="1"/>
  <c r="T507" i="1" l="1"/>
  <c r="S508" i="1"/>
  <c r="R508" i="1"/>
  <c r="T508" i="1" l="1"/>
  <c r="R509" i="1"/>
  <c r="S509" i="1"/>
  <c r="T509" i="1" l="1"/>
  <c r="R510" i="1"/>
  <c r="S510" i="1"/>
  <c r="T510" i="1" l="1"/>
  <c r="R511" i="1"/>
  <c r="S511" i="1"/>
  <c r="T511" i="1" l="1"/>
  <c r="S512" i="1"/>
  <c r="R512" i="1"/>
  <c r="T512" i="1" l="1"/>
  <c r="S513" i="1"/>
  <c r="R513" i="1"/>
  <c r="T513" i="1" l="1"/>
  <c r="R514" i="1"/>
  <c r="S514" i="1"/>
  <c r="T514" i="1" l="1"/>
  <c r="R515" i="1"/>
  <c r="S515" i="1"/>
  <c r="T515" i="1" l="1"/>
  <c r="S516" i="1"/>
  <c r="R516" i="1"/>
  <c r="T516" i="1" l="1"/>
  <c r="S517" i="1"/>
  <c r="R517" i="1"/>
  <c r="T517" i="1" l="1"/>
  <c r="S518" i="1"/>
  <c r="R518" i="1"/>
  <c r="T518" i="1" l="1"/>
  <c r="S519" i="1"/>
  <c r="R519" i="1"/>
  <c r="T519" i="1" l="1"/>
  <c r="S520" i="1"/>
  <c r="R520" i="1"/>
  <c r="T520" i="1" l="1"/>
  <c r="R521" i="1"/>
  <c r="S521" i="1"/>
  <c r="T521" i="1" l="1"/>
  <c r="S522" i="1"/>
  <c r="R522" i="1"/>
  <c r="S523" i="1" l="1"/>
  <c r="R523" i="1"/>
  <c r="T522" i="1"/>
  <c r="T523" i="1" l="1"/>
  <c r="R524" i="1"/>
  <c r="S524" i="1"/>
  <c r="S525" i="1" l="1"/>
  <c r="R525" i="1"/>
  <c r="T524" i="1"/>
  <c r="T525" i="1" l="1"/>
  <c r="S526" i="1"/>
  <c r="R526" i="1"/>
  <c r="T526" i="1" l="1"/>
  <c r="R527" i="1"/>
  <c r="S527" i="1"/>
  <c r="T527" i="1" l="1"/>
  <c r="R528" i="1"/>
  <c r="S528" i="1"/>
  <c r="S529" i="1" l="1"/>
  <c r="R529" i="1"/>
  <c r="T528" i="1"/>
  <c r="T529" i="1" l="1"/>
  <c r="R530" i="1"/>
  <c r="S530" i="1"/>
  <c r="R531" i="1" l="1"/>
  <c r="S531" i="1"/>
  <c r="T530" i="1"/>
  <c r="T531" i="1" l="1"/>
  <c r="R532" i="1"/>
  <c r="S532" i="1"/>
  <c r="R533" i="1" l="1"/>
  <c r="S533" i="1"/>
  <c r="T532" i="1"/>
  <c r="S534" i="1" l="1"/>
  <c r="R534" i="1"/>
  <c r="T533" i="1"/>
  <c r="T534" i="1" l="1"/>
  <c r="R535" i="1"/>
  <c r="S535" i="1"/>
  <c r="T535" i="1" l="1"/>
  <c r="R536" i="1"/>
  <c r="S536" i="1"/>
  <c r="T536" i="1" l="1"/>
  <c r="S537" i="1"/>
  <c r="R537" i="1"/>
  <c r="T537" i="1" l="1"/>
  <c r="R538" i="1"/>
  <c r="S538" i="1"/>
  <c r="T538" i="1" l="1"/>
  <c r="R539" i="1"/>
  <c r="S539" i="1"/>
  <c r="T539" i="1" l="1"/>
  <c r="R540" i="1"/>
  <c r="S540" i="1"/>
  <c r="S541" i="1" l="1"/>
  <c r="R541" i="1"/>
  <c r="T540" i="1"/>
  <c r="T541" i="1" l="1"/>
  <c r="S542" i="1"/>
  <c r="R542" i="1"/>
  <c r="T542" i="1" l="1"/>
  <c r="S543" i="1"/>
  <c r="R543" i="1"/>
  <c r="T543" i="1" l="1"/>
  <c r="R544" i="1"/>
  <c r="S544" i="1"/>
  <c r="R545" i="1" l="1"/>
  <c r="S545" i="1"/>
  <c r="T544" i="1"/>
  <c r="T545" i="1" l="1"/>
  <c r="R546" i="1"/>
  <c r="S546" i="1"/>
  <c r="T546" i="1" l="1"/>
  <c r="S547" i="1"/>
  <c r="R547" i="1"/>
  <c r="T547" i="1" l="1"/>
  <c r="S548" i="1"/>
  <c r="R548" i="1"/>
  <c r="T548" i="1" l="1"/>
  <c r="R549" i="1"/>
  <c r="S549" i="1"/>
  <c r="T549" i="1" l="1"/>
  <c r="R550" i="1"/>
  <c r="S550" i="1"/>
  <c r="S551" i="1" l="1"/>
  <c r="R551" i="1"/>
  <c r="T550" i="1"/>
  <c r="T551" i="1" l="1"/>
  <c r="S552" i="1"/>
  <c r="R552" i="1"/>
  <c r="T552" i="1" l="1"/>
  <c r="R553" i="1"/>
  <c r="S553" i="1"/>
  <c r="T553" i="1" l="1"/>
  <c r="S554" i="1"/>
  <c r="R554" i="1"/>
  <c r="T554" i="1" l="1"/>
  <c r="R555" i="1"/>
  <c r="S555" i="1"/>
  <c r="T555" i="1" l="1"/>
  <c r="S556" i="1"/>
  <c r="R556" i="1"/>
  <c r="T556" i="1" l="1"/>
  <c r="S557" i="1"/>
  <c r="R557" i="1"/>
  <c r="T557" i="1" l="1"/>
  <c r="R558" i="1"/>
  <c r="S558" i="1"/>
  <c r="T558" i="1" l="1"/>
  <c r="S559" i="1"/>
  <c r="R559" i="1"/>
  <c r="T559" i="1" l="1"/>
  <c r="S560" i="1"/>
  <c r="R560" i="1"/>
  <c r="T560" i="1" l="1"/>
  <c r="R561" i="1"/>
  <c r="S561" i="1"/>
  <c r="T561" i="1" l="1"/>
  <c r="R562" i="1"/>
  <c r="S562" i="1"/>
  <c r="T562" i="1" l="1"/>
  <c r="R563" i="1"/>
  <c r="S563" i="1"/>
  <c r="T563" i="1" l="1"/>
  <c r="R564" i="1"/>
  <c r="S564" i="1"/>
  <c r="T564" i="1" l="1"/>
  <c r="S565" i="1"/>
  <c r="R565" i="1"/>
  <c r="T565" i="1" l="1"/>
  <c r="S566" i="1"/>
  <c r="R566" i="1"/>
  <c r="T566" i="1" l="1"/>
  <c r="S567" i="1"/>
  <c r="R567" i="1"/>
  <c r="T567" i="1" l="1"/>
  <c r="R568" i="1"/>
  <c r="S568" i="1"/>
  <c r="T568" i="1" l="1"/>
  <c r="S569" i="1"/>
  <c r="R569" i="1"/>
  <c r="S570" i="1" l="1"/>
  <c r="R570" i="1"/>
  <c r="T569" i="1"/>
  <c r="T570" i="1" l="1"/>
  <c r="S571" i="1"/>
  <c r="R571" i="1"/>
  <c r="T571" i="1" l="1"/>
  <c r="S572" i="1"/>
  <c r="R572" i="1"/>
  <c r="T572" i="1" l="1"/>
  <c r="R573" i="1"/>
  <c r="S573" i="1"/>
  <c r="T573" i="1" l="1"/>
  <c r="S574" i="1"/>
  <c r="R574" i="1"/>
  <c r="T574" i="1" l="1"/>
  <c r="R575" i="1"/>
  <c r="S575" i="1"/>
  <c r="T575" i="1" l="1"/>
  <c r="S576" i="1"/>
  <c r="R576" i="1"/>
  <c r="T576" i="1" l="1"/>
  <c r="S577" i="1"/>
  <c r="R577" i="1"/>
  <c r="T577" i="1" l="1"/>
  <c r="R578" i="1"/>
  <c r="S578" i="1"/>
  <c r="T578" i="1" l="1"/>
  <c r="S579" i="1"/>
  <c r="R579" i="1"/>
  <c r="T579" i="1" l="1"/>
  <c r="S580" i="1"/>
  <c r="R580" i="1"/>
  <c r="S581" i="1" l="1"/>
  <c r="R581" i="1"/>
  <c r="T580" i="1"/>
  <c r="T581" i="1" l="1"/>
  <c r="R582" i="1"/>
  <c r="S582" i="1"/>
  <c r="T582" i="1" l="1"/>
  <c r="R583" i="1"/>
  <c r="S583" i="1"/>
  <c r="T583" i="1" l="1"/>
  <c r="R584" i="1"/>
  <c r="S584" i="1"/>
  <c r="T584" i="1" l="1"/>
  <c r="R585" i="1"/>
  <c r="S585" i="1"/>
  <c r="T585" i="1" l="1"/>
  <c r="R586" i="1"/>
  <c r="S586" i="1"/>
  <c r="T586" i="1" l="1"/>
  <c r="R587" i="1"/>
  <c r="S587" i="1"/>
  <c r="R588" i="1" l="1"/>
  <c r="S588" i="1"/>
  <c r="T587" i="1"/>
  <c r="T588" i="1" l="1"/>
  <c r="S589" i="1"/>
  <c r="R589" i="1"/>
  <c r="T589" i="1" l="1"/>
  <c r="R590" i="1"/>
  <c r="S590" i="1"/>
  <c r="S591" i="1" l="1"/>
  <c r="R591" i="1"/>
  <c r="T590" i="1"/>
  <c r="T591" i="1" l="1"/>
  <c r="S592" i="1"/>
  <c r="R592" i="1"/>
  <c r="T592" i="1" l="1"/>
  <c r="R593" i="1"/>
  <c r="S593" i="1"/>
  <c r="T593" i="1" l="1"/>
  <c r="S594" i="1"/>
  <c r="R594" i="1"/>
  <c r="T594" i="1" l="1"/>
  <c r="R595" i="1"/>
  <c r="S595" i="1"/>
  <c r="T595" i="1" l="1"/>
  <c r="R596" i="1"/>
  <c r="S596" i="1"/>
  <c r="T596" i="1" l="1"/>
  <c r="S597" i="1"/>
  <c r="R597" i="1"/>
  <c r="T597" i="1" l="1"/>
  <c r="S598" i="1"/>
  <c r="R598" i="1"/>
  <c r="T598" i="1" l="1"/>
  <c r="R599" i="1"/>
  <c r="S599" i="1"/>
  <c r="T599" i="1" l="1"/>
  <c r="R600" i="1"/>
  <c r="S600" i="1"/>
  <c r="T600" i="1" l="1"/>
  <c r="R601" i="1"/>
  <c r="S601" i="1"/>
  <c r="T601" i="1" l="1"/>
  <c r="R602" i="1"/>
  <c r="S602" i="1"/>
  <c r="T602" i="1" l="1"/>
  <c r="R603" i="1"/>
  <c r="S603" i="1"/>
  <c r="T603" i="1" l="1"/>
  <c r="R604" i="1"/>
  <c r="S604" i="1"/>
  <c r="R605" i="1" l="1"/>
  <c r="S605" i="1"/>
  <c r="T604" i="1"/>
  <c r="T605" i="1" l="1"/>
  <c r="R606" i="1"/>
  <c r="S606" i="1"/>
  <c r="T606" i="1" l="1"/>
  <c r="S607" i="1"/>
  <c r="R607" i="1"/>
  <c r="T607" i="1" l="1"/>
  <c r="S608" i="1"/>
  <c r="R608" i="1"/>
  <c r="T608" i="1" l="1"/>
  <c r="S609" i="1"/>
  <c r="R609" i="1"/>
  <c r="T609" i="1" l="1"/>
  <c r="R610" i="1"/>
  <c r="S610" i="1"/>
  <c r="S611" i="1" l="1"/>
  <c r="R611" i="1"/>
  <c r="T610" i="1"/>
  <c r="T611" i="1" l="1"/>
  <c r="R612" i="1"/>
  <c r="S612" i="1"/>
  <c r="T612" i="1" l="1"/>
  <c r="S613" i="1"/>
  <c r="R613" i="1"/>
  <c r="T613" i="1" l="1"/>
  <c r="S614" i="1"/>
  <c r="R614" i="1"/>
  <c r="T614" i="1" l="1"/>
  <c r="R615" i="1"/>
  <c r="S615" i="1"/>
  <c r="S616" i="1" l="1"/>
  <c r="R616" i="1"/>
  <c r="T615" i="1"/>
  <c r="T616" i="1" l="1"/>
  <c r="R617" i="1"/>
  <c r="S617" i="1"/>
  <c r="T617" i="1" l="1"/>
  <c r="R618" i="1"/>
  <c r="S618" i="1"/>
  <c r="T618" i="1" l="1"/>
  <c r="R619" i="1"/>
  <c r="S619" i="1"/>
  <c r="S620" i="1" l="1"/>
  <c r="R620" i="1"/>
  <c r="T619" i="1"/>
  <c r="T620" i="1" l="1"/>
  <c r="R621" i="1"/>
  <c r="S621" i="1"/>
  <c r="R622" i="1" l="1"/>
  <c r="S622" i="1"/>
  <c r="T621" i="1"/>
  <c r="T622" i="1" l="1"/>
  <c r="R623" i="1"/>
  <c r="S623" i="1"/>
  <c r="T623" i="1" l="1"/>
  <c r="R624" i="1"/>
  <c r="S624" i="1"/>
  <c r="T624" i="1" l="1"/>
  <c r="R625" i="1"/>
  <c r="S625" i="1"/>
  <c r="S626" i="1" l="1"/>
  <c r="R626" i="1"/>
  <c r="T625" i="1"/>
  <c r="T626" i="1" l="1"/>
  <c r="R627" i="1"/>
  <c r="S627" i="1"/>
  <c r="T627" i="1" l="1"/>
  <c r="R628" i="1"/>
  <c r="S628" i="1"/>
  <c r="T628" i="1" l="1"/>
  <c r="R629" i="1"/>
  <c r="S629" i="1"/>
  <c r="T629" i="1" l="1"/>
  <c r="R630" i="1"/>
  <c r="S630" i="1"/>
  <c r="R631" i="1" l="1"/>
  <c r="S631" i="1"/>
  <c r="T630" i="1"/>
  <c r="T631" i="1" l="1"/>
  <c r="R632" i="1"/>
  <c r="S632" i="1"/>
  <c r="T632" i="1" l="1"/>
  <c r="S633" i="1"/>
  <c r="R633" i="1"/>
  <c r="T633" i="1" l="1"/>
  <c r="R634" i="1"/>
  <c r="S634" i="1"/>
  <c r="T634" i="1" l="1"/>
  <c r="S635" i="1"/>
  <c r="R635" i="1"/>
  <c r="T635" i="1" l="1"/>
  <c r="R636" i="1"/>
  <c r="S636" i="1"/>
  <c r="T636" i="1" l="1"/>
  <c r="S637" i="1"/>
  <c r="R637" i="1"/>
  <c r="T637" i="1" l="1"/>
  <c r="R638" i="1"/>
  <c r="S638" i="1"/>
  <c r="T638" i="1" l="1"/>
  <c r="R639" i="1"/>
  <c r="S639" i="1"/>
  <c r="R640" i="1" l="1"/>
  <c r="S640" i="1"/>
  <c r="T639" i="1"/>
  <c r="T640" i="1" l="1"/>
  <c r="S641" i="1"/>
  <c r="R641" i="1"/>
  <c r="T641" i="1" l="1"/>
  <c r="R642" i="1"/>
  <c r="S642" i="1"/>
  <c r="S643" i="1" l="1"/>
  <c r="R643" i="1"/>
  <c r="T642" i="1"/>
  <c r="T643" i="1" l="1"/>
  <c r="S644" i="1"/>
  <c r="R644" i="1"/>
  <c r="T644" i="1" l="1"/>
  <c r="S645" i="1"/>
  <c r="R645" i="1"/>
  <c r="R646" i="1" l="1"/>
  <c r="S646" i="1"/>
  <c r="T645" i="1"/>
  <c r="S647" i="1" l="1"/>
  <c r="R647" i="1"/>
  <c r="T646" i="1"/>
  <c r="T647" i="1" l="1"/>
  <c r="S648" i="1"/>
  <c r="R648" i="1"/>
  <c r="T648" i="1" l="1"/>
  <c r="S649" i="1"/>
  <c r="R649" i="1"/>
  <c r="T649" i="1" l="1"/>
  <c r="S650" i="1"/>
  <c r="R650" i="1"/>
  <c r="T650" i="1" l="1"/>
  <c r="R651" i="1"/>
  <c r="S651" i="1"/>
  <c r="S652" i="1" l="1"/>
  <c r="R652" i="1"/>
  <c r="T651" i="1"/>
  <c r="T652" i="1" l="1"/>
  <c r="R653" i="1"/>
  <c r="S653" i="1"/>
  <c r="S654" i="1" l="1"/>
  <c r="R654" i="1"/>
  <c r="T653" i="1"/>
  <c r="T654" i="1" l="1"/>
  <c r="S655" i="1"/>
  <c r="R655" i="1"/>
  <c r="T655" i="1" l="1"/>
  <c r="R656" i="1"/>
  <c r="S656" i="1"/>
  <c r="T656" i="1" l="1"/>
  <c r="R657" i="1"/>
  <c r="S657" i="1"/>
  <c r="R658" i="1" l="1"/>
  <c r="S658" i="1"/>
  <c r="T657" i="1"/>
  <c r="T658" i="1" l="1"/>
  <c r="R659" i="1"/>
  <c r="S659" i="1"/>
  <c r="S660" i="1" l="1"/>
  <c r="R660" i="1"/>
  <c r="T659" i="1"/>
  <c r="T660" i="1" l="1"/>
  <c r="S661" i="1"/>
  <c r="R661" i="1"/>
  <c r="T661" i="1" l="1"/>
  <c r="S662" i="1"/>
  <c r="R662" i="1"/>
  <c r="T662" i="1" l="1"/>
  <c r="R663" i="1"/>
  <c r="S663" i="1"/>
  <c r="T663" i="1" l="1"/>
  <c r="R664" i="1"/>
  <c r="S664" i="1"/>
  <c r="S665" i="1" l="1"/>
  <c r="R665" i="1"/>
  <c r="T664" i="1"/>
  <c r="T665" i="1" l="1"/>
  <c r="R666" i="1"/>
  <c r="S666" i="1"/>
  <c r="T666" i="1" l="1"/>
  <c r="S667" i="1"/>
  <c r="R667" i="1"/>
  <c r="T667" i="1" l="1"/>
  <c r="R668" i="1"/>
  <c r="S668" i="1"/>
  <c r="T668" i="1" l="1"/>
  <c r="R669" i="1"/>
  <c r="S669" i="1"/>
  <c r="T669" i="1" l="1"/>
  <c r="R670" i="1"/>
  <c r="S670" i="1"/>
  <c r="T670" i="1" l="1"/>
  <c r="R671" i="1"/>
  <c r="S671" i="1"/>
  <c r="T671" i="1" l="1"/>
  <c r="S672" i="1" l="1"/>
  <c r="R672" i="1"/>
  <c r="T672" i="1" l="1"/>
  <c r="S673" i="1"/>
  <c r="R673" i="1"/>
  <c r="T673" i="1" l="1"/>
  <c r="R674" i="1"/>
  <c r="S674" i="1"/>
  <c r="T674" i="1" l="1"/>
  <c r="R675" i="1"/>
  <c r="S675" i="1"/>
  <c r="T675" i="1" l="1"/>
  <c r="R676" i="1"/>
  <c r="S676" i="1"/>
  <c r="T676" i="1" l="1"/>
  <c r="R677" i="1"/>
  <c r="S677" i="1"/>
  <c r="T677" i="1" l="1"/>
  <c r="R678" i="1"/>
  <c r="S678" i="1"/>
  <c r="T678" i="1" l="1"/>
  <c r="S679" i="1"/>
  <c r="R679" i="1"/>
  <c r="T679" i="1" l="1"/>
  <c r="R680" i="1"/>
  <c r="S680" i="1"/>
  <c r="T680" i="1" l="1"/>
  <c r="S681" i="1"/>
  <c r="R681" i="1"/>
  <c r="T681" i="1" l="1"/>
  <c r="S682" i="1"/>
  <c r="R682" i="1"/>
  <c r="R683" i="1" l="1"/>
  <c r="S683" i="1"/>
  <c r="T682" i="1"/>
  <c r="T683" i="1" l="1"/>
  <c r="R684" i="1"/>
  <c r="S684" i="1"/>
  <c r="T684" i="1" l="1"/>
  <c r="R685" i="1"/>
  <c r="S685" i="1"/>
  <c r="T685" i="1" l="1"/>
  <c r="R686" i="1"/>
  <c r="S686" i="1"/>
  <c r="R687" i="1" l="1"/>
  <c r="S687" i="1"/>
  <c r="T686" i="1"/>
  <c r="T687" i="1" l="1"/>
  <c r="S688" i="1"/>
  <c r="R688" i="1"/>
  <c r="T688" i="1" l="1"/>
  <c r="R689" i="1"/>
  <c r="S689" i="1"/>
  <c r="T689" i="1" l="1"/>
  <c r="R690" i="1"/>
  <c r="S690" i="1"/>
  <c r="R691" i="1" l="1"/>
  <c r="S691" i="1"/>
  <c r="T690" i="1"/>
  <c r="T691" i="1" l="1"/>
  <c r="S692" i="1"/>
  <c r="R692" i="1"/>
  <c r="T692" i="1" l="1"/>
  <c r="R693" i="1"/>
  <c r="S693" i="1"/>
  <c r="R694" i="1" l="1"/>
  <c r="S694" i="1"/>
  <c r="T693" i="1"/>
  <c r="T694" i="1" l="1"/>
  <c r="S695" i="1"/>
  <c r="R695" i="1"/>
  <c r="T695" i="1" l="1"/>
  <c r="R696" i="1"/>
  <c r="S696" i="1"/>
  <c r="T696" i="1" l="1"/>
  <c r="R697" i="1"/>
  <c r="S697" i="1"/>
  <c r="S698" i="1" l="1"/>
  <c r="R698" i="1"/>
  <c r="T697" i="1"/>
  <c r="T698" i="1" l="1"/>
  <c r="S699" i="1"/>
  <c r="R699" i="1"/>
  <c r="R700" i="1" l="1"/>
  <c r="S700" i="1"/>
  <c r="T699" i="1"/>
  <c r="T700" i="1" l="1"/>
  <c r="R701" i="1"/>
  <c r="S701" i="1"/>
  <c r="T701" i="1" l="1"/>
  <c r="R702" i="1"/>
  <c r="S702" i="1"/>
  <c r="R703" i="1" l="1"/>
  <c r="S703" i="1"/>
  <c r="T702" i="1"/>
  <c r="T703" i="1" l="1"/>
  <c r="S704" i="1"/>
  <c r="R704" i="1"/>
  <c r="T704" i="1" l="1"/>
  <c r="R705" i="1"/>
  <c r="S705" i="1"/>
  <c r="T705" i="1" l="1"/>
  <c r="S706" i="1"/>
  <c r="R706" i="1"/>
  <c r="T706" i="1" l="1"/>
  <c r="S707" i="1"/>
  <c r="R707" i="1"/>
  <c r="T707" i="1" l="1"/>
  <c r="R708" i="1"/>
  <c r="S708" i="1"/>
  <c r="T708" i="1" l="1"/>
  <c r="R709" i="1"/>
  <c r="S709" i="1"/>
  <c r="R710" i="1" l="1"/>
  <c r="S710" i="1"/>
  <c r="T709" i="1"/>
  <c r="T710" i="1" l="1"/>
  <c r="R711" i="1"/>
  <c r="S711" i="1"/>
  <c r="T711" i="1" l="1"/>
  <c r="S712" i="1"/>
  <c r="R712" i="1"/>
  <c r="T712" i="1" l="1"/>
  <c r="S713" i="1"/>
  <c r="R713" i="1"/>
  <c r="S714" i="1" l="1"/>
  <c r="R714" i="1"/>
  <c r="T713" i="1"/>
  <c r="T714" i="1" l="1"/>
  <c r="S715" i="1"/>
  <c r="R715" i="1"/>
  <c r="T715" i="1" l="1"/>
  <c r="R716" i="1"/>
  <c r="S716" i="1"/>
  <c r="T716" i="1" l="1"/>
  <c r="R717" i="1"/>
  <c r="S717" i="1"/>
  <c r="T717" i="1" l="1"/>
  <c r="R718" i="1"/>
  <c r="S718" i="1"/>
  <c r="R719" i="1" l="1"/>
  <c r="S719" i="1"/>
  <c r="T718" i="1"/>
  <c r="T719" i="1" l="1"/>
  <c r="R720" i="1"/>
  <c r="S720" i="1"/>
  <c r="T720" i="1" l="1"/>
  <c r="R721" i="1"/>
  <c r="S721" i="1"/>
  <c r="T721" i="1" l="1"/>
  <c r="R722" i="1"/>
  <c r="S722" i="1"/>
  <c r="T722" i="1" l="1"/>
  <c r="R723" i="1"/>
  <c r="S723" i="1"/>
  <c r="T723" i="1" l="1"/>
  <c r="R724" i="1"/>
  <c r="S724" i="1"/>
  <c r="T724" i="1" l="1"/>
  <c r="R725" i="1"/>
  <c r="S725" i="1"/>
  <c r="T725" i="1" l="1"/>
  <c r="S726" i="1"/>
  <c r="R726" i="1"/>
  <c r="T726" i="1" l="1"/>
  <c r="R727" i="1"/>
  <c r="S727" i="1"/>
  <c r="T727" i="1" l="1"/>
  <c r="S728" i="1"/>
  <c r="R728" i="1"/>
  <c r="T728" i="1" l="1"/>
  <c r="R729" i="1"/>
  <c r="S729" i="1"/>
  <c r="T729" i="1" l="1"/>
  <c r="R730" i="1"/>
  <c r="S730" i="1"/>
  <c r="T730" i="1" l="1"/>
  <c r="S731" i="1"/>
  <c r="R731" i="1"/>
  <c r="T731" i="1" l="1"/>
  <c r="S732" i="1"/>
  <c r="R732" i="1"/>
  <c r="T732" i="1" l="1"/>
  <c r="R733" i="1"/>
  <c r="S733" i="1"/>
  <c r="T733" i="1" l="1"/>
  <c r="S734" i="1"/>
  <c r="R734" i="1"/>
  <c r="S735" i="1" l="1"/>
  <c r="R735" i="1"/>
  <c r="T734" i="1"/>
  <c r="T735" i="1" l="1"/>
  <c r="R736" i="1"/>
  <c r="S736" i="1"/>
  <c r="T736" i="1" l="1"/>
  <c r="S737" i="1"/>
  <c r="R737" i="1"/>
  <c r="T737" i="1" l="1"/>
  <c r="R738" i="1"/>
  <c r="S738" i="1"/>
  <c r="T738" i="1" l="1"/>
  <c r="R739" i="1"/>
  <c r="S739" i="1"/>
  <c r="T739" i="1" l="1"/>
  <c r="S740" i="1"/>
  <c r="R740" i="1"/>
  <c r="T740" i="1" l="1"/>
  <c r="S741" i="1"/>
  <c r="R741" i="1"/>
  <c r="T741" i="1" l="1"/>
  <c r="R742" i="1"/>
  <c r="S742" i="1"/>
  <c r="T742" i="1" l="1"/>
  <c r="R743" i="1"/>
  <c r="S743" i="1"/>
  <c r="S744" i="1" l="1"/>
  <c r="R744" i="1"/>
  <c r="T743" i="1"/>
  <c r="T744" i="1" l="1"/>
  <c r="S745" i="1"/>
  <c r="R745" i="1"/>
  <c r="T745" i="1" l="1"/>
  <c r="S746" i="1"/>
  <c r="R746" i="1"/>
  <c r="T746" i="1" l="1"/>
  <c r="S747" i="1"/>
  <c r="R747" i="1"/>
  <c r="T747" i="1" l="1"/>
  <c r="S748" i="1"/>
  <c r="R748" i="1"/>
  <c r="T748" i="1" l="1"/>
  <c r="R749" i="1"/>
  <c r="S749" i="1"/>
  <c r="S750" i="1" l="1"/>
  <c r="R750" i="1"/>
  <c r="T749" i="1"/>
  <c r="T750" i="1" l="1"/>
  <c r="S751" i="1"/>
  <c r="R751" i="1"/>
  <c r="T751" i="1" l="1"/>
  <c r="S752" i="1"/>
  <c r="R752" i="1"/>
  <c r="T752" i="1" l="1"/>
  <c r="S753" i="1"/>
  <c r="R753" i="1"/>
  <c r="T753" i="1" l="1"/>
  <c r="R754" i="1"/>
  <c r="S754" i="1"/>
  <c r="T754" i="1" l="1"/>
  <c r="S755" i="1"/>
  <c r="R755" i="1"/>
  <c r="T755" i="1" l="1"/>
  <c r="S756" i="1"/>
  <c r="R756" i="1"/>
  <c r="T756" i="1" l="1"/>
  <c r="R757" i="1"/>
  <c r="S757" i="1"/>
  <c r="T757" i="1" l="1"/>
  <c r="S758" i="1"/>
  <c r="R758" i="1"/>
  <c r="R759" i="1" l="1"/>
  <c r="S759" i="1"/>
  <c r="T758" i="1"/>
  <c r="R760" i="1" l="1"/>
  <c r="S760" i="1"/>
  <c r="T759" i="1"/>
  <c r="S761" i="1" l="1"/>
  <c r="R761" i="1"/>
  <c r="T760" i="1"/>
  <c r="T761" i="1" l="1"/>
  <c r="R762" i="1"/>
  <c r="S762" i="1"/>
  <c r="T762" i="1" l="1"/>
  <c r="R763" i="1"/>
  <c r="S763" i="1"/>
  <c r="S764" i="1" l="1"/>
  <c r="R764" i="1"/>
  <c r="T763" i="1"/>
  <c r="T764" i="1" l="1"/>
  <c r="R765" i="1"/>
  <c r="S765" i="1"/>
  <c r="S766" i="1" l="1"/>
  <c r="R766" i="1"/>
  <c r="T765" i="1"/>
  <c r="T766" i="1" l="1"/>
  <c r="S767" i="1"/>
  <c r="R767" i="1"/>
  <c r="T767" i="1" l="1"/>
  <c r="R768" i="1"/>
  <c r="S768" i="1"/>
  <c r="T768" i="1" l="1"/>
  <c r="S769" i="1"/>
  <c r="R769" i="1"/>
  <c r="T769" i="1" l="1"/>
  <c r="R770" i="1"/>
  <c r="S770" i="1"/>
  <c r="T770" i="1" l="1"/>
  <c r="S771" i="1"/>
  <c r="R771" i="1"/>
  <c r="T771" i="1" l="1"/>
  <c r="R772" i="1"/>
  <c r="S772" i="1"/>
  <c r="T772" i="1" l="1"/>
  <c r="R773" i="1"/>
  <c r="S773" i="1"/>
  <c r="T773" i="1" l="1"/>
  <c r="R774" i="1"/>
  <c r="S774" i="1"/>
  <c r="R775" i="1" l="1"/>
  <c r="S775" i="1"/>
  <c r="T774" i="1"/>
  <c r="R776" i="1" l="1"/>
  <c r="S776" i="1"/>
  <c r="T775" i="1"/>
  <c r="T776" i="1" l="1"/>
  <c r="R777" i="1"/>
  <c r="S777" i="1"/>
  <c r="T777" i="1" l="1"/>
  <c r="S778" i="1"/>
  <c r="R778" i="1"/>
  <c r="T778" i="1" l="1"/>
  <c r="R779" i="1"/>
  <c r="S779" i="1"/>
  <c r="T779" i="1" l="1"/>
  <c r="R780" i="1"/>
  <c r="S780" i="1"/>
  <c r="T780" i="1" l="1"/>
  <c r="R781" i="1"/>
  <c r="S781" i="1"/>
  <c r="T781" i="1" l="1"/>
  <c r="S782" i="1"/>
  <c r="R782" i="1"/>
  <c r="S783" i="1" l="1"/>
  <c r="R783" i="1"/>
  <c r="T782" i="1"/>
  <c r="T783" i="1" l="1"/>
  <c r="S784" i="1"/>
  <c r="R784" i="1"/>
  <c r="R785" i="1" l="1"/>
  <c r="S785" i="1"/>
  <c r="T784" i="1"/>
  <c r="T785" i="1" l="1"/>
  <c r="R786" i="1"/>
  <c r="S786" i="1"/>
  <c r="T786" i="1" l="1"/>
  <c r="S787" i="1"/>
  <c r="R787" i="1"/>
  <c r="T787" i="1" l="1"/>
  <c r="S788" i="1"/>
  <c r="R788" i="1"/>
  <c r="T788" i="1" l="1"/>
  <c r="S789" i="1"/>
  <c r="R789" i="1"/>
  <c r="T789" i="1" l="1"/>
  <c r="R790" i="1"/>
  <c r="S790" i="1"/>
  <c r="T790" i="1" l="1"/>
  <c r="S791" i="1"/>
  <c r="R791" i="1"/>
  <c r="T791" i="1" l="1"/>
  <c r="R792" i="1"/>
  <c r="S792" i="1"/>
  <c r="T792" i="1" l="1"/>
  <c r="S793" i="1"/>
  <c r="R793" i="1"/>
  <c r="T793" i="1" l="1"/>
  <c r="S794" i="1"/>
  <c r="R794" i="1"/>
  <c r="T794" i="1" l="1"/>
  <c r="S795" i="1"/>
  <c r="R795" i="1"/>
  <c r="T795" i="1" l="1"/>
  <c r="R796" i="1"/>
  <c r="S796" i="1"/>
  <c r="T796" i="1" l="1"/>
  <c r="S797" i="1"/>
  <c r="R797" i="1"/>
  <c r="T797" i="1" l="1"/>
  <c r="S798" i="1"/>
  <c r="R798" i="1"/>
  <c r="T798" i="1" l="1"/>
  <c r="S799" i="1"/>
  <c r="R799" i="1"/>
  <c r="T799" i="1" l="1"/>
  <c r="R800" i="1"/>
  <c r="S800" i="1"/>
  <c r="T800" i="1" l="1"/>
  <c r="R801" i="1"/>
  <c r="S801" i="1"/>
  <c r="T801" i="1" l="1"/>
  <c r="S802" i="1"/>
  <c r="R802" i="1"/>
  <c r="T802" i="1" l="1"/>
  <c r="S803" i="1"/>
  <c r="R803" i="1"/>
  <c r="T803" i="1" l="1"/>
  <c r="R804" i="1"/>
  <c r="S804" i="1"/>
  <c r="T804" i="1" l="1"/>
  <c r="R805" i="1"/>
  <c r="S805" i="1"/>
  <c r="T805" i="1" l="1"/>
  <c r="S806" i="1"/>
  <c r="R806" i="1"/>
  <c r="T806" i="1" l="1"/>
  <c r="S807" i="1"/>
  <c r="R807" i="1"/>
  <c r="T807" i="1" l="1"/>
  <c r="R808" i="1"/>
  <c r="S808" i="1"/>
  <c r="T808" i="1" l="1"/>
  <c r="S809" i="1"/>
  <c r="R809" i="1"/>
  <c r="R810" i="1" l="1"/>
  <c r="S810" i="1"/>
  <c r="T809" i="1"/>
  <c r="T810" i="1" l="1"/>
  <c r="R811" i="1"/>
  <c r="S811" i="1"/>
  <c r="T811" i="1" l="1"/>
  <c r="R812" i="1"/>
  <c r="S812" i="1"/>
  <c r="R813" i="1" l="1"/>
  <c r="S813" i="1"/>
  <c r="T812" i="1"/>
  <c r="T813" i="1" l="1"/>
  <c r="R814" i="1"/>
  <c r="S814" i="1"/>
  <c r="R815" i="1" l="1"/>
  <c r="S815" i="1"/>
  <c r="T814" i="1"/>
  <c r="R816" i="1" l="1"/>
  <c r="S816" i="1"/>
  <c r="T815" i="1"/>
  <c r="T816" i="1" l="1"/>
  <c r="R817" i="1"/>
  <c r="S817" i="1"/>
  <c r="T817" i="1" l="1"/>
  <c r="R818" i="1"/>
  <c r="S818" i="1"/>
  <c r="T818" i="1" l="1"/>
  <c r="R819" i="1"/>
  <c r="S819" i="1"/>
  <c r="T819" i="1" l="1"/>
  <c r="S820" i="1"/>
  <c r="R820" i="1"/>
  <c r="T820" i="1" l="1"/>
  <c r="S821" i="1"/>
  <c r="R821" i="1"/>
  <c r="T821" i="1" l="1"/>
  <c r="S822" i="1"/>
  <c r="R822" i="1"/>
  <c r="S823" i="1" l="1"/>
  <c r="R823" i="1"/>
  <c r="T822" i="1"/>
  <c r="T823" i="1" l="1"/>
  <c r="R824" i="1"/>
  <c r="S824" i="1"/>
  <c r="T824" i="1" l="1"/>
  <c r="R825" i="1"/>
  <c r="S825" i="1"/>
  <c r="T825" i="1" l="1"/>
  <c r="S826" i="1"/>
  <c r="R826" i="1"/>
  <c r="T826" i="1" l="1"/>
  <c r="S827" i="1"/>
  <c r="R827" i="1"/>
  <c r="T827" i="1" l="1"/>
  <c r="S828" i="1"/>
  <c r="R828" i="1"/>
  <c r="R829" i="1" l="1"/>
  <c r="S829" i="1"/>
  <c r="T828" i="1"/>
  <c r="T829" i="1" l="1"/>
  <c r="R830" i="1"/>
  <c r="S830" i="1"/>
  <c r="T830" i="1" l="1"/>
  <c r="S831" i="1"/>
  <c r="R831" i="1"/>
  <c r="T831" i="1" l="1"/>
  <c r="R832" i="1"/>
  <c r="S832" i="1"/>
  <c r="T832" i="1" l="1"/>
  <c r="R833" i="1"/>
  <c r="S833" i="1"/>
  <c r="T833" i="1" l="1"/>
  <c r="R834" i="1"/>
  <c r="S834" i="1"/>
  <c r="T834" i="1" l="1"/>
  <c r="R835" i="1"/>
  <c r="S835" i="1"/>
  <c r="T835" i="1" l="1"/>
  <c r="R836" i="1"/>
  <c r="S836" i="1"/>
  <c r="R837" i="1" l="1"/>
  <c r="S837" i="1"/>
  <c r="T836" i="1"/>
  <c r="T837" i="1" l="1"/>
  <c r="S838" i="1"/>
  <c r="R838" i="1"/>
  <c r="T838" i="1" l="1"/>
  <c r="R839" i="1"/>
  <c r="S839" i="1"/>
  <c r="T839" i="1" l="1"/>
  <c r="R840" i="1"/>
  <c r="S840" i="1"/>
  <c r="R841" i="1" l="1"/>
  <c r="S841" i="1"/>
  <c r="T840" i="1"/>
  <c r="T841" i="1" l="1"/>
  <c r="S842" i="1"/>
  <c r="R842" i="1"/>
  <c r="T842" i="1" l="1"/>
  <c r="S843" i="1"/>
  <c r="R843" i="1"/>
  <c r="T843" i="1" l="1"/>
  <c r="S844" i="1"/>
  <c r="R844" i="1"/>
  <c r="T844" i="1" l="1"/>
  <c r="S845" i="1"/>
  <c r="R845" i="1"/>
  <c r="T845" i="1" l="1"/>
  <c r="R846" i="1"/>
  <c r="S846" i="1"/>
  <c r="T846" i="1" l="1"/>
  <c r="R847" i="1"/>
  <c r="S847" i="1"/>
  <c r="T847" i="1" l="1"/>
  <c r="R848" i="1"/>
  <c r="S848" i="1"/>
  <c r="T848" i="1" l="1"/>
  <c r="S849" i="1"/>
  <c r="R849" i="1"/>
  <c r="T849" i="1" l="1"/>
  <c r="S850" i="1"/>
  <c r="R850" i="1"/>
  <c r="T850" i="1" l="1"/>
  <c r="S851" i="1"/>
  <c r="R851" i="1"/>
  <c r="T851" i="1" l="1"/>
  <c r="S852" i="1"/>
  <c r="R852" i="1"/>
  <c r="T852" i="1" l="1"/>
  <c r="S853" i="1"/>
  <c r="R853" i="1"/>
  <c r="T853" i="1" l="1"/>
  <c r="R854" i="1"/>
  <c r="S854" i="1"/>
  <c r="S855" i="1" l="1"/>
  <c r="R855" i="1"/>
  <c r="T854" i="1"/>
  <c r="T855" i="1" l="1"/>
  <c r="R856" i="1"/>
  <c r="S856" i="1"/>
  <c r="S857" i="1" l="1"/>
  <c r="R857" i="1"/>
  <c r="T856" i="1"/>
  <c r="T857" i="1" l="1"/>
  <c r="S858" i="1"/>
  <c r="R858" i="1"/>
  <c r="T858" i="1" l="1"/>
  <c r="S859" i="1"/>
  <c r="R859" i="1"/>
  <c r="R860" i="1" l="1"/>
  <c r="S860" i="1"/>
  <c r="T859" i="1"/>
  <c r="T860" i="1" l="1"/>
  <c r="R861" i="1"/>
  <c r="S861" i="1"/>
  <c r="T861" i="1" l="1"/>
  <c r="R862" i="1"/>
  <c r="S862" i="1"/>
  <c r="T862" i="1" l="1"/>
  <c r="R863" i="1"/>
  <c r="S863" i="1"/>
  <c r="T863" i="1" l="1"/>
  <c r="S864" i="1"/>
  <c r="R864" i="1"/>
  <c r="T864" i="1" l="1"/>
  <c r="S865" i="1"/>
  <c r="R865" i="1"/>
  <c r="T865" i="1" l="1"/>
  <c r="R866" i="1"/>
  <c r="S866" i="1"/>
  <c r="R867" i="1" l="1"/>
  <c r="S867" i="1"/>
  <c r="T866" i="1"/>
  <c r="T867" i="1" l="1"/>
  <c r="R868" i="1"/>
  <c r="S868" i="1"/>
  <c r="S869" i="1" l="1"/>
  <c r="R869" i="1"/>
  <c r="T868" i="1"/>
  <c r="T869" i="1" l="1"/>
  <c r="S870" i="1"/>
  <c r="R870" i="1"/>
  <c r="T870" i="1" l="1"/>
  <c r="R871" i="1"/>
  <c r="S871" i="1"/>
  <c r="T871" i="1" l="1"/>
  <c r="R872" i="1"/>
  <c r="S872" i="1"/>
  <c r="R873" i="1" l="1"/>
  <c r="S873" i="1"/>
  <c r="T872" i="1"/>
  <c r="T873" i="1" l="1"/>
  <c r="R874" i="1"/>
  <c r="S874" i="1"/>
  <c r="T874" i="1" l="1"/>
  <c r="R875" i="1"/>
  <c r="S875" i="1"/>
  <c r="S876" i="1" l="1"/>
  <c r="R876" i="1"/>
  <c r="T875" i="1"/>
  <c r="T876" i="1" l="1"/>
  <c r="S877" i="1"/>
  <c r="R877" i="1"/>
  <c r="T877" i="1" l="1"/>
  <c r="S878" i="1"/>
  <c r="R878" i="1"/>
  <c r="T878" i="1" l="1"/>
  <c r="S879" i="1"/>
  <c r="R879" i="1"/>
  <c r="T879" i="1" l="1"/>
  <c r="T880" i="1" s="1"/>
  <c r="E39" i="14"/>
  <c r="E44" i="14"/>
  <c r="E42" i="14"/>
  <c r="E46" i="14"/>
  <c r="E26" i="14"/>
  <c r="E33" i="14"/>
  <c r="E41" i="14"/>
  <c r="E38" i="14"/>
  <c r="E16" i="14"/>
  <c r="E37" i="14"/>
  <c r="E18" i="14"/>
  <c r="E12" i="14"/>
  <c r="E25" i="14"/>
  <c r="E9" i="14"/>
  <c r="E43" i="14"/>
  <c r="E13" i="14"/>
  <c r="E29" i="14"/>
  <c r="E22" i="14"/>
  <c r="E23" i="14"/>
  <c r="E14" i="14"/>
  <c r="E24" i="14"/>
  <c r="E40" i="14"/>
  <c r="E21" i="14"/>
  <c r="E35" i="14"/>
  <c r="E36" i="14"/>
  <c r="E20" i="14"/>
  <c r="E10" i="14"/>
  <c r="E19" i="14"/>
  <c r="E45" i="14"/>
  <c r="E28" i="14"/>
  <c r="E31" i="14"/>
  <c r="E27" i="14"/>
  <c r="E32" i="14"/>
  <c r="E17" i="14"/>
  <c r="E11" i="14"/>
  <c r="E15" i="14"/>
  <c r="E30" i="14"/>
  <c r="E34" i="14"/>
</calcChain>
</file>

<file path=xl/sharedStrings.xml><?xml version="1.0" encoding="utf-8"?>
<sst xmlns="http://schemas.openxmlformats.org/spreadsheetml/2006/main" count="3643" uniqueCount="702">
  <si>
    <t>job number</t>
  </si>
  <si>
    <t>narrative</t>
  </si>
  <si>
    <t>Status</t>
  </si>
  <si>
    <t>A465</t>
  </si>
  <si>
    <t>266122-21</t>
  </si>
  <si>
    <t>Open</t>
  </si>
  <si>
    <t>A465 updates</t>
  </si>
  <si>
    <t>266122-24</t>
  </si>
  <si>
    <t>updates</t>
  </si>
  <si>
    <t>074097-29</t>
  </si>
  <si>
    <t>Bank Holiday</t>
  </si>
  <si>
    <t>BANK HOLIDAY</t>
  </si>
  <si>
    <t>BCS - promotional</t>
  </si>
  <si>
    <t>071945-07</t>
  </si>
  <si>
    <t>BCS - resource 2019</t>
  </si>
  <si>
    <t>074097-30</t>
  </si>
  <si>
    <t>Brisa</t>
  </si>
  <si>
    <t>268268-00</t>
  </si>
  <si>
    <t>262218-08</t>
  </si>
  <si>
    <t>CIV Span 31 Level 2 assessment quote.</t>
  </si>
  <si>
    <t>CP - Assessment</t>
  </si>
  <si>
    <t>215526-27</t>
  </si>
  <si>
    <t>de Locht</t>
  </si>
  <si>
    <t>265675-00</t>
  </si>
  <si>
    <t>Closed</t>
  </si>
  <si>
    <t>Engagement cohort</t>
  </si>
  <si>
    <t>074103-30</t>
  </si>
  <si>
    <t>Galecopper</t>
  </si>
  <si>
    <t>260258-47</t>
  </si>
  <si>
    <t>Galecopper - joints and bearings</t>
  </si>
  <si>
    <t>260258-41</t>
  </si>
  <si>
    <t>Gatwick</t>
  </si>
  <si>
    <t>264520-00</t>
  </si>
  <si>
    <t>Hatta</t>
  </si>
  <si>
    <t>77616-41</t>
  </si>
  <si>
    <t>HCC - Asset management</t>
  </si>
  <si>
    <t>254304-44</t>
  </si>
  <si>
    <t>HCC - Lower Kings Rd</t>
  </si>
  <si>
    <t>255670-17</t>
  </si>
  <si>
    <t>62253553-10L</t>
  </si>
  <si>
    <t>HCC - Nazeing</t>
  </si>
  <si>
    <t>236808-69</t>
  </si>
  <si>
    <t>HCC - Nursery Ln</t>
  </si>
  <si>
    <t>254304-79</t>
  </si>
  <si>
    <t xml:space="preserve">70050041-20R </t>
  </si>
  <si>
    <t>HCC - Paul Cully</t>
  </si>
  <si>
    <t>254304-96</t>
  </si>
  <si>
    <t xml:space="preserve">70050943-10L </t>
  </si>
  <si>
    <t>HCC - Weston Hills Tunnel</t>
  </si>
  <si>
    <t>246233-56</t>
  </si>
  <si>
    <t>HS2 Ph2b</t>
  </si>
  <si>
    <t>254841-07</t>
  </si>
  <si>
    <t>Infra BIM</t>
  </si>
  <si>
    <t>077616-63</t>
  </si>
  <si>
    <t>Infra Meetings (infra meeting, group meeting)</t>
  </si>
  <si>
    <t>074764-02</t>
  </si>
  <si>
    <t>technical support</t>
  </si>
  <si>
    <t>Interview</t>
  </si>
  <si>
    <t>Intro to bridges</t>
  </si>
  <si>
    <t>252076-05</t>
  </si>
  <si>
    <t>KSC - PM</t>
  </si>
  <si>
    <t>268017-10</t>
  </si>
  <si>
    <t>KSC - Tunnel</t>
  </si>
  <si>
    <t xml:space="preserve">268017-25 </t>
  </si>
  <si>
    <t>tunnels</t>
  </si>
  <si>
    <t>Leave</t>
  </si>
  <si>
    <t>LEAVE</t>
  </si>
  <si>
    <t>M25 West MSA</t>
  </si>
  <si>
    <t>255375-00</t>
  </si>
  <si>
    <t>SHB - Existing</t>
  </si>
  <si>
    <t>239230-42</t>
  </si>
  <si>
    <t>SMP</t>
  </si>
  <si>
    <t>261723-02</t>
  </si>
  <si>
    <t>Suurhoffbrug</t>
  </si>
  <si>
    <t>239230-40</t>
  </si>
  <si>
    <t>swindon d&amp;b</t>
  </si>
  <si>
    <t>601701-23</t>
  </si>
  <si>
    <t>VBB -  extra fatgiue work</t>
  </si>
  <si>
    <t>265720-01</t>
  </si>
  <si>
    <t>VBB - Assessment</t>
  </si>
  <si>
    <t>265720-20</t>
  </si>
  <si>
    <t>VBB - Design Basis</t>
  </si>
  <si>
    <t>265720-10</t>
  </si>
  <si>
    <t>VBB 3rd - new bridge</t>
  </si>
  <si>
    <t>210035-51</t>
  </si>
  <si>
    <t>VBB 3rd - new bridge VO</t>
  </si>
  <si>
    <t>210035-64</t>
  </si>
  <si>
    <t>Waalbrug</t>
  </si>
  <si>
    <t>259933-00</t>
  </si>
  <si>
    <t>structural safety support system</t>
  </si>
  <si>
    <t>WLW</t>
  </si>
  <si>
    <t>264744-00</t>
  </si>
  <si>
    <t>WMRE lot 6</t>
  </si>
  <si>
    <t>601593-72</t>
  </si>
  <si>
    <t>VBB Afkeurmemo Oostbrug</t>
  </si>
  <si>
    <t xml:space="preserve">210035-58 </t>
  </si>
  <si>
    <t>format</t>
  </si>
  <si>
    <t>Narrative</t>
  </si>
  <si>
    <t>CAFA</t>
  </si>
  <si>
    <t>Total</t>
  </si>
  <si>
    <t>Wed</t>
  </si>
  <si>
    <t>Tue</t>
  </si>
  <si>
    <t>Thu</t>
  </si>
  <si>
    <t>VBB 3rd - new bridge Total</t>
  </si>
  <si>
    <t>Mon</t>
  </si>
  <si>
    <t>KSC - Tunnel Total</t>
  </si>
  <si>
    <t>Fri</t>
  </si>
  <si>
    <t>(blank)</t>
  </si>
  <si>
    <t>VBB Afkeurmemo Oostbrug Total</t>
  </si>
  <si>
    <t>VBB - Assessment Total</t>
  </si>
  <si>
    <t>KSC - PM Total</t>
  </si>
  <si>
    <t>HCC - Nazeing Total</t>
  </si>
  <si>
    <t>Leave Total</t>
  </si>
  <si>
    <t>Bank Holiday Total</t>
  </si>
  <si>
    <t>BCS - resource 2019 Total</t>
  </si>
  <si>
    <t>Brisa Total</t>
  </si>
  <si>
    <t>BCS - promotional Total</t>
  </si>
  <si>
    <t>HCC - Lower Kings Rd Total</t>
  </si>
  <si>
    <t>CP - Assessment Total</t>
  </si>
  <si>
    <t>VBB - Design Basis Total</t>
  </si>
  <si>
    <t>A465 updates Total</t>
  </si>
  <si>
    <t>VBB -  extra fatgiue work Total</t>
  </si>
  <si>
    <t>WMRE lot 6 Total</t>
  </si>
  <si>
    <t>M25 West MSA Total</t>
  </si>
  <si>
    <t>SMP Total</t>
  </si>
  <si>
    <t>A465 Total</t>
  </si>
  <si>
    <t>SHB - Existing Total</t>
  </si>
  <si>
    <t>Gatwick Total</t>
  </si>
  <si>
    <t>#N/A</t>
  </si>
  <si>
    <t>HCC - Paul Cully Total</t>
  </si>
  <si>
    <t>Waalbrug Total</t>
  </si>
  <si>
    <t>WLW Total</t>
  </si>
  <si>
    <t>Interview Total</t>
  </si>
  <si>
    <t>Infra BIM Total</t>
  </si>
  <si>
    <t>Galecopper - joints and bearings Total</t>
  </si>
  <si>
    <t>de Locht Total</t>
  </si>
  <si>
    <t>HCC - Weston Hills Tunnel Total</t>
  </si>
  <si>
    <t>Galecopper Total</t>
  </si>
  <si>
    <t>HCC - Nursery Ln Total</t>
  </si>
  <si>
    <t>swindon d&amp;b Total</t>
  </si>
  <si>
    <t>Hatta Total</t>
  </si>
  <si>
    <t>Suurhoffbrug Total</t>
  </si>
  <si>
    <t>Engagement cohort Total</t>
  </si>
  <si>
    <t>HCC - Asset management Total</t>
  </si>
  <si>
    <t>HS2 Ph2b Total</t>
  </si>
  <si>
    <t>CAFA Total</t>
  </si>
  <si>
    <t>Intro to bridges Total</t>
  </si>
  <si>
    <t>Grand Total</t>
  </si>
  <si>
    <t>2019</t>
  </si>
  <si>
    <t>Jan</t>
  </si>
  <si>
    <t>Feb</t>
  </si>
  <si>
    <t>Mar</t>
  </si>
  <si>
    <t>May</t>
  </si>
  <si>
    <t>2018</t>
  </si>
  <si>
    <t>Dec</t>
  </si>
  <si>
    <t>Nov</t>
  </si>
  <si>
    <t>Apr</t>
  </si>
  <si>
    <t>Aug</t>
  </si>
  <si>
    <t>Jun</t>
  </si>
  <si>
    <t>Jul</t>
  </si>
  <si>
    <t>Oct</t>
  </si>
  <si>
    <t>Sep</t>
  </si>
  <si>
    <t>VBB 3rd - new bridge VO Total</t>
  </si>
  <si>
    <t>2020</t>
  </si>
  <si>
    <t>210035-65</t>
  </si>
  <si>
    <t>Melbourne Metro - Latrobe</t>
  </si>
  <si>
    <t xml:space="preserve">257677-59 </t>
  </si>
  <si>
    <t>P74 check</t>
  </si>
  <si>
    <t>assessment check</t>
  </si>
  <si>
    <t>DayNo</t>
  </si>
  <si>
    <t>Year</t>
  </si>
  <si>
    <t>WkNo</t>
  </si>
  <si>
    <t>WkRef</t>
  </si>
  <si>
    <t>WkEnd</t>
  </si>
  <si>
    <t>Date</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</si>
  <si>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</si>
  <si>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</si>
  <si>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</si>
  <si>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</si>
  <si>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</si>
  <si>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</si>
  <si>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</si>
  <si>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</si>
  <si>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</si>
  <si>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</si>
  <si>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</si>
  <si>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</si>
  <si>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</si>
  <si>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</si>
  <si>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</si>
  <si>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</si>
  <si>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</si>
  <si>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</si>
  <si>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</si>
  <si>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</si>
  <si>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</si>
  <si>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</si>
  <si>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</si>
  <si>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</si>
  <si>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</si>
  <si>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</si>
  <si>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</si>
  <si>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</si>
  <si>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management meeting</t>
  </si>
  <si>
    <t>Review of springing  point note by Andrea</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</si>
  <si>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</si>
  <si>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</si>
  <si>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</si>
  <si>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</si>
  <si>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</si>
  <si>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</si>
  <si>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</si>
  <si>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</si>
  <si>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</si>
  <si>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 xml:space="preserve">Edmonton </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</si>
  <si>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</si>
  <si>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</si>
  <si>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</si>
  <si>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</si>
  <si>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</si>
  <si>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</si>
  <si>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</si>
  <si>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</si>
  <si>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</si>
  <si>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fatigue of bearing deck connection studs</t>
  </si>
  <si>
    <t>VBB RWS weekly design meeting | hanger loss note</t>
  </si>
  <si>
    <t>VBB review of wind loads</t>
  </si>
  <si>
    <t>BCST management meeting</t>
  </si>
  <si>
    <t>VBB Hanger loads, speak to kevin, modelling update</t>
  </si>
  <si>
    <t>VBB wp1 update meeting | discussion about incorporating architects arch geometry into model and construction stage.</t>
  </si>
  <si>
    <t>IM Digital | bi-weekly catch-up</t>
  </si>
  <si>
    <t xml:space="preserve">
MM | north adits redesign briefing</t>
  </si>
  <si>
    <t>VBB Hanger connection | staging models and note</t>
  </si>
  <si>
    <t>12/07/2020 Total</t>
  </si>
  <si>
    <t>05/07/2020 Total</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</si>
  <si>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</si>
  <si>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</si>
  <si>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</si>
  <si>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</si>
  <si>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19/07/2020 Total</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</si>
  <si>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</si>
  <si>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</si>
  <si>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</si>
  <si>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VBB architecture meeting | started revewing staging note
BCS Management meeting | architecture meeting - decided to consider option with a straigth into a single curve at the portal locations</t>
  </si>
  <si>
    <t>Personal development plan</t>
  </si>
  <si>
    <t>VBB RWS Comments | work an staging and arch geometry | wind loads</t>
  </si>
  <si>
    <t>VBB WP1/WP2 progress meeting</t>
  </si>
  <si>
    <t>VBB VO report update</t>
  </si>
  <si>
    <t>VBB arch comparison with architect | design basis updates</t>
  </si>
  <si>
    <t>26/07/2020 Total</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</si>
  <si>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</si>
  <si>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</si>
  <si>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</si>
  <si>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</si>
  <si>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</si>
  <si>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 | review of fire section</t>
  </si>
  <si>
    <t>ICE Annual Review with Kirstin</t>
  </si>
  <si>
    <t>VBB DEsign Basis update | Fire section updated to remove design suggestions and focus on design basis assumptions - decided with Daan not to include numbers</t>
  </si>
  <si>
    <t>VBB construction staging | added revised DB to DO report</t>
  </si>
  <si>
    <t>02/08/2020 Total</t>
  </si>
  <si>
    <t>MM verification of fe model loading</t>
  </si>
  <si>
    <t xml:space="preserve">vbb  modeling checklist | review of model </t>
  </si>
  <si>
    <t>Melbourne metro model initial review of loads</t>
  </si>
  <si>
    <t>VBB modelling| construction staging</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</si>
  <si>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</si>
  <si>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</si>
  <si>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</si>
  <si>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</si>
  <si>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</si>
  <si>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</si>
  <si>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</si>
  <si>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</si>
  <si>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</si>
  <si>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</si>
  <si>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</si>
  <si>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</si>
  <si>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09/08/2020 Total</t>
  </si>
  <si>
    <t xml:space="preserve">VBB wp1/wp2 meetings | internal review documents | base model </t>
  </si>
  <si>
    <t>VBB design basis updates | post processing results</t>
  </si>
  <si>
    <t>VBB design basis updates | post processing results | meeting with RWS</t>
  </si>
  <si>
    <t>VBB post processing preparation</t>
  </si>
  <si>
    <t>16/08/2020 Total</t>
  </si>
  <si>
    <t>VBB | design basis update</t>
  </si>
  <si>
    <t>VBB | | fire note update | WP1 catch-up on arch geometry</t>
  </si>
  <si>
    <t>VBB | model review responses | report update | verifications</t>
  </si>
  <si>
    <t>VBB | expansion joint review of results and requirements. preparation for meeting with Frank van Beek.</t>
  </si>
  <si>
    <t>VBB | catch up WP1/WP2 | catch up for WP1 |  meeting to discuss arch geometry - whether to consider final situation after permanenet loads or fabrication levels</t>
  </si>
  <si>
    <t>VBB | Arch geometry. Decided to vary middle span segment to match point cloud. If per asbuilt drg, arch would e higher than WBBb. | Movement WBBbO at P10 cross girder C in the middle. Using Node IE instead of BIE</t>
  </si>
  <si>
    <t>appraisal catch-up</t>
  </si>
  <si>
    <t>VBB | Expansion joint meeting. Agreed to use FLM1 and limit the angle to 7.6deg | Catch up meeting for WP1</t>
  </si>
  <si>
    <t>VBB | general catch-up
BCST Digital | catch-up with DJ and Andy</t>
  </si>
  <si>
    <t>BCST Appraisal</t>
  </si>
  <si>
    <t>30/08/2020 Total</t>
  </si>
  <si>
    <t>VBB | wp1/wp2 update meeting | arch geometry discussion with Andrea</t>
  </si>
  <si>
    <t>VBB | design basis update - connections and hanger | wp1 meeting and plan for week</t>
  </si>
  <si>
    <t>VBB | design basis - update to hanger loads and verification parts. Added friction chapter</t>
  </si>
  <si>
    <t>VBB | design basis update | verification sheets update</t>
  </si>
  <si>
    <t>VBB | design basis updates</t>
  </si>
  <si>
    <t>VBB | design basis | verifications</t>
  </si>
  <si>
    <t>personal 
VBB | verifications</t>
  </si>
  <si>
    <t>VBB | verification sheets update | amsterdam serveer outage | arch geometry update</t>
  </si>
  <si>
    <t>06/09/2020 Total</t>
  </si>
  <si>
    <t>VBB | update of verification sheets
worked on updating all sheets. added required spreadsheets and scripts. discussed with andrea to ensure the latest are considered</t>
  </si>
  <si>
    <t>VBB | Verification sheets
Updated verification sheets from VO&gt; COllected all latest ones, to start from a clean position. Recorded in verification sheet list</t>
  </si>
  <si>
    <t>VBB | Update of verification sheets
Arch verification sheet
Other | first day back in the office.</t>
  </si>
  <si>
    <t>VBB | verifications update | arch geometry meeting
completed verification register. started plan for verification following first ox run</t>
  </si>
  <si>
    <t>VBB | Construction staging model
Reviwed staging model prepared by Ying. Deck restrained when on temporary supports. Don't think this is correct. Will need to Review</t>
  </si>
  <si>
    <t>BIM MM meeting
VBB | BIM Scrum | arch geometry | construction sequence model with ying</t>
  </si>
  <si>
    <t>VBB | Design Report
Seeting up of design report structure. Appendix Layout</t>
  </si>
  <si>
    <t>VBB | deisgn report and verifications
Copied technical notes on joints, construction staging and hanger loss ito report.</t>
  </si>
  <si>
    <t>VBB | report update | verifications planning
BCST | human factors meeting about team morale</t>
  </si>
  <si>
    <t>VBB | verification sheets | ox run influence effects</t>
  </si>
  <si>
    <t>13/09/2020 Total</t>
  </si>
  <si>
    <t>VBB | verifications | fire CFD meeting
preparation for fire CFD analysis update, highlighted main issues - wind, scenarios, structural assessment, protection measure specification
IM Digital</t>
  </si>
  <si>
    <t>VBB | post processing results
main girders not working</t>
  </si>
  <si>
    <t>VBB | Postprocessing
Investigation into postprocessing results. MG stresses approx. 400MPa. Trying to determine why such an increase since VO. Seems the VO results were incorrect.</t>
  </si>
  <si>
    <t>VBB | systems engineering update | fire note | main girder optimisation</t>
  </si>
  <si>
    <t>VBB | postprocessing
Running of BIE for second run of VBB. Main girder and arch sizes modified.
BCST | resource management meeting</t>
  </si>
  <si>
    <t>VBB | Model rerun
reruning model for updated main girder and ach sections. Also investigated docx complier script, can't get docx module to work....</t>
  </si>
  <si>
    <t>VBB | ox run | arch verification - stiffener</t>
  </si>
  <si>
    <t>VBB | postprocessing results
BCST | management meeting</t>
  </si>
  <si>
    <t>VBB | design basis (final time...)</t>
  </si>
  <si>
    <t>20/09/2020 Total</t>
  </si>
  <si>
    <t>VBB | WP1/WP2 updae | Main Girder model update
Investigated why OX results showing increases in stress when sections increased. Found that some load cases were being counted twice, so doublecounting some results.</t>
  </si>
  <si>
    <t>VBB | Verifications for checking | report update to include DB</t>
  </si>
  <si>
    <t>VBB | review of OX results
Improved results for arch and main girder. Will begin review of other sections.</t>
  </si>
  <si>
    <t>VBB | report | arch and MG design | arch verifiaction</t>
  </si>
  <si>
    <t>VBB | arh main girder optimisation</t>
  </si>
  <si>
    <t>VBB | arch verifications</t>
  </si>
  <si>
    <t>VBB | main girder and arch sizing
Still encoutering problems with the level of stres in the arches and main girder. Especially close to the springing. To revise sections an re-rerun</t>
  </si>
  <si>
    <t>VBB | Cross girder verifications</t>
  </si>
  <si>
    <t>VBB | cross girder and wind bracing verifications</t>
  </si>
  <si>
    <t>VBB | wind bracing verifications | meeting to discuss verification process</t>
  </si>
  <si>
    <t>VBB | MG initial rerun</t>
  </si>
  <si>
    <t>BCST | Liana meeting | Engagement meeting</t>
  </si>
  <si>
    <t>BCST | Management meeting</t>
  </si>
  <si>
    <t>VBB | cross girders</t>
  </si>
  <si>
    <t xml:space="preserve">ICE | James Walley mock
</t>
  </si>
  <si>
    <t>04/10/2020 Total</t>
  </si>
  <si>
    <t>27/09/2020 Total</t>
  </si>
  <si>
    <t>VBB | portal verification</t>
  </si>
  <si>
    <t>VBB | portal verifications | arch stiffening</t>
  </si>
  <si>
    <t>VBB | RWS progress meeting | plan meeting | arch stiffening</t>
  </si>
  <si>
    <t>VBB | self weight checks</t>
  </si>
  <si>
    <t>VBB | self weight verifications</t>
  </si>
  <si>
    <t>VBB | self weight summary
BCST | Startegy meeting</t>
  </si>
  <si>
    <t>VBB | bearing reaction summary | model checks</t>
  </si>
  <si>
    <t>VBB | model updates following reactions | tools update</t>
  </si>
  <si>
    <t>Project_Name</t>
  </si>
  <si>
    <t>Journal</t>
  </si>
  <si>
    <t>VBB_DO</t>
  </si>
  <si>
    <t>update of model | bearing reactions check</t>
  </si>
  <si>
    <t>WP1/WP2 meeting</t>
  </si>
  <si>
    <t>11/10/2020 Total</t>
  </si>
  <si>
    <t>joe bloor mock | technical strategy update</t>
  </si>
  <si>
    <t>model update | lists and section properties</t>
  </si>
  <si>
    <t>update to bearing and joint tools | model update</t>
  </si>
  <si>
    <t>bearing schedule update</t>
  </si>
  <si>
    <t>model re-run</t>
  </si>
  <si>
    <t>Charge_Code</t>
  </si>
  <si>
    <t>Project_ID</t>
  </si>
  <si>
    <t>Column1</t>
  </si>
  <si>
    <t>(25-050)</t>
  </si>
  <si>
    <t>MC VBB WP1: DO-nota West</t>
  </si>
  <si>
    <t>Charge Code</t>
  </si>
  <si>
    <t>Normal Time</t>
  </si>
  <si>
    <t>210035-65 MC VBB WP1: DO-nota West (25-050)</t>
  </si>
  <si>
    <t>(01-124)</t>
  </si>
  <si>
    <t>071945-07 BCS - management (01-124)</t>
  </si>
  <si>
    <t>Years</t>
  </si>
  <si>
    <t>&lt;29/10/2018</t>
  </si>
  <si>
    <t>Job No</t>
  </si>
  <si>
    <t>Project Name</t>
  </si>
  <si>
    <t>LEAVE Leave (00-000)</t>
  </si>
  <si>
    <t>074097-29 BCST Appraisal (00-000)</t>
  </si>
  <si>
    <t>257677-59  Melbourne Metro - Latrobe (00-000)</t>
  </si>
  <si>
    <t>BCS - management Total</t>
  </si>
  <si>
    <t>BCST Appraisal Total</t>
  </si>
  <si>
    <t>Edmonton  Total</t>
  </si>
  <si>
    <t>MC VBB WP1: DO-nota West Total</t>
  </si>
  <si>
    <t>Melbourne Metro - Latrobe Total</t>
  </si>
  <si>
    <t>AMS Support</t>
  </si>
  <si>
    <t>000000-00</t>
  </si>
  <si>
    <t>Joint spreadsheet</t>
  </si>
  <si>
    <t>model rerun</t>
  </si>
  <si>
    <t>leadership meeting</t>
  </si>
  <si>
    <t>engagement</t>
  </si>
  <si>
    <t>Ox results</t>
  </si>
  <si>
    <t>LEADERSHIP &amp; MANAGEMENT CC124</t>
  </si>
  <si>
    <t>TRAINING (In-house training)</t>
  </si>
  <si>
    <t>074097-30 LEADERSHIP &amp; MANAGEMENT CC124 (01-124)</t>
  </si>
  <si>
    <t>LEADERSHIP &amp; MANAGEMENT CC124 Total</t>
  </si>
  <si>
    <t>TRAINING (In-house training) Total</t>
  </si>
  <si>
    <t>Time Type</t>
  </si>
  <si>
    <t>266122-21 A465 (00-000)</t>
  </si>
  <si>
    <t>266122-24 A465 updates (00-000)</t>
  </si>
  <si>
    <t>000000-00 AMS Support (00-000)</t>
  </si>
  <si>
    <t>BANK HOLIDAY Bank Holiday (00-000)</t>
  </si>
  <si>
    <t>071945-07 BCS - promotional (00-000)</t>
  </si>
  <si>
    <t>074097-30 BCS - resource 2019 (00-000)</t>
  </si>
  <si>
    <t>268268-00 Brisa (00-000)</t>
  </si>
  <si>
    <t>262218-08 CAFA (00-000)</t>
  </si>
  <si>
    <t>215526-27 CP - Assessment (01-124)</t>
  </si>
  <si>
    <t>265675-00 de Locht (00-000)</t>
  </si>
  <si>
    <t>249980-13 Edmonton  (00-000)</t>
  </si>
  <si>
    <t>074103-30 Engagement cohort (00-000)</t>
  </si>
  <si>
    <t>260258-47 Galecopper (00-000)</t>
  </si>
  <si>
    <t>260258-41 Galecopper - joints and bearings (00-000)</t>
  </si>
  <si>
    <t>264520-00 Gatwick (00-000)</t>
  </si>
  <si>
    <t>77616-41 Hatta (00-000)</t>
  </si>
  <si>
    <t>254304-44 HCC - Asset management (00-000)</t>
  </si>
  <si>
    <t>255670-17 HCC - Lower Kings Rd (00-000)</t>
  </si>
  <si>
    <t>236808-69 HCC - Nazeing (00-000)</t>
  </si>
  <si>
    <t>254304-79 HCC - Nursery Ln (00-000)</t>
  </si>
  <si>
    <t>254304-96 HCC - Paul Cully (00-000)</t>
  </si>
  <si>
    <t>246233-56 HCC - Weston Hills Tunnel (00-000)</t>
  </si>
  <si>
    <t>254841-07 HS2 Ph2b (00-000)</t>
  </si>
  <si>
    <t>077616-63 Infra BIM (00-000)</t>
  </si>
  <si>
    <t>Interview (00-000)</t>
  </si>
  <si>
    <t>252076-05 Intro to bridges (00-000)</t>
  </si>
  <si>
    <t>268017-10 KSC - PM (00-000)</t>
  </si>
  <si>
    <t>268017-25  KSC - Tunnel (00-000)</t>
  </si>
  <si>
    <t>255375-00 M25 West MSA (00-000)</t>
  </si>
  <si>
    <t>239230-42 SHB - Existing (00-000)</t>
  </si>
  <si>
    <t>261723-02 SMP (00-000)</t>
  </si>
  <si>
    <t>239230-40 Suurhoffbrug (00-000)</t>
  </si>
  <si>
    <t>601701-23 swindon d&amp;b (00-000)</t>
  </si>
  <si>
    <t>265720-01 VBB -  extra fatgiue work (00-000)</t>
  </si>
  <si>
    <t>265720-20 VBB - Assessment (00-000)</t>
  </si>
  <si>
    <t>265720-10 VBB - Design Basis (00-000)</t>
  </si>
  <si>
    <t>210035-51 VBB 3rd - new bridge (00-000)</t>
  </si>
  <si>
    <t>210035-64 VBB 3rd - new bridge VO (00-000)</t>
  </si>
  <si>
    <t>210035-58  VBB Afkeurmemo Oostbrug (00-000)</t>
  </si>
  <si>
    <t>259933-00 Waalbrug (00-000)</t>
  </si>
  <si>
    <t>264744-00 WLW (00-000)</t>
  </si>
  <si>
    <t>601593-72 WMRE lot 6 (00-000)</t>
  </si>
  <si>
    <t>hr_mo</t>
  </si>
  <si>
    <t>hr_tu</t>
  </si>
  <si>
    <t>hr_we</t>
  </si>
  <si>
    <t>hr_th</t>
  </si>
  <si>
    <t>hr_fr</t>
  </si>
  <si>
    <t>training</t>
  </si>
  <si>
    <t>vbb_do</t>
  </si>
  <si>
    <t>bcst_man</t>
  </si>
  <si>
    <t>leave</t>
  </si>
  <si>
    <t>melbourne metro - latrobe</t>
  </si>
  <si>
    <t xml:space="preserve">edmonton </t>
  </si>
  <si>
    <t>hcc - lower kings rd</t>
  </si>
  <si>
    <t>hcc - weston hills tunnel</t>
  </si>
  <si>
    <t>bank holiday</t>
  </si>
  <si>
    <t>hcc - paul cully</t>
  </si>
  <si>
    <t>vbb 3rd - new bridge vo</t>
  </si>
  <si>
    <t>intro to bridges</t>
  </si>
  <si>
    <t>ksc - tunnel</t>
  </si>
  <si>
    <t>vbb 3rd - new bridge</t>
  </si>
  <si>
    <t>m25 west msa</t>
  </si>
  <si>
    <t>vbb afkeurmemo oostbrug</t>
  </si>
  <si>
    <t>ksc - pm</t>
  </si>
  <si>
    <t>vbb - assessment</t>
  </si>
  <si>
    <t>hcc - nazeing</t>
  </si>
  <si>
    <t>brisa</t>
  </si>
  <si>
    <t>cp - assessment</t>
  </si>
  <si>
    <t>vbb - design basis</t>
  </si>
  <si>
    <t>cafa</t>
  </si>
  <si>
    <t>a465 updates</t>
  </si>
  <si>
    <t>wmre lot 6</t>
  </si>
  <si>
    <t>vbb -  extra fatgiue work</t>
  </si>
  <si>
    <t>smp</t>
  </si>
  <si>
    <t>a465</t>
  </si>
  <si>
    <t>gatwick</t>
  </si>
  <si>
    <t>shb - existing</t>
  </si>
  <si>
    <t>wlw</t>
  </si>
  <si>
    <t>ams support</t>
  </si>
  <si>
    <t>waalbrug</t>
  </si>
  <si>
    <t>interview</t>
  </si>
  <si>
    <t>galecopper - joints and b</t>
  </si>
  <si>
    <t>infra bim</t>
  </si>
  <si>
    <t>de locht</t>
  </si>
  <si>
    <t>galecopper</t>
  </si>
  <si>
    <t>hcc - nursery ln</t>
  </si>
  <si>
    <t>hatta</t>
  </si>
  <si>
    <t>suurhoffbrug</t>
  </si>
  <si>
    <t>engagement cohort</t>
  </si>
  <si>
    <t>hcc - asset management</t>
  </si>
  <si>
    <t>hs2 ph2b</t>
  </si>
  <si>
    <t>infra meetings (infra mee</t>
  </si>
  <si>
    <t>wp1-wp2 meeting</t>
  </si>
  <si>
    <t>ox results - error in GSA</t>
  </si>
  <si>
    <t>verifications plan</t>
  </si>
  <si>
    <t>CoG | staging | ox results</t>
  </si>
  <si>
    <t>architecture meeting</t>
  </si>
  <si>
    <t>new ox run processing</t>
  </si>
  <si>
    <t>rws weekly meeting</t>
  </si>
  <si>
    <t>new ox run | buckling</t>
  </si>
  <si>
    <t>processing ox results</t>
  </si>
  <si>
    <t>bearing reactions for wp3</t>
  </si>
  <si>
    <t>ox results</t>
  </si>
  <si>
    <t>management meeting and digital</t>
  </si>
  <si>
    <t>cross girder verifications</t>
  </si>
  <si>
    <t>Completed ox runs following modifications for DO design basis | Started verifications for detailed design</t>
  </si>
  <si>
    <t>wp1/wp2 update meetings</t>
  </si>
  <si>
    <t>wind bracing verifications</t>
  </si>
  <si>
    <t>started verification of sections following final run. Andrea is working on Arch and Main Girders. I am working on other sections. Ying is looking into hanger loss. A new engineer, Maureen Klomp has joined the team to work on the design of the arch springing. Looking forward to the next few weeks.</t>
  </si>
  <si>
    <t>cross girder verification</t>
  </si>
  <si>
    <t>hanger loss</t>
  </si>
  <si>
    <t>25/10/2020 Total</t>
  </si>
  <si>
    <t>18/10/2020 Total</t>
  </si>
  <si>
    <t>AMS Support Total</t>
  </si>
  <si>
    <t>#N/A Total</t>
  </si>
  <si>
    <t>28/06/2020 Total</t>
  </si>
  <si>
    <t>21/06/2020 Total</t>
  </si>
  <si>
    <t>14/06/2020 Total</t>
  </si>
  <si>
    <t>07/06/2020 Total</t>
  </si>
  <si>
    <t>31/05/2020 Total</t>
  </si>
  <si>
    <t>24/05/2020 Total</t>
  </si>
  <si>
    <t>17/05/2020 Total</t>
  </si>
  <si>
    <t>10/05/2020 Total</t>
  </si>
  <si>
    <t>03/05/2020 Total</t>
  </si>
  <si>
    <t>26/04/2020 Total</t>
  </si>
  <si>
    <t>19/04/2020 Total</t>
  </si>
  <si>
    <t>12/04/2020 Total</t>
  </si>
  <si>
    <t>05/04/2020 Total</t>
  </si>
  <si>
    <t>29/03/2020 Total</t>
  </si>
  <si>
    <t>22/03/2020 Total</t>
  </si>
  <si>
    <t>15/03/2020 Total</t>
  </si>
  <si>
    <t>08/03/2020 Total</t>
  </si>
  <si>
    <t>01/03/2020 Total</t>
  </si>
  <si>
    <t>23/02/2020 Total</t>
  </si>
  <si>
    <t>16/02/2020 Total</t>
  </si>
  <si>
    <t>09/02/2020 Total</t>
  </si>
  <si>
    <t>02/02/2020 Total</t>
  </si>
  <si>
    <t>26/01/2020 Total</t>
  </si>
  <si>
    <t>19/01/2020 Total</t>
  </si>
  <si>
    <t>12/01/2020 Total</t>
  </si>
  <si>
    <t>05/01/2020 Total</t>
  </si>
  <si>
    <t>29/12/2019 Total</t>
  </si>
  <si>
    <t>22/12/2019 Total</t>
  </si>
  <si>
    <t>15/12/2019 Total</t>
  </si>
  <si>
    <t>08/12/2019 Total</t>
  </si>
  <si>
    <t>01/12/2019 Total</t>
  </si>
  <si>
    <t>24/11/2019 Total</t>
  </si>
  <si>
    <t>17/11/2019 Total</t>
  </si>
  <si>
    <t>10/11/2019 Total</t>
  </si>
  <si>
    <t>03/11/2019 Total</t>
  </si>
  <si>
    <t>27/10/2019 Total</t>
  </si>
  <si>
    <t>20/10/2019 Total</t>
  </si>
  <si>
    <t>13/10/2019 Total</t>
  </si>
  <si>
    <t>06/10/2019 Total</t>
  </si>
  <si>
    <t>29/09/2019 Total</t>
  </si>
  <si>
    <t>22/09/2019 Total</t>
  </si>
  <si>
    <t>15/09/2019 Total</t>
  </si>
  <si>
    <t>08/09/2019 Total</t>
  </si>
  <si>
    <t>01/09/2019 Total</t>
  </si>
  <si>
    <t>25/08/2019 Total</t>
  </si>
  <si>
    <t>18/08/2019 Total</t>
  </si>
  <si>
    <t>11/08/2019 Total</t>
  </si>
  <si>
    <t>04/08/2019 Total</t>
  </si>
  <si>
    <t>28/07/2019 Total</t>
  </si>
  <si>
    <t>21/07/2019 Total</t>
  </si>
  <si>
    <t>14/07/2019 Total</t>
  </si>
  <si>
    <t>07/07/2019 Total</t>
  </si>
  <si>
    <t>30/06/2019 Total</t>
  </si>
  <si>
    <t>23/06/2019 Total</t>
  </si>
  <si>
    <t>16/06/2019 Total</t>
  </si>
  <si>
    <t>09/06/2019 Total</t>
  </si>
  <si>
    <t>02/06/2019 Total</t>
  </si>
  <si>
    <t>26/05/2019 Total</t>
  </si>
  <si>
    <t>19/05/2019 Total</t>
  </si>
  <si>
    <t>12/05/2019 Total</t>
  </si>
  <si>
    <t>05/05/2019 Total</t>
  </si>
  <si>
    <t>28/04/2019 Total</t>
  </si>
  <si>
    <t>21/04/2019 Total</t>
  </si>
  <si>
    <t>14/04/2019 Total</t>
  </si>
  <si>
    <t>07/04/2019 Total</t>
  </si>
  <si>
    <t>31/03/2019 Total</t>
  </si>
  <si>
    <t>24/03/2019 Total</t>
  </si>
  <si>
    <t>17/03/2019 Total</t>
  </si>
  <si>
    <t>10/03/2019 Total</t>
  </si>
  <si>
    <t>03/03/2019 Total</t>
  </si>
  <si>
    <t>24/02/2019 Total</t>
  </si>
  <si>
    <t>17/02/2019 Total</t>
  </si>
  <si>
    <t>10/02/2019 Total</t>
  </si>
  <si>
    <t>03/02/2019 Total</t>
  </si>
  <si>
    <t>27/01/2019 Total</t>
  </si>
  <si>
    <t>20/01/2019 Total</t>
  </si>
  <si>
    <t>13/01/2019 Total</t>
  </si>
  <si>
    <t>06/01/2019 Total</t>
  </si>
  <si>
    <t>30/12/2018 Total</t>
  </si>
  <si>
    <t>23/12/2018 Total</t>
  </si>
  <si>
    <t>16/12/2018 Total</t>
  </si>
  <si>
    <t>09/12/2018 Total</t>
  </si>
  <si>
    <t>02/12/2018 Total</t>
  </si>
  <si>
    <t>25/11/2018 Total</t>
  </si>
  <si>
    <t>18/11/2018 Total</t>
  </si>
  <si>
    <t>11/11/2018 Total</t>
  </si>
  <si>
    <t>04/11/2018 Total</t>
  </si>
  <si>
    <t>WkEnd Total</t>
  </si>
  <si>
    <t>Sum of hr_mo</t>
  </si>
  <si>
    <t>Sum of hr_tu</t>
  </si>
  <si>
    <t>Sum of hr_we</t>
  </si>
  <si>
    <t>Sum of hr_th</t>
  </si>
  <si>
    <t>Sum of hr_fr</t>
  </si>
  <si>
    <t>rws technical meeting</t>
  </si>
  <si>
    <t>Worked today on improving the mathcad optimisation script | discussion with Andrea regarding how to assess the stress in the welds on the wind bracing | Also discussed construction method for the wind bacing, in particular around the intersection</t>
  </si>
  <si>
    <t>cross girder verifications | mathcad runs</t>
  </si>
  <si>
    <t>oppotunities meeting</t>
  </si>
  <si>
    <t>architect meeting</t>
  </si>
  <si>
    <t>meeting to discuss check comments</t>
  </si>
  <si>
    <t>(01-382)</t>
  </si>
  <si>
    <t>LOWER KINGS ROAD ASSESSMENT</t>
  </si>
  <si>
    <t>cross-girder design | weld design wind bracing</t>
  </si>
  <si>
    <t>others</t>
  </si>
  <si>
    <t>covid test</t>
  </si>
  <si>
    <t>wp1 update meeting</t>
  </si>
  <si>
    <t>hanger loss presentation</t>
  </si>
  <si>
    <t>portal C checks</t>
  </si>
  <si>
    <t>hanger connection meeting</t>
  </si>
  <si>
    <t>wind bracing welds check</t>
  </si>
  <si>
    <t>OTHERS</t>
  </si>
  <si>
    <t>fire results review</t>
  </si>
  <si>
    <t>set up of hanger loss models</t>
  </si>
  <si>
    <t>resources meeting</t>
  </si>
  <si>
    <t>wp1/wp2 actch-up</t>
  </si>
  <si>
    <t>hanger loss, portal local model, portal verifications</t>
  </si>
  <si>
    <t>Worked primarilly this week on the checking of the structure for hanger loss. Started with a simplified targeted analysis, which indicates that the structure will be ok for hanger loss. Also considered the impact of hanger loss. Seems like the structure will need to be protected to top of portal level and the arch springing and hanger connections.</t>
  </si>
  <si>
    <t>fire and wp1/wp2 meetings</t>
  </si>
  <si>
    <t>update to verification sheets | planing</t>
  </si>
  <si>
    <t>portal and wind bracing design and discussion</t>
  </si>
  <si>
    <t>rws meeting | arch springing | fire | verification sheets</t>
  </si>
  <si>
    <t>fire analysis presentation and rws meeting</t>
  </si>
  <si>
    <t>staging | portal checks | catch up with andrea about wind bracing and portal model</t>
  </si>
  <si>
    <t>wind bracing | catch-up</t>
  </si>
  <si>
    <t>appraisal guidance</t>
  </si>
  <si>
    <t>staging presentation</t>
  </si>
  <si>
    <t>ILLNESS</t>
  </si>
  <si>
    <t>illness</t>
  </si>
  <si>
    <t>wp1/wp2 catch-up meeting</t>
  </si>
  <si>
    <t>construction staging presentation</t>
  </si>
  <si>
    <t>fatigue details | cross girder design</t>
  </si>
  <si>
    <t>hanger connection discussion | meeting with ronan to discuss apporach to stagging</t>
  </si>
  <si>
    <t>team catch-up | LM1 loading</t>
  </si>
  <si>
    <t>wind bracing and portal</t>
  </si>
  <si>
    <t>engaement</t>
  </si>
  <si>
    <t>cross bracing fatigue |  report update - hanger connection</t>
  </si>
  <si>
    <t>portal checks, openng | hanger loss summary plots</t>
  </si>
  <si>
    <t>resources meetin</t>
  </si>
  <si>
    <t>cross girder fatigue checks and reporting</t>
  </si>
  <si>
    <t>wind bracing | construction staging | wp1/wp2 catch-up</t>
  </si>
  <si>
    <t>wp1/wp2 meeting</t>
  </si>
  <si>
    <t>wind bracing</t>
  </si>
  <si>
    <t>staging with ying</t>
  </si>
  <si>
    <t>rws meeting</t>
  </si>
  <si>
    <t>staging presentation and arch sprining</t>
  </si>
  <si>
    <t>notes on construction staging | cross girder checks from ox run with new LM1 factors</t>
  </si>
  <si>
    <t>report on hanger conections</t>
  </si>
  <si>
    <t>progress this week has focussed on | closing out wind bracing connection design | start of the arch sprining design with Maureen and Andrea | discussion with Richard Hornby on the construction staging. Especially around abtaining the final geometry, and how to specify the constrction tolerances and fabrication and assembly details.</t>
  </si>
  <si>
    <t>cross girders | catch-up meeting | drafting discussion |</t>
  </si>
  <si>
    <t>wp1/wp2 and bim catch-up</t>
  </si>
  <si>
    <t>cross girder runs</t>
  </si>
  <si>
    <t>joe bloor mock</t>
  </si>
  <si>
    <t>bearing checks | deck level</t>
  </si>
  <si>
    <t>cross grder | deck geometry</t>
  </si>
  <si>
    <t>arch springing model</t>
  </si>
  <si>
    <t>fire areas and temepratures | diaphragms</t>
  </si>
  <si>
    <t>cross girder | diaphragms</t>
  </si>
  <si>
    <t>asp model</t>
  </si>
  <si>
    <t>cross girders</t>
  </si>
  <si>
    <t>wp1/wp2 cacth-up</t>
  </si>
  <si>
    <t>asp</t>
  </si>
  <si>
    <t>VBB | this week the focus was on completing the main static design. Ying helped with cross girder checks and Andrea worke on diaphragm design | There was also progress on the local models. Maureen developed and complete the arch sprining, whilst ROnan and Charlotte focused on the design of the hanger to MG connections. | THe FE local models are very refined. Too much in my view, and we are now struggling with interogating results. A lesson for the future....</t>
  </si>
  <si>
    <t>wp1/wp2 catch-ups</t>
  </si>
  <si>
    <t>local models methodoogy | diaphragms design session | cross girder</t>
  </si>
  <si>
    <t>asrch springing | Main girder stiffening | drawings</t>
  </si>
  <si>
    <t>strategy | technical group</t>
  </si>
  <si>
    <t>bcst_resource</t>
  </si>
  <si>
    <t>bcst_promotional</t>
  </si>
  <si>
    <t>bcst_appraisal</t>
  </si>
  <si>
    <t>bcst_management</t>
  </si>
  <si>
    <t>bcst</t>
  </si>
  <si>
    <t>section sumary</t>
  </si>
  <si>
    <t>cross girder checks | arch sprining</t>
  </si>
  <si>
    <t>cross girder rereun and sketches</t>
  </si>
  <si>
    <t>main girder optimisation</t>
  </si>
  <si>
    <t>progress metting and checking planning</t>
  </si>
  <si>
    <t>Focus this week has been on completing the design prior to re-running. Particular effort has been laced on optimising the sturture. We have reduced the MG by 7%, CG by 50t, and internal diaphragms .
Some effort was also placed on completing and progressing the local models, namely the arch springing and hanger connections. The arch springing seems to be possible to optimise, particularly with a reduction in web thicknesses. For the hanger connection focus has been on reducing the model, hich ash been optimised to 80k elements compared to 400k previously.</t>
  </si>
  <si>
    <t>kirstin</t>
  </si>
  <si>
    <t>cross girder and drgs</t>
  </si>
  <si>
    <t>annual appriasal</t>
  </si>
  <si>
    <t>wp1 catch-up | repainting | detailing of cross girders | re-run</t>
  </si>
  <si>
    <t>ukimea_automation training</t>
  </si>
  <si>
    <t>model update</t>
  </si>
  <si>
    <t>rws update</t>
  </si>
  <si>
    <t>bearings | model  update</t>
  </si>
  <si>
    <t>ukimea_automation</t>
  </si>
  <si>
    <t>model re-run update</t>
  </si>
  <si>
    <t>re-run</t>
  </si>
  <si>
    <t>wp1/wp2</t>
  </si>
  <si>
    <t>bearings</t>
  </si>
  <si>
    <t>ox</t>
  </si>
  <si>
    <t>drawings | arch jacking</t>
  </si>
  <si>
    <t>checking sheets | update  | re-run</t>
  </si>
  <si>
    <t>arch and main girder runs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</si>
</sst>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
    <numFmt numFmtId="165" formatCode="0.0"/>
  </numFmts>
  <fonts count="8" x14ac:knownFonts="1">
    <font>
      <sz val="11"/>
      <color theme="1"/>
      <name val="Calibri"/>
      <family val="2"/>
      <scheme val="minor"/>
    </font>
    <font>
      <sz val="11"/>
      <color rgb="FF1F497D"/>
      <name val="Calibri"/>
      <family val="2"/>
      <scheme val="minor"/>
    </font>
    <font>
      <sz val="8"/>
      <name val="Calibri"/>
      <family val="2"/>
      <scheme val="minor"/>
    </font>
    <font>
      <sz val="11"/>
      <color theme="0"/>
      <name val="Calibri"/>
      <family val="2"/>
    </font>
    <font>
      <sz val="11"/>
      <color rgb="FF000000"/>
      <name val="Calibri"/>
      <family val="2"/>
      <scheme val="minor"/>
    </font>
    <font>
      <sz val="10"/>
      <color rgb="FF000000"/>
      <name val="Calibri"/>
      <family val="2"/>
      <scheme val="minor"/>
    </font>
    <font>
      <sz val="11"/>
      <color theme="2"/>
      <name val="Calibri"/>
      <family val="2"/>
      <scheme val="minor"/>
    </font>
    <font>
      <sz val="11"/>
      <name val="Calibri"/>
      <family val="2"/>
      <scheme val="minor"/>
    </font>
  </fonts>
  <fills count="7">
    <fill>
      <patternFill patternType="none"/>
    </fill>
    <fill>
      <patternFill patternType="gray125"/>
    </fill>
    <fill>
      <patternFill patternType="solid">
        <fgColor theme="4"/>
        <bgColor indexed="64"/>
      </patternFill>
    </fill>
    <fill>
      <patternFill patternType="solid">
        <fgColor theme="4"/>
      </patternFill>
    </fill>
    <fill>
      <patternFill patternType="solid">
        <fgColor theme="6"/>
      </patternFill>
    </fill>
    <fill>
      <patternFill patternType="solid">
        <fgColor theme="5"/>
      </patternFill>
    </fill>
    <fill>
      <patternFill patternType="solid">
        <fgColor rgb="FFFFFF00"/>
        <bgColor indexed="64"/>
      </patternFill>
    </fill>
  </fills>
  <borders count="1">
    <border>
      <left/>
      <right/>
      <top/>
      <bottom/>
      <diagonal/>
    </border>
  </borders>
  <cellStyleXfs count="4">
    <xf numFmtId="0" fontId="0"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cellStyleXfs>
  <cellXfs count="41">
    <xf numFmtId="0" fontId="0" fillId="0" borderId="0" xfId="0"/>
    <xf numFmtId="0" fontId="0" fillId="0" borderId="0" xfId="0" applyAlignment="1">
      <alignment horizontal="left" vertical="top"/>
    </xf>
    <xf numFmtId="0" fontId="0" fillId="0" borderId="0" xfId="0" applyAlignment="1">
      <alignment wrapText="1"/>
    </xf>
    <xf numFmtId="0" fontId="0" fillId="0" borderId="0" xfId="0" applyAlignment="1"/>
    <xf numFmtId="0" fontId="0" fillId="2" borderId="0" xfId="0" applyFill="1" applyAlignment="1"/>
    <xf numFmtId="1" fontId="0" fillId="2" borderId="0" xfId="0" applyNumberFormat="1" applyFill="1" applyAlignment="1"/>
    <xf numFmtId="0" fontId="0" fillId="0" borderId="0" xfId="0" applyNumberFormat="1" applyAlignment="1">
      <alignment horizontal="left" vertical="top"/>
    </xf>
    <xf numFmtId="164" fontId="0" fillId="0" borderId="0" xfId="0" applyNumberFormat="1" applyAlignment="1">
      <alignment horizontal="left" vertical="top"/>
    </xf>
    <xf numFmtId="15" fontId="0" fillId="0" borderId="0" xfId="0" applyNumberFormat="1" applyAlignment="1">
      <alignment horizontal="left" vertical="top"/>
    </xf>
    <xf numFmtId="1" fontId="0" fillId="0" borderId="0" xfId="0" applyNumberFormat="1" applyAlignment="1">
      <alignment horizontal="left" vertical="top"/>
    </xf>
    <xf numFmtId="164" fontId="0" fillId="0" borderId="0" xfId="0" quotePrefix="1" applyNumberFormat="1" applyAlignment="1">
      <alignment horizontal="left" vertical="top"/>
    </xf>
    <xf numFmtId="15" fontId="0" fillId="0" borderId="0" xfId="0" quotePrefix="1" applyNumberFormat="1" applyAlignment="1">
      <alignment horizontal="left" vertical="top"/>
    </xf>
    <xf numFmtId="164" fontId="1" fillId="0" borderId="0" xfId="0" applyNumberFormat="1" applyFont="1" applyAlignment="1">
      <alignment horizontal="left" vertical="top"/>
    </xf>
    <xf numFmtId="15" fontId="1" fillId="0" borderId="0" xfId="0" applyNumberFormat="1" applyFont="1" applyAlignment="1">
      <alignment horizontal="left" vertical="top"/>
    </xf>
    <xf numFmtId="1" fontId="0" fillId="0" borderId="0" xfId="0" applyNumberFormat="1" applyAlignment="1"/>
    <xf numFmtId="165" fontId="0" fillId="0" borderId="0" xfId="0" applyNumberFormat="1" applyAlignment="1">
      <alignment horizontal="left" vertical="top"/>
    </xf>
    <xf numFmtId="0" fontId="0" fillId="0" borderId="0" xfId="0" applyAlignment="1">
      <alignment horizontal="left" vertical="top" wrapText="1"/>
    </xf>
    <xf numFmtId="0" fontId="3" fillId="4" borderId="0" xfId="2"/>
    <xf numFmtId="0" fontId="3" fillId="3" borderId="0" xfId="1" applyAlignment="1"/>
    <xf numFmtId="0" fontId="0" fillId="0" borderId="0" xfId="0" pivotButton="1" applyAlignment="1"/>
    <xf numFmtId="49" fontId="0" fillId="0" borderId="0" xfId="0" applyNumberFormat="1"/>
    <xf numFmtId="0" fontId="4" fillId="0" borderId="0" xfId="0" applyFont="1"/>
    <xf numFmtId="0" fontId="5" fillId="0" borderId="0" xfId="0" applyFont="1" applyAlignment="1">
      <alignment vertical="center"/>
    </xf>
    <xf numFmtId="0" fontId="3" fillId="5" borderId="0" xfId="3" applyAlignment="1"/>
    <xf numFmtId="0" fontId="3" fillId="5" borderId="0" xfId="3"/>
    <xf numFmtId="0" fontId="0" fillId="0" borderId="0" xfId="0" pivotButton="1" applyAlignment="1">
      <alignment wrapText="1"/>
    </xf>
    <xf numFmtId="14" fontId="0" fillId="0" borderId="0" xfId="0" applyNumberFormat="1" applyAlignment="1">
      <alignment wrapText="1"/>
    </xf>
    <xf numFmtId="0" fontId="3" fillId="4" borderId="0" xfId="2" applyAlignment="1"/>
    <xf numFmtId="0" fontId="0" fillId="6" borderId="0" xfId="0" applyFill="1" applyAlignment="1"/>
    <xf numFmtId="0" fontId="6" fillId="0" borderId="0" xfId="0" applyNumberFormat="1" applyFont="1" applyAlignment="1">
      <alignment horizontal="left" vertical="top"/>
    </xf>
    <xf numFmtId="164" fontId="6" fillId="0" borderId="0" xfId="0" applyNumberFormat="1" applyFont="1" applyAlignment="1">
      <alignment horizontal="left" vertical="top"/>
    </xf>
    <xf numFmtId="15" fontId="6" fillId="0" borderId="0" xfId="0" applyNumberFormat="1" applyFont="1" applyAlignment="1">
      <alignment horizontal="left" vertical="top"/>
    </xf>
    <xf numFmtId="0" fontId="6" fillId="0" borderId="0" xfId="0" applyFont="1" applyAlignment="1">
      <alignment horizontal="left" vertical="top"/>
    </xf>
    <xf numFmtId="165" fontId="6" fillId="0" borderId="0" xfId="0" applyNumberFormat="1" applyFont="1" applyAlignment="1">
      <alignment horizontal="left" vertical="top"/>
    </xf>
    <xf numFmtId="1" fontId="6" fillId="0" borderId="0" xfId="0" applyNumberFormat="1" applyFont="1" applyAlignment="1">
      <alignment horizontal="left" vertical="top"/>
    </xf>
    <xf numFmtId="0" fontId="7" fillId="0" borderId="0" xfId="0" applyFont="1" applyAlignment="1">
      <alignment horizontal="left" vertical="top"/>
    </xf>
    <xf numFmtId="165" fontId="0" fillId="0" borderId="0" xfId="0" applyNumberFormat="1" applyAlignment="1">
      <alignment wrapText="1"/>
    </xf>
    <xf numFmtId="0" fontId="5" fillId="0" borderId="0" xfId="0" applyFont="1" applyAlignment="1"/>
    <xf numFmtId="49" fontId="0" fillId="0" borderId="0" xfId="0" applyNumberFormat="1" applyAlignment="1"/>
    <xf numFmtId="0" fontId="0" fillId="0" borderId="0" xfId="0" applyNumberFormat="1" applyAlignment="1"/>
    <xf numFmtId="0" fontId="4" fillId="0" borderId="0" xfId="0" applyFont="1" applyAlignment="1"/>
  </cellXfs>
  <cellStyles count="4">
    <cellStyle name="Accent1" xfId="1" builtinId="29"/>
    <cellStyle name="Accent2" xfId="3" builtinId="33"/>
    <cellStyle name="Accent3" xfId="2" builtinId="37"/>
    <cellStyle name="Normal" xfId="0" builtinId="0"/>
  </cellStyles>
  <dxfs count="176">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wrapText="0"/>
    </dxf>
    <dxf>
      <alignment wrapText="0"/>
    </dxf>
    <dxf>
      <numFmt numFmtId="165" formatCode="0.0"/>
    </dxf>
    <dxf>
      <numFmt numFmtId="165" formatCode="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20" formatCode="dd\-mmm\-yy"/>
      <alignment horizontal="left" vertical="top" textRotation="0" wrapText="0" indent="0" justifyLastLine="0" shrinkToFit="0" readingOrder="0"/>
    </dxf>
    <dxf>
      <alignment horizontal="left" vertical="top" textRotation="0" wrapText="0" indent="0" justifyLastLine="0" shrinkToFit="0" readingOrder="0"/>
    </dxf>
    <dxf>
      <font>
        <strike val="0"/>
        <outline val="0"/>
        <shadow val="0"/>
        <u val="none"/>
        <vertAlign val="baseline"/>
        <sz val="11"/>
        <color auto="1"/>
        <name val="Calibri"/>
        <family val="2"/>
        <scheme val="minor"/>
      </font>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164" formatCode="yyyy\-mm\-dd\ hh:mm:ss\ "/>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alignment textRotation="0" wrapText="0" indent="0" justifyLastLine="0" shrinkToFit="0" readingOrder="0"/>
    </dxf>
    <dxf>
      <alignment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175"/>
      <tableStyleElement type="headerRow" dxfId="17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24"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sharedStrings" Target="sharedStrings.xml"/><Relationship Id="rId19" Type="http://schemas.openxmlformats.org/officeDocument/2006/relationships/customXml" Target="../customXml/item8.xml"/><Relationship Id="rId31"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124.550970254626" createdVersion="6" refreshedVersion="6" minRefreshableVersion="3" recordCount="780" xr:uid="{4EABE524-B3CF-4F07-84DD-C52F095303AF}">
  <cacheSource type="worksheet">
    <worksheetSource name="TimeEntry"/>
  </cacheSource>
  <cacheFields count="22">
    <cacheField name="format" numFmtId="0">
      <sharedItems containsSemiMixedTypes="0" containsString="0" containsNumber="1" minValue="0.1" maxValue="1.1000000000000001"/>
    </cacheField>
    <cacheField name="Timestamp" numFmtId="164">
      <sharedItems containsNonDate="0" containsDate="1" containsString="0" containsBlank="1" minDate="2020-07-02T13:31:31" maxDate="2020-10-20T12:11:53"/>
    </cacheField>
    <cacheField name="Date" numFmtId="15">
      <sharedItems containsNonDate="0" containsDate="1" containsString="0" containsBlank="1" minDate="2018-10-29T00:00:00" maxDate="2020-10-21T00:00:00" count="509">
        <m/>
        <d v="2020-10-20T00:00:00"/>
        <d v="2020-10-19T00:00:00"/>
        <d v="2020-10-16T00:00:00"/>
        <d v="2020-10-15T00:00:00"/>
        <d v="2020-10-14T00:00:00"/>
        <d v="2020-10-13T00:00:00"/>
        <d v="2020-10-12T00:00:00"/>
        <d v="2020-10-09T00:00:00"/>
        <d v="2020-10-08T00:00:00"/>
        <d v="2020-10-07T00:00:00"/>
        <d v="2020-10-06T00:00:00"/>
        <d v="2020-10-05T00:00:00"/>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7T00:00:00"/>
        <d v="2020-09-04T00:00:00"/>
        <d v="2020-09-03T00:00:00"/>
        <d v="2020-09-02T00:00:00"/>
        <d v="2020-09-01T00:00:00"/>
        <d v="2020-08-31T00:00:00"/>
        <d v="2020-08-28T00:00:00"/>
        <d v="2020-08-27T00:00:00"/>
        <d v="2020-08-26T00:00:00"/>
        <d v="2020-08-25T00:00:00"/>
        <d v="2020-08-24T00:00:00"/>
        <d v="2020-08-14T00:00:00"/>
        <d v="2020-08-13T00:00:00"/>
        <d v="2020-08-12T00:00:00"/>
        <d v="2020-08-11T00:00:00"/>
        <d v="2020-08-10T00:00:00"/>
        <d v="2020-08-07T00:00:00"/>
        <d v="2020-08-06T00:00:00"/>
        <d v="2020-08-05T00:00:00"/>
        <d v="2020-08-04T00:00:00"/>
        <d v="2020-08-03T00:00:00"/>
        <d v="2020-07-31T00:00:00"/>
        <d v="2020-07-30T00:00:00"/>
        <d v="2020-07-29T00:00:00"/>
        <d v="2020-07-28T00:00:00"/>
        <d v="2020-07-27T00:00:00"/>
        <d v="2020-07-24T00:00:00"/>
        <d v="2020-07-23T00:00:00"/>
        <d v="2020-07-22T00:00:00"/>
        <d v="2020-07-21T00:00:00"/>
        <d v="2020-07-20T00:00:00"/>
        <d v="2020-07-17T00:00:00"/>
        <d v="2020-07-16T00:00:00"/>
        <d v="2020-07-15T00:00:00"/>
        <d v="2020-07-14T00:00:00"/>
        <d v="2020-07-13T00:00:00"/>
        <d v="2020-07-10T00:00:00"/>
        <d v="2020-07-09T00:00:00"/>
        <d v="2020-07-08T00:00:00"/>
        <d v="2020-07-07T00:00:00"/>
        <d v="2020-07-06T00:00:00"/>
        <d v="2020-07-03T00:00:00"/>
        <d v="2020-07-02T00:00:00"/>
        <d v="2020-07-01T00:00:00"/>
        <d v="2020-06-30T00:00:00"/>
        <d v="2020-06-29T00:00:00"/>
        <d v="2020-06-26T00:00:00"/>
        <d v="2020-06-25T00:00:00"/>
        <d v="2020-06-24T00:00:00"/>
        <d v="2020-06-23T00:00:00"/>
        <d v="2020-06-22T00:00:00"/>
        <d v="2020-06-15T00:00:00"/>
        <d v="2020-06-12T00:00:00"/>
        <d v="2020-06-11T00:00:00"/>
        <d v="2020-06-10T00:00:00"/>
        <d v="2020-06-09T00:00:00"/>
        <d v="2020-06-08T00:00:00"/>
        <d v="2020-06-05T00:00:00"/>
        <d v="2020-06-04T00:00:00"/>
        <d v="2020-06-03T00:00:00"/>
        <d v="2020-06-02T00:00:00"/>
        <d v="2020-06-01T00:00:00"/>
        <d v="2020-05-29T00:00:00"/>
        <d v="2020-05-28T00:00:00"/>
        <d v="2020-05-27T00:00:00"/>
        <d v="2020-05-26T00:00:00"/>
        <d v="2020-05-25T00:00:00"/>
        <d v="2020-05-22T00:00:00"/>
        <d v="2020-05-21T00:00:00"/>
        <d v="2020-05-20T00:00:00"/>
        <d v="2020-05-19T00:00:00"/>
        <d v="2020-05-18T00:00:00"/>
        <d v="2020-05-15T00:00:00"/>
        <d v="2020-05-14T00:00:00"/>
        <d v="2020-05-13T00:00:00"/>
        <d v="2020-05-12T00:00:00"/>
        <d v="2020-05-11T00:00:00"/>
        <d v="2020-05-08T00:00:00"/>
        <d v="2020-05-07T00:00:00"/>
        <d v="2020-05-06T00:00:00"/>
        <d v="2020-05-05T00:00:00"/>
        <d v="2020-05-04T00:00:00"/>
        <d v="2020-05-01T00:00:00"/>
        <d v="2020-04-30T00:00:00"/>
        <d v="2020-04-29T00:00:00"/>
        <d v="2020-04-28T00:00:00"/>
        <d v="2020-04-27T00:00:00"/>
        <d v="2020-04-24T00:00:00"/>
        <d v="2020-04-23T00:00:00"/>
        <d v="2020-04-22T00:00:00"/>
        <d v="2020-04-21T00:00:00"/>
        <d v="2020-04-20T00:00:00"/>
        <d v="2020-04-17T00:00:00"/>
        <d v="2020-04-16T00:00:00"/>
        <d v="2020-04-15T00:00:00"/>
        <d v="2020-04-14T00:00:00"/>
        <d v="2020-04-13T00:00:00"/>
        <d v="2020-04-10T00:00:00"/>
        <d v="2020-04-09T00:00:00"/>
        <d v="2020-04-08T00:00:00"/>
        <d v="2020-04-07T00:00:00"/>
        <d v="2020-04-06T00:00:00"/>
        <d v="2020-04-03T00:00:00"/>
        <d v="2020-04-02T00:00:00"/>
        <d v="2020-04-01T00:00:00"/>
        <d v="2020-03-31T00:00:00"/>
        <d v="2020-03-30T00:00:00"/>
        <d v="2020-03-23T00:00:00"/>
        <d v="2020-03-24T00:00:00"/>
        <d v="2020-03-25T00:00:00"/>
        <d v="2020-03-26T00:00:00"/>
        <d v="2020-03-27T00:00:00"/>
        <d v="2020-03-20T00:00:00"/>
        <d v="2020-03-19T00:00:00"/>
        <d v="2020-03-18T00:00:00"/>
        <d v="2020-03-17T00:00:00"/>
        <d v="2020-03-16T00:00:00"/>
        <d v="2020-03-13T00:00:00"/>
        <d v="2020-03-12T00:00:00"/>
        <d v="2020-03-11T00:00:00"/>
        <d v="2020-03-10T00:00:00"/>
        <d v="2020-03-09T00:00:00"/>
        <d v="2020-03-02T00:00:00"/>
        <d v="2020-03-03T00:00:00"/>
        <d v="2020-03-04T00:00:00"/>
        <d v="2020-03-05T00:00:00"/>
        <d v="2020-03-06T00:00:00"/>
        <d v="2020-02-24T00:00:00"/>
        <d v="2020-02-25T00:00:00"/>
        <d v="2020-02-26T00:00:00"/>
        <d v="2020-02-27T00:00:00"/>
        <d v="2020-02-28T00:00:00"/>
        <d v="2020-02-17T00:00:00"/>
        <d v="2020-02-18T00:00:00"/>
        <d v="2020-02-19T00:00:00"/>
        <d v="2020-02-20T00:00:00"/>
        <d v="2020-02-21T00:00:00"/>
        <d v="2020-02-10T00:00:00"/>
        <d v="2020-02-11T00:00:00"/>
        <d v="2020-02-12T00:00:00"/>
        <d v="2020-02-13T00:00:00"/>
        <d v="2020-02-14T00:00:00"/>
        <d v="2020-02-03T00:00:00"/>
        <d v="2020-02-04T00:00:00"/>
        <d v="2020-02-05T00:00:00"/>
        <d v="2020-02-06T00:00:00"/>
        <d v="2020-02-07T00:00:00"/>
        <d v="2020-01-27T00:00:00"/>
        <d v="2020-01-28T00:00:00"/>
        <d v="2020-01-29T00:00:00"/>
        <d v="2020-01-30T00:00:00"/>
        <d v="2020-01-31T00:00:00"/>
        <d v="2020-01-24T00:00:00"/>
        <d v="2020-01-23T00:00:00"/>
        <d v="2020-01-22T00:00:00"/>
        <d v="2020-01-21T00:00:00"/>
        <d v="2020-01-20T00:00:00"/>
        <d v="2020-01-17T00:00:00"/>
        <d v="2020-01-16T00:00:00"/>
        <d v="2020-01-15T00:00:00"/>
        <d v="2020-01-14T00:00:00"/>
        <d v="2020-01-13T00:00:00"/>
        <d v="2020-01-10T00:00:00"/>
        <d v="2020-01-09T00:00:00"/>
        <d v="2020-01-08T00:00:00"/>
        <d v="2020-01-07T00:00:00"/>
        <d v="2020-01-06T00:00:00"/>
        <d v="2020-01-03T00:00:00"/>
        <d v="2020-01-02T00:00:00"/>
        <d v="2020-01-01T00:00:00"/>
        <d v="2019-12-31T00:00:00"/>
        <d v="2019-12-30T00:00:00"/>
        <d v="2019-12-27T00:00:00"/>
        <d v="2019-12-26T00:00:00"/>
        <d v="2019-12-25T00:00:00"/>
        <d v="2019-12-24T00:00:00"/>
        <d v="2019-12-23T00:00:00"/>
        <d v="2019-12-16T00:00:00"/>
        <d v="2019-12-17T00:00:00"/>
        <d v="2019-12-18T00:00:00"/>
        <d v="2019-12-19T00:00:00"/>
        <d v="2019-12-20T00:00:00"/>
        <d v="2019-12-09T00:00:00"/>
        <d v="2019-12-10T00:00:00"/>
        <d v="2019-12-11T00:00:00"/>
        <d v="2019-12-12T00:00:00"/>
        <d v="2019-12-13T00:00:00"/>
        <d v="2019-12-02T00:00:00"/>
        <d v="2019-12-03T00:00:00"/>
        <d v="2019-12-04T00:00:00"/>
        <d v="2019-12-05T00:00:00"/>
        <d v="2019-12-06T00:00:00"/>
        <d v="2019-11-25T00:00:00"/>
        <d v="2019-11-26T00:00:00"/>
        <d v="2019-11-27T00:00:00"/>
        <d v="2019-11-28T00:00:00"/>
        <d v="2019-11-29T00:00:00"/>
        <d v="2019-11-18T00:00:00"/>
        <d v="2019-11-19T00:00:00"/>
        <d v="2019-11-20T00:00:00"/>
        <d v="2019-11-21T00:00:00"/>
        <d v="2019-11-22T00:00:00"/>
        <d v="2019-11-11T00:00:00"/>
        <d v="2019-11-12T00:00:00"/>
        <d v="2019-11-13T00:00:00"/>
        <d v="2019-11-14T00:00:00"/>
        <d v="2019-11-15T00:00:00"/>
        <d v="2019-11-04T00:00:00"/>
        <d v="2019-11-05T00:00:00"/>
        <d v="2019-11-06T00:00:00"/>
        <d v="2019-11-07T00:00:00"/>
        <d v="2019-11-08T00:00:00"/>
        <d v="2019-10-28T00:00:00"/>
        <d v="2019-10-29T00:00:00"/>
        <d v="2019-10-30T00:00:00"/>
        <d v="2019-10-31T00:00:00"/>
        <d v="2019-11-01T00:00:00"/>
        <d v="2019-10-21T00:00:00"/>
        <d v="2019-10-22T00:00:00"/>
        <d v="2019-10-23T00:00:00"/>
        <d v="2019-10-24T00:00:00"/>
        <d v="2019-10-25T00:00:00"/>
        <d v="2019-10-14T00:00:00"/>
        <d v="2019-10-15T00:00:00"/>
        <d v="2019-10-16T00:00:00"/>
        <d v="2019-10-17T00:00:00"/>
        <d v="2019-10-18T00:00:00"/>
        <d v="2019-10-07T00:00:00"/>
        <d v="2019-10-08T00:00:00"/>
        <d v="2019-10-09T00:00:00"/>
        <d v="2019-10-10T00:00:00"/>
        <d v="2019-10-11T00:00:00"/>
        <d v="2019-09-30T00:00:00"/>
        <d v="2019-10-01T00:00:00"/>
        <d v="2019-10-02T00:00:00"/>
        <d v="2019-10-03T00:00:00"/>
        <d v="2019-10-04T00:00:00"/>
        <d v="2019-09-23T00:00:00"/>
        <d v="2019-09-24T00:00:00"/>
        <d v="2019-09-25T00:00:00"/>
        <d v="2019-09-26T00:00:00"/>
        <d v="2019-09-27T00:00:00"/>
        <d v="2019-09-16T00:00:00"/>
        <d v="2019-09-17T00:00:00"/>
        <d v="2019-09-18T00:00:00"/>
        <d v="2019-09-19T00:00:00"/>
        <d v="2019-09-20T00:00:00"/>
        <d v="2019-09-09T00:00:00"/>
        <d v="2019-09-10T00:00:00"/>
        <d v="2019-09-11T00:00:00"/>
        <d v="2019-09-12T00:00:00"/>
        <d v="2019-09-13T00:00:00"/>
        <d v="2019-09-06T00:00:00"/>
        <d v="2019-09-05T00:00:00"/>
        <d v="2019-09-04T00:00:00"/>
        <d v="2019-09-03T00:00:00"/>
        <d v="2019-09-02T00:00:00"/>
        <d v="2019-08-30T00:00:00"/>
        <d v="2019-08-29T00:00:00"/>
        <d v="2019-08-28T00:00:00"/>
        <d v="2019-08-27T00:00:00"/>
        <d v="2019-08-26T00:00:00"/>
        <d v="2019-08-19T00:00:00"/>
        <d v="2019-08-20T00:00:00"/>
        <d v="2019-08-21T00:00:00"/>
        <d v="2019-08-22T00:00:00"/>
        <d v="2019-08-23T00:00:00"/>
        <d v="2019-08-12T00:00:00"/>
        <d v="2019-08-13T00:00:00"/>
        <d v="2019-08-14T00:00:00"/>
        <d v="2019-08-15T00:00:00"/>
        <d v="2019-08-16T00:00:00"/>
        <d v="2019-08-05T00:00:00"/>
        <d v="2019-08-06T00:00:00"/>
        <d v="2019-08-07T00:00:00"/>
        <d v="2019-08-08T00:00:00"/>
        <d v="2019-08-09T00:00:00"/>
        <d v="2019-07-29T00:00:00"/>
        <d v="2019-07-30T00:00:00"/>
        <d v="2019-07-31T00:00:00"/>
        <d v="2019-08-01T00:00:00"/>
        <d v="2019-08-02T00:00:00"/>
        <d v="2019-07-22T00:00:00"/>
        <d v="2019-07-23T00:00:00"/>
        <d v="2019-07-24T00:00:00"/>
        <d v="2019-07-25T00:00:00"/>
        <d v="2019-07-26T00:00:00"/>
        <d v="2019-07-15T00:00:00"/>
        <d v="2019-07-16T00:00:00"/>
        <d v="2019-07-17T00:00:00"/>
        <d v="2019-07-18T00:00:00"/>
        <d v="2019-07-19T00:00:00"/>
        <d v="2019-07-08T00:00:00"/>
        <d v="2019-07-09T00:00:00"/>
        <d v="2019-07-10T00:00:00"/>
        <d v="2019-07-11T00:00:00"/>
        <d v="2019-07-12T00:00:00"/>
        <d v="2019-07-01T00:00:00"/>
        <d v="2019-07-02T00:00:00"/>
        <d v="2019-07-03T00:00:00"/>
        <d v="2019-07-04T00:00:00"/>
        <d v="2019-07-05T00:00:00"/>
        <d v="2019-06-24T00:00:00"/>
        <d v="2019-06-25T00:00:00"/>
        <d v="2019-06-26T00:00:00"/>
        <d v="2019-06-27T00:00:00"/>
        <d v="2019-06-28T00:00:00"/>
        <d v="2019-06-17T00:00:00"/>
        <d v="2019-06-18T00:00:00"/>
        <d v="2019-06-19T00:00:00"/>
        <d v="2019-06-20T00:00:00"/>
        <d v="2019-06-21T00:00:00"/>
        <d v="2019-06-10T00:00:00"/>
        <d v="2019-06-11T00:00:00"/>
        <d v="2019-06-12T00:00:00"/>
        <d v="2019-06-13T00:00:00"/>
        <d v="2019-06-14T00:00:00"/>
        <d v="2019-06-03T00:00:00"/>
        <d v="2019-06-04T00:00:00"/>
        <d v="2019-06-05T00:00:00"/>
        <d v="2019-06-06T00:00:00"/>
        <d v="2019-06-07T00:00:00"/>
        <d v="2019-05-27T00:00:00"/>
        <d v="2019-05-28T00:00:00"/>
        <d v="2019-05-29T00:00:00"/>
        <d v="2019-05-30T00:00:00"/>
        <d v="2019-05-31T00:00:00"/>
        <d v="2019-05-20T00:00:00"/>
        <d v="2019-05-21T00:00:00"/>
        <d v="2019-05-22T00:00:00"/>
        <d v="2019-05-23T00:00:00"/>
        <d v="2019-05-24T00:00:00"/>
        <d v="2019-05-13T00:00:00"/>
        <d v="2019-05-14T00:00:00"/>
        <d v="2019-05-15T00:00:00"/>
        <d v="2019-05-16T00:00:00"/>
        <d v="2019-05-17T00:00:00"/>
        <d v="2019-05-06T00:00:00"/>
        <d v="2019-05-07T00:00:00"/>
        <d v="2019-05-08T00:00:00"/>
        <d v="2019-05-09T00:00:00"/>
        <d v="2019-05-10T00:00:00"/>
        <d v="2019-04-29T00:00:00"/>
        <d v="2019-04-30T00:00:00"/>
        <d v="2019-05-01T00:00:00"/>
        <d v="2019-05-02T00:00:00"/>
        <d v="2019-05-03T00:00:00"/>
        <d v="2019-04-22T00:00:00"/>
        <d v="2019-04-23T00:00:00"/>
        <d v="2019-04-24T00:00:00"/>
        <d v="2019-04-25T00:00:00"/>
        <d v="2019-04-26T00:00:00"/>
        <d v="2019-04-15T00:00:00"/>
        <d v="2019-04-16T00:00:00"/>
        <d v="2019-04-17T00:00:00"/>
        <d v="2019-04-18T00:00:00"/>
        <d v="2019-04-19T00:00:00"/>
        <d v="2019-04-08T00:00:00"/>
        <d v="2019-04-09T00:00:00"/>
        <d v="2019-04-10T00:00:00"/>
        <d v="2019-04-11T00:00:00"/>
        <d v="2019-04-12T00:00:00"/>
        <d v="2019-04-01T00:00:00"/>
        <d v="2019-04-02T00:00:00"/>
        <d v="2019-04-03T00:00:00"/>
        <d v="2019-04-04T00:00:00"/>
        <d v="2019-04-05T00:00:00"/>
        <d v="2019-03-25T00:00:00"/>
        <d v="2019-03-26T00:00:00"/>
        <d v="2019-03-27T00:00:00"/>
        <d v="2019-03-28T00:00:00"/>
        <d v="2019-03-29T00:00:00"/>
        <d v="2019-03-18T00:00:00"/>
        <d v="2019-03-19T00:00:00"/>
        <d v="2019-03-20T00:00:00"/>
        <d v="2019-03-21T00:00:00"/>
        <d v="2019-03-22T00:00:00"/>
        <d v="2019-03-11T00:00:00"/>
        <d v="2019-03-12T00:00:00"/>
        <d v="2019-03-13T00:00:00"/>
        <d v="2019-03-14T00:00:00"/>
        <d v="2019-03-15T00:00:00"/>
        <d v="2019-03-04T00:00:00"/>
        <d v="2019-03-05T00:00:00"/>
        <d v="2019-03-06T00:00:00"/>
        <d v="2019-03-07T00:00:00"/>
        <d v="2019-03-08T00:00:00"/>
        <d v="2019-02-25T00:00:00"/>
        <d v="2019-02-26T00:00:00"/>
        <d v="2019-02-27T00:00:00"/>
        <d v="2019-02-28T00:00:00"/>
        <d v="2019-03-01T00:00:00"/>
        <d v="2019-02-18T00:00:00"/>
        <d v="2019-02-19T00:00:00"/>
        <d v="2019-02-20T00:00:00"/>
        <d v="2019-02-21T00:00:00"/>
        <d v="2019-02-22T00:00:00"/>
        <d v="2019-02-11T00:00:00"/>
        <d v="2019-02-12T00:00:00"/>
        <d v="2019-02-13T00:00:00"/>
        <d v="2019-02-14T00:00:00"/>
        <d v="2019-02-15T00:00:00"/>
        <d v="2019-02-04T00:00:00"/>
        <d v="2019-02-05T00:00:00"/>
        <d v="2019-02-06T00:00:00"/>
        <d v="2019-02-07T00:00:00"/>
        <d v="2019-02-08T00:00:00"/>
        <d v="2019-01-28T00:00:00"/>
        <d v="2019-01-29T00:00:00"/>
        <d v="2019-01-30T00:00:00"/>
        <d v="2019-01-31T00:00:00"/>
        <d v="2019-02-01T00:00:00"/>
        <d v="2019-01-21T00:00:00"/>
        <d v="2019-01-22T00:00:00"/>
        <d v="2019-01-23T00:00:00"/>
        <d v="2019-01-24T00:00:00"/>
        <d v="2019-01-25T00:00:00"/>
        <d v="2019-01-14T00:00:00"/>
        <d v="2019-01-15T00:00:00"/>
        <d v="2019-01-16T00:00:00"/>
        <d v="2019-01-17T00:00:00"/>
        <d v="2019-01-18T00:00:00"/>
        <d v="2019-01-07T00:00:00"/>
        <d v="2019-01-08T00:00:00"/>
        <d v="2019-01-09T00:00:00"/>
        <d v="2019-01-10T00:00:00"/>
        <d v="2019-01-11T00:00:00"/>
        <d v="2018-12-31T00:00:00"/>
        <d v="2019-01-01T00:00:00"/>
        <d v="2019-01-02T00:00:00"/>
        <d v="2019-01-03T00:00:00"/>
        <d v="2019-01-04T00:00:00"/>
        <d v="2018-12-24T00:00:00"/>
        <d v="2018-12-25T00:00:00"/>
        <d v="2018-12-26T00:00:00"/>
        <d v="2018-12-27T00:00:00"/>
        <d v="2018-12-28T00:00:00"/>
        <d v="2018-12-17T00:00:00"/>
        <d v="2018-12-18T00:00:00"/>
        <d v="2018-12-19T00:00:00"/>
        <d v="2018-12-20T00:00:00"/>
        <d v="2018-12-21T00:00:00"/>
        <d v="2018-12-10T00:00:00"/>
        <d v="2018-12-11T00:00:00"/>
        <d v="2018-12-12T00:00:00"/>
        <d v="2018-12-13T00:00:00"/>
        <d v="2018-12-14T00:00:00"/>
        <d v="2018-12-03T00:00:00"/>
        <d v="2018-12-04T00:00:00"/>
        <d v="2018-12-05T00:00:00"/>
        <d v="2018-12-06T00:00:00"/>
        <d v="2018-12-07T00:00:00"/>
        <d v="2018-11-26T00:00:00"/>
        <d v="2018-11-27T00:00:00"/>
        <d v="2018-11-28T00:00:00"/>
        <d v="2018-11-29T00:00:00"/>
        <d v="2018-11-30T00:00:00"/>
        <d v="2018-11-19T00:00:00"/>
        <d v="2018-11-20T00:00:00"/>
        <d v="2018-11-21T00:00:00"/>
        <d v="2018-11-22T00:00:00"/>
        <d v="2018-11-23T00:00:00"/>
        <d v="2018-11-12T00:00:00"/>
        <d v="2018-11-13T00:00:00"/>
        <d v="2018-11-14T00:00:00"/>
        <d v="2018-11-15T00:00:00"/>
        <d v="2018-11-16T00:00:00"/>
        <d v="2018-11-05T00:00:00"/>
        <d v="2018-11-06T00:00:00"/>
        <d v="2018-11-07T00:00:00"/>
        <d v="2018-11-08T00:00:00"/>
        <d v="2018-11-09T00:00:00"/>
        <d v="2018-10-29T00:00:00"/>
        <d v="2018-10-30T00:00:00"/>
        <d v="2018-10-31T00:00:00"/>
        <d v="2018-11-01T00:00:00"/>
        <d v="2018-11-02T00:00:00"/>
      </sharedItems>
      <fieldGroup par="21" base="2">
        <rangePr groupBy="months" startDate="2018-10-29T00:00:00" endDate="2020-10-21T00:00:00"/>
        <groupItems count="14">
          <s v="(blank)"/>
          <s v="Jan"/>
          <s v="Feb"/>
          <s v="Mar"/>
          <s v="Apr"/>
          <s v="May"/>
          <s v="Jun"/>
          <s v="Jul"/>
          <s v="Aug"/>
          <s v="Sep"/>
          <s v="Oct"/>
          <s v="Nov"/>
          <s v="Dec"/>
          <s v="&gt;21/10/2020"/>
        </groupItems>
      </fieldGroup>
    </cacheField>
    <cacheField name="Day" numFmtId="15">
      <sharedItems containsBlank="1" count="6">
        <m/>
        <s v="Tue"/>
        <s v="Mon"/>
        <s v="Fri"/>
        <s v="Thu"/>
        <s v="Wed"/>
      </sharedItems>
    </cacheField>
    <cacheField name="Project_ID" numFmtId="0">
      <sharedItems containsBlank="1"/>
    </cacheField>
    <cacheField name="WkEnd" numFmtId="15">
      <sharedItems containsDate="1" containsMixedTypes="1" minDate="1899-12-30T00:00:00" maxDate="2020-10-26T00:00:00" count="105">
        <s v="WkEnd"/>
        <d v="2020-10-25T00:00:00"/>
        <d v="2020-10-18T00:00:00"/>
        <d v="2020-10-11T00:00:00"/>
        <d v="2020-10-04T00:00:00"/>
        <d v="2020-09-27T00:00:00"/>
        <d v="2020-09-20T00:00:00"/>
        <d v="2020-09-13T00:00:00"/>
        <d v="2020-09-06T00:00:00"/>
        <d v="2020-08-30T00:00:00"/>
        <d v="2020-08-16T00:00:00"/>
        <d v="2020-08-09T00:00:00"/>
        <d v="2020-08-02T00:00:00"/>
        <d v="2020-07-26T00:00:00"/>
        <d v="2020-07-19T00:00:00"/>
        <d v="2020-07-12T00:00:00"/>
        <d v="2020-07-05T00:00:00"/>
        <d v="2020-06-28T00:00:00"/>
        <d v="2020-06-21T00:00:00"/>
        <d v="2020-06-14T00:00:00"/>
        <d v="2020-06-07T00:00:00"/>
        <d v="2020-05-31T00:00:00"/>
        <d v="2020-05-24T00:00:00"/>
        <d v="2020-05-17T00:00:00"/>
        <d v="2020-05-10T00:00:00"/>
        <d v="2020-05-03T00:00:00"/>
        <d v="2020-04-26T00:00:00"/>
        <d v="2020-04-19T00:00:00"/>
        <d v="2020-04-12T00:00:00"/>
        <d v="2020-04-05T00:00:00"/>
        <d v="2020-03-29T00:00:00"/>
        <d v="2020-03-22T00:00:00"/>
        <d v="2020-03-15T00:00:00"/>
        <d v="2020-03-08T00:00:00"/>
        <d v="2020-03-01T00:00:00"/>
        <d v="2020-02-23T00:00:00"/>
        <d v="2020-02-16T00:00:00"/>
        <d v="2020-02-09T00:00:00"/>
        <d v="2020-02-02T00:00:00"/>
        <d v="2020-01-26T00:00:00"/>
        <d v="2020-01-19T00:00:00"/>
        <d v="2020-01-12T00:00:00"/>
        <d v="2020-01-05T00:00:00"/>
        <d v="2019-12-29T00:00:00"/>
        <d v="2019-12-22T00:00:00"/>
        <d v="2019-12-15T00:00:00"/>
        <d v="2019-12-08T00:00:00"/>
        <d v="2019-12-01T00:00:00"/>
        <d v="2019-11-24T00:00:00"/>
        <d v="2019-11-17T00:00:00"/>
        <d v="2019-11-10T00:00:00"/>
        <d v="2019-11-03T00:00:00"/>
        <d v="2019-10-27T00:00:00"/>
        <d v="2019-10-20T00:00:00"/>
        <d v="2019-10-13T00:00:00"/>
        <d v="2019-10-06T00:00:00"/>
        <d v="2019-09-29T00:00:00"/>
        <d v="2019-09-22T00:00:00"/>
        <d v="2019-09-15T00:00:00"/>
        <d v="2019-09-08T00:00:00"/>
        <d v="2019-09-01T00:00:00"/>
        <d v="2019-08-25T00:00:00"/>
        <d v="2019-08-18T00:00:00"/>
        <d v="2019-08-11T00:00:00"/>
        <d v="2019-08-04T00:00:00"/>
        <d v="2019-07-28T00:00:00"/>
        <d v="2019-07-21T00:00:00"/>
        <d v="2019-07-14T00:00:00"/>
        <d v="2019-07-07T00:00:00"/>
        <d v="2019-06-30T00:00:00"/>
        <d v="2019-06-23T00:00:00"/>
        <d v="2019-06-16T00:00:00"/>
        <d v="2019-06-09T00:00:00"/>
        <d v="2019-06-02T00:00:00"/>
        <d v="2019-05-26T00:00:00"/>
        <d v="2019-05-19T00:00:00"/>
        <d v="2019-05-12T00:00:00"/>
        <d v="2019-05-05T00:00:00"/>
        <d v="2019-04-28T00:00:00"/>
        <d v="2019-04-21T00:00:00"/>
        <d v="2019-04-14T00:00:00"/>
        <d v="2019-04-07T00:00:00"/>
        <d v="2019-03-31T00:00:00"/>
        <d v="2019-03-24T00:00:00"/>
        <d v="2019-03-17T00:00:00"/>
        <d v="2019-03-10T00:00:00"/>
        <d v="2019-03-03T00:00:00"/>
        <d v="2019-02-24T00:00:00"/>
        <d v="2019-02-17T00:00:00"/>
        <d v="2019-02-10T00:00:00"/>
        <d v="2019-02-03T00:00:00"/>
        <d v="2019-01-27T00:00:00"/>
        <d v="2019-01-20T00:00:00"/>
        <d v="2019-01-13T00:00:00"/>
        <d v="2019-01-06T00:00:00"/>
        <d v="2018-12-30T00:00:00"/>
        <d v="2018-12-23T00:00:00"/>
        <d v="2018-12-16T00:00:00"/>
        <d v="2018-12-09T00:00:00"/>
        <d v="2018-12-02T00:00:00"/>
        <d v="2018-11-25T00:00:00"/>
        <d v="2018-11-18T00:00:00"/>
        <d v="2018-11-11T00:00:00"/>
        <d v="2018-11-04T00:00:00"/>
        <d v="1899-12-30T00:00:00" u="1"/>
      </sharedItems>
    </cacheField>
    <cacheField name="Charge Code" numFmtId="0">
      <sharedItems containsBlank="1" count="99">
        <e v="#N/A"/>
        <s v="210035-65 MC VBB WP1: DO-nota West (25-050)"/>
        <s v="074097-30 LEADERSHIP &amp; MANAGEMENT CC124 (01-124)"/>
        <s v="TRAINING (In-house training)"/>
        <s v="071945-07 BCS - management (01-124)"/>
        <s v="LEAVE Leave (00-000)"/>
        <s v="074097-29 BCST Appraisal (00-000)"/>
        <s v="257677-59  Melbourne Metro - Latrobe (00-000)"/>
        <s v="249980-13 Edmonton  (00-000)"/>
        <s v="255670-17 HCC - Lower Kings Rd (00-000)"/>
        <s v="246233-56 HCC - Weston Hills Tunnel (00-000)"/>
        <s v="BANK HOLIDAY Bank Holiday (00-000)"/>
        <s v="254304-96 HCC - Paul Cully (00-000)"/>
        <s v="210035-64 VBB 3rd - new bridge VO (00-000)"/>
        <s v="252076-05 Intro to bridges (00-000)"/>
        <s v="268017-25  KSC - Tunnel (00-000)"/>
        <s v="210035-51 VBB 3rd - new bridge (00-000)"/>
        <s v="255375-00 M25 West MSA (00-000)"/>
        <s v="210035-58  VBB Afkeurmemo Oostbrug (00-000)"/>
        <s v="268017-10 KSC - PM (00-000)"/>
        <s v="265720-20 VBB - Assessment (00-000)"/>
        <s v="236808-69 HCC - Nazeing (00-000)"/>
        <s v="074097-30 BCS - resource 2019 (00-000)"/>
        <s v="268268-00 Brisa (00-000)"/>
        <s v="071945-07 BCS - promotional (00-000)"/>
        <s v="215526-27 CP - Assessment (01-124)"/>
        <s v="265720-10 VBB - Design Basis (00-000)"/>
        <s v="262218-08 CAFA (00-000)"/>
        <s v="266122-24 A465 updates (00-000)"/>
        <s v="601593-72 WMRE lot 6 (00-000)"/>
        <s v="265720-01 VBB -  extra fatgiue work (00-000)"/>
        <s v="261723-02 SMP (00-000)"/>
        <s v="266122-21 A465 (00-000)"/>
        <s v="264520-00 Gatwick (00-000)"/>
        <s v="239230-42 SHB - Existing (00-000)"/>
        <s v="264744-00 WLW (00-000)"/>
        <s v="000000-00 AMS Support (00-000)"/>
        <s v="259933-00 Waalbrug (00-000)"/>
        <s v="Interview (00-000)"/>
        <s v="260258-41 Galecopper - joints and bearings (00-000)"/>
        <s v="077616-63 Infra BIM (00-000)"/>
        <s v="265675-00 de Locht (00-000)"/>
        <s v="260258-47 Galecopper (00-000)"/>
        <s v="254304-79 HCC - Nursery Ln (00-000)"/>
        <s v="601701-23 swindon d&amp;b (00-000)"/>
        <s v="77616-41 Hatta (00-000)"/>
        <s v="239230-40 Suurhoffbrug (00-000)"/>
        <s v="074103-30 Engagement cohort (00-000)"/>
        <s v="254304-44 HCC - Asset management (00-000)"/>
        <s v="254841-07 HS2 Ph2b (00-000)"/>
        <m u="1"/>
        <s v="Bank Holiday" u="1"/>
        <s v="A465" u="1"/>
        <s v="Gatwick" u="1"/>
        <s v="Intro to bridges" u="1"/>
        <s v="KSC - PM" u="1"/>
        <s v="Suurhoffbrug" u="1"/>
        <s v="WMRE lot 6" u="1"/>
        <s v="HCC - Paul Cully" u="1"/>
        <s v="KSC - Tunnel" u="1"/>
        <s v="VBB - Assessment" u="1"/>
        <s v="A465 updates" u="1"/>
        <s v="CP - Assessment" u="1"/>
        <s v="Interview" u="1"/>
        <s v="Leave" u="1"/>
        <s v="Engagement cohort" u="1"/>
        <s v="BCS - resource 2019" u="1"/>
        <s v="VBB - Design Basis" u="1"/>
        <s v="Galecopper - joints and bearings" u="1"/>
        <s v="HCC - Lower Kings Rd" u="1"/>
        <s v="VBB 3rd - new bridge" u="1"/>
        <s v="Galecopper" u="1"/>
        <s v="TRAINING Training (00-000)" u="1"/>
        <s v="swindon d&amp;b" u="1"/>
        <s v="HCC - Nazeing" u="1"/>
        <s v="Brisa" u="1"/>
        <s v="AMS support" u="1"/>
        <s v="HCC - Weston Hills Tunnel" u="1"/>
        <s v="Waalbrug" u="1"/>
        <s v="HCC - Nursery Ln" u="1"/>
        <s v="VBB -  extra fatgiue work" u="1"/>
        <s v="HCC - Asset management" u="1"/>
        <s v="Hatta" u="1"/>
        <s v="Appraisal" u="1"/>
        <s v="CAFA" u="1"/>
        <s v="CAFA Span 31" u="1"/>
        <s v="SMP" u="1"/>
        <s v="Training" u="1"/>
        <s v="Infra BIM" u="1"/>
        <s v="de Locht" u="1"/>
        <s v="HS2 Ph2b" u="1"/>
        <s v="SHB - Existing" u="1"/>
        <s v="071945-07 BCS - management (00-000)" u="1"/>
        <s v="MC VBB WP1: DO-nota West" u="1"/>
        <s v="WLW" u="1"/>
        <s v="VBB 3rd - new bridge VO" u="1"/>
        <s v="M25 West MSA" u="1"/>
        <s v="VBB Afkeurmemo Oostbrug" u="1"/>
        <s v="BCS - promotional" u="1"/>
      </sharedItems>
    </cacheField>
    <cacheField name="Time Type" numFmtId="0">
      <sharedItems containsBlank="1" count="2">
        <s v="Normal Time"/>
        <m u="1"/>
      </sharedItems>
    </cacheField>
    <cacheField name="Narrative" numFmtId="0">
      <sharedItems containsBlank="1" count="588" longText="1">
        <m/>
        <s v="hanger loss"/>
        <s v="cross girder verification"/>
        <s v="wind bracing verifications"/>
        <s v="wp1/wp2 update meetings"/>
        <s v="cross girder verifications"/>
        <s v="management meeting and digital"/>
        <s v="ox results"/>
        <s v="bearing reactions for wp3"/>
        <s v="processing ox results"/>
        <s v="new ox run | buckling"/>
        <s v="rws weekly meeting"/>
        <s v="new ox run processing"/>
        <s v="architecture meeting"/>
        <s v="CoG | staging | ox results"/>
        <s v="verifications plan"/>
        <s v="ox results - error in GSA"/>
        <s v="wp1-wp2 meeting"/>
        <s v="leadership meeting"/>
        <s v="engagement"/>
        <s v="Joint spreadsheet"/>
        <s v="model rerun"/>
        <s v="model re-run"/>
        <s v="bearing schedule update"/>
        <s v="update to bearing and joint tools | model update"/>
        <s v="model update | lists and section properties"/>
        <s v="joe bloor mock | technical strategy update"/>
        <s v="WP1/WP2 meeting"/>
        <s v="update of model | bearing reactions check"/>
        <s v="VBB | model updates following reactions | tools update"/>
        <s v="VBB | bearing reaction summary | model checks"/>
        <s v="VBB | self weight summary_x000a__x000a_BCST | Startegy meeting"/>
        <s v="VBB | self weight verifications"/>
        <s v="VBB | self weight checks"/>
        <s v="VBB | RWS progress meeting | plan meeting | arch stiffening"/>
        <s v="VBB | portal verifications | arch stiffening"/>
        <s v="VBB | portal verification"/>
        <s v="VBB | wind bracing verifications | meeting to discuss verification process"/>
        <s v="VBB | cross girder and wind bracing verifications"/>
        <s v="VBB | Cross girder verifications"/>
        <s v="VBB | cross girders"/>
        <s v="BCST | Management meeting"/>
        <s v="VBB | arch verifications"/>
        <s v="ICE | James Walley mock_x000a_"/>
        <s v="VBB | arh main girder optimisation"/>
        <s v="VBB | report | arch and MG design | arch verifiaction"/>
        <s v="VBB | review of OX results_x000a_Improved results for arch and main girder. Will begin review of other sections."/>
        <s v="VBB | Verifications for checking | report update to include DB"/>
        <s v="VBB | MG initial rerun"/>
        <s v="BCST | Liana meeting | Engagement meeting"/>
        <s v="VBB | WP1/WP2 updae | Main Girder model update_x000a_Investigated why OX results showing increases in stress when sections increased. Found that some load cases were being counted twice, so doublecounting some results."/>
        <s v="VBB | design basis (final time...)"/>
        <s v="VBB | postprocessing results_x000a__x000a_BCST | management meeting"/>
        <s v="VBB | main girder and arch sizing_x000a_Still encoutering problems with the level of stres in the arches and main girder. Especially close to the springing. To revise sections an re-rerun"/>
        <s v="VBB | ox run | arch verification - stiffener"/>
        <s v="VBB | Model rerun_x000a_reruning model for updated main girder and ach sections. Also investigated docx complier script, can't get docx module to work...."/>
        <s v="VBB | postprocessing_x000a_Running of BIE for second run of VBB. Main girder and arch sizes modified._x000a__x000a_BCST | resource management meeting"/>
        <s v="VBB | systems engineering update | fire note | main girder optimisation"/>
        <s v="VBB | Postprocessing_x000a_Investigation into postprocessing results. MG stresses approx. 400MPa. Trying to determine why such an increase since VO. Seems the VO results were incorrect."/>
        <s v="VBB | post processing results_x000a_main girders not working"/>
        <s v="VBB | verifications | fire CFD meeting_x000a_preparation for fire CFD analysis update, highlighted main issues - wind, scenarios, structural assessment, protection measure specification_x000a__x000a__x000a_IM Digital"/>
        <s v="VBB | verification sheets | ox run influence effects"/>
        <s v="VBB | report update | verifications planning_x000a__x000a_BCST | human factors meeting about team morale"/>
        <s v="VBB | deisgn report and verifications_x000a_Copied technical notes on joints, construction staging and hanger loss ito report."/>
        <s v="VBB | Design Report_x000a_Seeting up of design report structure. Appendix Layout"/>
        <s v="BIM MM meeting_x000a__x000a_VBB | BIM Scrum | arch geometry | construction sequence model with ying"/>
        <s v="VBB | Construction staging model_x000a_Reviwed staging model prepared by Ying. Deck restrained when on temporary supports. Don't think this is correct. Will need to Review"/>
        <s v="VBB | verifications update | arch geometry meeting_x000a_completed verification register. started plan for verification following first ox run"/>
        <s v="VBB | Update of verification sheets_x000a_Arch verification sheet_x000a__x000a_Other | first day back in the office."/>
        <s v="VBB | Verification sheets_x000a_Updated verification sheets from VO&gt; COllected all latest ones, to start from a clean position. Recorded in verification sheet list"/>
        <s v="VBB | update of verification sheets_x000a_worked on updating all sheets. added required spreadsheets and scripts. discussed with andrea to ensure the latest are considered"/>
        <s v="VBB | verification sheets update | amsterdam serveer outage | arch geometry update"/>
        <s v="personal _x000a__x000a_VBB | verifications"/>
        <s v="VBB | design basis | verifications"/>
        <s v="VBB | design basis updates"/>
        <s v="VBB | design basis update | verification sheets update"/>
        <s v="VBB | design basis - update to hanger loads and verification parts. Added friction chapter"/>
        <s v="VBB | design basis update - connections and hanger | wp1 meeting and plan for week"/>
        <s v="VBB | wp1/wp2 update meeting | arch geometry discussion with Andrea"/>
        <s v="VBB | design basis update"/>
        <s v="VBB | | fire note update | WP1 catch-up on arch geometry"/>
        <s v="VBB | model review responses | report update | verifications"/>
        <s v="VBB | Arch geometry. Decided to vary middle span segment to match point cloud. If per asbuilt drg, arch would e higher than WBBb. | Movement WBBbO at P10 cross girder C in the middle. Using Node IE instead of BIE"/>
        <s v="appraisal catch-up"/>
        <s v="VBB | Expansion joint meeting. Agreed to use FLM1 and limit the angle to 7.6deg | Catch up meeting for WP1"/>
        <s v="VBB | expansion joint review of results and requirements. preparation for meeting with Frank van Beek."/>
        <s v="VBB | general catch-up_x000a__x000a_BCST Digital | catch-up with DJ and Andy"/>
        <s v="VBB | catch up WP1/WP2 | catch up for WP1 |  meeting to discuss arch geometry - whether to consider final situation after permanenet loads or fabrication levels"/>
        <s v="VBB design basis updates | post processing results"/>
        <s v="VBB design basis updates | post processing results | meeting with RWS"/>
        <s v="Melbourne review of seismic loads cases with alastair"/>
        <s v="VBB post processing preparation"/>
        <s v="VBB wp1/wp2 meetings | internal review documents | base model "/>
        <s v="Leave"/>
        <s v="VBB p-d analysis | Influence effetcs"/>
        <s v="VBB construction staging | buckling models methodology"/>
        <s v="VBB model checks | geometry update"/>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s v="VBB Model of staging | combinations"/>
        <s v="load combinations and model runs"/>
        <s v="VBB effects comparison"/>
        <s v="VBB WP1/WP2 meeting | comparison of effects for ach, MG, CG"/>
        <s v="VBB model results review prior to ox run"/>
        <s v="VBB model comparison with vo"/>
        <s v="vbb  modeling checklist | review of model "/>
        <s v="MM verification of fe model loading"/>
        <s v="Melbourne metro model initial review of loads"/>
        <s v="VBB modelling| construction staging"/>
        <s v="VBB construction staging | added revised DB to DO report"/>
        <s v="VBB WP1/WP2 progress meeting | WP1 meeting focussing on tasks for the week, particularly design bssis changes and construction staging."/>
        <s v="VBB Design basis update | review of fire section"/>
        <s v="BCST management meeting"/>
        <s v="VBB fire and corrosion protection meeting. RWS Agreed with proceeding with intermuscent coatings as an option as long as durability and performance equivalent to thermal sprayed mettallic paints"/>
        <s v="VBB Design basis update, synchronising with WP2 changes and updates"/>
        <s v="VBB fire pre-meeting with graham and claire | Design basis updates | construction stagging models with ying"/>
        <s v="VBB DEsign Basis update | Fire section updated to remove design suggestions and focus on design basis assumptions - decided with Daan not to include numbers"/>
        <s v="ICE Annual Review with Kirstin"/>
        <s v="VBB arch comparison with architect | design basis updates"/>
        <s v="VBB VO report update"/>
        <s v="MM Latrobe: Download of files sent by Nick"/>
        <s v="VBB: WP1/2 update | Design Basis review"/>
        <s v="VBB architecture meeting | started revewing staging note_x000a_BCS Management meeting | architecture meeting - decided to consider option with a straigth into a single curve at the portal locations"/>
        <s v="VBB RWS design basis comments - agreed actions with Frank. Design basis to be updated next week"/>
        <s v="mm latrobe briefing"/>
        <s v="VBB RWS responses and preparation for the meeting"/>
        <s v="Personal development plan"/>
        <s v="VBB RWS Comments | work an staging and arch geometry | wind loads"/>
        <s v="VBB RWS comments | catch-up meeting with WP1 - decision to review cross girder diaphragms. Likely remove on Type A"/>
        <s v="VBB Design basis | Completed hanger loss note and sent for review - conclusion that arch can be designed for accidental situations assuming afkeur and 6 lanes with reductions."/>
        <s v="WBBn hanger loss note | architects meeting - decision to modify connections, remove first hor. cross bracing"/>
        <s v="VBB WP1/WP2 progress meeting"/>
        <s v="VBB review of wind loads"/>
        <s v="VBB Hanger loads, speak to kevin, modelling update"/>
        <s v="VBB Hanger connection | staging models and note"/>
        <s v="_x000a_MM | north adits redesign briefing"/>
        <s v="WBBn rws weekly design meeting | construction staging | hanger loss note"/>
        <s v="VBB RWS weekly design meeting | hanger loss note"/>
        <s v="VBB wp1 update meeting | discussion about incorporating architects arch geometry into model and construction stage."/>
        <s v="IM Digital | bi-weekly catch-up"/>
        <s v="VBB modelling changes list update | Discussion with Andrea regaring construction staging and how to simplify following meeting with Richard| VBB Fire note review - file updated by graham to include both fire and corrosion protection. Next step to discuss with RWS"/>
        <s v="BCS - management"/>
        <s v="VBB planning spreadsheet update | meeting with team to discuss current tasks and next prioities | next steps to develop stagig, write up hanger loss study and conclude cross stiffness check"/>
        <s v="VBB Task list | Arch geometry - discussed with Andrea changing to a catenary or parabola, instead of a series of segments with different radii"/>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s v="Defined nomenclature for elements too be used in Master_Sheet of inputs and outputs. Andrea to develop naming of connections. Then need to communicate with Daan and Joost,. | Main Girder Note - Review of draft prepared by Andrea | Initial review of updated comments from RWS"/>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s v="fatigue of bearing deck connection studs"/>
        <s v="design basis | Modelling meeting"/>
        <s v="main girder design w/ andrea | drawings list"/>
        <s v="update and review of models | correction of alpha factors for live load | fire discussion with graham and claire"/>
        <s v="wp1/wp2 meeting | update of Liana's expansion joint note and calcs"/>
        <s v="drawing list | review of models and model reviewing tool"/>
        <s v="Review of springing  point note by Andrea"/>
        <s v="management meeting"/>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s v="Fire Note - Discussed scope with Clare. Agreed that the note should be ready in two weeks. Agreed to provide her with a table to show section geometry"/>
        <s v="arch model review with andrea. "/>
        <s v="rws comments - fire wp2. wp1 team updates"/>
        <s v="FE Non linear Model - Imported GSA model into Strand 7, geometry and restraints checked. Loads next."/>
        <s v="BCST Digial skills matrix draft   |   Digital Learning links"/>
        <s v="Discusion with Fran, Keith and Andy on options for adding a stiffener. Concern raised by Keith on how the new stiffener would be connected to the bottom flange. | Agree to run a 2d non linear material model to try to better understand flow of forces from the abutment."/>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s v="weekly catch-up"/>
        <s v="Expansion Joint note | Hanger scenarios | RWS Comments with Daan | Fire email to graham asking for note"/>
        <s v="meeting with fran to agree stiffener sketch "/>
        <s v="Systems engineering meeting | Hanger scenarios with Ying | Discussed with Felix possibility of presenting results using a database, supplementing OX "/>
        <s v="response to RWS Comments - comments impacting Andreas work | worked thorugh arch checks with Andrea | Geometry"/>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s v="update further investigation report - review of structural and geotechnical parametrs and further analysis"/>
        <s v="preparation of updated progress report addressing comments from meeting earlier in the week | Meeting with Heather to finilise"/>
        <s v="reponse to comments by RWS | Progress meeting - Liana working with EJ note, Andrea completed arch verification, Ying working construction sequence note"/>
        <s v="update further investigation report"/>
        <s v="leadership meeting |  digital survey resent | technical "/>
        <s v="meeting with Fran to discuss method for stiffening the bearings at the end of the girders | Space not sufficient in two corners. Discussed excavating fill locally, but will need to consider restraint to girder. Fran to prepare sketch and set up meetingt to confirm appoach."/>
        <s v="Responding to RWS Commnets  on VO Report"/>
        <s v="Meeting with Hether and Alex to discuss finding and compare notes - generally agreed and Alex found similar issues. Concern with how sensitive the model seems to be and that boundary condition checks aren’t being carried out"/>
        <s v="CoG Checks, discussion with Daan and Andrea. Found that hanger anchorages had not been added to WBBn model. Once added results comparable to WBBbO | Reviewed comments"/>
        <s v="presentation to management team (Andrew and Elena) - discussed possible impacts of findings and noted additional actions to complete by end of week | Meeting with Heather and Alastair to discuss how to complete actions identified during the meeting"/>
        <s v="modelling checks - comparison between Neil and Dax | Convergence checks - added sub steps and modified non-linear curves to improve convergence, all load cases converged | Prepared presentation to management team (Andrew and Elena)"/>
        <s v="modified Neil's models to recreate what Dax did, then compared results   //  Models seem to all have small differences which would explain the differences in results. Differences in no. of adit supports, LC55, invert properties"/>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s v="meeting with Heather to agree models to review and next steps // problem definition, reviewed emails and communitcations. // added to technical note summary of previous correspondance. // Ran Dax and Neil's models to compare with results provided"/>
        <s v="Discussion with Keith regarding requirements for posts if use changed to a bridleway. Concluded that difficult to strenghten due to lack of space restrictions. Also not easy to connect to existing structure which is made with hollow setions, Welding not considered an option."/>
        <s v="assessment report - rws db comments" u="1"/>
        <s v="2e inspection section 4 - details to be inspected" u="1"/>
        <s v="Staff development" u="1"/>
        <s v="preparation for review and DB" u="1"/>
        <s v="first results" u="1"/>
        <e v="#REF!" u="1"/>
        <s v="response to comments on design basis" u="1"/>
        <s v="development of options for on/off slip structures" u="1"/>
        <s v="local fatigue" u="1"/>
        <s v="BIM 360 feedback" u="1"/>
        <s v="design basis update - final draft with RtC" u="1"/>
        <s v="local fatigue/global model/checks - gianmarco / ronan / roel" u="1"/>
        <s v="Design basis " u="1"/>
        <s v="review of structures option report" u="1"/>
        <s v="phase 2 report - local fatigue" u="1"/>
        <s v="VBB RWS design basis comments - meeting and agreed actions with rws for wp1" u="1"/>
        <s v="tunnel - preparation for workshop" u="1"/>
        <s v="load combinations" u="1"/>
        <s v="design basis - loading / NEN 8700 8701 RBK1.1" u="1"/>
        <s v="meeting to review of report " u="1"/>
        <s v="discussions with Fran" u="1"/>
        <s v="VDR feedback and modelr review" u="1"/>
        <s v="VBB architecture meeting | started revewing staging note " u="1"/>
        <s v="review w/ Peter Burnton" u="1"/>
        <s v="concept freeze structural meeting" u="1"/>
        <s v="design basis" u="1"/>
        <s v="expansion joint note. Wp1 update, review of vo-do tasks." u="1"/>
        <s v="latrobe redesign briefing" u="1"/>
        <s v="drawings issue for war room rview" u="1"/>
        <s v="issue of billing note and drgs" u="1"/>
        <s v="model set-up and buckling" u="1"/>
        <s v="SFT and FI team meeting and prep" u="1"/>
        <s v="VO report" u="1"/>
        <s v="TAF update" u="1"/>
        <s v="preparation for structures meeting in Swindon" u="1"/>
        <s v="CJVRFI-03821" u="1"/>
        <s v="catch-up and planning wp1 team" u="1"/>
        <s v="responses to comments / construction seq / fire" u="1"/>
        <s v="discussion with Pat/tom in response to comments" u="1"/>
        <s v="design basis - text update" u="1"/>
        <s v="structures catch-up" u="1"/>
        <s v="presentation to RWS" u="1"/>
        <s v="review of WP1 design basis" u="1"/>
        <s v="review of WP2 design basis" u="1"/>
        <s v="construction sequence meeting with richard and follow up with team| fire note discussion with claire and graham" u="1"/>
        <s v="VDR approval" u="1"/>
        <s v="70050943-10L  Paul Cully proposal and brief" u="1"/>
        <s v="review construction model" u="1"/>
        <s v="VBB | catch up WP1/WP2 | catch up for WP1 |  meeting to discuss arch geometry - " u="1"/>
        <s v="islands meeting" u="1"/>
        <s v="SMP VDR " u="1"/>
        <s v="MCA report -techincal" u="1"/>
        <s v="bearing position" u="1"/>
        <s v="final report  preparation for issue" u="1"/>
        <s v="VBB | Verification sheets_x000a_Updated verification sheets from VO&gt; " u="1"/>
        <s v="pw/reviews/workflows" u="1"/>
        <s v="issue of report to Keith" u="1"/>
        <s v="set up VDR, federation of models" u="1"/>
        <s v="VBB | review of OX results_x000a_" u="1"/>
        <s v="check of bearing stiffener calcs (6.4)" u="1"/>
        <s v="VBB | design basis update | verification sheets update - arch" u="1"/>
        <s v="WLW - discussion with FAB" u="1"/>
        <s v="meeting and discussion with alex" u="1"/>
        <s v="Access note" u="1"/>
        <s v="review of TNO monitoring note" u="1"/>
        <s v="VBB | report update" u="1"/>
        <s v="review of scope" u="1"/>
        <s v="VBB meeting with architect | Weekly design update meeting with RWS| Meetingto discuss shape of bridge to model" u="1"/>
        <s v="review information and briefing meeting" u="1"/>
        <s v="coordination meeting" u="1"/>
        <s v="RtC from Daan, Kate and RWS" u="1"/>
        <s v="invoicing / contract" u="1"/>
        <s v="C/S models" u="1"/>
        <s v="meeting to discuss RWS comments on local fatigue" u="1"/>
        <s v="check of neil and dax models" u="1"/>
        <s v="fire note, briefing of experts" u="1"/>
        <s v="Design basis - loads (wind, temp, etc)" u="1"/>
        <s v="discussion with Rachel and review of work to date" u="1"/>
        <s v="coordination meetings / report / model update" u="1"/>
        <s v="design basis - widening" u="1"/>
        <s v="review with rachel" u="1"/>
        <s v="construction sequence" u="1"/>
        <s v="HS2 S1/S2 Assistance with analysis effects of settlement due to HS2 tunnel on existing structures." u="1"/>
        <s v="package coordination, hangers" u="1"/>
        <s v="VBB modelling list update | staging discussion with AV | review of fire note" u="1"/>
        <s v="fatigue tool" u="1"/>
        <s v="Catch-up / hot topics" u="1"/>
        <s v="structural verificationof jacking auxiliary structure" u="1"/>
        <s v="meeting at RWS" u="1"/>
        <s v="Preparation for meeting with HE, update of report and drgs" u="1"/>
        <s v="cross section" u="1"/>
        <s v="RtC for local and global fatigue" u="1"/>
        <s v="ICE presentation - Kirstin" u="1"/>
        <s v="graduate interviews and group exercise" u="1"/>
        <s v="Review of KH comments with Denis" u="1"/>
        <s v="developing expansion joints note with liana" u="1"/>
        <s v="hanger loss results | arch geometry | construction staging" u="1"/>
        <s v="2018 staff appraisal - Kirstin" u="1"/>
        <s v="checking of stringer jacking calculations" u="1"/>
        <s v="fire study" u="1"/>
        <s v="DO next steps - review of fatigue detail and design items" u="1"/>
        <s v="cross section development" u="1"/>
        <s v="Eng Coh - focus group" u="1"/>
        <s v="-CIV - MVM6 span 31 assessment brief Juan Carlos" u="1"/>
        <s v="Nant frwd and taf fawr options" u="1"/>
        <s v="-CIV - MVM6 span 31 assessment review of assessment" u="1"/>
        <s v="planning - review of existing information, mtg with AA" u="1"/>
        <s v="model review - arch buckling" u="1"/>
        <s v="contacted all discipline leads" u="1"/>
        <s v="design report and drawings" u="1"/>
        <s v="Review with Richard and Daan " u="1"/>
        <s v="PW setup" u="1"/>
        <s v="meeting and discussion on next steps" u="1"/>
        <s v="follow up from structures meeting" u="1"/>
        <s v="hydraulic design mtg" u="1"/>
        <s v="arch sprining / drawings / model updates" u="1"/>
        <s v="FE model and drawings" u="1"/>
        <s v="bridge weights" u="1"/>
        <s v="meeting with Andrew and Elena" u="1"/>
        <s v="preparation for rws DB meeting" u="1"/>
        <s v="WBBn VO conclusions and works for DO" u="1"/>
        <s v="design basis - combinations" u="1"/>
        <s v="connection check and discussion with Keith" u="1"/>
        <s v="VBB | postprocessing results - maingirder_x000a_" u="1"/>
        <s v="preparation for design meeting" u="1"/>
        <s v="Taf Fawr / Nant Ffwrd" u="1"/>
        <s v="Meeting with HE in Guildford rgd Bridge TA" u="1"/>
        <s v="bridge input for bid" u="1"/>
        <s v="PW / Project site set-up" u="1"/>
        <s v="cross section discussion" u="1"/>
        <s v="GSA model review" u="1"/>
        <s v="structural safety cross girder" u="1"/>
        <s v="springing point notes. Hanger loss discussion with ying" u="1"/>
        <s v="review of updated gsa model" u="1"/>
        <s v="2018 staff appraisal" u="1"/>
        <s v="review of results and implications" u="1"/>
        <s v="kirstin presentation" u="1"/>
        <s v="Structural monitoring discussion" u="1"/>
        <s v="VBB | design basis update | model update | LM1 input" u="1"/>
        <s v="text" u="1"/>
        <s v="coordination meeting and day" u="1"/>
        <s v="VBB |  progress meeting | arch design_x000a_" u="1"/>
        <s v="DB report update" u="1"/>
        <s v="technical meeting and follow-up" u="1"/>
        <s v="alignments" u="1"/>
        <s v="catch up on schemes" u="1"/>
        <s v="RWS meeting - fatigue details" u="1"/>
        <s v="review of load test results - comparison with model" u="1"/>
        <s v="briefed liana" u="1"/>
        <s v="planning - review of existing information" u="1"/>
        <s v="Update to further investigation report" u="1"/>
        <s v="AIP update" u="1"/>
        <s v="initial review of docs and briefing meeting" u="1"/>
        <s v="TRAINING - PM &amp; PD Commercial Training - Pricing Strategy (module 8)" u="1"/>
        <s v="loading and alignments" u="1"/>
        <s v="tunnel - restart" u="1"/>
        <s v="discussion with Atkins/CPS regardingresults" u="1"/>
        <s v="start of check of auxiliary structure connection" u="1"/>
        <s v="verification sheets" u="1"/>
        <s v="update progress" u="1"/>
        <s v="VBB | WP1 catch-up | arch geometry update" u="1"/>
        <s v="meetings at MC office" u="1"/>
        <s v="70050041-20R scheme update" u="1"/>
        <s v="70050943-10L Scheme update" u="1"/>
        <s v="functional cross section memo" u="1"/>
        <s v="Inception review report and BEP" u="1"/>
        <s v="VBB | BIM Scrum | arch geometry" u="1"/>
        <s v="bolt investigation note" u="1"/>
        <s v="discussion with fran" u="1"/>
        <s v="technical meeting" u="1"/>
        <s v="VBB wp1/wp2 meeting | arch geometry | construction staging | fire note" u="1"/>
        <s v="VBB | deisgn report and verifications_x000a_" u="1"/>
        <s v="design basis and analysis" u="1"/>
        <s v="review of drawings" u="1"/>
        <s v="design basis / inspections / monitoring" u="1"/>
        <s v="presentations for NEOM workshop" u="1"/>
        <s v="development of options for Nant Ffrwd" u="1"/>
        <s v="mtg about Fran's buckling model" u="1"/>
        <s v="EU BIM working group – Amsterdam" u="1"/>
        <s v="Nant Ffwrd Off slip" u="1"/>
        <s v="VBB | postprocessing_x000a_Running of BIE for second run of VBB. Main girder and arch sizes modified." u="1"/>
        <s v="KSB fee update" u="1"/>
        <s v="catch-up and de-brief" u="1"/>
        <s v="structural safety bearing support system" u="1"/>
        <s v="arch design with andrea" u="1"/>
        <s v="review opf BEP amd related documents" u="1"/>
        <s v="design basis - access document" u="1"/>
        <s v="utilities memo" u="1"/>
        <s v="programme" u="1"/>
        <s v="Kick off visit - Daan/Marijke" u="1"/>
        <s v="mtg local fatigue meeting with RWS" u="1"/>
        <s v="staff development mtg" u="1"/>
        <s v="Inspection note" u="1"/>
        <s v="BANK HOLIDAY" u="1"/>
        <s v="transfer beam note" u="1"/>
        <s v="ICE | James Walley mock" u="1"/>
        <s v="planning meeting" u="1"/>
        <s v="ph2 st1 reporting" u="1"/>
        <s v="cross sections" u="1"/>
        <s v="WLW - plan with Edwin" u="1"/>
        <s v="visit to Brisa  /AEA" u="1"/>
        <s v="review of revised mathcad and check form" u="1"/>
        <s v="drawings and standard details" u="1"/>
        <s v="presentation and updates VO-DO" u="1"/>
        <s v="VO design note and issues" u="1"/>
        <s v="VBB Hanger loads, speak to kevin" u="1"/>
        <s v="preparation for model tech mtg" u="1"/>
        <s v="section checks" u="1"/>
        <s v="preparration for meeting in AMS" u="1"/>
        <s v="Melbourne results and files from PW | update with Alastair" u="1"/>
        <s v="phase 2 report meeting - contents" u="1"/>
        <s v="VBB | main girder and arch sizing" u="1"/>
        <s v="SFT-FI owrkshop" u="1"/>
        <s v="archirodon comments" u="1"/>
        <s v="VBB task list update | progress and planning with WP1 team | hanger loss note" u="1"/>
        <s v="VO report and sketches" u="1"/>
        <s v="bearing stiffening design update" u="1"/>
        <s v="Nant Ffwrd Off-Slip" u="1"/>
        <s v="arch springing FE model" u="1"/>
        <s v="Design basis - final draft text" u="1"/>
        <s v="Review of report and issue" u="1"/>
        <s v="Hot House" u="1"/>
        <s v="model convergence checks" u="1"/>
        <s v="Construction report" u="1"/>
        <s v="modelling" u="1"/>
        <s v="rws DB comments / discussions" u="1"/>
        <s v="calculation plan" u="1"/>
        <s v="planning" u="1"/>
        <s v="KSC TEC scope - meeting w/ DJ/GJ" u="1"/>
        <s v="VBB | Verifications for checking w/roel | report update to include DB" u="1"/>
        <s v="check of calcs by Harris" u="1"/>
        <s v="Hand-over with Kate" u="1"/>
        <s v="VBB fire pre-meeting with graham and claire | Design basis updates | construction stagging " u="1"/>
        <s v="RWS technical meeting" u="1"/>
        <s v="local fatigue comments" u="1"/>
        <s v="design basis comments and annexes" u="1"/>
        <s v="bearing shelf technical note" u="1"/>
        <s v="geo discussion" u="1"/>
        <s v="GSSB" u="1"/>
        <s v="review of Fran's buckling model" u="1"/>
        <s v="design basis - inspection summary" u="1"/>
        <s v="review of bridges and tunnels PCQ" u="1"/>
        <s v="VBB Design basis | Completed hanger loss note and sent for review " u="1"/>
        <s v="joints workshop" u="1"/>
        <s v="assessment report" u="1"/>
        <s v="drawings / reporting" u="1"/>
        <s v="VBB task list meeting | arch geometry with AV " u="1"/>
        <s v="VBB fire and corrosion protection meeting. " u="1"/>
        <s v="Review of documents and discussion with Keith" u="1"/>
        <s v="BMAT workflow" u="1"/>
        <s v="VBB DEsign Basis update" u="1"/>
        <s v="VBB | arch geometry for ox run" u="1"/>
        <s v="joints" u="1"/>
        <s v="weekly update meeting" u="1"/>
        <s v="Commercial training - D&amp;B" u="1"/>
        <s v="SMP VDR first pass lessons learnt" u="1"/>
        <s v="Alastair Woodland" u="1"/>
        <s v="review of design basis comments" u="1"/>
        <s v="review of drawings and comments" u="1"/>
        <s v="VBB | Update of verification sheets_x000a_Arch verification sheet" u="1"/>
        <s v="KSC - meeting with TEC and prep" u="1"/>
        <s v="Monitoring plan of approach" u="1"/>
        <s v="update report following Toms comments" u="1"/>
        <s v="2018 staff appraisal - Ryan" u="1"/>
        <s v="inception report RtC and BEP" u="1"/>
        <s v="Review of documents " u="1"/>
        <s v="Preparation for meeting" u="1"/>
        <s v="initial review of note by RWS and prep of response" u="1"/>
        <s v="team update - materials / cross section" u="1"/>
        <s v="Staveley depot retaining walls" u="1"/>
        <s v="WLW - review" u="1"/>
        <s v="review prep" u="1"/>
        <s v="VO report / safety meeting" u="1"/>
        <s v="meeting at alpha tower" u="1"/>
        <s v="contract extension" u="1"/>
        <s v="update report following checker review" u="1"/>
        <s v="access note and WP meeting" u="1"/>
        <s v="summary of focus group results" u="1"/>
        <s v="start up meeting" u="1"/>
        <s v="joints " u="1"/>
        <s v="comments, CoG and Construction Sequence" u="1"/>
        <s v="VBB | WP1/WP2 updae | Main Girder model update" u="1"/>
        <s v="bridge nomenclature | main girder note | modelling strategy" u="1"/>
        <s v="PW set up and Project Site" u="1"/>
        <s v="drawings / reporting and arch springing" u="1"/>
        <s v="development of options. Review of requirements" u="1"/>
        <s v="buckling check discussion woth fran" u="1"/>
        <s v="inspection - visit to site" u="1"/>
        <s v="design basis - steel grade" u="1"/>
        <s v="update report and discussion with Rachel" u="1"/>
        <s v="certificates updaate" u="1"/>
        <s v="tunnel - workshop" u="1"/>
        <s v="design basis, reference to 2ndVBB" u="1"/>
        <s v="MCA report -technical" u="1"/>
        <s v="Review of KH comments" u="1"/>
        <s v="global results" u="1"/>
        <s v="VBB | post processing results_x000a_" u="1"/>
        <s v="stiffener meeting" u="1"/>
        <s v="rws comments" u="1"/>
        <s v="Design Basis meeting with Felix" u="1"/>
        <s v="review of bearing and joints report" u="1"/>
        <s v="Strategy meeting" u="1"/>
        <s v="springing point design" u="1"/>
        <s v="review of calcs with Josh" u="1"/>
        <s v="WBBn VO conclusions and preparations for DO" u="1"/>
        <s v="splice connection analysis and monitoring" u="1"/>
        <s v="DB comments with Roel" u="1"/>
        <s v="briefing with heather" u="1"/>
        <s v="VBB | verifications" u="1"/>
        <s v="RWS meeting - fatigue / modelling meeting" u="1"/>
        <s v="vertical stability" u="1"/>
        <s v="Assessment plan" u="1"/>
        <s v="assessment report - inspection results" u="1"/>
        <s v="Fran in campus" u="1"/>
        <s v="TAF report update" u="1"/>
        <s v="report text - structures" u="1"/>
        <s v="presentation" u="1"/>
        <s v="billing note" u="1"/>
        <s v="fe non linear model" u="1"/>
        <s v="cross section  - transfer structure" u="1"/>
        <s v="design basis comments into assessment report" u="1"/>
        <s v="London workshop" u="1"/>
        <s v="lower kings brainstorm strengthening" u="1"/>
        <s v="AIP update and response to SOR comments" u="1"/>
        <s v="VBB meeting" u="1"/>
        <s v="-CIV - MVM6 span 31 assessment set up new assessment" u="1"/>
        <s v="catch-up meeting - internal" u="1"/>
        <s v="Design basis  - final draft text" u="1"/>
        <s v="meeting with RWS" u="1"/>
        <s v="Inspection specifications" u="1"/>
        <s v="-CIV - MVM6 span 31 assessment discussion with Laurie Barbour " u="1"/>
        <s v="programme / planning" u="1"/>
        <s v="Design basis - analysis section" u="1"/>
        <s v="Planning - OneNote" u="1"/>
        <s v="session with Roel for model / verifications methods" u="1"/>
        <s v="design basis - requirements" u="1"/>
        <s v="BMAT update" u="1"/>
        <s v="Hand Over SHB project to the next phase, End event SHB Rotterdam. " u="1"/>
        <s v="access meeting" u="1"/>
        <s v="internal review" u="1"/>
        <s v="buckling checks" u="1"/>
        <s v="spring point model" u="1"/>
        <s v="review" u="1"/>
        <s v="Professional qualifications update" u="1"/>
        <s v="assessment report ch 1-5, 8, 10, 11" u="1"/>
        <s v="WP1/WP2 meeting | weekly WP1 meeting | modelling strategy and discussions with team" u="1"/>
        <s v="model tech mtg" u="1"/>
        <s v="results for 1st pass" u="1"/>
        <s v="CIV Span 31 Level 2 assessment quote." u="1"/>
        <s v="Intro to bridges - detailed design" u="1"/>
        <s v="discussions w/ FAB, review of starting points" u="1"/>
        <s v="VBB WP1/WP2 progress meeting | WP1 meeting focussing on tasks for the week, particularly design bssis changes and construction staging._x000a_" u="1"/>
        <s v="review of buckling and bearing replacement" u="1"/>
        <s v="de-brief with team and planning" u="1"/>
        <s v="launching concept" u="1"/>
        <s v="SFT wrokshop" u="1"/>
        <s v="VBB | Postprocessing_x000a_Investigation into postprocessing results. " u="1"/>
        <s v="WP2 Design basis" u="1"/>
        <s v="WMRE lot 6 stations input" u="1"/>
        <s v="discussion with Keith" u="1"/>
        <s v="tether and mooring models" u="1"/>
        <s v="70050041-20R -Nursery culvert" u="1"/>
        <s v="inception report RtC" u="1"/>
        <s v="VBB | self weight summary" u="1"/>
        <s v="VBB arch comparison with architect | stagging" u="1"/>
        <s v="VBB | Model rerun" u="1"/>
        <s v="Billing notes" u="1"/>
        <s v="VDR first pass" u="1"/>
        <s v="alignment and  analysis" u="1"/>
        <s v="technical coordination meeting" u="1"/>
        <s v="spring point sensitivity" u="1"/>
        <s v="final review and modifications to text/prgramme" u="1"/>
        <s v="70050041-20R proposal and brief" u="1"/>
        <s v="Intro to bridges" u="1"/>
        <s v="design basis update" u="1"/>
        <s v="contract review and response" u="1"/>
        <s v="VBB | verifications | fire CFD meeting_x000a_preparation for fire CFD analysis update | WP1/WP2 update" u="1"/>
        <s v="model review - comparison / call with Neil" u="1"/>
        <s v="focus group feedback" u="1"/>
        <s v="Rotterdam office" u="1"/>
        <s v="BCS-materials joint rpesentation" u="1"/>
        <s v="rws comments / discussions" u="1"/>
        <s v="review of CG stiffener weld design" u="1"/>
        <s v="VBB | Arch geometry | Movement WBBbO at P10 cross girder C in the middle. Using Node IE instead of BIE" u="1"/>
        <s v="review - prep and outcomes" u="1"/>
        <s v="D&amp;T" u="1"/>
        <s v="assessment post processing results" u="1"/>
        <s v="main girder design w/ andrea | drawings list | hanger discussion with Kevin | DB discussion with Felix" u="1"/>
        <s v="WLW- dynamic" u="1"/>
        <s v="technical support" u="1"/>
        <s v="Report plan - copy from 2VBB and update" u="1"/>
        <s v="70050943-10L initial review of documents" u="1"/>
        <s v="meeting with CJV" u="1"/>
        <s v="exec summary and quants" u="1"/>
        <s v="hand over with Daan" u="1"/>
        <s v="BMAT prep, session and debrief" u="1"/>
        <s v="VBB | Construction staging model_x000a_Reviwed staging model prepared by Ying. " u="1"/>
        <s v="Report update discussion and plan" u="1"/>
        <s v="preparation for meeting for structures meeting on nant ffrwd and taf fawr" u="1"/>
        <s v="submittal preparation" u="1"/>
        <s v="VBB | verification sheets update | arch geometry update" u="1"/>
        <s v="check of ballast wall design, nazeing bridge" u="1"/>
        <s v="wp1/wp2 hangers discusion" u="1"/>
        <s v="2018 staff appraisal - Heather" u="1"/>
      </sharedItems>
    </cacheField>
    <cacheField name="hr_mo" numFmtId="165">
      <sharedItems containsString="0" containsBlank="1" containsNumber="1" minValue="0" maxValue="7.5"/>
    </cacheField>
    <cacheField name="hr_tu" numFmtId="165">
      <sharedItems containsString="0" containsBlank="1" containsNumber="1" minValue="1" maxValue="5.5"/>
    </cacheField>
    <cacheField name="hr_we" numFmtId="165">
      <sharedItems containsString="0" containsBlank="1" containsNumber="1" minValue="2" maxValue="5.5"/>
    </cacheField>
    <cacheField name="hr_th" numFmtId="165">
      <sharedItems containsString="0" containsBlank="1" containsNumber="1" minValue="3" maxValue="4.5"/>
    </cacheField>
    <cacheField name="hr_fr" numFmtId="165">
      <sharedItems containsString="0" containsBlank="1" containsNumber="1" minValue="3.5" maxValue="4"/>
    </cacheField>
    <cacheField name="Job No" numFmtId="165">
      <sharedItems containsMixedTypes="1" containsNumber="1" containsInteger="1" minValue="0" maxValue="0"/>
    </cacheField>
    <cacheField name="Project Name" numFmtId="165">
      <sharedItems containsBlank="1" count="54">
        <e v="#N/A"/>
        <s v="MC VBB WP1: DO-nota West"/>
        <s v="LEADERSHIP &amp; MANAGEMENT CC124"/>
        <s v="TRAINING (In-house training)"/>
        <s v="BCS - management"/>
        <s v="Leave"/>
        <s v="BCST Appraisal"/>
        <s v="Melbourne Metro - Latrobe"/>
        <s v="Edmonton "/>
        <s v="HCC - Lower Kings Rd"/>
        <s v="HCC - Weston Hills Tunnel"/>
        <s v="Bank Holiday"/>
        <s v="HCC - Paul Cully"/>
        <s v="VBB 3rd - new bridge VO"/>
        <s v="Intro to bridges"/>
        <s v="KSC - Tunnel"/>
        <s v="VBB 3rd - new bridge"/>
        <s v="M25 West MSA"/>
        <s v="VBB Afkeurmemo Oostbrug"/>
        <s v="KSC - PM"/>
        <s v="VBB - Assessment"/>
        <s v="HCC - Nazeing"/>
        <s v="BCS - resource 2019"/>
        <s v="Brisa"/>
        <s v="BCS - promotional"/>
        <s v="CP - Assessment"/>
        <s v="VBB - Design Basis"/>
        <s v="CAFA"/>
        <s v="A465 updates"/>
        <s v="WMRE lot 6"/>
        <s v="VBB -  extra fatgiue work"/>
        <s v="SMP"/>
        <s v="A465"/>
        <s v="Gatwick"/>
        <s v="SHB - Existing"/>
        <s v="WLW"/>
        <s v="AMS Support"/>
        <s v="Waalbrug"/>
        <s v="Interview"/>
        <s v="Galecopper - joints and bearings"/>
        <s v="Infra BIM"/>
        <s v="de Locht"/>
        <s v="Galecopper"/>
        <s v="HCC - Nursery Ln"/>
        <s v="swindon d&amp;b"/>
        <s v="Hatta"/>
        <s v="Suurhoffbrug"/>
        <s v="Engagement cohort"/>
        <s v="HCC - Asset management"/>
        <s v="HS2 Ph2b"/>
        <m u="1"/>
        <s v="Appraisal" u="1"/>
        <s v="CAFA Span 31" u="1"/>
        <s v="Training" u="1"/>
      </sharedItems>
    </cacheField>
    <cacheField name="DayNo" numFmtId="0">
      <sharedItems containsMixedTypes="1" containsNumber="1" containsInteger="1" minValue="1" maxValue="5"/>
    </cacheField>
    <cacheField name="Year" numFmtId="1">
      <sharedItems containsMixedTypes="1" containsNumber="1" containsInteger="1" minValue="2018" maxValue="2020"/>
    </cacheField>
    <cacheField name="WkNo" numFmtId="1">
      <sharedItems containsMixedTypes="1" containsNumber="1" containsInteger="1" minValue="2" maxValue="53"/>
    </cacheField>
    <cacheField name="WkRef" numFmtId="1">
      <sharedItems/>
    </cacheField>
    <cacheField name="Quarters" numFmtId="0" databaseField="0">
      <fieldGroup base="2">
        <rangePr groupBy="quarters" startDate="2018-10-29T00:00:00" endDate="2020-10-21T00:00:00"/>
        <groupItems count="6">
          <s v="&lt;29/10/2018"/>
          <s v="Qtr1"/>
          <s v="Qtr2"/>
          <s v="Qtr3"/>
          <s v="Qtr4"/>
          <s v="&gt;21/10/2020"/>
        </groupItems>
      </fieldGroup>
    </cacheField>
    <cacheField name="Years" numFmtId="0" databaseField="0">
      <fieldGroup base="2">
        <rangePr groupBy="years" startDate="2018-10-29T00:00:00" endDate="2020-10-21T00:00:00"/>
        <groupItems count="5">
          <s v="&lt;29/10/2018"/>
          <s v="2018"/>
          <s v="2019"/>
          <s v="2020"/>
          <s v="&gt;21/10/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0">
  <r>
    <n v="0.1"/>
    <m/>
    <x v="0"/>
    <x v="0"/>
    <m/>
    <x v="0"/>
    <x v="0"/>
    <x v="0"/>
    <x v="0"/>
    <m/>
    <m/>
    <m/>
    <m/>
    <m/>
    <e v="#N/A"/>
    <x v="0"/>
    <s v=""/>
    <e v="#VALUE!"/>
    <e v="#VALUE!"/>
    <e v="#VALUE!"/>
  </r>
  <r>
    <n v="1.1000000000000001"/>
    <d v="2020-10-20T12:11:53"/>
    <x v="1"/>
    <x v="1"/>
    <s v="vbb_do"/>
    <x v="1"/>
    <x v="1"/>
    <x v="0"/>
    <x v="1"/>
    <m/>
    <n v="2"/>
    <m/>
    <m/>
    <m/>
    <s v="210035-65"/>
    <x v="1"/>
    <n v="2"/>
    <n v="2020"/>
    <n v="44"/>
    <s v="2020-44"/>
  </r>
  <r>
    <n v="1.1000000000000001"/>
    <d v="2020-10-20T12:11:53"/>
    <x v="1"/>
    <x v="1"/>
    <s v="vbb_do"/>
    <x v="1"/>
    <x v="1"/>
    <x v="0"/>
    <x v="2"/>
    <m/>
    <n v="5.5"/>
    <m/>
    <m/>
    <m/>
    <s v="210035-65"/>
    <x v="1"/>
    <n v="2"/>
    <n v="2020"/>
    <n v="44"/>
    <s v="2020-44"/>
  </r>
  <r>
    <n v="1.1000000000000001"/>
    <d v="2020-10-19T12:01:42"/>
    <x v="2"/>
    <x v="2"/>
    <s v="vbb_do"/>
    <x v="1"/>
    <x v="1"/>
    <x v="0"/>
    <x v="3"/>
    <n v="5"/>
    <m/>
    <m/>
    <m/>
    <m/>
    <s v="210035-65"/>
    <x v="1"/>
    <n v="1"/>
    <n v="2020"/>
    <n v="44"/>
    <s v="2020-44"/>
  </r>
  <r>
    <n v="1.1000000000000001"/>
    <d v="2020-10-19T12:01:42"/>
    <x v="2"/>
    <x v="2"/>
    <s v="vbb_do"/>
    <x v="1"/>
    <x v="1"/>
    <x v="0"/>
    <x v="4"/>
    <n v="2.5"/>
    <m/>
    <m/>
    <m/>
    <m/>
    <s v="210035-65"/>
    <x v="1"/>
    <n v="1"/>
    <n v="2020"/>
    <n v="44"/>
    <s v="2020-44"/>
  </r>
  <r>
    <n v="0.10000000000000009"/>
    <d v="2020-10-16T16:04:07"/>
    <x v="3"/>
    <x v="3"/>
    <s v="vbb_do"/>
    <x v="2"/>
    <x v="1"/>
    <x v="0"/>
    <x v="5"/>
    <m/>
    <m/>
    <m/>
    <m/>
    <n v="4"/>
    <s v="210035-65"/>
    <x v="1"/>
    <n v="5"/>
    <n v="2020"/>
    <n v="43"/>
    <s v="2020-43"/>
  </r>
  <r>
    <n v="0.10000000000000009"/>
    <d v="2020-10-16T12:00:56"/>
    <x v="3"/>
    <x v="3"/>
    <s v="bcst_man_2020"/>
    <x v="2"/>
    <x v="2"/>
    <x v="0"/>
    <x v="6"/>
    <m/>
    <m/>
    <m/>
    <m/>
    <m/>
    <s v="074097-30"/>
    <x v="2"/>
    <n v="5"/>
    <n v="2020"/>
    <n v="43"/>
    <s v="2020-43"/>
  </r>
  <r>
    <n v="0.10000000000000009"/>
    <d v="2020-10-16T12:00:56"/>
    <x v="3"/>
    <x v="3"/>
    <s v="vbb_do"/>
    <x v="2"/>
    <x v="1"/>
    <x v="0"/>
    <x v="7"/>
    <m/>
    <m/>
    <m/>
    <m/>
    <n v="3.5"/>
    <s v="210035-65"/>
    <x v="1"/>
    <n v="5"/>
    <n v="2020"/>
    <n v="43"/>
    <s v="2020-43"/>
  </r>
  <r>
    <n v="0.10000000000000009"/>
    <d v="2020-10-15T16:00:31"/>
    <x v="4"/>
    <x v="4"/>
    <s v="vbb_do"/>
    <x v="2"/>
    <x v="1"/>
    <x v="0"/>
    <x v="8"/>
    <m/>
    <m/>
    <m/>
    <n v="4.5"/>
    <m/>
    <s v="210035-65"/>
    <x v="1"/>
    <n v="4"/>
    <n v="2020"/>
    <n v="43"/>
    <s v="2020-43"/>
  </r>
  <r>
    <n v="0.10000000000000009"/>
    <d v="2020-10-15T12:11:07"/>
    <x v="4"/>
    <x v="4"/>
    <s v="vbb_do"/>
    <x v="2"/>
    <x v="1"/>
    <x v="0"/>
    <x v="9"/>
    <m/>
    <m/>
    <m/>
    <n v="3"/>
    <m/>
    <s v="210035-65"/>
    <x v="1"/>
    <n v="4"/>
    <n v="2020"/>
    <n v="43"/>
    <s v="2020-43"/>
  </r>
  <r>
    <n v="0.10000000000000009"/>
    <d v="2020-10-15T12:11:07"/>
    <x v="4"/>
    <x v="4"/>
    <s v="vbb_do"/>
    <x v="2"/>
    <x v="1"/>
    <x v="0"/>
    <x v="10"/>
    <m/>
    <m/>
    <n v="5.5"/>
    <m/>
    <m/>
    <s v="210035-65"/>
    <x v="1"/>
    <n v="4"/>
    <n v="2020"/>
    <n v="43"/>
    <s v="2020-43"/>
  </r>
  <r>
    <n v="0.10000000000000009"/>
    <d v="2020-10-14T12:01:40"/>
    <x v="5"/>
    <x v="5"/>
    <s v="vbb_do"/>
    <x v="2"/>
    <x v="1"/>
    <x v="0"/>
    <x v="11"/>
    <m/>
    <m/>
    <n v="2"/>
    <m/>
    <m/>
    <s v="210035-65"/>
    <x v="1"/>
    <n v="3"/>
    <n v="2020"/>
    <n v="43"/>
    <s v="2020-43"/>
  </r>
  <r>
    <n v="0.10000000000000009"/>
    <d v="2020-10-14T12:01:40"/>
    <x v="5"/>
    <x v="5"/>
    <s v="vbb_do"/>
    <x v="2"/>
    <x v="1"/>
    <x v="0"/>
    <x v="12"/>
    <m/>
    <n v="3"/>
    <m/>
    <m/>
    <m/>
    <s v="210035-65"/>
    <x v="1"/>
    <n v="3"/>
    <n v="2020"/>
    <n v="43"/>
    <s v="2020-43"/>
  </r>
  <r>
    <n v="0.10000000000000009"/>
    <d v="2020-10-13T16:00:46"/>
    <x v="6"/>
    <x v="1"/>
    <s v="vbb_do"/>
    <x v="2"/>
    <x v="1"/>
    <x v="0"/>
    <x v="13"/>
    <m/>
    <n v="1"/>
    <m/>
    <m/>
    <m/>
    <s v="210035-65"/>
    <x v="1"/>
    <n v="2"/>
    <n v="2020"/>
    <n v="43"/>
    <s v="2020-43"/>
  </r>
  <r>
    <n v="0.10000000000000009"/>
    <d v="2020-10-13T16:00:46"/>
    <x v="6"/>
    <x v="1"/>
    <s v="vbb_do"/>
    <x v="2"/>
    <x v="1"/>
    <x v="0"/>
    <x v="14"/>
    <m/>
    <n v="3.5"/>
    <m/>
    <m/>
    <m/>
    <s v="210035-65"/>
    <x v="1"/>
    <n v="2"/>
    <n v="2020"/>
    <n v="43"/>
    <s v="2020-43"/>
  </r>
  <r>
    <n v="0.10000000000000009"/>
    <d v="2020-10-13T12:00:51"/>
    <x v="6"/>
    <x v="1"/>
    <s v="vbb_do"/>
    <x v="2"/>
    <x v="1"/>
    <x v="0"/>
    <x v="15"/>
    <n v="3.5"/>
    <m/>
    <m/>
    <m/>
    <m/>
    <s v="210035-65"/>
    <x v="1"/>
    <n v="2"/>
    <n v="2020"/>
    <n v="43"/>
    <s v="2020-43"/>
  </r>
  <r>
    <n v="0.10000000000000009"/>
    <d v="2020-10-12T16:20:40"/>
    <x v="7"/>
    <x v="2"/>
    <s v="vbb_do"/>
    <x v="2"/>
    <x v="1"/>
    <x v="0"/>
    <x v="16"/>
    <n v="2"/>
    <m/>
    <m/>
    <m/>
    <m/>
    <s v="210035-65"/>
    <x v="1"/>
    <n v="1"/>
    <n v="2020"/>
    <n v="43"/>
    <s v="2020-43"/>
  </r>
  <r>
    <n v="0.10000000000000009"/>
    <d v="2020-10-12T12:02:52"/>
    <x v="7"/>
    <x v="2"/>
    <s v="vbb_do"/>
    <x v="2"/>
    <x v="1"/>
    <x v="0"/>
    <x v="17"/>
    <n v="2"/>
    <m/>
    <m/>
    <m/>
    <m/>
    <s v="210035-65"/>
    <x v="1"/>
    <n v="1"/>
    <n v="2020"/>
    <n v="43"/>
    <s v="2020-43"/>
  </r>
  <r>
    <n v="1.1000000000000001"/>
    <d v="2020-10-09T16:00:31"/>
    <x v="8"/>
    <x v="3"/>
    <s v="vbb_do"/>
    <x v="3"/>
    <x v="1"/>
    <x v="0"/>
    <x v="7"/>
    <n v="5"/>
    <m/>
    <m/>
    <m/>
    <m/>
    <s v="210035-65"/>
    <x v="1"/>
    <n v="5"/>
    <n v="2020"/>
    <n v="42"/>
    <s v="2020-42"/>
  </r>
  <r>
    <n v="1.1000000000000001"/>
    <d v="2020-10-09T12:07:03"/>
    <x v="8"/>
    <x v="3"/>
    <s v="bcst_man_2020"/>
    <x v="3"/>
    <x v="2"/>
    <x v="0"/>
    <x v="18"/>
    <n v="1"/>
    <m/>
    <m/>
    <m/>
    <m/>
    <s v="074097-30"/>
    <x v="2"/>
    <n v="5"/>
    <n v="2020"/>
    <n v="42"/>
    <s v="2020-42"/>
  </r>
  <r>
    <n v="1.1000000000000001"/>
    <d v="2020-10-09T12:07:03"/>
    <x v="8"/>
    <x v="3"/>
    <s v="bcst_man_2020"/>
    <x v="3"/>
    <x v="2"/>
    <x v="0"/>
    <x v="19"/>
    <n v="1.5"/>
    <m/>
    <m/>
    <m/>
    <m/>
    <s v="074097-30"/>
    <x v="2"/>
    <n v="5"/>
    <n v="2020"/>
    <n v="42"/>
    <s v="2020-42"/>
  </r>
  <r>
    <n v="1.1000000000000001"/>
    <d v="2020-10-08T13:25:42"/>
    <x v="9"/>
    <x v="4"/>
    <s v="vbb_do"/>
    <x v="3"/>
    <x v="1"/>
    <x v="0"/>
    <x v="20"/>
    <n v="2"/>
    <m/>
    <m/>
    <m/>
    <m/>
    <s v="210035-65"/>
    <x v="1"/>
    <n v="4"/>
    <n v="2020"/>
    <n v="42"/>
    <s v="2020-42"/>
  </r>
  <r>
    <n v="1.1000000000000001"/>
    <d v="2020-10-08T13:25:42"/>
    <x v="9"/>
    <x v="4"/>
    <s v="vbb_do"/>
    <x v="3"/>
    <x v="1"/>
    <x v="0"/>
    <x v="21"/>
    <n v="5.5"/>
    <m/>
    <m/>
    <m/>
    <m/>
    <s v="210035-65"/>
    <x v="1"/>
    <n v="4"/>
    <n v="2020"/>
    <n v="42"/>
    <s v="2020-42"/>
  </r>
  <r>
    <n v="1.1000000000000001"/>
    <d v="2020-10-07T16:00:37"/>
    <x v="10"/>
    <x v="5"/>
    <s v="vbb_do"/>
    <x v="3"/>
    <x v="1"/>
    <x v="0"/>
    <x v="22"/>
    <n v="4"/>
    <m/>
    <m/>
    <m/>
    <m/>
    <s v="210035-65"/>
    <x v="1"/>
    <n v="3"/>
    <n v="2020"/>
    <n v="42"/>
    <s v="2020-42"/>
  </r>
  <r>
    <n v="1.1000000000000001"/>
    <d v="2020-10-07T12:21:27"/>
    <x v="10"/>
    <x v="5"/>
    <s v="vbb_do"/>
    <x v="3"/>
    <x v="1"/>
    <x v="0"/>
    <x v="22"/>
    <n v="1.5"/>
    <m/>
    <m/>
    <m/>
    <m/>
    <s v="210035-65"/>
    <x v="1"/>
    <n v="3"/>
    <n v="2020"/>
    <n v="42"/>
    <s v="2020-42"/>
  </r>
  <r>
    <n v="1.1000000000000001"/>
    <d v="2020-10-07T12:21:27"/>
    <x v="10"/>
    <x v="5"/>
    <s v="vbb_do"/>
    <x v="3"/>
    <x v="1"/>
    <x v="0"/>
    <x v="23"/>
    <n v="2"/>
    <m/>
    <m/>
    <m/>
    <m/>
    <s v="210035-65"/>
    <x v="1"/>
    <n v="3"/>
    <n v="2020"/>
    <n v="42"/>
    <s v="2020-42"/>
  </r>
  <r>
    <n v="1.1000000000000001"/>
    <d v="2020-10-06T16:31:18"/>
    <x v="11"/>
    <x v="1"/>
    <s v="vbb_do"/>
    <x v="3"/>
    <x v="1"/>
    <x v="0"/>
    <x v="24"/>
    <n v="4"/>
    <m/>
    <m/>
    <m/>
    <m/>
    <s v="210035-65"/>
    <x v="1"/>
    <n v="2"/>
    <n v="2020"/>
    <n v="42"/>
    <s v="2020-42"/>
  </r>
  <r>
    <n v="1.1000000000000001"/>
    <d v="2020-10-06T12:24:23"/>
    <x v="11"/>
    <x v="1"/>
    <s v="vbb_do"/>
    <x v="3"/>
    <x v="1"/>
    <x v="0"/>
    <x v="25"/>
    <n v="1.5"/>
    <m/>
    <m/>
    <m/>
    <m/>
    <s v="210035-65"/>
    <x v="1"/>
    <n v="2"/>
    <n v="2020"/>
    <n v="42"/>
    <s v="2020-42"/>
  </r>
  <r>
    <n v="1.1000000000000001"/>
    <d v="2020-10-06T12:24:23"/>
    <x v="11"/>
    <x v="1"/>
    <s v="training"/>
    <x v="3"/>
    <x v="3"/>
    <x v="0"/>
    <x v="26"/>
    <n v="2"/>
    <m/>
    <m/>
    <m/>
    <m/>
    <n v="0"/>
    <x v="3"/>
    <n v="2"/>
    <n v="2020"/>
    <n v="42"/>
    <s v="2020-42"/>
  </r>
  <r>
    <n v="1.1000000000000001"/>
    <d v="2020-10-05T16:13:29"/>
    <x v="12"/>
    <x v="2"/>
    <s v="vbb_do"/>
    <x v="3"/>
    <x v="1"/>
    <x v="0"/>
    <x v="27"/>
    <n v="1.5"/>
    <m/>
    <m/>
    <m/>
    <m/>
    <s v="210035-65"/>
    <x v="1"/>
    <n v="1"/>
    <n v="2020"/>
    <n v="42"/>
    <s v="2020-42"/>
  </r>
  <r>
    <n v="1.1000000000000001"/>
    <d v="2020-10-05T16:13:29"/>
    <x v="12"/>
    <x v="2"/>
    <s v="vbb_do"/>
    <x v="3"/>
    <x v="1"/>
    <x v="0"/>
    <x v="28"/>
    <n v="6"/>
    <m/>
    <m/>
    <m/>
    <m/>
    <s v="210035-65"/>
    <x v="1"/>
    <n v="1"/>
    <n v="2020"/>
    <n v="42"/>
    <s v="2020-42"/>
  </r>
  <r>
    <n v="0.10000000000000009"/>
    <d v="2020-10-02T16:00:30"/>
    <x v="13"/>
    <x v="3"/>
    <s v="vbb_do"/>
    <x v="4"/>
    <x v="1"/>
    <x v="0"/>
    <x v="29"/>
    <n v="3"/>
    <m/>
    <m/>
    <m/>
    <m/>
    <s v="210035-65"/>
    <x v="1"/>
    <n v="5"/>
    <n v="2020"/>
    <n v="41"/>
    <s v="2020-41"/>
  </r>
  <r>
    <n v="0.10000000000000009"/>
    <d v="2020-10-02T12:15:17"/>
    <x v="13"/>
    <x v="3"/>
    <s v="vbb_do"/>
    <x v="4"/>
    <x v="1"/>
    <x v="0"/>
    <x v="30"/>
    <n v="4.5"/>
    <m/>
    <m/>
    <m/>
    <m/>
    <s v="210035-65"/>
    <x v="1"/>
    <n v="5"/>
    <n v="2020"/>
    <n v="41"/>
    <s v="2020-41"/>
  </r>
  <r>
    <n v="0.10000000000000009"/>
    <d v="2020-10-01T16:01:54"/>
    <x v="14"/>
    <x v="4"/>
    <s v="vbb_do"/>
    <x v="4"/>
    <x v="1"/>
    <x v="0"/>
    <x v="31"/>
    <n v="7.5"/>
    <m/>
    <m/>
    <m/>
    <m/>
    <s v="210035-65"/>
    <x v="1"/>
    <n v="4"/>
    <n v="2020"/>
    <n v="41"/>
    <s v="2020-41"/>
  </r>
  <r>
    <n v="0.10000000000000009"/>
    <d v="2020-10-01T12:56:47"/>
    <x v="14"/>
    <x v="4"/>
    <s v="vbb_do"/>
    <x v="4"/>
    <x v="1"/>
    <x v="0"/>
    <x v="32"/>
    <m/>
    <m/>
    <m/>
    <m/>
    <m/>
    <s v="210035-65"/>
    <x v="1"/>
    <n v="4"/>
    <n v="2020"/>
    <n v="41"/>
    <s v="2020-41"/>
  </r>
  <r>
    <n v="0.10000000000000009"/>
    <d v="2020-09-30T16:01:53"/>
    <x v="15"/>
    <x v="5"/>
    <s v="vbb_do"/>
    <x v="4"/>
    <x v="1"/>
    <x v="0"/>
    <x v="33"/>
    <m/>
    <m/>
    <m/>
    <m/>
    <m/>
    <s v="210035-65"/>
    <x v="1"/>
    <n v="3"/>
    <n v="2020"/>
    <n v="41"/>
    <s v="2020-41"/>
  </r>
  <r>
    <n v="0.10000000000000009"/>
    <d v="2020-09-30T12:02:59"/>
    <x v="15"/>
    <x v="5"/>
    <s v="vbb_do"/>
    <x v="4"/>
    <x v="1"/>
    <x v="0"/>
    <x v="34"/>
    <n v="7.5"/>
    <m/>
    <m/>
    <m/>
    <m/>
    <s v="210035-65"/>
    <x v="1"/>
    <n v="3"/>
    <n v="2020"/>
    <n v="41"/>
    <s v="2020-41"/>
  </r>
  <r>
    <n v="0.10000000000000009"/>
    <d v="2020-09-29T16:09:59"/>
    <x v="16"/>
    <x v="1"/>
    <s v="vbb_do"/>
    <x v="4"/>
    <x v="1"/>
    <x v="0"/>
    <x v="35"/>
    <n v="7.5"/>
    <m/>
    <m/>
    <m/>
    <m/>
    <s v="210035-65"/>
    <x v="1"/>
    <n v="2"/>
    <n v="2020"/>
    <n v="41"/>
    <s v="2020-41"/>
  </r>
  <r>
    <n v="0.10000000000000009"/>
    <d v="2020-09-29T12:04:21"/>
    <x v="16"/>
    <x v="1"/>
    <s v="vbb_do"/>
    <x v="4"/>
    <x v="1"/>
    <x v="0"/>
    <x v="36"/>
    <m/>
    <m/>
    <m/>
    <m/>
    <m/>
    <s v="210035-65"/>
    <x v="1"/>
    <n v="2"/>
    <n v="2020"/>
    <n v="41"/>
    <s v="2020-41"/>
  </r>
  <r>
    <n v="0.10000000000000009"/>
    <d v="2020-09-28T16:01:16"/>
    <x v="17"/>
    <x v="2"/>
    <s v="vbb_do"/>
    <x v="4"/>
    <x v="1"/>
    <x v="0"/>
    <x v="37"/>
    <n v="3"/>
    <m/>
    <m/>
    <m/>
    <m/>
    <s v="210035-65"/>
    <x v="1"/>
    <n v="1"/>
    <n v="2020"/>
    <n v="41"/>
    <s v="2020-41"/>
  </r>
  <r>
    <n v="0.10000000000000009"/>
    <d v="2020-09-28T12:00:30"/>
    <x v="17"/>
    <x v="2"/>
    <s v="vbb_do"/>
    <x v="4"/>
    <x v="1"/>
    <x v="0"/>
    <x v="38"/>
    <n v="4.5"/>
    <m/>
    <m/>
    <m/>
    <m/>
    <s v="210035-65"/>
    <x v="1"/>
    <n v="1"/>
    <n v="2020"/>
    <n v="41"/>
    <s v="2020-41"/>
  </r>
  <r>
    <n v="1.1000000000000001"/>
    <d v="2020-09-25T16:53:07"/>
    <x v="18"/>
    <x v="3"/>
    <s v="vbb_do"/>
    <x v="5"/>
    <x v="1"/>
    <x v="0"/>
    <x v="39"/>
    <n v="7.5"/>
    <m/>
    <m/>
    <m/>
    <m/>
    <s v="210035-65"/>
    <x v="1"/>
    <n v="5"/>
    <n v="2020"/>
    <n v="40"/>
    <s v="2020-40"/>
  </r>
  <r>
    <n v="1.1000000000000001"/>
    <d v="2020-09-25T13:13:37"/>
    <x v="18"/>
    <x v="3"/>
    <s v="vbb_do"/>
    <x v="5"/>
    <x v="1"/>
    <x v="0"/>
    <x v="40"/>
    <m/>
    <m/>
    <m/>
    <m/>
    <m/>
    <s v="210035-65"/>
    <x v="1"/>
    <n v="5"/>
    <n v="2020"/>
    <n v="40"/>
    <s v="2020-40"/>
  </r>
  <r>
    <n v="1.1000000000000001"/>
    <d v="2020-09-25T13:13:37"/>
    <x v="18"/>
    <x v="3"/>
    <s v="vbb_do"/>
    <x v="5"/>
    <x v="1"/>
    <x v="0"/>
    <x v="41"/>
    <m/>
    <m/>
    <m/>
    <m/>
    <m/>
    <s v="210035-65"/>
    <x v="1"/>
    <n v="5"/>
    <n v="2020"/>
    <n v="40"/>
    <s v="2020-40"/>
  </r>
  <r>
    <n v="1.1000000000000001"/>
    <d v="2020-09-24T16:00:31"/>
    <x v="19"/>
    <x v="4"/>
    <s v="vbb_do"/>
    <x v="5"/>
    <x v="1"/>
    <x v="0"/>
    <x v="42"/>
    <n v="5.5"/>
    <m/>
    <m/>
    <m/>
    <m/>
    <s v="210035-65"/>
    <x v="1"/>
    <n v="4"/>
    <n v="2020"/>
    <n v="40"/>
    <s v="2020-40"/>
  </r>
  <r>
    <n v="1.1000000000000001"/>
    <d v="2020-09-24T12:01:28"/>
    <x v="19"/>
    <x v="4"/>
    <s v="training"/>
    <x v="5"/>
    <x v="3"/>
    <x v="0"/>
    <x v="43"/>
    <n v="2"/>
    <m/>
    <m/>
    <m/>
    <m/>
    <n v="0"/>
    <x v="3"/>
    <n v="4"/>
    <n v="2020"/>
    <n v="40"/>
    <s v="2020-40"/>
  </r>
  <r>
    <n v="1.1000000000000001"/>
    <d v="2020-09-23T16:00:57"/>
    <x v="20"/>
    <x v="5"/>
    <s v="vbb_do"/>
    <x v="5"/>
    <x v="1"/>
    <x v="0"/>
    <x v="44"/>
    <n v="3.5"/>
    <m/>
    <m/>
    <m/>
    <m/>
    <s v="210035-65"/>
    <x v="1"/>
    <n v="3"/>
    <n v="2020"/>
    <n v="40"/>
    <s v="2020-40"/>
  </r>
  <r>
    <n v="1.1000000000000001"/>
    <d v="2020-09-23T12:00:47"/>
    <x v="20"/>
    <x v="5"/>
    <s v="vbb_do"/>
    <x v="5"/>
    <x v="1"/>
    <x v="0"/>
    <x v="45"/>
    <n v="4"/>
    <m/>
    <m/>
    <m/>
    <m/>
    <s v="210035-65"/>
    <x v="1"/>
    <n v="3"/>
    <n v="2020"/>
    <n v="40"/>
    <s v="2020-40"/>
  </r>
  <r>
    <n v="1.1000000000000001"/>
    <d v="2020-09-22T16:01:25"/>
    <x v="21"/>
    <x v="1"/>
    <s v="vbb_do"/>
    <x v="5"/>
    <x v="1"/>
    <x v="0"/>
    <x v="46"/>
    <n v="4.5"/>
    <m/>
    <m/>
    <m/>
    <m/>
    <s v="210035-65"/>
    <x v="1"/>
    <n v="2"/>
    <n v="2020"/>
    <n v="40"/>
    <s v="2020-40"/>
  </r>
  <r>
    <n v="1.1000000000000001"/>
    <d v="2020-09-22T12:01:25"/>
    <x v="21"/>
    <x v="1"/>
    <s v="vbb_do"/>
    <x v="5"/>
    <x v="1"/>
    <x v="0"/>
    <x v="47"/>
    <n v="3"/>
    <m/>
    <m/>
    <m/>
    <m/>
    <s v="210035-65"/>
    <x v="1"/>
    <n v="2"/>
    <n v="2020"/>
    <n v="40"/>
    <s v="2020-40"/>
  </r>
  <r>
    <n v="1.1000000000000001"/>
    <d v="2020-09-21T16:04:14"/>
    <x v="22"/>
    <x v="2"/>
    <s v="vbb_do"/>
    <x v="5"/>
    <x v="1"/>
    <x v="0"/>
    <x v="48"/>
    <n v="2"/>
    <m/>
    <m/>
    <m/>
    <m/>
    <s v="210035-65"/>
    <x v="1"/>
    <n v="1"/>
    <n v="2020"/>
    <n v="40"/>
    <s v="2020-40"/>
  </r>
  <r>
    <n v="1.1000000000000001"/>
    <d v="2020-09-21T16:04:14"/>
    <x v="22"/>
    <x v="2"/>
    <s v="bcst_man"/>
    <x v="5"/>
    <x v="4"/>
    <x v="0"/>
    <x v="49"/>
    <n v="2"/>
    <m/>
    <m/>
    <m/>
    <m/>
    <s v="071945-07"/>
    <x v="4"/>
    <n v="1"/>
    <n v="2020"/>
    <n v="40"/>
    <s v="2020-40"/>
  </r>
  <r>
    <n v="1.1000000000000001"/>
    <d v="2020-09-21T12:05:36"/>
    <x v="22"/>
    <x v="2"/>
    <s v="vbb_do"/>
    <x v="5"/>
    <x v="1"/>
    <x v="0"/>
    <x v="50"/>
    <n v="3.5"/>
    <m/>
    <m/>
    <m/>
    <m/>
    <s v="210035-65"/>
    <x v="1"/>
    <n v="1"/>
    <n v="2020"/>
    <n v="40"/>
    <s v="2020-40"/>
  </r>
  <r>
    <n v="0.10000000000000009"/>
    <d v="2020-09-18T16:18:38"/>
    <x v="23"/>
    <x v="3"/>
    <s v="vbb_do"/>
    <x v="6"/>
    <x v="1"/>
    <x v="0"/>
    <x v="51"/>
    <n v="3.75"/>
    <m/>
    <m/>
    <m/>
    <m/>
    <s v="210035-65"/>
    <x v="1"/>
    <n v="5"/>
    <n v="2020"/>
    <n v="39"/>
    <s v="2020-39"/>
  </r>
  <r>
    <n v="0.10000000000000009"/>
    <d v="2020-09-18T12:04:33"/>
    <x v="23"/>
    <x v="3"/>
    <s v="vbb_do"/>
    <x v="6"/>
    <x v="1"/>
    <x v="0"/>
    <x v="52"/>
    <n v="3.75"/>
    <m/>
    <m/>
    <m/>
    <m/>
    <s v="210035-65"/>
    <x v="1"/>
    <n v="5"/>
    <n v="2020"/>
    <n v="39"/>
    <s v="2020-39"/>
  </r>
  <r>
    <n v="0.10000000000000009"/>
    <d v="2020-09-17T16:05:38"/>
    <x v="24"/>
    <x v="4"/>
    <s v="vbb_do"/>
    <x v="6"/>
    <x v="1"/>
    <x v="0"/>
    <x v="53"/>
    <n v="5"/>
    <m/>
    <m/>
    <m/>
    <m/>
    <s v="210035-65"/>
    <x v="1"/>
    <n v="4"/>
    <n v="2020"/>
    <n v="39"/>
    <s v="2020-39"/>
  </r>
  <r>
    <n v="0.10000000000000009"/>
    <d v="2020-09-17T12:06:51"/>
    <x v="24"/>
    <x v="4"/>
    <s v="vbb_do"/>
    <x v="6"/>
    <x v="1"/>
    <x v="0"/>
    <x v="54"/>
    <n v="2.5"/>
    <m/>
    <m/>
    <m/>
    <m/>
    <s v="210035-65"/>
    <x v="1"/>
    <n v="4"/>
    <n v="2020"/>
    <n v="39"/>
    <s v="2020-39"/>
  </r>
  <r>
    <n v="0.10000000000000009"/>
    <d v="2020-09-16T16:17:13"/>
    <x v="25"/>
    <x v="5"/>
    <s v="vbb_do"/>
    <x v="6"/>
    <x v="1"/>
    <x v="0"/>
    <x v="55"/>
    <n v="2"/>
    <m/>
    <m/>
    <m/>
    <m/>
    <s v="210035-65"/>
    <x v="1"/>
    <n v="3"/>
    <n v="2020"/>
    <n v="39"/>
    <s v="2020-39"/>
  </r>
  <r>
    <n v="0.10000000000000009"/>
    <d v="2020-09-16T12:01:15"/>
    <x v="25"/>
    <x v="5"/>
    <s v="vbb_do"/>
    <x v="6"/>
    <x v="1"/>
    <x v="0"/>
    <x v="56"/>
    <n v="5.5"/>
    <m/>
    <m/>
    <m/>
    <m/>
    <s v="210035-65"/>
    <x v="1"/>
    <n v="3"/>
    <n v="2020"/>
    <n v="39"/>
    <s v="2020-39"/>
  </r>
  <r>
    <n v="0.10000000000000009"/>
    <d v="2020-09-15T16:57:37"/>
    <x v="26"/>
    <x v="1"/>
    <s v="vbb_do"/>
    <x v="6"/>
    <x v="1"/>
    <x v="0"/>
    <x v="57"/>
    <n v="3"/>
    <m/>
    <m/>
    <m/>
    <m/>
    <s v="210035-65"/>
    <x v="1"/>
    <n v="2"/>
    <n v="2020"/>
    <n v="39"/>
    <s v="2020-39"/>
  </r>
  <r>
    <n v="0.10000000000000009"/>
    <d v="2020-09-15T12:01:30"/>
    <x v="26"/>
    <x v="1"/>
    <s v="vbb_do"/>
    <x v="6"/>
    <x v="1"/>
    <x v="0"/>
    <x v="58"/>
    <n v="4.5"/>
    <m/>
    <m/>
    <m/>
    <m/>
    <s v="210035-65"/>
    <x v="1"/>
    <n v="2"/>
    <n v="2020"/>
    <n v="39"/>
    <s v="2020-39"/>
  </r>
  <r>
    <n v="0.10000000000000009"/>
    <d v="2020-09-14T16:11:16"/>
    <x v="27"/>
    <x v="2"/>
    <s v="vbb_do"/>
    <x v="6"/>
    <x v="1"/>
    <x v="0"/>
    <x v="59"/>
    <n v="2"/>
    <m/>
    <m/>
    <m/>
    <m/>
    <s v="210035-65"/>
    <x v="1"/>
    <n v="1"/>
    <n v="2020"/>
    <n v="39"/>
    <s v="2020-39"/>
  </r>
  <r>
    <n v="0.10000000000000009"/>
    <d v="2020-09-14T12:58:46"/>
    <x v="27"/>
    <x v="2"/>
    <s v="vbb_do"/>
    <x v="6"/>
    <x v="1"/>
    <x v="0"/>
    <x v="60"/>
    <n v="5.5"/>
    <m/>
    <m/>
    <m/>
    <m/>
    <s v="210035-65"/>
    <x v="1"/>
    <n v="1"/>
    <n v="2020"/>
    <n v="39"/>
    <s v="2020-39"/>
  </r>
  <r>
    <n v="1.1000000000000001"/>
    <d v="2020-09-11T16:00:37"/>
    <x v="28"/>
    <x v="3"/>
    <s v="vbb_do"/>
    <x v="7"/>
    <x v="1"/>
    <x v="0"/>
    <x v="61"/>
    <n v="4.5"/>
    <m/>
    <m/>
    <m/>
    <m/>
    <s v="210035-65"/>
    <x v="1"/>
    <n v="5"/>
    <n v="2020"/>
    <n v="38"/>
    <s v="2020-38"/>
  </r>
  <r>
    <n v="1.1000000000000001"/>
    <d v="2020-09-11T12:02:16"/>
    <x v="28"/>
    <x v="3"/>
    <s v="vbb_do"/>
    <x v="7"/>
    <x v="1"/>
    <x v="0"/>
    <x v="62"/>
    <n v="3"/>
    <m/>
    <m/>
    <m/>
    <m/>
    <s v="210035-65"/>
    <x v="1"/>
    <n v="5"/>
    <n v="2020"/>
    <n v="38"/>
    <s v="2020-38"/>
  </r>
  <r>
    <n v="1.1000000000000001"/>
    <d v="2020-09-10T16:02:01"/>
    <x v="29"/>
    <x v="4"/>
    <s v="vbb_do"/>
    <x v="7"/>
    <x v="1"/>
    <x v="0"/>
    <x v="63"/>
    <n v="3"/>
    <m/>
    <m/>
    <m/>
    <m/>
    <s v="210035-65"/>
    <x v="1"/>
    <n v="4"/>
    <n v="2020"/>
    <n v="38"/>
    <s v="2020-38"/>
  </r>
  <r>
    <n v="1.1000000000000001"/>
    <d v="2020-09-10T12:11:42"/>
    <x v="29"/>
    <x v="4"/>
    <s v="vbb_do"/>
    <x v="7"/>
    <x v="1"/>
    <x v="0"/>
    <x v="64"/>
    <n v="4.5"/>
    <m/>
    <m/>
    <m/>
    <m/>
    <s v="210035-65"/>
    <x v="1"/>
    <n v="4"/>
    <n v="2020"/>
    <n v="38"/>
    <s v="2020-38"/>
  </r>
  <r>
    <n v="1.1000000000000001"/>
    <d v="2020-09-09T16:08:09"/>
    <x v="30"/>
    <x v="5"/>
    <s v="vbb_do"/>
    <x v="7"/>
    <x v="1"/>
    <x v="0"/>
    <x v="65"/>
    <n v="2.5"/>
    <m/>
    <m/>
    <m/>
    <m/>
    <s v="210035-65"/>
    <x v="1"/>
    <n v="3"/>
    <n v="2020"/>
    <n v="38"/>
    <s v="2020-38"/>
  </r>
  <r>
    <n v="1.1000000000000001"/>
    <d v="2020-09-09T12:06:18"/>
    <x v="30"/>
    <x v="5"/>
    <s v="vbb_do"/>
    <x v="7"/>
    <x v="1"/>
    <x v="0"/>
    <x v="66"/>
    <n v="5"/>
    <m/>
    <m/>
    <m/>
    <m/>
    <s v="210035-65"/>
    <x v="1"/>
    <n v="3"/>
    <n v="2020"/>
    <n v="38"/>
    <s v="2020-38"/>
  </r>
  <r>
    <n v="1.1000000000000001"/>
    <d v="2020-09-08T16:13:17"/>
    <x v="31"/>
    <x v="1"/>
    <s v="vbb_do"/>
    <x v="7"/>
    <x v="1"/>
    <x v="0"/>
    <x v="67"/>
    <n v="3.5"/>
    <m/>
    <m/>
    <m/>
    <m/>
    <s v="210035-65"/>
    <x v="1"/>
    <n v="2"/>
    <n v="2020"/>
    <n v="38"/>
    <s v="2020-38"/>
  </r>
  <r>
    <n v="1.1000000000000001"/>
    <d v="2020-09-08T12:00:50"/>
    <x v="31"/>
    <x v="1"/>
    <s v="vbb_do"/>
    <x v="7"/>
    <x v="1"/>
    <x v="0"/>
    <x v="68"/>
    <n v="4"/>
    <m/>
    <m/>
    <m/>
    <m/>
    <s v="210035-65"/>
    <x v="1"/>
    <n v="2"/>
    <n v="2020"/>
    <n v="38"/>
    <s v="2020-38"/>
  </r>
  <r>
    <n v="1.1000000000000001"/>
    <d v="2020-09-07T16:20:50"/>
    <x v="32"/>
    <x v="2"/>
    <s v="vbb_do"/>
    <x v="7"/>
    <x v="1"/>
    <x v="0"/>
    <x v="69"/>
    <n v="4.5"/>
    <m/>
    <m/>
    <m/>
    <m/>
    <s v="210035-65"/>
    <x v="1"/>
    <n v="1"/>
    <n v="2020"/>
    <n v="38"/>
    <s v="2020-38"/>
  </r>
  <r>
    <n v="1.1000000000000001"/>
    <d v="2020-09-07T12:02:43"/>
    <x v="32"/>
    <x v="2"/>
    <s v="vbb_do"/>
    <x v="7"/>
    <x v="1"/>
    <x v="0"/>
    <x v="70"/>
    <n v="3"/>
    <m/>
    <m/>
    <m/>
    <m/>
    <s v="210035-65"/>
    <x v="1"/>
    <n v="1"/>
    <n v="2020"/>
    <n v="38"/>
    <s v="2020-38"/>
  </r>
  <r>
    <n v="0.10000000000000009"/>
    <d v="2020-09-04T16:01:35"/>
    <x v="33"/>
    <x v="3"/>
    <s v="vbb_do"/>
    <x v="8"/>
    <x v="1"/>
    <x v="0"/>
    <x v="71"/>
    <n v="3.75"/>
    <m/>
    <m/>
    <m/>
    <m/>
    <s v="210035-65"/>
    <x v="1"/>
    <n v="5"/>
    <n v="2020"/>
    <n v="37"/>
    <s v="2020-37"/>
  </r>
  <r>
    <n v="0.10000000000000009"/>
    <d v="2020-09-04T12:01:41"/>
    <x v="33"/>
    <x v="3"/>
    <s v="vbb_do"/>
    <x v="8"/>
    <x v="1"/>
    <x v="0"/>
    <x v="72"/>
    <n v="3.75"/>
    <m/>
    <m/>
    <m/>
    <m/>
    <s v="210035-65"/>
    <x v="1"/>
    <n v="5"/>
    <n v="2020"/>
    <n v="37"/>
    <s v="2020-37"/>
  </r>
  <r>
    <n v="0.10000000000000009"/>
    <d v="2020-09-03T16:00:48"/>
    <x v="34"/>
    <x v="4"/>
    <s v="vbb_do"/>
    <x v="8"/>
    <x v="1"/>
    <x v="0"/>
    <x v="73"/>
    <n v="3.75"/>
    <m/>
    <m/>
    <m/>
    <m/>
    <s v="210035-65"/>
    <x v="1"/>
    <n v="4"/>
    <n v="2020"/>
    <n v="37"/>
    <s v="2020-37"/>
  </r>
  <r>
    <n v="0.10000000000000009"/>
    <d v="2020-09-03T12:02:13"/>
    <x v="34"/>
    <x v="4"/>
    <s v="vbb_do"/>
    <x v="8"/>
    <x v="1"/>
    <x v="0"/>
    <x v="74"/>
    <n v="3.75"/>
    <m/>
    <m/>
    <m/>
    <m/>
    <s v="210035-65"/>
    <x v="1"/>
    <n v="4"/>
    <n v="2020"/>
    <n v="37"/>
    <s v="2020-37"/>
  </r>
  <r>
    <n v="0.10000000000000009"/>
    <d v="2020-09-02T16:23:59"/>
    <x v="35"/>
    <x v="5"/>
    <s v="vbb_do"/>
    <x v="8"/>
    <x v="1"/>
    <x v="0"/>
    <x v="75"/>
    <n v="3.75"/>
    <m/>
    <m/>
    <m/>
    <m/>
    <s v="210035-65"/>
    <x v="1"/>
    <n v="3"/>
    <n v="2020"/>
    <n v="37"/>
    <s v="2020-37"/>
  </r>
  <r>
    <n v="0.10000000000000009"/>
    <d v="2020-09-02T12:02:18"/>
    <x v="35"/>
    <x v="5"/>
    <s v="vbb_do"/>
    <x v="8"/>
    <x v="1"/>
    <x v="0"/>
    <x v="76"/>
    <n v="3.75"/>
    <m/>
    <m/>
    <m/>
    <m/>
    <s v="210035-65"/>
    <x v="1"/>
    <n v="3"/>
    <n v="2020"/>
    <n v="37"/>
    <s v="2020-37"/>
  </r>
  <r>
    <n v="0.10000000000000009"/>
    <d v="2020-09-01T16:24:32"/>
    <x v="36"/>
    <x v="1"/>
    <s v="vbb_do"/>
    <x v="8"/>
    <x v="1"/>
    <x v="0"/>
    <x v="77"/>
    <n v="3.75"/>
    <m/>
    <m/>
    <m/>
    <m/>
    <s v="210035-65"/>
    <x v="1"/>
    <n v="2"/>
    <n v="2020"/>
    <n v="37"/>
    <s v="2020-37"/>
  </r>
  <r>
    <n v="0.10000000000000009"/>
    <d v="2020-09-01T12:03:55"/>
    <x v="36"/>
    <x v="1"/>
    <s v="vbb_do"/>
    <x v="8"/>
    <x v="1"/>
    <x v="0"/>
    <x v="78"/>
    <n v="3.75"/>
    <m/>
    <m/>
    <m/>
    <m/>
    <s v="210035-65"/>
    <x v="1"/>
    <n v="2"/>
    <n v="2020"/>
    <n v="37"/>
    <s v="2020-37"/>
  </r>
  <r>
    <n v="0.10000000000000009"/>
    <d v="2020-08-31T00:00:00"/>
    <x v="37"/>
    <x v="2"/>
    <s v="leave"/>
    <x v="8"/>
    <x v="5"/>
    <x v="0"/>
    <x v="0"/>
    <n v="7.5"/>
    <m/>
    <m/>
    <m/>
    <m/>
    <s v="LEAVE"/>
    <x v="5"/>
    <n v="1"/>
    <n v="2020"/>
    <n v="37"/>
    <s v="2020-37"/>
  </r>
  <r>
    <n v="1.1000000000000001"/>
    <d v="2020-08-28T16:00:27"/>
    <x v="38"/>
    <x v="3"/>
    <s v="vbb_do"/>
    <x v="9"/>
    <x v="1"/>
    <x v="0"/>
    <x v="79"/>
    <n v="7.5"/>
    <m/>
    <m/>
    <m/>
    <m/>
    <s v="210035-65"/>
    <x v="1"/>
    <n v="5"/>
    <n v="2020"/>
    <n v="36"/>
    <s v="2020-36"/>
  </r>
  <r>
    <n v="1.1000000000000001"/>
    <d v="2020-08-27T16:04:25"/>
    <x v="39"/>
    <x v="4"/>
    <s v="vbb_do"/>
    <x v="9"/>
    <x v="1"/>
    <x v="0"/>
    <x v="80"/>
    <n v="2"/>
    <m/>
    <m/>
    <m/>
    <m/>
    <s v="210035-65"/>
    <x v="1"/>
    <n v="4"/>
    <n v="2020"/>
    <n v="36"/>
    <s v="2020-36"/>
  </r>
  <r>
    <n v="1.1000000000000001"/>
    <d v="2020-08-27T12:00:46"/>
    <x v="39"/>
    <x v="4"/>
    <s v="vbb_do"/>
    <x v="9"/>
    <x v="1"/>
    <x v="0"/>
    <x v="81"/>
    <n v="5.5"/>
    <m/>
    <m/>
    <m/>
    <m/>
    <s v="210035-65"/>
    <x v="1"/>
    <n v="4"/>
    <n v="2020"/>
    <n v="36"/>
    <s v="2020-36"/>
  </r>
  <r>
    <n v="1.1000000000000001"/>
    <d v="2020-08-26T16:12:44"/>
    <x v="40"/>
    <x v="5"/>
    <s v="vbb_do"/>
    <x v="9"/>
    <x v="1"/>
    <x v="0"/>
    <x v="82"/>
    <n v="5.5"/>
    <m/>
    <m/>
    <m/>
    <m/>
    <s v="210035-65"/>
    <x v="1"/>
    <n v="3"/>
    <n v="2020"/>
    <n v="36"/>
    <s v="2020-36"/>
  </r>
  <r>
    <n v="1.1000000000000001"/>
    <d v="2020-08-26T12:00:59"/>
    <x v="40"/>
    <x v="5"/>
    <s v="bcst appraisal"/>
    <x v="9"/>
    <x v="6"/>
    <x v="0"/>
    <x v="83"/>
    <n v="2"/>
    <m/>
    <m/>
    <m/>
    <m/>
    <s v="074097-29"/>
    <x v="6"/>
    <n v="3"/>
    <n v="2020"/>
    <n v="36"/>
    <s v="2020-36"/>
  </r>
  <r>
    <n v="1.1000000000000001"/>
    <d v="2020-08-25T16:05:31"/>
    <x v="41"/>
    <x v="1"/>
    <s v="vbb_do"/>
    <x v="9"/>
    <x v="1"/>
    <x v="0"/>
    <x v="84"/>
    <n v="3.75"/>
    <m/>
    <m/>
    <m/>
    <m/>
    <s v="210035-65"/>
    <x v="1"/>
    <n v="2"/>
    <n v="2020"/>
    <n v="36"/>
    <s v="2020-36"/>
  </r>
  <r>
    <n v="1.1000000000000001"/>
    <d v="2020-08-25T12:09:15"/>
    <x v="41"/>
    <x v="1"/>
    <s v="vbb_do"/>
    <x v="9"/>
    <x v="1"/>
    <x v="0"/>
    <x v="85"/>
    <n v="3.75"/>
    <m/>
    <m/>
    <m/>
    <m/>
    <s v="210035-65"/>
    <x v="1"/>
    <n v="2"/>
    <n v="2020"/>
    <n v="36"/>
    <s v="2020-36"/>
  </r>
  <r>
    <n v="1.1000000000000001"/>
    <d v="2020-08-24T16:41:48"/>
    <x v="42"/>
    <x v="2"/>
    <s v="vbb_do"/>
    <x v="9"/>
    <x v="1"/>
    <x v="0"/>
    <x v="86"/>
    <n v="3.75"/>
    <m/>
    <m/>
    <m/>
    <m/>
    <s v="210035-65"/>
    <x v="1"/>
    <n v="1"/>
    <n v="2020"/>
    <n v="36"/>
    <s v="2020-36"/>
  </r>
  <r>
    <n v="1.1000000000000001"/>
    <d v="2020-08-24T12:01:33"/>
    <x v="42"/>
    <x v="2"/>
    <s v="vbb_do"/>
    <x v="9"/>
    <x v="1"/>
    <x v="0"/>
    <x v="87"/>
    <n v="3.75"/>
    <m/>
    <m/>
    <m/>
    <m/>
    <s v="210035-65"/>
    <x v="1"/>
    <n v="1"/>
    <n v="2020"/>
    <n v="36"/>
    <s v="2020-36"/>
  </r>
  <r>
    <n v="0.10000000000000009"/>
    <d v="2020-08-14T18:34:37"/>
    <x v="43"/>
    <x v="4"/>
    <s v="vbb_do"/>
    <x v="10"/>
    <x v="1"/>
    <x v="0"/>
    <x v="88"/>
    <n v="7.5"/>
    <m/>
    <m/>
    <m/>
    <m/>
    <s v="210035-65"/>
    <x v="1"/>
    <n v="5"/>
    <n v="2020"/>
    <n v="34"/>
    <s v="2020-34"/>
  </r>
  <r>
    <n v="0.10000000000000009"/>
    <d v="2020-08-13T18:34:37"/>
    <x v="44"/>
    <x v="4"/>
    <s v="vbb_do"/>
    <x v="10"/>
    <x v="1"/>
    <x v="0"/>
    <x v="89"/>
    <n v="7.5"/>
    <m/>
    <m/>
    <m/>
    <m/>
    <s v="210035-65"/>
    <x v="1"/>
    <n v="4"/>
    <n v="2020"/>
    <n v="34"/>
    <s v="2020-34"/>
  </r>
  <r>
    <n v="0.10000000000000009"/>
    <d v="2020-08-12T18:34:37"/>
    <x v="45"/>
    <x v="5"/>
    <s v="vbb_do"/>
    <x v="10"/>
    <x v="1"/>
    <x v="0"/>
    <x v="88"/>
    <n v="5"/>
    <m/>
    <m/>
    <m/>
    <m/>
    <s v="210035-65"/>
    <x v="1"/>
    <n v="3"/>
    <n v="2020"/>
    <n v="34"/>
    <s v="2020-34"/>
  </r>
  <r>
    <n v="0.10000000000000009"/>
    <d v="2020-08-12T18:34:37"/>
    <x v="45"/>
    <x v="5"/>
    <s v="melbourne metro - latrobe"/>
    <x v="10"/>
    <x v="7"/>
    <x v="0"/>
    <x v="90"/>
    <n v="2.5"/>
    <m/>
    <m/>
    <m/>
    <m/>
    <s v="257677-59 "/>
    <x v="7"/>
    <n v="3"/>
    <n v="2020"/>
    <n v="34"/>
    <s v="2020-34"/>
  </r>
  <r>
    <n v="0.10000000000000009"/>
    <d v="2020-08-11T18:34:37"/>
    <x v="46"/>
    <x v="3"/>
    <s v="vbb_do"/>
    <x v="10"/>
    <x v="1"/>
    <x v="0"/>
    <x v="91"/>
    <n v="7.5"/>
    <m/>
    <m/>
    <m/>
    <m/>
    <s v="210035-65"/>
    <x v="1"/>
    <n v="2"/>
    <n v="2020"/>
    <n v="34"/>
    <s v="2020-34"/>
  </r>
  <r>
    <n v="0.10000000000000009"/>
    <d v="2020-08-10T12:00:44"/>
    <x v="47"/>
    <x v="2"/>
    <s v="vbb_do"/>
    <x v="10"/>
    <x v="1"/>
    <x v="0"/>
    <x v="92"/>
    <n v="7.5"/>
    <m/>
    <m/>
    <m/>
    <m/>
    <s v="210035-65"/>
    <x v="1"/>
    <n v="1"/>
    <n v="2020"/>
    <n v="34"/>
    <s v="2020-34"/>
  </r>
  <r>
    <n v="1.1000000000000001"/>
    <d v="2020-08-07T12:00:44"/>
    <x v="48"/>
    <x v="3"/>
    <s v="leave"/>
    <x v="11"/>
    <x v="5"/>
    <x v="0"/>
    <x v="93"/>
    <n v="3.75"/>
    <m/>
    <m/>
    <m/>
    <m/>
    <s v="LEAVE"/>
    <x v="5"/>
    <n v="5"/>
    <n v="2020"/>
    <n v="33"/>
    <s v="2020-33"/>
  </r>
  <r>
    <n v="1.1000000000000001"/>
    <d v="2020-08-07T12:00:44"/>
    <x v="48"/>
    <x v="3"/>
    <s v="vbb_do"/>
    <x v="11"/>
    <x v="1"/>
    <x v="0"/>
    <x v="94"/>
    <n v="3.75"/>
    <m/>
    <m/>
    <m/>
    <m/>
    <s v="210035-65"/>
    <x v="1"/>
    <n v="5"/>
    <n v="2020"/>
    <n v="33"/>
    <s v="2020-33"/>
  </r>
  <r>
    <n v="1.1000000000000001"/>
    <d v="2020-08-06T16:04:14"/>
    <x v="49"/>
    <x v="4"/>
    <s v="vbb_do"/>
    <x v="11"/>
    <x v="1"/>
    <x v="0"/>
    <x v="95"/>
    <n v="3.75"/>
    <m/>
    <m/>
    <m/>
    <m/>
    <s v="210035-65"/>
    <x v="1"/>
    <n v="4"/>
    <n v="2020"/>
    <n v="33"/>
    <s v="2020-33"/>
  </r>
  <r>
    <n v="1.1000000000000001"/>
    <d v="2020-08-06T12:25:45"/>
    <x v="49"/>
    <x v="4"/>
    <s v="vbb_do"/>
    <x v="11"/>
    <x v="1"/>
    <x v="0"/>
    <x v="96"/>
    <n v="3.75"/>
    <m/>
    <m/>
    <m/>
    <m/>
    <s v="210035-65"/>
    <x v="1"/>
    <n v="4"/>
    <n v="2020"/>
    <n v="33"/>
    <s v="2020-33"/>
  </r>
  <r>
    <n v="1.1000000000000001"/>
    <d v="2020-08-05T16:05:40"/>
    <x v="50"/>
    <x v="5"/>
    <s v="vbb_do"/>
    <x v="11"/>
    <x v="1"/>
    <x v="0"/>
    <x v="97"/>
    <n v="3"/>
    <m/>
    <m/>
    <m/>
    <m/>
    <s v="210035-65"/>
    <x v="1"/>
    <n v="3"/>
    <n v="2020"/>
    <n v="33"/>
    <s v="2020-33"/>
  </r>
  <r>
    <n v="1.1000000000000001"/>
    <d v="2020-08-05T13:40:56"/>
    <x v="50"/>
    <x v="5"/>
    <s v="melbourne metro - latrobe"/>
    <x v="11"/>
    <x v="7"/>
    <x v="0"/>
    <x v="90"/>
    <n v="2.5"/>
    <m/>
    <m/>
    <m/>
    <m/>
    <s v="257677-59 "/>
    <x v="7"/>
    <n v="3"/>
    <n v="2020"/>
    <n v="33"/>
    <s v="2020-33"/>
  </r>
  <r>
    <n v="1.1000000000000001"/>
    <d v="2020-08-05T13:40:56"/>
    <x v="50"/>
    <x v="5"/>
    <s v="vbb_do"/>
    <x v="11"/>
    <x v="1"/>
    <x v="0"/>
    <x v="98"/>
    <n v="2"/>
    <m/>
    <m/>
    <m/>
    <m/>
    <s v="210035-65"/>
    <x v="1"/>
    <n v="3"/>
    <n v="2020"/>
    <n v="33"/>
    <s v="2020-33"/>
  </r>
  <r>
    <n v="1.1000000000000001"/>
    <d v="2020-08-04T16:00:50"/>
    <x v="51"/>
    <x v="1"/>
    <s v="melbourne metro - latrobe"/>
    <x v="11"/>
    <x v="7"/>
    <x v="0"/>
    <x v="99"/>
    <n v="2.5"/>
    <m/>
    <m/>
    <m/>
    <m/>
    <s v="257677-59 "/>
    <x v="7"/>
    <n v="2"/>
    <n v="2020"/>
    <n v="33"/>
    <s v="2020-33"/>
  </r>
  <r>
    <n v="1.1000000000000001"/>
    <d v="2020-08-04T16:00:50"/>
    <x v="51"/>
    <x v="1"/>
    <s v="vbb_do"/>
    <x v="11"/>
    <x v="1"/>
    <x v="0"/>
    <x v="100"/>
    <n v="2"/>
    <m/>
    <m/>
    <m/>
    <m/>
    <s v="210035-65"/>
    <x v="1"/>
    <n v="2"/>
    <n v="2020"/>
    <n v="33"/>
    <s v="2020-33"/>
  </r>
  <r>
    <n v="1.1000000000000001"/>
    <d v="2020-08-04T12:02:09"/>
    <x v="51"/>
    <x v="1"/>
    <s v="vbb_do"/>
    <x v="11"/>
    <x v="1"/>
    <x v="0"/>
    <x v="101"/>
    <n v="3"/>
    <m/>
    <m/>
    <m/>
    <m/>
    <s v="210035-65"/>
    <x v="1"/>
    <n v="2"/>
    <n v="2020"/>
    <n v="33"/>
    <s v="2020-33"/>
  </r>
  <r>
    <n v="1.1000000000000001"/>
    <d v="2020-08-03T16:28:48"/>
    <x v="52"/>
    <x v="2"/>
    <s v="vbb_do"/>
    <x v="11"/>
    <x v="1"/>
    <x v="0"/>
    <x v="102"/>
    <n v="3.75"/>
    <m/>
    <m/>
    <m/>
    <m/>
    <s v="210035-65"/>
    <x v="1"/>
    <n v="1"/>
    <n v="2020"/>
    <n v="33"/>
    <s v="2020-33"/>
  </r>
  <r>
    <n v="1.1000000000000001"/>
    <d v="2020-08-03T12:00:27"/>
    <x v="52"/>
    <x v="2"/>
    <s v="vbb_do"/>
    <x v="11"/>
    <x v="1"/>
    <x v="0"/>
    <x v="103"/>
    <n v="3.75"/>
    <m/>
    <m/>
    <m/>
    <m/>
    <s v="210035-65"/>
    <x v="1"/>
    <n v="1"/>
    <n v="2020"/>
    <n v="33"/>
    <s v="2020-33"/>
  </r>
  <r>
    <n v="0.10000000000000009"/>
    <d v="2020-07-31T00:00:00"/>
    <x v="53"/>
    <x v="3"/>
    <s v="leave"/>
    <x v="12"/>
    <x v="5"/>
    <x v="0"/>
    <x v="0"/>
    <n v="7.5"/>
    <m/>
    <m/>
    <m/>
    <m/>
    <s v="LEAVE"/>
    <x v="5"/>
    <n v="5"/>
    <n v="2020"/>
    <n v="32"/>
    <s v="2020-32"/>
  </r>
  <r>
    <n v="0.10000000000000009"/>
    <d v="2020-07-30T16:19:56"/>
    <x v="54"/>
    <x v="4"/>
    <s v="vbb_do"/>
    <x v="12"/>
    <x v="1"/>
    <x v="0"/>
    <x v="104"/>
    <n v="3.75"/>
    <m/>
    <m/>
    <m/>
    <m/>
    <s v="210035-65"/>
    <x v="1"/>
    <n v="4"/>
    <n v="2020"/>
    <n v="32"/>
    <s v="2020-32"/>
  </r>
  <r>
    <n v="0.10000000000000009"/>
    <d v="2020-07-30T16:08:02"/>
    <x v="54"/>
    <x v="4"/>
    <s v="melbourne metro - latrobe"/>
    <x v="12"/>
    <x v="7"/>
    <x v="0"/>
    <x v="105"/>
    <n v="3.75"/>
    <m/>
    <m/>
    <m/>
    <m/>
    <s v="257677-59 "/>
    <x v="7"/>
    <n v="4"/>
    <n v="2020"/>
    <n v="32"/>
    <s v="2020-32"/>
  </r>
  <r>
    <n v="0.10000000000000009"/>
    <d v="2020-07-29T16:13:22"/>
    <x v="55"/>
    <x v="5"/>
    <s v="melbourne metro - latrobe"/>
    <x v="12"/>
    <x v="7"/>
    <x v="0"/>
    <x v="106"/>
    <n v="3.75"/>
    <m/>
    <m/>
    <m/>
    <m/>
    <s v="257677-59 "/>
    <x v="7"/>
    <n v="3"/>
    <n v="2020"/>
    <n v="32"/>
    <s v="2020-32"/>
  </r>
  <r>
    <n v="0.10000000000000009"/>
    <d v="2020-07-29T16:13:22"/>
    <x v="55"/>
    <x v="5"/>
    <s v="vbb_do"/>
    <x v="12"/>
    <x v="1"/>
    <x v="0"/>
    <x v="107"/>
    <n v="3.75"/>
    <m/>
    <m/>
    <m/>
    <m/>
    <s v="210035-65"/>
    <x v="1"/>
    <n v="3"/>
    <n v="2020"/>
    <n v="32"/>
    <s v="2020-32"/>
  </r>
  <r>
    <n v="0.10000000000000009"/>
    <d v="2020-07-28T12:04:10"/>
    <x v="56"/>
    <x v="1"/>
    <s v="vbb_do"/>
    <x v="12"/>
    <x v="1"/>
    <x v="0"/>
    <x v="108"/>
    <n v="7.5"/>
    <m/>
    <m/>
    <m/>
    <m/>
    <s v="210035-65"/>
    <x v="1"/>
    <n v="2"/>
    <n v="2020"/>
    <n v="32"/>
    <s v="2020-32"/>
  </r>
  <r>
    <n v="0.10000000000000009"/>
    <d v="2020-07-27T12:07:51"/>
    <x v="57"/>
    <x v="2"/>
    <s v="vbb_do"/>
    <x v="12"/>
    <x v="1"/>
    <x v="0"/>
    <x v="109"/>
    <n v="7.5"/>
    <m/>
    <m/>
    <m/>
    <m/>
    <s v="210035-65"/>
    <x v="1"/>
    <n v="1"/>
    <n v="2020"/>
    <n v="32"/>
    <s v="2020-32"/>
  </r>
  <r>
    <n v="1.1000000000000001"/>
    <d v="2020-07-24T16:01:59"/>
    <x v="58"/>
    <x v="3"/>
    <s v="vbb_do"/>
    <x v="13"/>
    <x v="1"/>
    <x v="0"/>
    <x v="110"/>
    <n v="7.5"/>
    <m/>
    <m/>
    <m/>
    <m/>
    <s v="210035-65"/>
    <x v="1"/>
    <n v="5"/>
    <n v="2020"/>
    <n v="31"/>
    <s v="2020-31"/>
  </r>
  <r>
    <n v="1.1000000000000001"/>
    <d v="2020-07-24T16:01:59"/>
    <x v="58"/>
    <x v="3"/>
    <s v="bcst_man"/>
    <x v="13"/>
    <x v="4"/>
    <x v="0"/>
    <x v="111"/>
    <m/>
    <m/>
    <m/>
    <m/>
    <m/>
    <s v="071945-07"/>
    <x v="4"/>
    <n v="5"/>
    <n v="2020"/>
    <n v="31"/>
    <s v="2020-31"/>
  </r>
  <r>
    <n v="1.1000000000000001"/>
    <d v="2020-07-23T16:02:38"/>
    <x v="59"/>
    <x v="4"/>
    <s v="vbb_do"/>
    <x v="13"/>
    <x v="1"/>
    <x v="0"/>
    <x v="112"/>
    <n v="3.75"/>
    <m/>
    <m/>
    <m/>
    <m/>
    <s v="210035-65"/>
    <x v="1"/>
    <n v="4"/>
    <n v="2020"/>
    <n v="31"/>
    <s v="2020-31"/>
  </r>
  <r>
    <n v="1.1000000000000001"/>
    <d v="2020-07-23T12:00:42"/>
    <x v="59"/>
    <x v="4"/>
    <s v="vbb_do"/>
    <x v="13"/>
    <x v="1"/>
    <x v="0"/>
    <x v="113"/>
    <n v="3.75"/>
    <m/>
    <m/>
    <m/>
    <m/>
    <s v="210035-65"/>
    <x v="1"/>
    <n v="4"/>
    <n v="2020"/>
    <n v="31"/>
    <s v="2020-31"/>
  </r>
  <r>
    <n v="1.1000000000000001"/>
    <d v="2020-07-22T16:00:52"/>
    <x v="60"/>
    <x v="5"/>
    <s v="vbb_do"/>
    <x v="13"/>
    <x v="1"/>
    <x v="0"/>
    <x v="114"/>
    <n v="2"/>
    <m/>
    <m/>
    <m/>
    <m/>
    <s v="210035-65"/>
    <x v="1"/>
    <n v="3"/>
    <n v="2020"/>
    <n v="31"/>
    <s v="2020-31"/>
  </r>
  <r>
    <n v="1.1000000000000001"/>
    <d v="2020-07-22T12:01:19"/>
    <x v="60"/>
    <x v="5"/>
    <s v="vbb_do"/>
    <x v="13"/>
    <x v="1"/>
    <x v="0"/>
    <x v="115"/>
    <n v="5.5"/>
    <m/>
    <m/>
    <m/>
    <m/>
    <s v="210035-65"/>
    <x v="1"/>
    <n v="3"/>
    <n v="2020"/>
    <n v="31"/>
    <s v="2020-31"/>
  </r>
  <r>
    <n v="1.1000000000000001"/>
    <d v="2020-07-22T12:01:19"/>
    <x v="60"/>
    <x v="5"/>
    <s v="bcst_man"/>
    <x v="13"/>
    <x v="4"/>
    <x v="0"/>
    <x v="116"/>
    <m/>
    <m/>
    <m/>
    <m/>
    <m/>
    <s v="071945-07"/>
    <x v="4"/>
    <n v="3"/>
    <n v="2020"/>
    <n v="31"/>
    <s v="2020-31"/>
  </r>
  <r>
    <n v="1.1000000000000001"/>
    <d v="2020-07-21T16:17:08"/>
    <x v="61"/>
    <x v="1"/>
    <s v="vbb_do"/>
    <x v="13"/>
    <x v="1"/>
    <x v="0"/>
    <x v="117"/>
    <n v="2.5"/>
    <m/>
    <m/>
    <m/>
    <m/>
    <s v="210035-65"/>
    <x v="1"/>
    <n v="2"/>
    <n v="2020"/>
    <n v="31"/>
    <s v="2020-31"/>
  </r>
  <r>
    <n v="1.1000000000000001"/>
    <d v="2020-07-21T12:00:31"/>
    <x v="61"/>
    <x v="1"/>
    <s v="vbb_do"/>
    <x v="13"/>
    <x v="1"/>
    <x v="0"/>
    <x v="118"/>
    <n v="5"/>
    <m/>
    <m/>
    <m/>
    <m/>
    <s v="210035-65"/>
    <x v="1"/>
    <n v="2"/>
    <n v="2020"/>
    <n v="31"/>
    <s v="2020-31"/>
  </r>
  <r>
    <n v="1.1000000000000001"/>
    <d v="2020-07-20T12:01:32"/>
    <x v="62"/>
    <x v="2"/>
    <s v="melbourne metro - latrobe"/>
    <x v="13"/>
    <x v="7"/>
    <x v="0"/>
    <x v="119"/>
    <n v="3.75"/>
    <m/>
    <m/>
    <m/>
    <m/>
    <s v="257677-59 "/>
    <x v="7"/>
    <n v="1"/>
    <n v="2020"/>
    <n v="31"/>
    <s v="2020-31"/>
  </r>
  <r>
    <n v="1.1000000000000001"/>
    <d v="2020-07-20T12:01:32"/>
    <x v="62"/>
    <x v="2"/>
    <s v="vbb_do"/>
    <x v="13"/>
    <x v="1"/>
    <x v="0"/>
    <x v="120"/>
    <n v="3.75"/>
    <m/>
    <m/>
    <m/>
    <m/>
    <s v="210035-65"/>
    <x v="1"/>
    <n v="1"/>
    <n v="2020"/>
    <n v="31"/>
    <s v="2020-31"/>
  </r>
  <r>
    <n v="0.10000000000000009"/>
    <d v="2020-07-17T12:00:56"/>
    <x v="63"/>
    <x v="3"/>
    <s v="leave"/>
    <x v="14"/>
    <x v="5"/>
    <x v="0"/>
    <x v="0"/>
    <n v="3.75"/>
    <m/>
    <m/>
    <m/>
    <m/>
    <s v="LEAVE"/>
    <x v="5"/>
    <n v="5"/>
    <n v="2020"/>
    <n v="30"/>
    <s v="2020-30"/>
  </r>
  <r>
    <n v="0.10000000000000009"/>
    <d v="2020-07-17T12:00:56"/>
    <x v="63"/>
    <x v="3"/>
    <s v="vbb_do"/>
    <x v="14"/>
    <x v="1"/>
    <x v="0"/>
    <x v="121"/>
    <n v="3.75"/>
    <m/>
    <m/>
    <m/>
    <m/>
    <s v="210035-65"/>
    <x v="1"/>
    <n v="5"/>
    <n v="2020"/>
    <n v="30"/>
    <s v="2020-30"/>
  </r>
  <r>
    <n v="0.10000000000000009"/>
    <d v="2020-07-16T16:34:58"/>
    <x v="64"/>
    <x v="4"/>
    <s v="vbb_do"/>
    <x v="14"/>
    <x v="1"/>
    <x v="0"/>
    <x v="122"/>
    <n v="5.5"/>
    <m/>
    <m/>
    <m/>
    <m/>
    <s v="210035-65"/>
    <x v="1"/>
    <n v="4"/>
    <n v="2020"/>
    <n v="30"/>
    <s v="2020-30"/>
  </r>
  <r>
    <n v="0.10000000000000009"/>
    <d v="2020-07-16T16:34:58"/>
    <x v="64"/>
    <x v="4"/>
    <s v="melbourne metro - latrobe"/>
    <x v="14"/>
    <x v="7"/>
    <x v="0"/>
    <x v="123"/>
    <n v="2"/>
    <m/>
    <m/>
    <m/>
    <m/>
    <s v="257677-59 "/>
    <x v="7"/>
    <n v="4"/>
    <n v="2020"/>
    <n v="30"/>
    <s v="2020-30"/>
  </r>
  <r>
    <n v="0.10000000000000009"/>
    <d v="2020-07-16T12:00:36"/>
    <x v="64"/>
    <x v="4"/>
    <s v="vbb_do"/>
    <x v="14"/>
    <x v="1"/>
    <x v="0"/>
    <x v="124"/>
    <m/>
    <m/>
    <m/>
    <m/>
    <m/>
    <s v="210035-65"/>
    <x v="1"/>
    <n v="4"/>
    <n v="2020"/>
    <n v="30"/>
    <s v="2020-30"/>
  </r>
  <r>
    <n v="0.10000000000000009"/>
    <d v="2020-07-15T12:00:32"/>
    <x v="65"/>
    <x v="5"/>
    <s v="bcst_man"/>
    <x v="14"/>
    <x v="4"/>
    <x v="0"/>
    <x v="125"/>
    <m/>
    <m/>
    <m/>
    <m/>
    <m/>
    <s v="071945-07"/>
    <x v="4"/>
    <n v="3"/>
    <n v="2020"/>
    <n v="30"/>
    <s v="2020-30"/>
  </r>
  <r>
    <n v="0.10000000000000009"/>
    <d v="2020-07-15T12:00:32"/>
    <x v="65"/>
    <x v="5"/>
    <s v="vbb_do"/>
    <x v="14"/>
    <x v="1"/>
    <x v="0"/>
    <x v="126"/>
    <n v="7.5"/>
    <m/>
    <m/>
    <m/>
    <m/>
    <s v="210035-65"/>
    <x v="1"/>
    <n v="3"/>
    <n v="2020"/>
    <n v="30"/>
    <s v="2020-30"/>
  </r>
  <r>
    <n v="0.10000000000000009"/>
    <d v="2020-07-14T16:50:52"/>
    <x v="66"/>
    <x v="1"/>
    <s v="vbb_do"/>
    <x v="14"/>
    <x v="1"/>
    <x v="0"/>
    <x v="127"/>
    <n v="3.5"/>
    <m/>
    <m/>
    <m/>
    <m/>
    <s v="210035-65"/>
    <x v="1"/>
    <n v="2"/>
    <n v="2020"/>
    <n v="30"/>
    <s v="2020-30"/>
  </r>
  <r>
    <n v="0.10000000000000009"/>
    <d v="2020-07-14T12:03:23"/>
    <x v="66"/>
    <x v="1"/>
    <s v="vbb_do"/>
    <x v="14"/>
    <x v="1"/>
    <x v="0"/>
    <x v="128"/>
    <n v="4"/>
    <m/>
    <m/>
    <m/>
    <m/>
    <s v="210035-65"/>
    <x v="1"/>
    <n v="2"/>
    <n v="2020"/>
    <n v="30"/>
    <s v="2020-30"/>
  </r>
  <r>
    <n v="0.10000000000000009"/>
    <d v="2020-07-13T16:03:37"/>
    <x v="67"/>
    <x v="2"/>
    <s v="vbb_do"/>
    <x v="14"/>
    <x v="1"/>
    <x v="0"/>
    <x v="129"/>
    <n v="5.5"/>
    <m/>
    <m/>
    <m/>
    <m/>
    <s v="210035-65"/>
    <x v="1"/>
    <n v="1"/>
    <n v="2020"/>
    <n v="30"/>
    <s v="2020-30"/>
  </r>
  <r>
    <n v="0.10000000000000009"/>
    <d v="2020-07-13T12:00:37"/>
    <x v="67"/>
    <x v="2"/>
    <s v="vbb_do"/>
    <x v="14"/>
    <x v="1"/>
    <x v="0"/>
    <x v="130"/>
    <n v="2"/>
    <m/>
    <m/>
    <m/>
    <m/>
    <s v="210035-65"/>
    <x v="1"/>
    <n v="1"/>
    <n v="2020"/>
    <n v="30"/>
    <s v="2020-30"/>
  </r>
  <r>
    <n v="1.1000000000000001"/>
    <d v="2020-07-10T16:03:28"/>
    <x v="68"/>
    <x v="3"/>
    <s v="vbb_do"/>
    <x v="15"/>
    <x v="1"/>
    <x v="0"/>
    <x v="131"/>
    <n v="3.75"/>
    <m/>
    <m/>
    <m/>
    <m/>
    <s v="210035-65"/>
    <x v="1"/>
    <n v="5"/>
    <n v="2020"/>
    <n v="29"/>
    <s v="2020-29"/>
  </r>
  <r>
    <n v="1.1000000000000001"/>
    <d v="2020-07-10T12:03:28"/>
    <x v="68"/>
    <x v="3"/>
    <s v="vbb_do"/>
    <x v="15"/>
    <x v="1"/>
    <x v="0"/>
    <x v="132"/>
    <n v="3.75"/>
    <m/>
    <m/>
    <m/>
    <m/>
    <s v="210035-65"/>
    <x v="1"/>
    <n v="5"/>
    <n v="2020"/>
    <n v="29"/>
    <s v="2020-29"/>
  </r>
  <r>
    <n v="1.1000000000000001"/>
    <d v="2020-07-10T12:03:28"/>
    <x v="68"/>
    <x v="3"/>
    <s v="bcst_man"/>
    <x v="15"/>
    <x v="4"/>
    <x v="0"/>
    <x v="111"/>
    <m/>
    <m/>
    <m/>
    <m/>
    <m/>
    <s v="071945-07"/>
    <x v="4"/>
    <n v="5"/>
    <n v="2020"/>
    <n v="29"/>
    <s v="2020-29"/>
  </r>
  <r>
    <n v="1.1000000000000001"/>
    <d v="2020-07-09T14:03:36"/>
    <x v="69"/>
    <x v="4"/>
    <s v="vbb_do"/>
    <x v="15"/>
    <x v="1"/>
    <x v="0"/>
    <x v="133"/>
    <n v="5.5"/>
    <m/>
    <m/>
    <m/>
    <m/>
    <s v="210035-65"/>
    <x v="1"/>
    <n v="4"/>
    <n v="2020"/>
    <n v="29"/>
    <s v="2020-29"/>
  </r>
  <r>
    <n v="1.1000000000000001"/>
    <d v="2020-07-09T12:30:25"/>
    <x v="69"/>
    <x v="4"/>
    <s v="melbourne metro - latrobe"/>
    <x v="15"/>
    <x v="7"/>
    <x v="0"/>
    <x v="134"/>
    <n v="2"/>
    <m/>
    <m/>
    <m/>
    <m/>
    <s v="257677-59 "/>
    <x v="7"/>
    <n v="4"/>
    <n v="2020"/>
    <n v="29"/>
    <s v="2020-29"/>
  </r>
  <r>
    <n v="1.1000000000000001"/>
    <d v="2020-07-08T19:28:44"/>
    <x v="70"/>
    <x v="5"/>
    <s v="vbb_do"/>
    <x v="15"/>
    <x v="1"/>
    <x v="0"/>
    <x v="135"/>
    <n v="7.5"/>
    <m/>
    <m/>
    <m/>
    <m/>
    <s v="210035-65"/>
    <x v="1"/>
    <n v="3"/>
    <n v="2020"/>
    <n v="29"/>
    <s v="2020-29"/>
  </r>
  <r>
    <n v="1.1000000000000001"/>
    <d v="2020-07-07T16:30:30"/>
    <x v="71"/>
    <x v="5"/>
    <s v="vbb_do"/>
    <x v="15"/>
    <x v="1"/>
    <x v="0"/>
    <x v="136"/>
    <n v="7.5"/>
    <m/>
    <m/>
    <m/>
    <m/>
    <s v="210035-65"/>
    <x v="1"/>
    <n v="2"/>
    <n v="2020"/>
    <n v="29"/>
    <s v="2020-29"/>
  </r>
  <r>
    <n v="1.1000000000000001"/>
    <d v="2020-07-06T10:33:23"/>
    <x v="72"/>
    <x v="2"/>
    <s v="vbb_do"/>
    <x v="15"/>
    <x v="1"/>
    <x v="0"/>
    <x v="137"/>
    <n v="7.5"/>
    <m/>
    <m/>
    <m/>
    <m/>
    <s v="210035-65"/>
    <x v="1"/>
    <n v="1"/>
    <n v="2020"/>
    <n v="29"/>
    <s v="2020-29"/>
  </r>
  <r>
    <n v="1.1000000000000001"/>
    <d v="2020-07-06T10:33:23"/>
    <x v="72"/>
    <x v="2"/>
    <s v="bcst_man"/>
    <x v="15"/>
    <x v="4"/>
    <x v="0"/>
    <x v="138"/>
    <m/>
    <m/>
    <m/>
    <m/>
    <m/>
    <s v="071945-07"/>
    <x v="4"/>
    <n v="1"/>
    <n v="2020"/>
    <n v="29"/>
    <s v="2020-29"/>
  </r>
  <r>
    <n v="0.10000000000000009"/>
    <d v="2020-07-03T10:32:53"/>
    <x v="73"/>
    <x v="3"/>
    <s v="vbb_do"/>
    <x v="16"/>
    <x v="1"/>
    <x v="0"/>
    <x v="139"/>
    <n v="7.5"/>
    <m/>
    <m/>
    <m/>
    <m/>
    <s v="210035-65"/>
    <x v="1"/>
    <n v="5"/>
    <n v="2020"/>
    <n v="28"/>
    <s v="2020-28"/>
  </r>
  <r>
    <n v="0.10000000000000009"/>
    <d v="2020-07-02T20:21:23"/>
    <x v="74"/>
    <x v="4"/>
    <s v="bcst_man"/>
    <x v="16"/>
    <x v="4"/>
    <x v="0"/>
    <x v="140"/>
    <m/>
    <m/>
    <m/>
    <m/>
    <m/>
    <s v="071945-07"/>
    <x v="4"/>
    <n v="4"/>
    <n v="2020"/>
    <n v="28"/>
    <s v="2020-28"/>
  </r>
  <r>
    <n v="0.10000000000000009"/>
    <d v="2020-07-02T16:30:12"/>
    <x v="74"/>
    <x v="4"/>
    <s v="vbb_do"/>
    <x v="16"/>
    <x v="1"/>
    <x v="0"/>
    <x v="141"/>
    <n v="5"/>
    <m/>
    <m/>
    <m/>
    <m/>
    <s v="210035-65"/>
    <x v="1"/>
    <n v="4"/>
    <n v="2020"/>
    <n v="28"/>
    <s v="2020-28"/>
  </r>
  <r>
    <n v="0.10000000000000009"/>
    <d v="2020-07-02T13:31:31"/>
    <x v="74"/>
    <x v="4"/>
    <s v="vbb_do"/>
    <x v="16"/>
    <x v="1"/>
    <x v="0"/>
    <x v="142"/>
    <n v="2.5"/>
    <m/>
    <m/>
    <m/>
    <m/>
    <s v="210035-65"/>
    <x v="1"/>
    <n v="4"/>
    <n v="2020"/>
    <n v="28"/>
    <s v="2020-28"/>
  </r>
  <r>
    <n v="0.10000000000000009"/>
    <m/>
    <x v="75"/>
    <x v="0"/>
    <s v="vbb_do"/>
    <x v="16"/>
    <x v="1"/>
    <x v="0"/>
    <x v="143"/>
    <n v="7.5"/>
    <m/>
    <m/>
    <m/>
    <m/>
    <s v="210035-65"/>
    <x v="1"/>
    <n v="3"/>
    <n v="2020"/>
    <n v="28"/>
    <s v="2020-28"/>
  </r>
  <r>
    <n v="0.10000000000000009"/>
    <m/>
    <x v="76"/>
    <x v="0"/>
    <s v="vbb_do"/>
    <x v="16"/>
    <x v="1"/>
    <x v="0"/>
    <x v="144"/>
    <n v="7.5"/>
    <m/>
    <m/>
    <m/>
    <m/>
    <s v="210035-65"/>
    <x v="1"/>
    <n v="2"/>
    <n v="2020"/>
    <n v="28"/>
    <s v="2020-28"/>
  </r>
  <r>
    <n v="0.10000000000000009"/>
    <m/>
    <x v="77"/>
    <x v="0"/>
    <s v="vbb_do"/>
    <x v="16"/>
    <x v="1"/>
    <x v="0"/>
    <x v="145"/>
    <n v="5"/>
    <m/>
    <m/>
    <m/>
    <m/>
    <s v="210035-65"/>
    <x v="1"/>
    <n v="1"/>
    <n v="2020"/>
    <n v="28"/>
    <s v="2020-28"/>
  </r>
  <r>
    <n v="0.10000000000000009"/>
    <m/>
    <x v="77"/>
    <x v="0"/>
    <s v="edmonton "/>
    <x v="16"/>
    <x v="8"/>
    <x v="0"/>
    <x v="146"/>
    <n v="2.5"/>
    <m/>
    <m/>
    <m/>
    <m/>
    <s v="249980-13"/>
    <x v="8"/>
    <n v="1"/>
    <n v="2020"/>
    <n v="28"/>
    <s v="2020-28"/>
  </r>
  <r>
    <n v="1.1000000000000001"/>
    <m/>
    <x v="78"/>
    <x v="0"/>
    <s v="leave"/>
    <x v="17"/>
    <x v="5"/>
    <x v="0"/>
    <x v="0"/>
    <n v="7.5"/>
    <m/>
    <m/>
    <m/>
    <m/>
    <s v="LEAVE"/>
    <x v="5"/>
    <n v="5"/>
    <n v="2020"/>
    <n v="27"/>
    <s v="2020-27"/>
  </r>
  <r>
    <n v="1.1000000000000001"/>
    <m/>
    <x v="79"/>
    <x v="0"/>
    <s v="vbb_do"/>
    <x v="17"/>
    <x v="1"/>
    <x v="0"/>
    <x v="147"/>
    <m/>
    <m/>
    <m/>
    <m/>
    <m/>
    <s v="210035-65"/>
    <x v="1"/>
    <n v="4"/>
    <n v="2020"/>
    <n v="27"/>
    <s v="2020-27"/>
  </r>
  <r>
    <n v="1.1000000000000001"/>
    <m/>
    <x v="80"/>
    <x v="0"/>
    <s v="vbb_do"/>
    <x v="17"/>
    <x v="1"/>
    <x v="0"/>
    <x v="148"/>
    <m/>
    <m/>
    <m/>
    <m/>
    <m/>
    <s v="210035-65"/>
    <x v="1"/>
    <n v="3"/>
    <n v="2020"/>
    <n v="27"/>
    <s v="2020-27"/>
  </r>
  <r>
    <n v="1.1000000000000001"/>
    <m/>
    <x v="81"/>
    <x v="0"/>
    <s v="vbb_do"/>
    <x v="17"/>
    <x v="1"/>
    <x v="0"/>
    <x v="149"/>
    <m/>
    <m/>
    <m/>
    <m/>
    <m/>
    <s v="210035-65"/>
    <x v="1"/>
    <n v="2"/>
    <n v="2020"/>
    <n v="27"/>
    <s v="2020-27"/>
  </r>
  <r>
    <n v="1.1000000000000001"/>
    <m/>
    <x v="82"/>
    <x v="0"/>
    <s v="vbb_do"/>
    <x v="17"/>
    <x v="1"/>
    <x v="0"/>
    <x v="150"/>
    <m/>
    <m/>
    <m/>
    <m/>
    <m/>
    <s v="210035-65"/>
    <x v="1"/>
    <n v="1"/>
    <n v="2020"/>
    <n v="27"/>
    <s v="2020-27"/>
  </r>
  <r>
    <n v="0.10000000000000009"/>
    <m/>
    <x v="83"/>
    <x v="0"/>
    <s v="vbb_do"/>
    <x v="18"/>
    <x v="1"/>
    <x v="0"/>
    <x v="151"/>
    <m/>
    <m/>
    <m/>
    <m/>
    <m/>
    <s v="210035-65"/>
    <x v="1"/>
    <n v="1"/>
    <n v="2020"/>
    <n v="26"/>
    <s v="2020-26"/>
  </r>
  <r>
    <n v="1.1000000000000001"/>
    <m/>
    <x v="84"/>
    <x v="0"/>
    <s v="vbb_do"/>
    <x v="19"/>
    <x v="1"/>
    <x v="0"/>
    <x v="152"/>
    <n v="7.5"/>
    <m/>
    <m/>
    <m/>
    <m/>
    <s v="210035-65"/>
    <x v="1"/>
    <n v="5"/>
    <n v="2020"/>
    <n v="25"/>
    <s v="2020-25"/>
  </r>
  <r>
    <n v="1.1000000000000001"/>
    <m/>
    <x v="84"/>
    <x v="0"/>
    <s v="bcst_man"/>
    <x v="19"/>
    <x v="4"/>
    <x v="0"/>
    <x v="153"/>
    <n v="0"/>
    <m/>
    <m/>
    <m/>
    <m/>
    <s v="071945-07"/>
    <x v="4"/>
    <n v="5"/>
    <n v="2020"/>
    <n v="25"/>
    <s v="2020-25"/>
  </r>
  <r>
    <n v="1.1000000000000001"/>
    <m/>
    <x v="85"/>
    <x v="0"/>
    <s v="vbb_do"/>
    <x v="19"/>
    <x v="1"/>
    <x v="0"/>
    <x v="154"/>
    <n v="7.5"/>
    <m/>
    <m/>
    <m/>
    <m/>
    <s v="210035-65"/>
    <x v="1"/>
    <n v="4"/>
    <n v="2020"/>
    <n v="25"/>
    <s v="2020-25"/>
  </r>
  <r>
    <n v="1.1000000000000001"/>
    <m/>
    <x v="86"/>
    <x v="0"/>
    <s v="vbb_do"/>
    <x v="19"/>
    <x v="1"/>
    <x v="0"/>
    <x v="155"/>
    <n v="2.5"/>
    <m/>
    <m/>
    <m/>
    <m/>
    <s v="210035-65"/>
    <x v="1"/>
    <n v="3"/>
    <n v="2020"/>
    <n v="25"/>
    <s v="2020-25"/>
  </r>
  <r>
    <n v="1.1000000000000001"/>
    <m/>
    <x v="86"/>
    <x v="0"/>
    <s v="vbb_do"/>
    <x v="19"/>
    <x v="1"/>
    <x v="0"/>
    <x v="156"/>
    <n v="5"/>
    <m/>
    <m/>
    <m/>
    <m/>
    <s v="210035-65"/>
    <x v="1"/>
    <n v="3"/>
    <n v="2020"/>
    <n v="25"/>
    <s v="2020-25"/>
  </r>
  <r>
    <n v="1.1000000000000001"/>
    <m/>
    <x v="87"/>
    <x v="0"/>
    <s v="vbb_do"/>
    <x v="19"/>
    <x v="1"/>
    <x v="0"/>
    <x v="157"/>
    <n v="4.5"/>
    <m/>
    <m/>
    <m/>
    <m/>
    <s v="210035-65"/>
    <x v="1"/>
    <n v="2"/>
    <n v="2020"/>
    <n v="25"/>
    <s v="2020-25"/>
  </r>
  <r>
    <n v="1.1000000000000001"/>
    <m/>
    <x v="87"/>
    <x v="0"/>
    <s v="hcc - lower kings rd"/>
    <x v="19"/>
    <x v="9"/>
    <x v="0"/>
    <x v="158"/>
    <n v="3"/>
    <m/>
    <m/>
    <m/>
    <m/>
    <s v="255670-17"/>
    <x v="9"/>
    <n v="2"/>
    <n v="2020"/>
    <n v="25"/>
    <s v="2020-25"/>
  </r>
  <r>
    <n v="1.1000000000000001"/>
    <m/>
    <x v="87"/>
    <x v="0"/>
    <s v="bcst_man"/>
    <x v="19"/>
    <x v="4"/>
    <x v="0"/>
    <x v="159"/>
    <n v="0"/>
    <m/>
    <m/>
    <m/>
    <m/>
    <s v="071945-07"/>
    <x v="4"/>
    <n v="2"/>
    <n v="2020"/>
    <n v="25"/>
    <s v="2020-25"/>
  </r>
  <r>
    <n v="1.1000000000000001"/>
    <m/>
    <x v="88"/>
    <x v="0"/>
    <s v="hcc - lower kings rd"/>
    <x v="19"/>
    <x v="9"/>
    <x v="0"/>
    <x v="160"/>
    <n v="1"/>
    <m/>
    <m/>
    <m/>
    <m/>
    <s v="255670-17"/>
    <x v="9"/>
    <n v="1"/>
    <n v="2020"/>
    <n v="25"/>
    <s v="2020-25"/>
  </r>
  <r>
    <n v="1.1000000000000001"/>
    <m/>
    <x v="88"/>
    <x v="0"/>
    <s v="vbb_do"/>
    <x v="19"/>
    <x v="1"/>
    <x v="0"/>
    <x v="161"/>
    <n v="6.5"/>
    <m/>
    <m/>
    <m/>
    <m/>
    <s v="210035-65"/>
    <x v="1"/>
    <n v="1"/>
    <n v="2020"/>
    <n v="25"/>
    <s v="2020-25"/>
  </r>
  <r>
    <n v="0.10000000000000009"/>
    <m/>
    <x v="89"/>
    <x v="0"/>
    <s v="bcst_man"/>
    <x v="20"/>
    <x v="4"/>
    <x v="0"/>
    <x v="162"/>
    <n v="2"/>
    <m/>
    <m/>
    <m/>
    <m/>
    <s v="071945-07"/>
    <x v="4"/>
    <n v="5"/>
    <n v="2020"/>
    <n v="24"/>
    <s v="2020-24"/>
  </r>
  <r>
    <n v="0.10000000000000009"/>
    <m/>
    <x v="89"/>
    <x v="0"/>
    <s v="vbb_do"/>
    <x v="20"/>
    <x v="1"/>
    <x v="0"/>
    <x v="163"/>
    <n v="7.5"/>
    <m/>
    <m/>
    <m/>
    <m/>
    <s v="210035-65"/>
    <x v="1"/>
    <n v="5"/>
    <n v="2020"/>
    <n v="24"/>
    <s v="2020-24"/>
  </r>
  <r>
    <n v="0.10000000000000009"/>
    <m/>
    <x v="90"/>
    <x v="0"/>
    <s v="hcc - lower kings rd"/>
    <x v="20"/>
    <x v="9"/>
    <x v="0"/>
    <x v="164"/>
    <n v="1"/>
    <m/>
    <m/>
    <m/>
    <m/>
    <s v="255670-17"/>
    <x v="9"/>
    <n v="4"/>
    <n v="2020"/>
    <n v="24"/>
    <s v="2020-24"/>
  </r>
  <r>
    <n v="0.10000000000000009"/>
    <m/>
    <x v="90"/>
    <x v="0"/>
    <s v="vbb_do"/>
    <x v="20"/>
    <x v="1"/>
    <x v="0"/>
    <x v="165"/>
    <n v="6.5"/>
    <m/>
    <m/>
    <m/>
    <m/>
    <s v="210035-65"/>
    <x v="1"/>
    <n v="4"/>
    <n v="2020"/>
    <n v="24"/>
    <s v="2020-24"/>
  </r>
  <r>
    <n v="0.10000000000000009"/>
    <m/>
    <x v="91"/>
    <x v="0"/>
    <s v="vbb_do"/>
    <x v="20"/>
    <x v="1"/>
    <x v="0"/>
    <x v="166"/>
    <n v="7.5"/>
    <m/>
    <m/>
    <m/>
    <m/>
    <s v="210035-65"/>
    <x v="1"/>
    <n v="3"/>
    <n v="2020"/>
    <n v="24"/>
    <s v="2020-24"/>
  </r>
  <r>
    <n v="0.10000000000000009"/>
    <m/>
    <x v="92"/>
    <x v="0"/>
    <s v="vbb_do"/>
    <x v="20"/>
    <x v="1"/>
    <x v="0"/>
    <x v="167"/>
    <n v="7.5"/>
    <m/>
    <m/>
    <m/>
    <m/>
    <s v="210035-65"/>
    <x v="1"/>
    <n v="2"/>
    <n v="2020"/>
    <n v="24"/>
    <s v="2020-24"/>
  </r>
  <r>
    <n v="0.10000000000000009"/>
    <m/>
    <x v="93"/>
    <x v="0"/>
    <s v="hcc - weston hills tunnel"/>
    <x v="20"/>
    <x v="10"/>
    <x v="0"/>
    <x v="168"/>
    <n v="7.5"/>
    <m/>
    <m/>
    <m/>
    <m/>
    <s v="246233-56"/>
    <x v="10"/>
    <n v="1"/>
    <n v="2020"/>
    <n v="24"/>
    <s v="2020-24"/>
  </r>
  <r>
    <n v="1.1000000000000001"/>
    <m/>
    <x v="94"/>
    <x v="0"/>
    <s v="melbourne metro - latrobe"/>
    <x v="21"/>
    <x v="7"/>
    <x v="0"/>
    <x v="169"/>
    <n v="2"/>
    <m/>
    <m/>
    <m/>
    <m/>
    <s v="257677-59 "/>
    <x v="7"/>
    <n v="5"/>
    <n v="2020"/>
    <n v="23"/>
    <s v="2020-23"/>
  </r>
  <r>
    <n v="1.1000000000000001"/>
    <m/>
    <x v="94"/>
    <x v="0"/>
    <s v="vbb_do"/>
    <x v="21"/>
    <x v="1"/>
    <x v="0"/>
    <x v="170"/>
    <n v="5.5"/>
    <m/>
    <m/>
    <m/>
    <m/>
    <s v="210035-65"/>
    <x v="1"/>
    <n v="5"/>
    <n v="2020"/>
    <n v="23"/>
    <s v="2020-23"/>
  </r>
  <r>
    <n v="1.1000000000000001"/>
    <m/>
    <x v="94"/>
    <x v="0"/>
    <s v="hcc - weston hills tunnel"/>
    <x v="21"/>
    <x v="10"/>
    <x v="0"/>
    <x v="171"/>
    <n v="0"/>
    <m/>
    <m/>
    <m/>
    <m/>
    <s v="246233-56"/>
    <x v="10"/>
    <n v="5"/>
    <n v="2020"/>
    <n v="23"/>
    <s v="2020-23"/>
  </r>
  <r>
    <n v="1.1000000000000001"/>
    <m/>
    <x v="94"/>
    <x v="0"/>
    <s v="bcst_man"/>
    <x v="21"/>
    <x v="4"/>
    <x v="0"/>
    <x v="172"/>
    <m/>
    <m/>
    <m/>
    <m/>
    <m/>
    <s v="071945-07"/>
    <x v="4"/>
    <n v="5"/>
    <n v="2020"/>
    <n v="23"/>
    <s v="2020-23"/>
  </r>
  <r>
    <n v="1.1000000000000001"/>
    <m/>
    <x v="95"/>
    <x v="0"/>
    <s v="hcc - lower kings rd"/>
    <x v="21"/>
    <x v="9"/>
    <x v="0"/>
    <x v="173"/>
    <n v="2"/>
    <m/>
    <m/>
    <m/>
    <m/>
    <s v="255670-17"/>
    <x v="9"/>
    <n v="4"/>
    <n v="2020"/>
    <n v="23"/>
    <s v="2020-23"/>
  </r>
  <r>
    <n v="1.1000000000000001"/>
    <m/>
    <x v="95"/>
    <x v="0"/>
    <s v="vbb_do"/>
    <x v="21"/>
    <x v="1"/>
    <x v="0"/>
    <x v="174"/>
    <n v="4.5"/>
    <m/>
    <m/>
    <m/>
    <m/>
    <s v="210035-65"/>
    <x v="1"/>
    <n v="4"/>
    <n v="2020"/>
    <n v="23"/>
    <s v="2020-23"/>
  </r>
  <r>
    <n v="1.1000000000000001"/>
    <m/>
    <x v="95"/>
    <x v="0"/>
    <s v="melbourne metro - latrobe"/>
    <x v="21"/>
    <x v="7"/>
    <x v="0"/>
    <x v="175"/>
    <n v="1"/>
    <m/>
    <m/>
    <m/>
    <m/>
    <s v="257677-59 "/>
    <x v="7"/>
    <n v="4"/>
    <n v="2020"/>
    <n v="23"/>
    <s v="2020-23"/>
  </r>
  <r>
    <n v="1.1000000000000001"/>
    <m/>
    <x v="96"/>
    <x v="0"/>
    <s v="vbb_do"/>
    <x v="21"/>
    <x v="1"/>
    <x v="0"/>
    <x v="176"/>
    <n v="5.5"/>
    <m/>
    <m/>
    <m/>
    <m/>
    <s v="210035-65"/>
    <x v="1"/>
    <n v="3"/>
    <n v="2020"/>
    <n v="23"/>
    <s v="2020-23"/>
  </r>
  <r>
    <n v="1.1000000000000001"/>
    <m/>
    <x v="96"/>
    <x v="0"/>
    <s v="melbourne metro - latrobe"/>
    <x v="21"/>
    <x v="7"/>
    <x v="0"/>
    <x v="177"/>
    <n v="2"/>
    <m/>
    <m/>
    <m/>
    <m/>
    <s v="257677-59 "/>
    <x v="7"/>
    <n v="3"/>
    <n v="2020"/>
    <n v="23"/>
    <s v="2020-23"/>
  </r>
  <r>
    <n v="1.1000000000000001"/>
    <m/>
    <x v="97"/>
    <x v="0"/>
    <s v="melbourne metro - latrobe"/>
    <x v="21"/>
    <x v="7"/>
    <x v="0"/>
    <x v="178"/>
    <n v="7.5"/>
    <m/>
    <m/>
    <m/>
    <m/>
    <s v="257677-59 "/>
    <x v="7"/>
    <n v="2"/>
    <n v="2020"/>
    <n v="23"/>
    <s v="2020-23"/>
  </r>
  <r>
    <n v="1.1000000000000001"/>
    <m/>
    <x v="98"/>
    <x v="0"/>
    <s v="bank holiday"/>
    <x v="21"/>
    <x v="11"/>
    <x v="0"/>
    <x v="0"/>
    <n v="7.5"/>
    <m/>
    <m/>
    <m/>
    <m/>
    <s v="BANK HOLIDAY"/>
    <x v="11"/>
    <n v="1"/>
    <n v="2020"/>
    <n v="23"/>
    <s v="2020-23"/>
  </r>
  <r>
    <n v="0.10000000000000009"/>
    <m/>
    <x v="99"/>
    <x v="0"/>
    <s v="melbourne metro - latrobe"/>
    <x v="22"/>
    <x v="7"/>
    <x v="0"/>
    <x v="179"/>
    <n v="5"/>
    <m/>
    <m/>
    <m/>
    <m/>
    <s v="257677-59 "/>
    <x v="7"/>
    <n v="5"/>
    <n v="2020"/>
    <n v="22"/>
    <s v="2020-22"/>
  </r>
  <r>
    <n v="0.10000000000000009"/>
    <m/>
    <x v="99"/>
    <x v="0"/>
    <s v="vbb_do"/>
    <x v="22"/>
    <x v="1"/>
    <x v="0"/>
    <x v="180"/>
    <n v="2.5"/>
    <m/>
    <m/>
    <m/>
    <m/>
    <s v="210035-65"/>
    <x v="1"/>
    <n v="5"/>
    <n v="2020"/>
    <n v="22"/>
    <s v="2020-22"/>
  </r>
  <r>
    <n v="0.10000000000000009"/>
    <m/>
    <x v="100"/>
    <x v="0"/>
    <s v="vbb_do"/>
    <x v="22"/>
    <x v="1"/>
    <x v="0"/>
    <x v="181"/>
    <n v="2"/>
    <m/>
    <m/>
    <m/>
    <m/>
    <s v="210035-65"/>
    <x v="1"/>
    <n v="4"/>
    <n v="2020"/>
    <n v="22"/>
    <s v="2020-22"/>
  </r>
  <r>
    <n v="0.10000000000000009"/>
    <m/>
    <x v="100"/>
    <x v="0"/>
    <s v="melbourne metro - latrobe"/>
    <x v="22"/>
    <x v="7"/>
    <x v="0"/>
    <x v="182"/>
    <n v="2.5"/>
    <m/>
    <m/>
    <m/>
    <m/>
    <s v="257677-59 "/>
    <x v="7"/>
    <n v="4"/>
    <n v="2020"/>
    <n v="22"/>
    <s v="2020-22"/>
  </r>
  <r>
    <n v="0.10000000000000009"/>
    <m/>
    <x v="100"/>
    <x v="0"/>
    <s v="hcc - paul cully"/>
    <x v="22"/>
    <x v="12"/>
    <x v="0"/>
    <x v="183"/>
    <n v="3"/>
    <m/>
    <m/>
    <m/>
    <m/>
    <s v="254304-96"/>
    <x v="12"/>
    <n v="4"/>
    <n v="2020"/>
    <n v="22"/>
    <s v="2020-22"/>
  </r>
  <r>
    <n v="0.10000000000000009"/>
    <m/>
    <x v="101"/>
    <x v="0"/>
    <s v="vbb_do"/>
    <x v="22"/>
    <x v="1"/>
    <x v="0"/>
    <x v="174"/>
    <n v="7.5"/>
    <m/>
    <m/>
    <m/>
    <m/>
    <s v="210035-65"/>
    <x v="1"/>
    <n v="3"/>
    <n v="2020"/>
    <n v="22"/>
    <s v="2020-22"/>
  </r>
  <r>
    <n v="0.10000000000000009"/>
    <m/>
    <x v="102"/>
    <x v="0"/>
    <s v="vbb_do"/>
    <x v="22"/>
    <x v="1"/>
    <x v="0"/>
    <x v="174"/>
    <n v="7.5"/>
    <m/>
    <m/>
    <m/>
    <m/>
    <s v="210035-65"/>
    <x v="1"/>
    <n v="2"/>
    <n v="2020"/>
    <n v="22"/>
    <s v="2020-22"/>
  </r>
  <r>
    <n v="0.10000000000000009"/>
    <m/>
    <x v="103"/>
    <x v="0"/>
    <s v="leave"/>
    <x v="22"/>
    <x v="5"/>
    <x v="0"/>
    <x v="0"/>
    <n v="7.5"/>
    <m/>
    <m/>
    <m/>
    <m/>
    <s v="LEAVE"/>
    <x v="5"/>
    <n v="1"/>
    <n v="2020"/>
    <n v="22"/>
    <s v="2020-22"/>
  </r>
  <r>
    <n v="1.1000000000000001"/>
    <m/>
    <x v="104"/>
    <x v="0"/>
    <s v="vbb_do"/>
    <x v="23"/>
    <x v="1"/>
    <x v="0"/>
    <x v="0"/>
    <n v="5"/>
    <m/>
    <m/>
    <m/>
    <m/>
    <s v="210035-65"/>
    <x v="1"/>
    <n v="5"/>
    <n v="2020"/>
    <n v="21"/>
    <s v="2020-21"/>
  </r>
  <r>
    <n v="1.1000000000000001"/>
    <m/>
    <x v="104"/>
    <x v="0"/>
    <s v="melbourne metro - latrobe"/>
    <x v="23"/>
    <x v="7"/>
    <x v="0"/>
    <x v="0"/>
    <n v="2.5"/>
    <m/>
    <m/>
    <m/>
    <m/>
    <s v="257677-59 "/>
    <x v="7"/>
    <n v="5"/>
    <n v="2020"/>
    <n v="21"/>
    <s v="2020-21"/>
  </r>
  <r>
    <n v="1.1000000000000001"/>
    <m/>
    <x v="105"/>
    <x v="0"/>
    <s v="vbb_do"/>
    <x v="23"/>
    <x v="1"/>
    <x v="0"/>
    <x v="0"/>
    <n v="2.5"/>
    <m/>
    <m/>
    <m/>
    <m/>
    <s v="210035-65"/>
    <x v="1"/>
    <n v="4"/>
    <n v="2020"/>
    <n v="21"/>
    <s v="2020-21"/>
  </r>
  <r>
    <n v="1.1000000000000001"/>
    <m/>
    <x v="105"/>
    <x v="0"/>
    <s v="melbourne metro - latrobe"/>
    <x v="23"/>
    <x v="7"/>
    <x v="0"/>
    <x v="0"/>
    <n v="5"/>
    <m/>
    <m/>
    <m/>
    <m/>
    <s v="257677-59 "/>
    <x v="7"/>
    <n v="4"/>
    <n v="2020"/>
    <n v="21"/>
    <s v="2020-21"/>
  </r>
  <r>
    <n v="1.1000000000000001"/>
    <m/>
    <x v="106"/>
    <x v="0"/>
    <s v="vbb_do"/>
    <x v="23"/>
    <x v="1"/>
    <x v="0"/>
    <x v="0"/>
    <n v="7.5"/>
    <m/>
    <m/>
    <m/>
    <m/>
    <s v="210035-65"/>
    <x v="1"/>
    <n v="3"/>
    <n v="2020"/>
    <n v="21"/>
    <s v="2020-21"/>
  </r>
  <r>
    <n v="1.1000000000000001"/>
    <m/>
    <x v="107"/>
    <x v="0"/>
    <s v="vbb_do"/>
    <x v="23"/>
    <x v="1"/>
    <x v="0"/>
    <x v="0"/>
    <n v="7.5"/>
    <m/>
    <m/>
    <m/>
    <m/>
    <s v="210035-65"/>
    <x v="1"/>
    <n v="2"/>
    <n v="2020"/>
    <n v="21"/>
    <s v="2020-21"/>
  </r>
  <r>
    <n v="1.1000000000000001"/>
    <m/>
    <x v="108"/>
    <x v="0"/>
    <s v="vbb_do"/>
    <x v="23"/>
    <x v="1"/>
    <x v="0"/>
    <x v="0"/>
    <n v="7.5"/>
    <m/>
    <m/>
    <m/>
    <m/>
    <s v="210035-65"/>
    <x v="1"/>
    <n v="1"/>
    <n v="2020"/>
    <n v="21"/>
    <s v="2020-21"/>
  </r>
  <r>
    <n v="0.10000000000000009"/>
    <m/>
    <x v="109"/>
    <x v="0"/>
    <s v="bank holiday"/>
    <x v="24"/>
    <x v="11"/>
    <x v="0"/>
    <x v="0"/>
    <n v="7.5"/>
    <m/>
    <m/>
    <m/>
    <m/>
    <s v="BANK HOLIDAY"/>
    <x v="11"/>
    <n v="5"/>
    <n v="2020"/>
    <n v="20"/>
    <s v="2020-20"/>
  </r>
  <r>
    <n v="0.10000000000000009"/>
    <m/>
    <x v="110"/>
    <x v="0"/>
    <s v="vbb_do"/>
    <x v="24"/>
    <x v="1"/>
    <x v="0"/>
    <x v="0"/>
    <n v="7.5"/>
    <m/>
    <m/>
    <m/>
    <m/>
    <s v="210035-65"/>
    <x v="1"/>
    <n v="4"/>
    <n v="2020"/>
    <n v="20"/>
    <s v="2020-20"/>
  </r>
  <r>
    <n v="0.10000000000000009"/>
    <m/>
    <x v="111"/>
    <x v="0"/>
    <s v="vbb_do"/>
    <x v="24"/>
    <x v="1"/>
    <x v="0"/>
    <x v="0"/>
    <n v="7.5"/>
    <m/>
    <m/>
    <m/>
    <m/>
    <s v="210035-65"/>
    <x v="1"/>
    <n v="3"/>
    <n v="2020"/>
    <n v="20"/>
    <s v="2020-20"/>
  </r>
  <r>
    <n v="0.10000000000000009"/>
    <m/>
    <x v="112"/>
    <x v="0"/>
    <s v="vbb_do"/>
    <x v="24"/>
    <x v="1"/>
    <x v="0"/>
    <x v="0"/>
    <n v="7.5"/>
    <m/>
    <m/>
    <m/>
    <m/>
    <s v="210035-65"/>
    <x v="1"/>
    <n v="2"/>
    <n v="2020"/>
    <n v="20"/>
    <s v="2020-20"/>
  </r>
  <r>
    <n v="0.10000000000000009"/>
    <m/>
    <x v="113"/>
    <x v="0"/>
    <s v="vbb 3rd - new bridge vo"/>
    <x v="24"/>
    <x v="13"/>
    <x v="0"/>
    <x v="0"/>
    <n v="7.5"/>
    <m/>
    <m/>
    <m/>
    <m/>
    <s v="210035-64"/>
    <x v="13"/>
    <n v="1"/>
    <n v="2020"/>
    <n v="20"/>
    <s v="2020-20"/>
  </r>
  <r>
    <n v="1.1000000000000001"/>
    <m/>
    <x v="114"/>
    <x v="0"/>
    <s v="vbb_do"/>
    <x v="25"/>
    <x v="1"/>
    <x v="0"/>
    <x v="0"/>
    <n v="7.5"/>
    <m/>
    <m/>
    <m/>
    <m/>
    <s v="210035-65"/>
    <x v="1"/>
    <n v="5"/>
    <n v="2020"/>
    <n v="19"/>
    <s v="2020-19"/>
  </r>
  <r>
    <n v="1.1000000000000001"/>
    <m/>
    <x v="115"/>
    <x v="0"/>
    <s v="vbb_do"/>
    <x v="25"/>
    <x v="1"/>
    <x v="0"/>
    <x v="0"/>
    <n v="7.5"/>
    <m/>
    <m/>
    <m/>
    <m/>
    <s v="210035-65"/>
    <x v="1"/>
    <n v="4"/>
    <n v="2020"/>
    <n v="19"/>
    <s v="2020-19"/>
  </r>
  <r>
    <n v="1.1000000000000001"/>
    <m/>
    <x v="116"/>
    <x v="0"/>
    <s v="vbb_do"/>
    <x v="25"/>
    <x v="1"/>
    <x v="0"/>
    <x v="0"/>
    <n v="7.5"/>
    <m/>
    <m/>
    <m/>
    <m/>
    <s v="210035-65"/>
    <x v="1"/>
    <n v="3"/>
    <n v="2020"/>
    <n v="19"/>
    <s v="2020-19"/>
  </r>
  <r>
    <n v="1.1000000000000001"/>
    <m/>
    <x v="117"/>
    <x v="0"/>
    <s v="vbb_do"/>
    <x v="25"/>
    <x v="1"/>
    <x v="0"/>
    <x v="0"/>
    <n v="7.5"/>
    <m/>
    <m/>
    <m/>
    <m/>
    <s v="210035-65"/>
    <x v="1"/>
    <n v="2"/>
    <n v="2020"/>
    <n v="19"/>
    <s v="2020-19"/>
  </r>
  <r>
    <n v="1.1000000000000001"/>
    <m/>
    <x v="118"/>
    <x v="0"/>
    <s v="vbb_do"/>
    <x v="25"/>
    <x v="1"/>
    <x v="0"/>
    <x v="0"/>
    <n v="7.5"/>
    <m/>
    <m/>
    <m/>
    <m/>
    <s v="210035-65"/>
    <x v="1"/>
    <n v="1"/>
    <n v="2020"/>
    <n v="19"/>
    <s v="2020-19"/>
  </r>
  <r>
    <n v="0.10000000000000009"/>
    <m/>
    <x v="119"/>
    <x v="0"/>
    <s v="vbb 3rd - new bridge vo"/>
    <x v="26"/>
    <x v="13"/>
    <x v="0"/>
    <x v="0"/>
    <n v="7.5"/>
    <m/>
    <m/>
    <m/>
    <m/>
    <s v="210035-64"/>
    <x v="13"/>
    <n v="5"/>
    <n v="2020"/>
    <n v="18"/>
    <s v="2020-18"/>
  </r>
  <r>
    <n v="0.10000000000000009"/>
    <m/>
    <x v="120"/>
    <x v="0"/>
    <s v="leave"/>
    <x v="26"/>
    <x v="5"/>
    <x v="0"/>
    <x v="0"/>
    <n v="3.75"/>
    <m/>
    <m/>
    <m/>
    <m/>
    <s v="LEAVE"/>
    <x v="5"/>
    <n v="4"/>
    <n v="2020"/>
    <n v="18"/>
    <s v="2020-18"/>
  </r>
  <r>
    <n v="0.10000000000000009"/>
    <m/>
    <x v="120"/>
    <x v="0"/>
    <s v="vbb 3rd - new bridge vo"/>
    <x v="26"/>
    <x v="13"/>
    <x v="0"/>
    <x v="0"/>
    <n v="3.75"/>
    <m/>
    <m/>
    <m/>
    <m/>
    <s v="210035-64"/>
    <x v="13"/>
    <n v="4"/>
    <n v="2020"/>
    <n v="18"/>
    <s v="2020-18"/>
  </r>
  <r>
    <n v="0.10000000000000009"/>
    <m/>
    <x v="121"/>
    <x v="0"/>
    <s v="vbb 3rd - new bridge vo"/>
    <x v="26"/>
    <x v="13"/>
    <x v="0"/>
    <x v="0"/>
    <n v="1"/>
    <m/>
    <m/>
    <m/>
    <m/>
    <s v="210035-64"/>
    <x v="13"/>
    <n v="3"/>
    <n v="2020"/>
    <n v="18"/>
    <s v="2020-18"/>
  </r>
  <r>
    <n v="0.10000000000000009"/>
    <m/>
    <x v="121"/>
    <x v="0"/>
    <s v="vbb 3rd - new bridge vo"/>
    <x v="26"/>
    <x v="13"/>
    <x v="0"/>
    <x v="0"/>
    <n v="6.5"/>
    <m/>
    <m/>
    <m/>
    <m/>
    <s v="210035-64"/>
    <x v="13"/>
    <n v="3"/>
    <n v="2020"/>
    <n v="18"/>
    <s v="2020-18"/>
  </r>
  <r>
    <n v="0.10000000000000009"/>
    <m/>
    <x v="122"/>
    <x v="0"/>
    <s v="vbb 3rd - new bridge vo"/>
    <x v="26"/>
    <x v="13"/>
    <x v="0"/>
    <x v="0"/>
    <n v="7.5"/>
    <m/>
    <m/>
    <m/>
    <m/>
    <s v="210035-64"/>
    <x v="13"/>
    <n v="2"/>
    <n v="2020"/>
    <n v="18"/>
    <s v="2020-18"/>
  </r>
  <r>
    <n v="0.10000000000000009"/>
    <m/>
    <x v="123"/>
    <x v="0"/>
    <s v="vbb 3rd - new bridge vo"/>
    <x v="26"/>
    <x v="13"/>
    <x v="0"/>
    <x v="0"/>
    <n v="7.5"/>
    <m/>
    <m/>
    <m/>
    <m/>
    <s v="210035-64"/>
    <x v="13"/>
    <n v="1"/>
    <n v="2020"/>
    <n v="18"/>
    <s v="2020-18"/>
  </r>
  <r>
    <n v="1.1000000000000001"/>
    <m/>
    <x v="124"/>
    <x v="0"/>
    <s v="vbb 3rd - new bridge vo"/>
    <x v="27"/>
    <x v="13"/>
    <x v="0"/>
    <x v="0"/>
    <n v="7.5"/>
    <m/>
    <m/>
    <m/>
    <m/>
    <s v="210035-64"/>
    <x v="13"/>
    <n v="5"/>
    <n v="2020"/>
    <n v="17"/>
    <s v="2020-17"/>
  </r>
  <r>
    <n v="1.1000000000000001"/>
    <m/>
    <x v="125"/>
    <x v="0"/>
    <s v="vbb 3rd - new bridge vo"/>
    <x v="27"/>
    <x v="13"/>
    <x v="0"/>
    <x v="0"/>
    <n v="7.5"/>
    <m/>
    <m/>
    <m/>
    <m/>
    <s v="210035-64"/>
    <x v="13"/>
    <n v="4"/>
    <n v="2020"/>
    <n v="17"/>
    <s v="2020-17"/>
  </r>
  <r>
    <n v="1.1000000000000001"/>
    <m/>
    <x v="126"/>
    <x v="0"/>
    <s v="vbb 3rd - new bridge vo"/>
    <x v="27"/>
    <x v="13"/>
    <x v="0"/>
    <x v="0"/>
    <n v="7.5"/>
    <m/>
    <m/>
    <m/>
    <m/>
    <s v="210035-64"/>
    <x v="13"/>
    <n v="3"/>
    <n v="2020"/>
    <n v="17"/>
    <s v="2020-17"/>
  </r>
  <r>
    <n v="1.1000000000000001"/>
    <m/>
    <x v="127"/>
    <x v="0"/>
    <s v="vbb 3rd - new bridge vo"/>
    <x v="27"/>
    <x v="13"/>
    <x v="0"/>
    <x v="0"/>
    <n v="7.5"/>
    <m/>
    <m/>
    <m/>
    <m/>
    <s v="210035-64"/>
    <x v="13"/>
    <n v="2"/>
    <n v="2020"/>
    <n v="17"/>
    <s v="2020-17"/>
  </r>
  <r>
    <n v="1.1000000000000001"/>
    <m/>
    <x v="128"/>
    <x v="0"/>
    <s v="bank holiday"/>
    <x v="27"/>
    <x v="11"/>
    <x v="0"/>
    <x v="0"/>
    <n v="7.5"/>
    <m/>
    <m/>
    <m/>
    <m/>
    <s v="BANK HOLIDAY"/>
    <x v="11"/>
    <n v="1"/>
    <n v="2020"/>
    <n v="17"/>
    <s v="2020-17"/>
  </r>
  <r>
    <n v="0.10000000000000009"/>
    <m/>
    <x v="129"/>
    <x v="0"/>
    <s v="bank holiday"/>
    <x v="28"/>
    <x v="11"/>
    <x v="0"/>
    <x v="0"/>
    <n v="7.5"/>
    <m/>
    <m/>
    <m/>
    <m/>
    <s v="BANK HOLIDAY"/>
    <x v="11"/>
    <n v="5"/>
    <n v="2020"/>
    <n v="16"/>
    <s v="2020-16"/>
  </r>
  <r>
    <n v="0.10000000000000009"/>
    <m/>
    <x v="130"/>
    <x v="0"/>
    <s v="vbb 3rd - new bridge vo"/>
    <x v="28"/>
    <x v="13"/>
    <x v="0"/>
    <x v="0"/>
    <n v="7.5"/>
    <m/>
    <m/>
    <m/>
    <m/>
    <s v="210035-64"/>
    <x v="13"/>
    <n v="4"/>
    <n v="2020"/>
    <n v="16"/>
    <s v="2020-16"/>
  </r>
  <r>
    <n v="0.10000000000000009"/>
    <m/>
    <x v="131"/>
    <x v="0"/>
    <s v="vbb 3rd - new bridge vo"/>
    <x v="28"/>
    <x v="13"/>
    <x v="0"/>
    <x v="0"/>
    <n v="7.5"/>
    <m/>
    <m/>
    <m/>
    <m/>
    <s v="210035-64"/>
    <x v="13"/>
    <n v="3"/>
    <n v="2020"/>
    <n v="16"/>
    <s v="2020-16"/>
  </r>
  <r>
    <n v="0.10000000000000009"/>
    <m/>
    <x v="132"/>
    <x v="0"/>
    <s v="vbb 3rd - new bridge vo"/>
    <x v="28"/>
    <x v="13"/>
    <x v="0"/>
    <x v="0"/>
    <n v="7.5"/>
    <m/>
    <m/>
    <m/>
    <m/>
    <s v="210035-64"/>
    <x v="13"/>
    <n v="2"/>
    <n v="2020"/>
    <n v="16"/>
    <s v="2020-16"/>
  </r>
  <r>
    <n v="0.10000000000000009"/>
    <m/>
    <x v="133"/>
    <x v="0"/>
    <s v="vbb 3rd - new bridge vo"/>
    <x v="28"/>
    <x v="13"/>
    <x v="0"/>
    <x v="0"/>
    <n v="7.5"/>
    <m/>
    <m/>
    <m/>
    <m/>
    <s v="210035-64"/>
    <x v="13"/>
    <n v="1"/>
    <n v="2020"/>
    <n v="16"/>
    <s v="2020-16"/>
  </r>
  <r>
    <n v="1.1000000000000001"/>
    <m/>
    <x v="134"/>
    <x v="0"/>
    <s v="vbb 3rd - new bridge vo"/>
    <x v="29"/>
    <x v="13"/>
    <x v="0"/>
    <x v="0"/>
    <n v="7.5"/>
    <m/>
    <m/>
    <m/>
    <m/>
    <s v="210035-64"/>
    <x v="13"/>
    <n v="5"/>
    <n v="2020"/>
    <n v="15"/>
    <s v="2020-15"/>
  </r>
  <r>
    <n v="1.1000000000000001"/>
    <m/>
    <x v="135"/>
    <x v="0"/>
    <s v="vbb 3rd - new bridge vo"/>
    <x v="29"/>
    <x v="13"/>
    <x v="0"/>
    <x v="0"/>
    <n v="7.5"/>
    <m/>
    <m/>
    <m/>
    <m/>
    <s v="210035-64"/>
    <x v="13"/>
    <n v="4"/>
    <n v="2020"/>
    <n v="15"/>
    <s v="2020-15"/>
  </r>
  <r>
    <n v="1.1000000000000001"/>
    <m/>
    <x v="136"/>
    <x v="0"/>
    <s v="vbb 3rd - new bridge vo"/>
    <x v="29"/>
    <x v="13"/>
    <x v="0"/>
    <x v="0"/>
    <n v="7.5"/>
    <m/>
    <m/>
    <m/>
    <m/>
    <s v="210035-64"/>
    <x v="13"/>
    <n v="3"/>
    <n v="2020"/>
    <n v="15"/>
    <s v="2020-15"/>
  </r>
  <r>
    <n v="1.1000000000000001"/>
    <m/>
    <x v="137"/>
    <x v="0"/>
    <s v="vbb 3rd - new bridge vo"/>
    <x v="29"/>
    <x v="13"/>
    <x v="0"/>
    <x v="0"/>
    <n v="7.5"/>
    <m/>
    <m/>
    <m/>
    <m/>
    <s v="210035-64"/>
    <x v="13"/>
    <n v="2"/>
    <n v="2020"/>
    <n v="15"/>
    <s v="2020-15"/>
  </r>
  <r>
    <n v="1.1000000000000001"/>
    <m/>
    <x v="138"/>
    <x v="0"/>
    <s v="vbb 3rd - new bridge vo"/>
    <x v="29"/>
    <x v="13"/>
    <x v="0"/>
    <x v="0"/>
    <n v="7.5"/>
    <m/>
    <m/>
    <m/>
    <m/>
    <s v="210035-64"/>
    <x v="13"/>
    <n v="1"/>
    <n v="2020"/>
    <n v="15"/>
    <s v="2020-15"/>
  </r>
  <r>
    <n v="0.10000000000000009"/>
    <m/>
    <x v="139"/>
    <x v="0"/>
    <s v="vbb 3rd - new bridge vo"/>
    <x v="30"/>
    <x v="13"/>
    <x v="0"/>
    <x v="0"/>
    <n v="7.5"/>
    <m/>
    <m/>
    <m/>
    <m/>
    <s v="210035-64"/>
    <x v="13"/>
    <n v="1"/>
    <n v="2020"/>
    <n v="14"/>
    <s v="2020-14"/>
  </r>
  <r>
    <n v="0.10000000000000009"/>
    <m/>
    <x v="140"/>
    <x v="0"/>
    <s v="vbb 3rd - new bridge vo"/>
    <x v="30"/>
    <x v="13"/>
    <x v="0"/>
    <x v="0"/>
    <n v="7.5"/>
    <m/>
    <m/>
    <m/>
    <m/>
    <s v="210035-64"/>
    <x v="13"/>
    <n v="2"/>
    <n v="2020"/>
    <n v="14"/>
    <s v="2020-14"/>
  </r>
  <r>
    <n v="0.10000000000000009"/>
    <m/>
    <x v="141"/>
    <x v="0"/>
    <s v="vbb 3rd - new bridge vo"/>
    <x v="30"/>
    <x v="13"/>
    <x v="0"/>
    <x v="0"/>
    <n v="7.5"/>
    <m/>
    <m/>
    <m/>
    <m/>
    <s v="210035-64"/>
    <x v="13"/>
    <n v="3"/>
    <n v="2020"/>
    <n v="14"/>
    <s v="2020-14"/>
  </r>
  <r>
    <n v="0.10000000000000009"/>
    <m/>
    <x v="142"/>
    <x v="0"/>
    <s v="vbb 3rd - new bridge vo"/>
    <x v="30"/>
    <x v="13"/>
    <x v="0"/>
    <x v="0"/>
    <n v="7.5"/>
    <m/>
    <m/>
    <m/>
    <m/>
    <s v="210035-64"/>
    <x v="13"/>
    <n v="4"/>
    <n v="2020"/>
    <n v="14"/>
    <s v="2020-14"/>
  </r>
  <r>
    <n v="0.10000000000000009"/>
    <m/>
    <x v="143"/>
    <x v="0"/>
    <s v="vbb 3rd - new bridge vo"/>
    <x v="30"/>
    <x v="13"/>
    <x v="0"/>
    <x v="0"/>
    <n v="7.5"/>
    <m/>
    <m/>
    <m/>
    <m/>
    <s v="210035-64"/>
    <x v="13"/>
    <n v="5"/>
    <n v="2020"/>
    <n v="14"/>
    <s v="2020-14"/>
  </r>
  <r>
    <n v="1.1000000000000001"/>
    <m/>
    <x v="144"/>
    <x v="0"/>
    <s v="hcc - lower kings rd"/>
    <x v="31"/>
    <x v="9"/>
    <x v="0"/>
    <x v="0"/>
    <n v="2.5"/>
    <m/>
    <m/>
    <m/>
    <m/>
    <s v="255670-17"/>
    <x v="9"/>
    <n v="5"/>
    <n v="2020"/>
    <n v="13"/>
    <s v="2020-13"/>
  </r>
  <r>
    <n v="1.1000000000000001"/>
    <m/>
    <x v="144"/>
    <x v="0"/>
    <s v="vbb 3rd - new bridge vo"/>
    <x v="31"/>
    <x v="13"/>
    <x v="0"/>
    <x v="0"/>
    <n v="5"/>
    <m/>
    <m/>
    <m/>
    <m/>
    <s v="210035-64"/>
    <x v="13"/>
    <n v="5"/>
    <n v="2020"/>
    <n v="13"/>
    <s v="2020-13"/>
  </r>
  <r>
    <n v="1.1000000000000001"/>
    <m/>
    <x v="145"/>
    <x v="0"/>
    <s v="vbb 3rd - new bridge vo"/>
    <x v="31"/>
    <x v="13"/>
    <x v="0"/>
    <x v="0"/>
    <n v="7.5"/>
    <m/>
    <m/>
    <m/>
    <m/>
    <s v="210035-64"/>
    <x v="13"/>
    <n v="4"/>
    <n v="2020"/>
    <n v="13"/>
    <s v="2020-13"/>
  </r>
  <r>
    <n v="1.1000000000000001"/>
    <m/>
    <x v="146"/>
    <x v="0"/>
    <s v="vbb 3rd - new bridge vo"/>
    <x v="31"/>
    <x v="13"/>
    <x v="0"/>
    <x v="0"/>
    <n v="7.5"/>
    <m/>
    <m/>
    <m/>
    <m/>
    <s v="210035-64"/>
    <x v="13"/>
    <n v="3"/>
    <n v="2020"/>
    <n v="13"/>
    <s v="2020-13"/>
  </r>
  <r>
    <n v="1.1000000000000001"/>
    <m/>
    <x v="147"/>
    <x v="0"/>
    <s v="vbb 3rd - new bridge vo"/>
    <x v="31"/>
    <x v="13"/>
    <x v="0"/>
    <x v="0"/>
    <n v="5.5"/>
    <m/>
    <m/>
    <m/>
    <m/>
    <s v="210035-64"/>
    <x v="13"/>
    <n v="2"/>
    <n v="2020"/>
    <n v="13"/>
    <s v="2020-13"/>
  </r>
  <r>
    <n v="1.1000000000000001"/>
    <m/>
    <x v="147"/>
    <x v="0"/>
    <s v="hcc - lower kings rd"/>
    <x v="31"/>
    <x v="9"/>
    <x v="0"/>
    <x v="0"/>
    <n v="2"/>
    <m/>
    <m/>
    <m/>
    <m/>
    <s v="255670-17"/>
    <x v="9"/>
    <n v="2"/>
    <n v="2020"/>
    <n v="13"/>
    <s v="2020-13"/>
  </r>
  <r>
    <n v="1.1000000000000001"/>
    <m/>
    <x v="148"/>
    <x v="0"/>
    <s v="vbb 3rd - new bridge vo"/>
    <x v="31"/>
    <x v="13"/>
    <x v="0"/>
    <x v="0"/>
    <n v="7.5"/>
    <m/>
    <m/>
    <m/>
    <m/>
    <s v="210035-64"/>
    <x v="13"/>
    <n v="1"/>
    <n v="2020"/>
    <n v="13"/>
    <s v="2020-13"/>
  </r>
  <r>
    <n v="0.10000000000000009"/>
    <m/>
    <x v="149"/>
    <x v="0"/>
    <s v="hcc - lower kings rd"/>
    <x v="32"/>
    <x v="9"/>
    <x v="0"/>
    <x v="0"/>
    <n v="5.5"/>
    <m/>
    <m/>
    <m/>
    <m/>
    <s v="255670-17"/>
    <x v="9"/>
    <n v="5"/>
    <n v="2020"/>
    <n v="12"/>
    <s v="2020-12"/>
  </r>
  <r>
    <n v="0.10000000000000009"/>
    <m/>
    <x v="149"/>
    <x v="0"/>
    <s v="vbb 3rd - new bridge vo"/>
    <x v="32"/>
    <x v="13"/>
    <x v="0"/>
    <x v="0"/>
    <n v="2"/>
    <m/>
    <m/>
    <m/>
    <m/>
    <s v="210035-64"/>
    <x v="13"/>
    <n v="5"/>
    <n v="2020"/>
    <n v="12"/>
    <s v="2020-12"/>
  </r>
  <r>
    <n v="0.10000000000000009"/>
    <m/>
    <x v="150"/>
    <x v="0"/>
    <s v="vbb 3rd - new bridge vo"/>
    <x v="32"/>
    <x v="13"/>
    <x v="0"/>
    <x v="0"/>
    <n v="7.5"/>
    <m/>
    <m/>
    <m/>
    <m/>
    <s v="210035-64"/>
    <x v="13"/>
    <n v="4"/>
    <n v="2020"/>
    <n v="12"/>
    <s v="2020-12"/>
  </r>
  <r>
    <n v="0.10000000000000009"/>
    <m/>
    <x v="151"/>
    <x v="0"/>
    <s v="vbb 3rd - new bridge vo"/>
    <x v="32"/>
    <x v="13"/>
    <x v="0"/>
    <x v="0"/>
    <n v="7.5"/>
    <m/>
    <m/>
    <m/>
    <m/>
    <s v="210035-64"/>
    <x v="13"/>
    <n v="3"/>
    <n v="2020"/>
    <n v="12"/>
    <s v="2020-12"/>
  </r>
  <r>
    <n v="0.10000000000000009"/>
    <m/>
    <x v="152"/>
    <x v="0"/>
    <s v="vbb 3rd - new bridge vo"/>
    <x v="32"/>
    <x v="13"/>
    <x v="0"/>
    <x v="0"/>
    <n v="7.5"/>
    <m/>
    <m/>
    <m/>
    <m/>
    <s v="210035-64"/>
    <x v="13"/>
    <n v="2"/>
    <n v="2020"/>
    <n v="12"/>
    <s v="2020-12"/>
  </r>
  <r>
    <n v="0.10000000000000009"/>
    <m/>
    <x v="153"/>
    <x v="0"/>
    <s v="vbb 3rd - new bridge vo"/>
    <x v="32"/>
    <x v="13"/>
    <x v="0"/>
    <x v="0"/>
    <n v="7.5"/>
    <m/>
    <m/>
    <m/>
    <m/>
    <s v="210035-64"/>
    <x v="13"/>
    <n v="1"/>
    <n v="2020"/>
    <n v="12"/>
    <s v="2020-12"/>
  </r>
  <r>
    <n v="1.1000000000000001"/>
    <m/>
    <x v="154"/>
    <x v="0"/>
    <s v="vbb 3rd - new bridge vo"/>
    <x v="33"/>
    <x v="13"/>
    <x v="0"/>
    <x v="0"/>
    <n v="7.5"/>
    <m/>
    <m/>
    <m/>
    <m/>
    <s v="210035-64"/>
    <x v="13"/>
    <n v="1"/>
    <n v="2020"/>
    <n v="11"/>
    <s v="2020-11"/>
  </r>
  <r>
    <n v="1.1000000000000001"/>
    <m/>
    <x v="155"/>
    <x v="0"/>
    <s v="vbb 3rd - new bridge vo"/>
    <x v="33"/>
    <x v="13"/>
    <x v="0"/>
    <x v="0"/>
    <n v="7.5"/>
    <m/>
    <m/>
    <m/>
    <m/>
    <s v="210035-64"/>
    <x v="13"/>
    <n v="2"/>
    <n v="2020"/>
    <n v="11"/>
    <s v="2020-11"/>
  </r>
  <r>
    <n v="1.1000000000000001"/>
    <m/>
    <x v="156"/>
    <x v="0"/>
    <s v="vbb 3rd - new bridge vo"/>
    <x v="33"/>
    <x v="13"/>
    <x v="0"/>
    <x v="0"/>
    <n v="7.5"/>
    <m/>
    <m/>
    <m/>
    <m/>
    <s v="210035-64"/>
    <x v="13"/>
    <n v="3"/>
    <n v="2020"/>
    <n v="11"/>
    <s v="2020-11"/>
  </r>
  <r>
    <n v="1.1000000000000001"/>
    <m/>
    <x v="157"/>
    <x v="0"/>
    <s v="vbb 3rd - new bridge vo"/>
    <x v="33"/>
    <x v="13"/>
    <x v="0"/>
    <x v="0"/>
    <n v="7.5"/>
    <m/>
    <m/>
    <m/>
    <m/>
    <s v="210035-64"/>
    <x v="13"/>
    <n v="4"/>
    <n v="2020"/>
    <n v="11"/>
    <s v="2020-11"/>
  </r>
  <r>
    <n v="1.1000000000000001"/>
    <m/>
    <x v="158"/>
    <x v="0"/>
    <s v="vbb 3rd - new bridge vo"/>
    <x v="33"/>
    <x v="13"/>
    <x v="0"/>
    <x v="0"/>
    <n v="7.5"/>
    <m/>
    <m/>
    <m/>
    <m/>
    <s v="210035-64"/>
    <x v="13"/>
    <n v="5"/>
    <n v="2020"/>
    <n v="11"/>
    <s v="2020-11"/>
  </r>
  <r>
    <n v="0.10000000000000009"/>
    <m/>
    <x v="159"/>
    <x v="0"/>
    <s v="vbb 3rd - new bridge vo"/>
    <x v="34"/>
    <x v="13"/>
    <x v="0"/>
    <x v="0"/>
    <n v="7.5"/>
    <m/>
    <m/>
    <m/>
    <m/>
    <s v="210035-64"/>
    <x v="13"/>
    <n v="1"/>
    <n v="2020"/>
    <n v="10"/>
    <s v="2020-10"/>
  </r>
  <r>
    <n v="0.10000000000000009"/>
    <m/>
    <x v="160"/>
    <x v="0"/>
    <s v="vbb 3rd - new bridge vo"/>
    <x v="34"/>
    <x v="13"/>
    <x v="0"/>
    <x v="0"/>
    <n v="7.5"/>
    <m/>
    <m/>
    <m/>
    <m/>
    <s v="210035-64"/>
    <x v="13"/>
    <n v="2"/>
    <n v="2020"/>
    <n v="10"/>
    <s v="2020-10"/>
  </r>
  <r>
    <n v="0.10000000000000009"/>
    <m/>
    <x v="161"/>
    <x v="0"/>
    <s v="vbb 3rd - new bridge vo"/>
    <x v="34"/>
    <x v="13"/>
    <x v="0"/>
    <x v="0"/>
    <n v="7.5"/>
    <m/>
    <m/>
    <m/>
    <m/>
    <s v="210035-64"/>
    <x v="13"/>
    <n v="3"/>
    <n v="2020"/>
    <n v="10"/>
    <s v="2020-10"/>
  </r>
  <r>
    <n v="0.10000000000000009"/>
    <m/>
    <x v="162"/>
    <x v="0"/>
    <s v="vbb 3rd - new bridge vo"/>
    <x v="34"/>
    <x v="13"/>
    <x v="0"/>
    <x v="0"/>
    <n v="7.5"/>
    <m/>
    <m/>
    <m/>
    <m/>
    <s v="210035-64"/>
    <x v="13"/>
    <n v="4"/>
    <n v="2020"/>
    <n v="10"/>
    <s v="2020-10"/>
  </r>
  <r>
    <n v="0.10000000000000009"/>
    <m/>
    <x v="163"/>
    <x v="0"/>
    <s v="vbb 3rd - new bridge vo"/>
    <x v="34"/>
    <x v="13"/>
    <x v="0"/>
    <x v="0"/>
    <n v="7.5"/>
    <m/>
    <m/>
    <m/>
    <m/>
    <s v="210035-64"/>
    <x v="13"/>
    <n v="5"/>
    <n v="2020"/>
    <n v="10"/>
    <s v="2020-10"/>
  </r>
  <r>
    <n v="1.1000000000000001"/>
    <m/>
    <x v="164"/>
    <x v="0"/>
    <s v="hcc - lower kings rd"/>
    <x v="35"/>
    <x v="9"/>
    <x v="0"/>
    <x v="0"/>
    <n v="5"/>
    <m/>
    <m/>
    <m/>
    <m/>
    <s v="255670-17"/>
    <x v="9"/>
    <n v="1"/>
    <n v="2020"/>
    <n v="9"/>
    <s v="2020-9"/>
  </r>
  <r>
    <n v="1.1000000000000001"/>
    <m/>
    <x v="164"/>
    <x v="0"/>
    <s v="vbb 3rd - new bridge vo"/>
    <x v="35"/>
    <x v="13"/>
    <x v="0"/>
    <x v="0"/>
    <n v="2.5"/>
    <m/>
    <m/>
    <m/>
    <m/>
    <s v="210035-64"/>
    <x v="13"/>
    <n v="1"/>
    <n v="2020"/>
    <n v="9"/>
    <s v="2020-9"/>
  </r>
  <r>
    <n v="1.1000000000000001"/>
    <m/>
    <x v="165"/>
    <x v="0"/>
    <s v="vbb 3rd - new bridge vo"/>
    <x v="35"/>
    <x v="13"/>
    <x v="0"/>
    <x v="0"/>
    <n v="7.5"/>
    <m/>
    <m/>
    <m/>
    <m/>
    <s v="210035-64"/>
    <x v="13"/>
    <n v="2"/>
    <n v="2020"/>
    <n v="9"/>
    <s v="2020-9"/>
  </r>
  <r>
    <n v="1.1000000000000001"/>
    <m/>
    <x v="166"/>
    <x v="0"/>
    <s v="vbb 3rd - new bridge vo"/>
    <x v="35"/>
    <x v="13"/>
    <x v="0"/>
    <x v="0"/>
    <n v="7.5"/>
    <m/>
    <m/>
    <m/>
    <m/>
    <s v="210035-64"/>
    <x v="13"/>
    <n v="3"/>
    <n v="2020"/>
    <n v="9"/>
    <s v="2020-9"/>
  </r>
  <r>
    <n v="1.1000000000000001"/>
    <m/>
    <x v="167"/>
    <x v="0"/>
    <s v="vbb 3rd - new bridge vo"/>
    <x v="35"/>
    <x v="13"/>
    <x v="0"/>
    <x v="0"/>
    <n v="5"/>
    <m/>
    <m/>
    <m/>
    <m/>
    <s v="210035-64"/>
    <x v="13"/>
    <n v="4"/>
    <n v="2020"/>
    <n v="9"/>
    <s v="2020-9"/>
  </r>
  <r>
    <n v="1.1000000000000001"/>
    <m/>
    <x v="167"/>
    <x v="0"/>
    <s v="hcc - lower kings rd"/>
    <x v="35"/>
    <x v="9"/>
    <x v="0"/>
    <x v="0"/>
    <n v="2.5"/>
    <m/>
    <m/>
    <m/>
    <m/>
    <s v="255670-17"/>
    <x v="9"/>
    <n v="4"/>
    <n v="2020"/>
    <n v="9"/>
    <s v="2020-9"/>
  </r>
  <r>
    <n v="1.1000000000000001"/>
    <m/>
    <x v="168"/>
    <x v="0"/>
    <s v="vbb 3rd - new bridge vo"/>
    <x v="35"/>
    <x v="13"/>
    <x v="0"/>
    <x v="0"/>
    <n v="7.5"/>
    <m/>
    <m/>
    <m/>
    <m/>
    <s v="210035-64"/>
    <x v="13"/>
    <n v="5"/>
    <n v="2020"/>
    <n v="9"/>
    <s v="2020-9"/>
  </r>
  <r>
    <n v="0.10000000000000009"/>
    <m/>
    <x v="169"/>
    <x v="0"/>
    <s v="vbb 3rd - new bridge vo"/>
    <x v="36"/>
    <x v="13"/>
    <x v="0"/>
    <x v="0"/>
    <n v="5"/>
    <m/>
    <m/>
    <m/>
    <m/>
    <s v="210035-64"/>
    <x v="13"/>
    <n v="1"/>
    <n v="2020"/>
    <n v="8"/>
    <s v="2020-8"/>
  </r>
  <r>
    <n v="0.10000000000000009"/>
    <m/>
    <x v="169"/>
    <x v="0"/>
    <s v="hcc - lower kings rd"/>
    <x v="36"/>
    <x v="9"/>
    <x v="0"/>
    <x v="0"/>
    <n v="2.5"/>
    <m/>
    <m/>
    <m/>
    <m/>
    <s v="255670-17"/>
    <x v="9"/>
    <n v="1"/>
    <n v="2020"/>
    <n v="8"/>
    <s v="2020-8"/>
  </r>
  <r>
    <n v="0.10000000000000009"/>
    <m/>
    <x v="170"/>
    <x v="0"/>
    <s v="vbb 3rd - new bridge vo"/>
    <x v="36"/>
    <x v="13"/>
    <x v="0"/>
    <x v="0"/>
    <n v="7.5"/>
    <m/>
    <m/>
    <m/>
    <m/>
    <s v="210035-64"/>
    <x v="13"/>
    <n v="2"/>
    <n v="2020"/>
    <n v="8"/>
    <s v="2020-8"/>
  </r>
  <r>
    <n v="0.10000000000000009"/>
    <m/>
    <x v="171"/>
    <x v="0"/>
    <s v="vbb 3rd - new bridge vo"/>
    <x v="36"/>
    <x v="13"/>
    <x v="0"/>
    <x v="0"/>
    <n v="7.5"/>
    <m/>
    <m/>
    <m/>
    <m/>
    <s v="210035-64"/>
    <x v="13"/>
    <n v="3"/>
    <n v="2020"/>
    <n v="8"/>
    <s v="2020-8"/>
  </r>
  <r>
    <n v="0.10000000000000009"/>
    <m/>
    <x v="172"/>
    <x v="0"/>
    <s v="vbb 3rd - new bridge vo"/>
    <x v="36"/>
    <x v="13"/>
    <x v="0"/>
    <x v="0"/>
    <n v="7.5"/>
    <m/>
    <m/>
    <m/>
    <m/>
    <s v="210035-64"/>
    <x v="13"/>
    <n v="4"/>
    <n v="2020"/>
    <n v="8"/>
    <s v="2020-8"/>
  </r>
  <r>
    <n v="0.10000000000000009"/>
    <m/>
    <x v="173"/>
    <x v="0"/>
    <s v="vbb 3rd - new bridge vo"/>
    <x v="36"/>
    <x v="13"/>
    <x v="0"/>
    <x v="0"/>
    <n v="2.5"/>
    <m/>
    <m/>
    <m/>
    <m/>
    <s v="210035-64"/>
    <x v="13"/>
    <n v="5"/>
    <n v="2020"/>
    <n v="8"/>
    <s v="2020-8"/>
  </r>
  <r>
    <n v="0.10000000000000009"/>
    <m/>
    <x v="173"/>
    <x v="0"/>
    <s v="hcc - lower kings rd"/>
    <x v="36"/>
    <x v="9"/>
    <x v="0"/>
    <x v="0"/>
    <n v="5"/>
    <m/>
    <m/>
    <m/>
    <m/>
    <s v="255670-17"/>
    <x v="9"/>
    <n v="5"/>
    <n v="2020"/>
    <n v="8"/>
    <s v="2020-8"/>
  </r>
  <r>
    <n v="1.1000000000000001"/>
    <m/>
    <x v="174"/>
    <x v="0"/>
    <s v="vbb 3rd - new bridge vo"/>
    <x v="37"/>
    <x v="13"/>
    <x v="0"/>
    <x v="0"/>
    <n v="7.5"/>
    <m/>
    <m/>
    <m/>
    <m/>
    <s v="210035-64"/>
    <x v="13"/>
    <n v="1"/>
    <n v="2020"/>
    <n v="7"/>
    <s v="2020-7"/>
  </r>
  <r>
    <n v="1.1000000000000001"/>
    <m/>
    <x v="175"/>
    <x v="0"/>
    <s v="intro to bridges"/>
    <x v="37"/>
    <x v="14"/>
    <x v="0"/>
    <x v="0"/>
    <n v="4"/>
    <m/>
    <m/>
    <m/>
    <m/>
    <s v="252076-05"/>
    <x v="14"/>
    <n v="2"/>
    <n v="2020"/>
    <n v="7"/>
    <s v="2020-7"/>
  </r>
  <r>
    <n v="1.1000000000000001"/>
    <m/>
    <x v="175"/>
    <x v="0"/>
    <s v="hcc - lower kings rd"/>
    <x v="37"/>
    <x v="9"/>
    <x v="0"/>
    <x v="0"/>
    <n v="3.5"/>
    <m/>
    <m/>
    <m/>
    <m/>
    <s v="255670-17"/>
    <x v="9"/>
    <n v="2"/>
    <n v="2020"/>
    <n v="7"/>
    <s v="2020-7"/>
  </r>
  <r>
    <n v="1.1000000000000001"/>
    <m/>
    <x v="176"/>
    <x v="0"/>
    <s v="vbb 3rd - new bridge vo"/>
    <x v="37"/>
    <x v="13"/>
    <x v="0"/>
    <x v="0"/>
    <n v="7.5"/>
    <m/>
    <m/>
    <m/>
    <m/>
    <s v="210035-64"/>
    <x v="13"/>
    <n v="3"/>
    <n v="2020"/>
    <n v="7"/>
    <s v="2020-7"/>
  </r>
  <r>
    <n v="1.1000000000000001"/>
    <m/>
    <x v="177"/>
    <x v="0"/>
    <s v="vbb 3rd - new bridge vo"/>
    <x v="37"/>
    <x v="13"/>
    <x v="0"/>
    <x v="0"/>
    <n v="7.5"/>
    <m/>
    <m/>
    <m/>
    <m/>
    <s v="210035-64"/>
    <x v="13"/>
    <n v="4"/>
    <n v="2020"/>
    <n v="7"/>
    <s v="2020-7"/>
  </r>
  <r>
    <n v="1.1000000000000001"/>
    <m/>
    <x v="178"/>
    <x v="0"/>
    <s v="vbb 3rd - new bridge vo"/>
    <x v="37"/>
    <x v="13"/>
    <x v="0"/>
    <x v="0"/>
    <n v="5.5"/>
    <m/>
    <m/>
    <m/>
    <m/>
    <s v="210035-64"/>
    <x v="13"/>
    <n v="5"/>
    <n v="2020"/>
    <n v="7"/>
    <s v="2020-7"/>
  </r>
  <r>
    <n v="1.1000000000000001"/>
    <m/>
    <x v="178"/>
    <x v="0"/>
    <s v="hcc - lower kings rd"/>
    <x v="37"/>
    <x v="9"/>
    <x v="0"/>
    <x v="0"/>
    <n v="2"/>
    <m/>
    <m/>
    <m/>
    <m/>
    <s v="255670-17"/>
    <x v="9"/>
    <n v="5"/>
    <n v="2020"/>
    <n v="7"/>
    <s v="2020-7"/>
  </r>
  <r>
    <n v="0.10000000000000009"/>
    <m/>
    <x v="179"/>
    <x v="0"/>
    <s v="ksc - tunnel"/>
    <x v="38"/>
    <x v="15"/>
    <x v="0"/>
    <x v="0"/>
    <n v="7.5"/>
    <m/>
    <m/>
    <m/>
    <m/>
    <s v="268017-25 "/>
    <x v="15"/>
    <n v="1"/>
    <n v="2020"/>
    <n v="6"/>
    <s v="2020-6"/>
  </r>
  <r>
    <n v="0.10000000000000009"/>
    <m/>
    <x v="180"/>
    <x v="0"/>
    <s v="vbb 3rd - new bridge vo"/>
    <x v="38"/>
    <x v="13"/>
    <x v="0"/>
    <x v="0"/>
    <n v="7.5"/>
    <m/>
    <m/>
    <m/>
    <m/>
    <s v="210035-64"/>
    <x v="13"/>
    <n v="2"/>
    <n v="2020"/>
    <n v="6"/>
    <s v="2020-6"/>
  </r>
  <r>
    <n v="0.10000000000000009"/>
    <m/>
    <x v="181"/>
    <x v="0"/>
    <s v="ksc - tunnel"/>
    <x v="38"/>
    <x v="15"/>
    <x v="0"/>
    <x v="0"/>
    <n v="5"/>
    <m/>
    <m/>
    <m/>
    <m/>
    <s v="268017-25 "/>
    <x v="15"/>
    <n v="3"/>
    <n v="2020"/>
    <n v="6"/>
    <s v="2020-6"/>
  </r>
  <r>
    <n v="0.10000000000000009"/>
    <m/>
    <x v="181"/>
    <x v="0"/>
    <s v="hcc - lower kings rd"/>
    <x v="38"/>
    <x v="9"/>
    <x v="0"/>
    <x v="0"/>
    <n v="2.5"/>
    <m/>
    <m/>
    <m/>
    <m/>
    <s v="255670-17"/>
    <x v="9"/>
    <n v="3"/>
    <n v="2020"/>
    <n v="6"/>
    <s v="2020-6"/>
  </r>
  <r>
    <n v="0.10000000000000009"/>
    <m/>
    <x v="182"/>
    <x v="0"/>
    <s v="vbb 3rd - new bridge vo"/>
    <x v="38"/>
    <x v="13"/>
    <x v="0"/>
    <x v="0"/>
    <n v="7.5"/>
    <m/>
    <m/>
    <m/>
    <m/>
    <s v="210035-64"/>
    <x v="13"/>
    <n v="4"/>
    <n v="2020"/>
    <n v="6"/>
    <s v="2020-6"/>
  </r>
  <r>
    <n v="0.10000000000000009"/>
    <m/>
    <x v="183"/>
    <x v="0"/>
    <s v="ksc - tunnel"/>
    <x v="38"/>
    <x v="15"/>
    <x v="0"/>
    <x v="0"/>
    <n v="7.5"/>
    <m/>
    <m/>
    <m/>
    <m/>
    <s v="268017-25 "/>
    <x v="15"/>
    <n v="5"/>
    <n v="2020"/>
    <n v="6"/>
    <s v="2020-6"/>
  </r>
  <r>
    <n v="1.1000000000000001"/>
    <m/>
    <x v="184"/>
    <x v="0"/>
    <s v="ksc - tunnel"/>
    <x v="39"/>
    <x v="15"/>
    <x v="0"/>
    <x v="0"/>
    <n v="7.5"/>
    <m/>
    <m/>
    <m/>
    <m/>
    <s v="268017-25 "/>
    <x v="15"/>
    <n v="5"/>
    <n v="2020"/>
    <n v="5"/>
    <s v="2020-5"/>
  </r>
  <r>
    <n v="1.1000000000000001"/>
    <m/>
    <x v="185"/>
    <x v="0"/>
    <s v="vbb 3rd - new bridge vo"/>
    <x v="39"/>
    <x v="13"/>
    <x v="0"/>
    <x v="0"/>
    <n v="7.5"/>
    <m/>
    <m/>
    <m/>
    <m/>
    <s v="210035-64"/>
    <x v="13"/>
    <n v="4"/>
    <n v="2020"/>
    <n v="5"/>
    <s v="2020-5"/>
  </r>
  <r>
    <n v="1.1000000000000001"/>
    <m/>
    <x v="186"/>
    <x v="0"/>
    <s v="vbb 3rd - new bridge vo"/>
    <x v="39"/>
    <x v="13"/>
    <x v="0"/>
    <x v="0"/>
    <n v="7.5"/>
    <m/>
    <m/>
    <m/>
    <m/>
    <s v="210035-64"/>
    <x v="13"/>
    <n v="3"/>
    <n v="2020"/>
    <n v="5"/>
    <s v="2020-5"/>
  </r>
  <r>
    <n v="1.1000000000000001"/>
    <m/>
    <x v="187"/>
    <x v="0"/>
    <s v="ksc - tunnel"/>
    <x v="39"/>
    <x v="15"/>
    <x v="0"/>
    <x v="0"/>
    <n v="7.5"/>
    <m/>
    <m/>
    <m/>
    <m/>
    <s v="268017-25 "/>
    <x v="15"/>
    <n v="2"/>
    <n v="2020"/>
    <n v="5"/>
    <s v="2020-5"/>
  </r>
  <r>
    <n v="1.1000000000000001"/>
    <m/>
    <x v="188"/>
    <x v="0"/>
    <s v="ksc - tunnel"/>
    <x v="39"/>
    <x v="15"/>
    <x v="0"/>
    <x v="0"/>
    <n v="7.5"/>
    <m/>
    <m/>
    <m/>
    <m/>
    <s v="268017-25 "/>
    <x v="15"/>
    <n v="1"/>
    <n v="2020"/>
    <n v="5"/>
    <s v="2020-5"/>
  </r>
  <r>
    <n v="0.10000000000000009"/>
    <m/>
    <x v="189"/>
    <x v="0"/>
    <s v="ksc - tunnel"/>
    <x v="40"/>
    <x v="15"/>
    <x v="0"/>
    <x v="0"/>
    <n v="7.5"/>
    <m/>
    <m/>
    <m/>
    <m/>
    <s v="268017-25 "/>
    <x v="15"/>
    <n v="5"/>
    <n v="2020"/>
    <n v="4"/>
    <s v="2020-4"/>
  </r>
  <r>
    <n v="0.10000000000000009"/>
    <m/>
    <x v="190"/>
    <x v="0"/>
    <s v="ksc - tunnel"/>
    <x v="40"/>
    <x v="15"/>
    <x v="0"/>
    <x v="0"/>
    <n v="7.5"/>
    <m/>
    <m/>
    <m/>
    <m/>
    <s v="268017-25 "/>
    <x v="15"/>
    <n v="4"/>
    <n v="2020"/>
    <n v="4"/>
    <s v="2020-4"/>
  </r>
  <r>
    <n v="0.10000000000000009"/>
    <m/>
    <x v="191"/>
    <x v="0"/>
    <s v="vbb 3rd - new bridge vo"/>
    <x v="40"/>
    <x v="13"/>
    <x v="0"/>
    <x v="0"/>
    <n v="7.5"/>
    <m/>
    <m/>
    <m/>
    <m/>
    <s v="210035-64"/>
    <x v="13"/>
    <n v="3"/>
    <n v="2020"/>
    <n v="4"/>
    <s v="2020-4"/>
  </r>
  <r>
    <n v="0.10000000000000009"/>
    <m/>
    <x v="192"/>
    <x v="0"/>
    <s v="ksc - tunnel"/>
    <x v="40"/>
    <x v="15"/>
    <x v="0"/>
    <x v="0"/>
    <n v="7.5"/>
    <m/>
    <m/>
    <m/>
    <m/>
    <s v="268017-25 "/>
    <x v="15"/>
    <n v="2"/>
    <n v="2020"/>
    <n v="4"/>
    <s v="2020-4"/>
  </r>
  <r>
    <n v="0.10000000000000009"/>
    <m/>
    <x v="193"/>
    <x v="0"/>
    <s v="ksc - tunnel"/>
    <x v="40"/>
    <x v="15"/>
    <x v="0"/>
    <x v="0"/>
    <n v="7.5"/>
    <m/>
    <m/>
    <m/>
    <m/>
    <s v="268017-25 "/>
    <x v="15"/>
    <n v="1"/>
    <n v="2020"/>
    <n v="4"/>
    <s v="2020-4"/>
  </r>
  <r>
    <n v="1.1000000000000001"/>
    <m/>
    <x v="194"/>
    <x v="0"/>
    <s v="ksc - tunnel"/>
    <x v="41"/>
    <x v="15"/>
    <x v="0"/>
    <x v="0"/>
    <n v="7.5"/>
    <m/>
    <m/>
    <m/>
    <m/>
    <s v="268017-25 "/>
    <x v="15"/>
    <n v="5"/>
    <n v="2020"/>
    <n v="3"/>
    <s v="2020-3"/>
  </r>
  <r>
    <n v="1.1000000000000001"/>
    <m/>
    <x v="195"/>
    <x v="0"/>
    <s v="ksc - tunnel"/>
    <x v="41"/>
    <x v="15"/>
    <x v="0"/>
    <x v="0"/>
    <n v="3.75"/>
    <m/>
    <m/>
    <m/>
    <m/>
    <s v="268017-25 "/>
    <x v="15"/>
    <n v="4"/>
    <n v="2020"/>
    <n v="3"/>
    <s v="2020-3"/>
  </r>
  <r>
    <n v="1.1000000000000001"/>
    <m/>
    <x v="195"/>
    <x v="0"/>
    <s v="vbb 3rd - new bridge"/>
    <x v="41"/>
    <x v="16"/>
    <x v="0"/>
    <x v="0"/>
    <n v="3.75"/>
    <m/>
    <m/>
    <m/>
    <m/>
    <s v="210035-51"/>
    <x v="16"/>
    <n v="4"/>
    <n v="2020"/>
    <n v="3"/>
    <s v="2020-3"/>
  </r>
  <r>
    <n v="1.1000000000000001"/>
    <m/>
    <x v="196"/>
    <x v="0"/>
    <s v="vbb 3rd - new bridge"/>
    <x v="41"/>
    <x v="16"/>
    <x v="0"/>
    <x v="0"/>
    <n v="7.5"/>
    <m/>
    <m/>
    <m/>
    <m/>
    <s v="210035-51"/>
    <x v="16"/>
    <n v="3"/>
    <n v="2020"/>
    <n v="3"/>
    <s v="2020-3"/>
  </r>
  <r>
    <n v="1.1000000000000001"/>
    <m/>
    <x v="197"/>
    <x v="0"/>
    <s v="vbb 3rd - new bridge"/>
    <x v="41"/>
    <x v="16"/>
    <x v="0"/>
    <x v="0"/>
    <n v="3.5"/>
    <m/>
    <m/>
    <m/>
    <m/>
    <s v="210035-51"/>
    <x v="16"/>
    <n v="2"/>
    <n v="2020"/>
    <n v="3"/>
    <s v="2020-3"/>
  </r>
  <r>
    <n v="1.1000000000000001"/>
    <m/>
    <x v="197"/>
    <x v="0"/>
    <s v="ksc - tunnel"/>
    <x v="41"/>
    <x v="15"/>
    <x v="0"/>
    <x v="0"/>
    <n v="4"/>
    <m/>
    <m/>
    <m/>
    <m/>
    <s v="268017-25 "/>
    <x v="15"/>
    <n v="2"/>
    <n v="2020"/>
    <n v="3"/>
    <s v="2020-3"/>
  </r>
  <r>
    <n v="1.1000000000000001"/>
    <m/>
    <x v="198"/>
    <x v="0"/>
    <s v="ksc - tunnel"/>
    <x v="41"/>
    <x v="15"/>
    <x v="0"/>
    <x v="0"/>
    <n v="7.5"/>
    <m/>
    <m/>
    <m/>
    <m/>
    <s v="268017-25 "/>
    <x v="15"/>
    <n v="1"/>
    <n v="2020"/>
    <n v="3"/>
    <s v="2020-3"/>
  </r>
  <r>
    <n v="0.10000000000000009"/>
    <m/>
    <x v="199"/>
    <x v="0"/>
    <s v="leave"/>
    <x v="42"/>
    <x v="5"/>
    <x v="0"/>
    <x v="0"/>
    <n v="7.5"/>
    <m/>
    <m/>
    <m/>
    <m/>
    <s v="LEAVE"/>
    <x v="5"/>
    <n v="5"/>
    <n v="2020"/>
    <n v="2"/>
    <s v="2020-2"/>
  </r>
  <r>
    <n v="0.10000000000000009"/>
    <m/>
    <x v="200"/>
    <x v="0"/>
    <s v="leave"/>
    <x v="42"/>
    <x v="5"/>
    <x v="0"/>
    <x v="0"/>
    <n v="7.5"/>
    <m/>
    <m/>
    <m/>
    <m/>
    <s v="LEAVE"/>
    <x v="5"/>
    <n v="4"/>
    <n v="2020"/>
    <n v="2"/>
    <s v="2020-2"/>
  </r>
  <r>
    <n v="0.10000000000000009"/>
    <m/>
    <x v="201"/>
    <x v="0"/>
    <s v="bank holiday"/>
    <x v="42"/>
    <x v="11"/>
    <x v="0"/>
    <x v="0"/>
    <n v="7.5"/>
    <m/>
    <m/>
    <m/>
    <m/>
    <s v="BANK HOLIDAY"/>
    <x v="11"/>
    <n v="3"/>
    <n v="2020"/>
    <n v="2"/>
    <s v="2020-2"/>
  </r>
  <r>
    <n v="0.10000000000000009"/>
    <m/>
    <x v="202"/>
    <x v="0"/>
    <s v="leave"/>
    <x v="42"/>
    <x v="5"/>
    <x v="0"/>
    <x v="0"/>
    <n v="7.5"/>
    <m/>
    <m/>
    <m/>
    <m/>
    <s v="LEAVE"/>
    <x v="5"/>
    <n v="2"/>
    <n v="2020"/>
    <n v="2"/>
    <s v="2020-2"/>
  </r>
  <r>
    <n v="0.10000000000000009"/>
    <m/>
    <x v="203"/>
    <x v="0"/>
    <s v="leave"/>
    <x v="42"/>
    <x v="5"/>
    <x v="0"/>
    <x v="0"/>
    <n v="7.5"/>
    <m/>
    <m/>
    <m/>
    <m/>
    <s v="LEAVE"/>
    <x v="5"/>
    <n v="1"/>
    <n v="2020"/>
    <n v="2"/>
    <s v="2020-2"/>
  </r>
  <r>
    <n v="1.1000000000000001"/>
    <m/>
    <x v="204"/>
    <x v="0"/>
    <s v="leave"/>
    <x v="43"/>
    <x v="5"/>
    <x v="0"/>
    <x v="0"/>
    <n v="7.5"/>
    <m/>
    <m/>
    <m/>
    <m/>
    <s v="LEAVE"/>
    <x v="5"/>
    <n v="5"/>
    <n v="2019"/>
    <n v="53"/>
    <s v="2019-53"/>
  </r>
  <r>
    <n v="1.1000000000000001"/>
    <m/>
    <x v="205"/>
    <x v="0"/>
    <s v="bank holiday"/>
    <x v="43"/>
    <x v="11"/>
    <x v="0"/>
    <x v="0"/>
    <n v="7.5"/>
    <m/>
    <m/>
    <m/>
    <m/>
    <s v="BANK HOLIDAY"/>
    <x v="11"/>
    <n v="4"/>
    <n v="2019"/>
    <n v="53"/>
    <s v="2019-53"/>
  </r>
  <r>
    <n v="1.1000000000000001"/>
    <m/>
    <x v="206"/>
    <x v="0"/>
    <s v="bank holiday"/>
    <x v="43"/>
    <x v="11"/>
    <x v="0"/>
    <x v="0"/>
    <n v="7.5"/>
    <m/>
    <m/>
    <m/>
    <m/>
    <s v="BANK HOLIDAY"/>
    <x v="11"/>
    <n v="3"/>
    <n v="2019"/>
    <n v="53"/>
    <s v="2019-53"/>
  </r>
  <r>
    <n v="1.1000000000000001"/>
    <m/>
    <x v="207"/>
    <x v="0"/>
    <s v="ksc - tunnel"/>
    <x v="43"/>
    <x v="15"/>
    <x v="0"/>
    <x v="0"/>
    <n v="7.5"/>
    <m/>
    <m/>
    <m/>
    <m/>
    <s v="268017-25 "/>
    <x v="15"/>
    <n v="2"/>
    <n v="2019"/>
    <n v="53"/>
    <s v="2019-53"/>
  </r>
  <r>
    <n v="1.1000000000000001"/>
    <m/>
    <x v="208"/>
    <x v="0"/>
    <s v="ksc - tunnel"/>
    <x v="43"/>
    <x v="15"/>
    <x v="0"/>
    <x v="0"/>
    <n v="7.5"/>
    <m/>
    <m/>
    <m/>
    <m/>
    <s v="268017-25 "/>
    <x v="15"/>
    <n v="1"/>
    <n v="2019"/>
    <n v="53"/>
    <s v="2019-53"/>
  </r>
  <r>
    <n v="0.10000000000000009"/>
    <m/>
    <x v="209"/>
    <x v="0"/>
    <s v="ksc - tunnel"/>
    <x v="44"/>
    <x v="15"/>
    <x v="0"/>
    <x v="0"/>
    <n v="5.5"/>
    <m/>
    <m/>
    <m/>
    <m/>
    <s v="268017-25 "/>
    <x v="15"/>
    <n v="1"/>
    <n v="2019"/>
    <n v="52"/>
    <s v="2019-52"/>
  </r>
  <r>
    <n v="0.10000000000000009"/>
    <m/>
    <x v="209"/>
    <x v="0"/>
    <s v="ksc - tunnel"/>
    <x v="44"/>
    <x v="15"/>
    <x v="0"/>
    <x v="0"/>
    <n v="2"/>
    <m/>
    <m/>
    <m/>
    <m/>
    <s v="268017-25 "/>
    <x v="15"/>
    <n v="1"/>
    <n v="2019"/>
    <n v="52"/>
    <s v="2019-52"/>
  </r>
  <r>
    <n v="0.10000000000000009"/>
    <m/>
    <x v="210"/>
    <x v="0"/>
    <s v="ksc - tunnel"/>
    <x v="44"/>
    <x v="15"/>
    <x v="0"/>
    <x v="0"/>
    <n v="7.5"/>
    <m/>
    <m/>
    <m/>
    <m/>
    <s v="268017-25 "/>
    <x v="15"/>
    <n v="2"/>
    <n v="2019"/>
    <n v="52"/>
    <s v="2019-52"/>
  </r>
  <r>
    <n v="0.10000000000000009"/>
    <m/>
    <x v="211"/>
    <x v="0"/>
    <s v="vbb 3rd - new bridge"/>
    <x v="44"/>
    <x v="16"/>
    <x v="0"/>
    <x v="0"/>
    <n v="7.5"/>
    <m/>
    <m/>
    <m/>
    <m/>
    <s v="210035-51"/>
    <x v="16"/>
    <n v="3"/>
    <n v="2019"/>
    <n v="52"/>
    <s v="2019-52"/>
  </r>
  <r>
    <n v="0.10000000000000009"/>
    <m/>
    <x v="212"/>
    <x v="0"/>
    <s v="ksc - tunnel"/>
    <x v="44"/>
    <x v="15"/>
    <x v="0"/>
    <x v="0"/>
    <n v="7.5"/>
    <m/>
    <m/>
    <m/>
    <m/>
    <s v="268017-25 "/>
    <x v="15"/>
    <n v="4"/>
    <n v="2019"/>
    <n v="52"/>
    <s v="2019-52"/>
  </r>
  <r>
    <n v="0.10000000000000009"/>
    <m/>
    <x v="213"/>
    <x v="0"/>
    <s v="m25 west msa"/>
    <x v="44"/>
    <x v="17"/>
    <x v="0"/>
    <x v="0"/>
    <n v="4"/>
    <m/>
    <m/>
    <m/>
    <m/>
    <s v="255375-00"/>
    <x v="17"/>
    <n v="5"/>
    <n v="2019"/>
    <n v="52"/>
    <s v="2019-52"/>
  </r>
  <r>
    <n v="0.10000000000000009"/>
    <m/>
    <x v="213"/>
    <x v="0"/>
    <s v="ksc - tunnel"/>
    <x v="44"/>
    <x v="15"/>
    <x v="0"/>
    <x v="0"/>
    <n v="3.5"/>
    <m/>
    <m/>
    <m/>
    <m/>
    <s v="268017-25 "/>
    <x v="15"/>
    <n v="5"/>
    <n v="2019"/>
    <n v="52"/>
    <s v="2019-52"/>
  </r>
  <r>
    <n v="1.1000000000000001"/>
    <m/>
    <x v="214"/>
    <x v="0"/>
    <s v="ksc - tunnel"/>
    <x v="45"/>
    <x v="15"/>
    <x v="0"/>
    <x v="0"/>
    <n v="7.5"/>
    <m/>
    <m/>
    <m/>
    <m/>
    <s v="268017-25 "/>
    <x v="15"/>
    <n v="1"/>
    <n v="2019"/>
    <n v="51"/>
    <s v="2019-51"/>
  </r>
  <r>
    <n v="1.1000000000000001"/>
    <m/>
    <x v="215"/>
    <x v="0"/>
    <s v="ksc - tunnel"/>
    <x v="45"/>
    <x v="15"/>
    <x v="0"/>
    <x v="0"/>
    <n v="7.5"/>
    <m/>
    <m/>
    <m/>
    <m/>
    <s v="268017-25 "/>
    <x v="15"/>
    <n v="2"/>
    <n v="2019"/>
    <n v="51"/>
    <s v="2019-51"/>
  </r>
  <r>
    <n v="1.1000000000000001"/>
    <m/>
    <x v="216"/>
    <x v="0"/>
    <s v="vbb 3rd - new bridge"/>
    <x v="45"/>
    <x v="16"/>
    <x v="0"/>
    <x v="0"/>
    <n v="7.5"/>
    <m/>
    <m/>
    <m/>
    <m/>
    <s v="210035-51"/>
    <x v="16"/>
    <n v="3"/>
    <n v="2019"/>
    <n v="51"/>
    <s v="2019-51"/>
  </r>
  <r>
    <n v="1.1000000000000001"/>
    <m/>
    <x v="217"/>
    <x v="0"/>
    <s v="m25 west msa"/>
    <x v="45"/>
    <x v="17"/>
    <x v="0"/>
    <x v="0"/>
    <n v="7.5"/>
    <m/>
    <m/>
    <m/>
    <m/>
    <s v="255375-00"/>
    <x v="17"/>
    <n v="4"/>
    <n v="2019"/>
    <n v="51"/>
    <s v="2019-51"/>
  </r>
  <r>
    <n v="1.1000000000000001"/>
    <m/>
    <x v="218"/>
    <x v="0"/>
    <s v="ksc - tunnel"/>
    <x v="45"/>
    <x v="15"/>
    <x v="0"/>
    <x v="0"/>
    <n v="7.5"/>
    <m/>
    <m/>
    <m/>
    <m/>
    <s v="268017-25 "/>
    <x v="15"/>
    <n v="5"/>
    <n v="2019"/>
    <n v="51"/>
    <s v="2019-51"/>
  </r>
  <r>
    <n v="0.10000000000000009"/>
    <m/>
    <x v="219"/>
    <x v="0"/>
    <s v="ksc - tunnel"/>
    <x v="46"/>
    <x v="15"/>
    <x v="0"/>
    <x v="0"/>
    <n v="5.5"/>
    <m/>
    <m/>
    <m/>
    <m/>
    <s v="268017-25 "/>
    <x v="15"/>
    <n v="1"/>
    <n v="2019"/>
    <n v="50"/>
    <s v="2019-50"/>
  </r>
  <r>
    <n v="0.10000000000000009"/>
    <m/>
    <x v="219"/>
    <x v="0"/>
    <s v="ksc - tunnel"/>
    <x v="46"/>
    <x v="15"/>
    <x v="0"/>
    <x v="0"/>
    <n v="2"/>
    <m/>
    <m/>
    <m/>
    <m/>
    <s v="268017-25 "/>
    <x v="15"/>
    <n v="1"/>
    <n v="2019"/>
    <n v="50"/>
    <s v="2019-50"/>
  </r>
  <r>
    <n v="0.10000000000000009"/>
    <m/>
    <x v="220"/>
    <x v="0"/>
    <s v="vbb 3rd - new bridge"/>
    <x v="46"/>
    <x v="16"/>
    <x v="0"/>
    <x v="0"/>
    <n v="2.5"/>
    <m/>
    <m/>
    <m/>
    <m/>
    <s v="210035-51"/>
    <x v="16"/>
    <n v="2"/>
    <n v="2019"/>
    <n v="50"/>
    <s v="2019-50"/>
  </r>
  <r>
    <n v="0.10000000000000009"/>
    <m/>
    <x v="220"/>
    <x v="0"/>
    <s v="vbb 3rd - new bridge"/>
    <x v="46"/>
    <x v="16"/>
    <x v="0"/>
    <x v="0"/>
    <n v="2"/>
    <m/>
    <m/>
    <m/>
    <m/>
    <s v="210035-51"/>
    <x v="16"/>
    <n v="2"/>
    <n v="2019"/>
    <n v="50"/>
    <s v="2019-50"/>
  </r>
  <r>
    <n v="0.10000000000000009"/>
    <m/>
    <x v="220"/>
    <x v="0"/>
    <s v="ksc - tunnel"/>
    <x v="46"/>
    <x v="15"/>
    <x v="0"/>
    <x v="0"/>
    <n v="3"/>
    <m/>
    <m/>
    <m/>
    <m/>
    <s v="268017-25 "/>
    <x v="15"/>
    <n v="2"/>
    <n v="2019"/>
    <n v="50"/>
    <s v="2019-50"/>
  </r>
  <r>
    <n v="0.10000000000000009"/>
    <m/>
    <x v="221"/>
    <x v="0"/>
    <s v="ksc - tunnel"/>
    <x v="46"/>
    <x v="15"/>
    <x v="0"/>
    <x v="0"/>
    <n v="2"/>
    <m/>
    <m/>
    <m/>
    <m/>
    <s v="268017-25 "/>
    <x v="15"/>
    <n v="3"/>
    <n v="2019"/>
    <n v="50"/>
    <s v="2019-50"/>
  </r>
  <r>
    <n v="0.10000000000000009"/>
    <m/>
    <x v="221"/>
    <x v="0"/>
    <s v="vbb 3rd - new bridge"/>
    <x v="46"/>
    <x v="16"/>
    <x v="0"/>
    <x v="0"/>
    <n v="5.5"/>
    <m/>
    <m/>
    <m/>
    <m/>
    <s v="210035-51"/>
    <x v="16"/>
    <n v="3"/>
    <n v="2019"/>
    <n v="50"/>
    <s v="2019-50"/>
  </r>
  <r>
    <n v="0.10000000000000009"/>
    <m/>
    <x v="222"/>
    <x v="0"/>
    <s v="vbb 3rd - new bridge"/>
    <x v="46"/>
    <x v="16"/>
    <x v="0"/>
    <x v="0"/>
    <n v="2.5"/>
    <m/>
    <m/>
    <m/>
    <m/>
    <s v="210035-51"/>
    <x v="16"/>
    <n v="4"/>
    <n v="2019"/>
    <n v="50"/>
    <s v="2019-50"/>
  </r>
  <r>
    <n v="0.10000000000000009"/>
    <m/>
    <x v="222"/>
    <x v="0"/>
    <s v="vbb 3rd - new bridge"/>
    <x v="46"/>
    <x v="16"/>
    <x v="0"/>
    <x v="0"/>
    <n v="2"/>
    <m/>
    <m/>
    <m/>
    <m/>
    <s v="210035-51"/>
    <x v="16"/>
    <n v="4"/>
    <n v="2019"/>
    <n v="50"/>
    <s v="2019-50"/>
  </r>
  <r>
    <n v="0.10000000000000009"/>
    <m/>
    <x v="222"/>
    <x v="0"/>
    <s v="ksc - tunnel"/>
    <x v="46"/>
    <x v="15"/>
    <x v="0"/>
    <x v="0"/>
    <n v="3"/>
    <m/>
    <m/>
    <m/>
    <m/>
    <s v="268017-25 "/>
    <x v="15"/>
    <n v="4"/>
    <n v="2019"/>
    <n v="50"/>
    <s v="2019-50"/>
  </r>
  <r>
    <n v="0.10000000000000009"/>
    <m/>
    <x v="223"/>
    <x v="0"/>
    <s v="ksc - tunnel"/>
    <x v="46"/>
    <x v="15"/>
    <x v="0"/>
    <x v="0"/>
    <n v="4.5"/>
    <m/>
    <m/>
    <m/>
    <m/>
    <s v="268017-25 "/>
    <x v="15"/>
    <n v="5"/>
    <n v="2019"/>
    <n v="50"/>
    <s v="2019-50"/>
  </r>
  <r>
    <n v="0.10000000000000009"/>
    <m/>
    <x v="223"/>
    <x v="0"/>
    <s v="vbb 3rd - new bridge"/>
    <x v="46"/>
    <x v="16"/>
    <x v="0"/>
    <x v="0"/>
    <n v="3"/>
    <m/>
    <m/>
    <m/>
    <m/>
    <s v="210035-51"/>
    <x v="16"/>
    <n v="5"/>
    <n v="2019"/>
    <n v="50"/>
    <s v="2019-50"/>
  </r>
  <r>
    <n v="1.1000000000000001"/>
    <m/>
    <x v="224"/>
    <x v="0"/>
    <s v="ksc - tunnel"/>
    <x v="47"/>
    <x v="15"/>
    <x v="0"/>
    <x v="0"/>
    <n v="5.5"/>
    <m/>
    <m/>
    <m/>
    <m/>
    <s v="268017-25 "/>
    <x v="15"/>
    <n v="1"/>
    <n v="2019"/>
    <n v="49"/>
    <s v="2019-49"/>
  </r>
  <r>
    <n v="1.1000000000000001"/>
    <m/>
    <x v="224"/>
    <x v="0"/>
    <s v="ksc - tunnel"/>
    <x v="47"/>
    <x v="15"/>
    <x v="0"/>
    <x v="0"/>
    <n v="2"/>
    <m/>
    <m/>
    <m/>
    <m/>
    <s v="268017-25 "/>
    <x v="15"/>
    <n v="1"/>
    <n v="2019"/>
    <n v="49"/>
    <s v="2019-49"/>
  </r>
  <r>
    <n v="1.1000000000000001"/>
    <m/>
    <x v="225"/>
    <x v="0"/>
    <s v="vbb 3rd - new bridge"/>
    <x v="47"/>
    <x v="16"/>
    <x v="0"/>
    <x v="0"/>
    <n v="5.5"/>
    <m/>
    <m/>
    <m/>
    <m/>
    <s v="210035-51"/>
    <x v="16"/>
    <n v="2"/>
    <n v="2019"/>
    <n v="49"/>
    <s v="2019-49"/>
  </r>
  <r>
    <n v="1.1000000000000001"/>
    <m/>
    <x v="225"/>
    <x v="0"/>
    <s v="bcst appraisal"/>
    <x v="47"/>
    <x v="6"/>
    <x v="0"/>
    <x v="0"/>
    <n v="2"/>
    <m/>
    <m/>
    <m/>
    <m/>
    <s v="074097-29"/>
    <x v="6"/>
    <n v="2"/>
    <n v="2019"/>
    <n v="49"/>
    <s v="2019-49"/>
  </r>
  <r>
    <n v="1.1000000000000001"/>
    <m/>
    <x v="226"/>
    <x v="0"/>
    <s v="ksc - tunnel"/>
    <x v="47"/>
    <x v="15"/>
    <x v="0"/>
    <x v="0"/>
    <n v="1"/>
    <m/>
    <m/>
    <m/>
    <m/>
    <s v="268017-25 "/>
    <x v="15"/>
    <n v="3"/>
    <n v="2019"/>
    <n v="49"/>
    <s v="2019-49"/>
  </r>
  <r>
    <n v="1.1000000000000001"/>
    <m/>
    <x v="226"/>
    <x v="0"/>
    <s v="vbb 3rd - new bridge"/>
    <x v="47"/>
    <x v="16"/>
    <x v="0"/>
    <x v="0"/>
    <n v="2.5"/>
    <m/>
    <m/>
    <m/>
    <m/>
    <s v="210035-51"/>
    <x v="16"/>
    <n v="3"/>
    <n v="2019"/>
    <n v="49"/>
    <s v="2019-49"/>
  </r>
  <r>
    <n v="1.1000000000000001"/>
    <m/>
    <x v="226"/>
    <x v="0"/>
    <s v="ksc - tunnel"/>
    <x v="47"/>
    <x v="15"/>
    <x v="0"/>
    <x v="0"/>
    <n v="4"/>
    <m/>
    <m/>
    <m/>
    <m/>
    <s v="268017-25 "/>
    <x v="15"/>
    <n v="3"/>
    <n v="2019"/>
    <n v="49"/>
    <s v="2019-49"/>
  </r>
  <r>
    <n v="1.1000000000000001"/>
    <m/>
    <x v="227"/>
    <x v="0"/>
    <s v="ksc - tunnel"/>
    <x v="47"/>
    <x v="15"/>
    <x v="0"/>
    <x v="0"/>
    <n v="7.5"/>
    <m/>
    <m/>
    <m/>
    <m/>
    <s v="268017-25 "/>
    <x v="15"/>
    <n v="4"/>
    <n v="2019"/>
    <n v="49"/>
    <s v="2019-49"/>
  </r>
  <r>
    <n v="1.1000000000000001"/>
    <m/>
    <x v="228"/>
    <x v="0"/>
    <s v="vbb 3rd - new bridge"/>
    <x v="47"/>
    <x v="16"/>
    <x v="0"/>
    <x v="0"/>
    <n v="7.5"/>
    <m/>
    <m/>
    <m/>
    <m/>
    <s v="210035-51"/>
    <x v="16"/>
    <n v="5"/>
    <n v="2019"/>
    <n v="49"/>
    <s v="2019-49"/>
  </r>
  <r>
    <n v="0.10000000000000009"/>
    <m/>
    <x v="229"/>
    <x v="0"/>
    <s v="ksc - tunnel"/>
    <x v="48"/>
    <x v="15"/>
    <x v="0"/>
    <x v="0"/>
    <n v="5.5"/>
    <m/>
    <m/>
    <m/>
    <m/>
    <s v="268017-25 "/>
    <x v="15"/>
    <n v="1"/>
    <n v="2019"/>
    <n v="48"/>
    <s v="2019-48"/>
  </r>
  <r>
    <n v="0.10000000000000009"/>
    <m/>
    <x v="229"/>
    <x v="0"/>
    <s v="ksc - tunnel"/>
    <x v="48"/>
    <x v="15"/>
    <x v="0"/>
    <x v="0"/>
    <n v="2"/>
    <m/>
    <m/>
    <m/>
    <m/>
    <s v="268017-25 "/>
    <x v="15"/>
    <n v="1"/>
    <n v="2019"/>
    <n v="48"/>
    <s v="2019-48"/>
  </r>
  <r>
    <n v="0.10000000000000009"/>
    <m/>
    <x v="230"/>
    <x v="0"/>
    <s v="vbb afkeurmemo oostbrug"/>
    <x v="48"/>
    <x v="18"/>
    <x v="0"/>
    <x v="0"/>
    <n v="2"/>
    <m/>
    <m/>
    <m/>
    <m/>
    <s v="210035-58 "/>
    <x v="18"/>
    <n v="2"/>
    <n v="2019"/>
    <n v="48"/>
    <s v="2019-48"/>
  </r>
  <r>
    <n v="0.10000000000000009"/>
    <m/>
    <x v="230"/>
    <x v="0"/>
    <s v="vbb 3rd - new bridge"/>
    <x v="48"/>
    <x v="16"/>
    <x v="0"/>
    <x v="0"/>
    <n v="5.5"/>
    <m/>
    <m/>
    <m/>
    <m/>
    <s v="210035-51"/>
    <x v="16"/>
    <n v="2"/>
    <n v="2019"/>
    <n v="48"/>
    <s v="2019-48"/>
  </r>
  <r>
    <n v="0.10000000000000009"/>
    <m/>
    <x v="231"/>
    <x v="0"/>
    <s v="vbb afkeurmemo oostbrug"/>
    <x v="48"/>
    <x v="18"/>
    <x v="0"/>
    <x v="0"/>
    <n v="3.75"/>
    <m/>
    <m/>
    <m/>
    <m/>
    <s v="210035-58 "/>
    <x v="18"/>
    <n v="3"/>
    <n v="2019"/>
    <n v="48"/>
    <s v="2019-48"/>
  </r>
  <r>
    <n v="0.10000000000000009"/>
    <m/>
    <x v="231"/>
    <x v="0"/>
    <s v="vbb 3rd - new bridge"/>
    <x v="48"/>
    <x v="16"/>
    <x v="0"/>
    <x v="0"/>
    <n v="3.75"/>
    <m/>
    <m/>
    <m/>
    <m/>
    <s v="210035-51"/>
    <x v="16"/>
    <n v="3"/>
    <n v="2019"/>
    <n v="48"/>
    <s v="2019-48"/>
  </r>
  <r>
    <n v="0.10000000000000009"/>
    <m/>
    <x v="232"/>
    <x v="0"/>
    <s v="ksc - tunnel"/>
    <x v="48"/>
    <x v="15"/>
    <x v="0"/>
    <x v="0"/>
    <n v="3.75"/>
    <m/>
    <m/>
    <m/>
    <m/>
    <s v="268017-25 "/>
    <x v="15"/>
    <n v="4"/>
    <n v="2019"/>
    <n v="48"/>
    <s v="2019-48"/>
  </r>
  <r>
    <n v="0.10000000000000009"/>
    <m/>
    <x v="232"/>
    <x v="0"/>
    <s v="vbb 3rd - new bridge"/>
    <x v="48"/>
    <x v="16"/>
    <x v="0"/>
    <x v="0"/>
    <n v="3.75"/>
    <m/>
    <m/>
    <m/>
    <m/>
    <s v="210035-51"/>
    <x v="16"/>
    <n v="4"/>
    <n v="2019"/>
    <n v="48"/>
    <s v="2019-48"/>
  </r>
  <r>
    <n v="0.10000000000000009"/>
    <m/>
    <x v="233"/>
    <x v="0"/>
    <s v="ksc - tunnel"/>
    <x v="48"/>
    <x v="15"/>
    <x v="0"/>
    <x v="0"/>
    <n v="5.5"/>
    <m/>
    <m/>
    <m/>
    <m/>
    <s v="268017-25 "/>
    <x v="15"/>
    <n v="5"/>
    <n v="2019"/>
    <n v="48"/>
    <s v="2019-48"/>
  </r>
  <r>
    <n v="0.10000000000000009"/>
    <m/>
    <x v="233"/>
    <x v="0"/>
    <s v="bcst appraisal"/>
    <x v="48"/>
    <x v="6"/>
    <x v="0"/>
    <x v="0"/>
    <n v="2"/>
    <m/>
    <m/>
    <m/>
    <m/>
    <s v="074097-29"/>
    <x v="6"/>
    <n v="5"/>
    <n v="2019"/>
    <n v="48"/>
    <s v="2019-48"/>
  </r>
  <r>
    <n v="1.1000000000000001"/>
    <m/>
    <x v="234"/>
    <x v="0"/>
    <s v="vbb 3rd - new bridge"/>
    <x v="49"/>
    <x v="16"/>
    <x v="0"/>
    <x v="0"/>
    <n v="2.5"/>
    <m/>
    <m/>
    <m/>
    <m/>
    <s v="210035-51"/>
    <x v="16"/>
    <n v="1"/>
    <n v="2019"/>
    <n v="47"/>
    <s v="2019-47"/>
  </r>
  <r>
    <n v="1.1000000000000001"/>
    <m/>
    <x v="235"/>
    <x v="0"/>
    <s v="ksc - tunnel"/>
    <x v="49"/>
    <x v="15"/>
    <x v="0"/>
    <x v="0"/>
    <n v="5"/>
    <m/>
    <m/>
    <m/>
    <m/>
    <s v="268017-25 "/>
    <x v="15"/>
    <n v="2"/>
    <n v="2019"/>
    <n v="47"/>
    <s v="2019-47"/>
  </r>
  <r>
    <n v="1.1000000000000001"/>
    <m/>
    <x v="235"/>
    <x v="0"/>
    <s v="ksc - tunnel"/>
    <x v="49"/>
    <x v="15"/>
    <x v="0"/>
    <x v="0"/>
    <n v="7.5"/>
    <m/>
    <m/>
    <m/>
    <m/>
    <s v="268017-25 "/>
    <x v="15"/>
    <n v="2"/>
    <n v="2019"/>
    <n v="47"/>
    <s v="2019-47"/>
  </r>
  <r>
    <n v="1.1000000000000001"/>
    <m/>
    <x v="236"/>
    <x v="0"/>
    <s v="vbb 3rd - new bridge"/>
    <x v="49"/>
    <x v="16"/>
    <x v="0"/>
    <x v="0"/>
    <n v="7.5"/>
    <m/>
    <m/>
    <m/>
    <m/>
    <s v="210035-51"/>
    <x v="16"/>
    <n v="3"/>
    <n v="2019"/>
    <n v="47"/>
    <s v="2019-47"/>
  </r>
  <r>
    <n v="1.1000000000000001"/>
    <m/>
    <x v="237"/>
    <x v="0"/>
    <s v="ksc - tunnel"/>
    <x v="49"/>
    <x v="15"/>
    <x v="0"/>
    <x v="0"/>
    <n v="7.5"/>
    <m/>
    <m/>
    <m/>
    <m/>
    <s v="268017-25 "/>
    <x v="15"/>
    <n v="4"/>
    <n v="2019"/>
    <n v="47"/>
    <s v="2019-47"/>
  </r>
  <r>
    <n v="1.1000000000000001"/>
    <m/>
    <x v="238"/>
    <x v="0"/>
    <s v="ksc - tunnel"/>
    <x v="49"/>
    <x v="15"/>
    <x v="0"/>
    <x v="0"/>
    <n v="7.5"/>
    <m/>
    <m/>
    <m/>
    <m/>
    <s v="268017-25 "/>
    <x v="15"/>
    <n v="5"/>
    <n v="2019"/>
    <n v="47"/>
    <s v="2019-47"/>
  </r>
  <r>
    <n v="0.10000000000000009"/>
    <m/>
    <x v="239"/>
    <x v="0"/>
    <s v="ksc - tunnel"/>
    <x v="50"/>
    <x v="15"/>
    <x v="0"/>
    <x v="0"/>
    <n v="5.5"/>
    <m/>
    <m/>
    <m/>
    <m/>
    <s v="268017-25 "/>
    <x v="15"/>
    <n v="1"/>
    <n v="2019"/>
    <n v="46"/>
    <s v="2019-46"/>
  </r>
  <r>
    <n v="0.10000000000000009"/>
    <m/>
    <x v="239"/>
    <x v="0"/>
    <s v="ksc - tunnel"/>
    <x v="50"/>
    <x v="15"/>
    <x v="0"/>
    <x v="0"/>
    <n v="2"/>
    <m/>
    <m/>
    <m/>
    <m/>
    <s v="268017-25 "/>
    <x v="15"/>
    <n v="1"/>
    <n v="2019"/>
    <n v="46"/>
    <s v="2019-46"/>
  </r>
  <r>
    <n v="0.10000000000000009"/>
    <m/>
    <x v="240"/>
    <x v="0"/>
    <e v="#N/A"/>
    <x v="50"/>
    <x v="0"/>
    <x v="0"/>
    <x v="0"/>
    <n v="2"/>
    <m/>
    <m/>
    <m/>
    <m/>
    <e v="#N/A"/>
    <x v="0"/>
    <n v="2"/>
    <n v="2019"/>
    <n v="46"/>
    <s v="2019-46"/>
  </r>
  <r>
    <n v="0.10000000000000009"/>
    <m/>
    <x v="240"/>
    <x v="0"/>
    <s v="ksc - tunnel"/>
    <x v="50"/>
    <x v="15"/>
    <x v="0"/>
    <x v="0"/>
    <n v="5.5"/>
    <m/>
    <m/>
    <m/>
    <m/>
    <s v="268017-25 "/>
    <x v="15"/>
    <n v="2"/>
    <n v="2019"/>
    <n v="46"/>
    <s v="2019-46"/>
  </r>
  <r>
    <n v="0.10000000000000009"/>
    <m/>
    <x v="241"/>
    <x v="0"/>
    <s v="vbb 3rd - new bridge"/>
    <x v="50"/>
    <x v="16"/>
    <x v="0"/>
    <x v="0"/>
    <n v="3.75"/>
    <m/>
    <m/>
    <m/>
    <m/>
    <s v="210035-51"/>
    <x v="16"/>
    <n v="3"/>
    <n v="2019"/>
    <n v="46"/>
    <s v="2019-46"/>
  </r>
  <r>
    <n v="0.10000000000000009"/>
    <m/>
    <x v="241"/>
    <x v="0"/>
    <s v="ksc - tunnel"/>
    <x v="50"/>
    <x v="15"/>
    <x v="0"/>
    <x v="0"/>
    <n v="3.75"/>
    <m/>
    <m/>
    <m/>
    <m/>
    <s v="268017-25 "/>
    <x v="15"/>
    <n v="3"/>
    <n v="2019"/>
    <n v="46"/>
    <s v="2019-46"/>
  </r>
  <r>
    <n v="0.10000000000000009"/>
    <m/>
    <x v="242"/>
    <x v="0"/>
    <s v="ksc - tunnel"/>
    <x v="50"/>
    <x v="15"/>
    <x v="0"/>
    <x v="0"/>
    <n v="3.75"/>
    <m/>
    <m/>
    <m/>
    <m/>
    <s v="268017-25 "/>
    <x v="15"/>
    <n v="4"/>
    <n v="2019"/>
    <n v="46"/>
    <s v="2019-46"/>
  </r>
  <r>
    <n v="0.10000000000000009"/>
    <m/>
    <x v="242"/>
    <x v="0"/>
    <s v="vbb 3rd - new bridge"/>
    <x v="50"/>
    <x v="16"/>
    <x v="0"/>
    <x v="0"/>
    <n v="3.75"/>
    <m/>
    <m/>
    <m/>
    <m/>
    <s v="210035-51"/>
    <x v="16"/>
    <n v="4"/>
    <n v="2019"/>
    <n v="46"/>
    <s v="2019-46"/>
  </r>
  <r>
    <n v="0.10000000000000009"/>
    <m/>
    <x v="243"/>
    <x v="0"/>
    <s v="vbb 3rd - new bridge"/>
    <x v="50"/>
    <x v="16"/>
    <x v="0"/>
    <x v="0"/>
    <n v="3.75"/>
    <m/>
    <m/>
    <m/>
    <m/>
    <s v="210035-51"/>
    <x v="16"/>
    <n v="5"/>
    <n v="2019"/>
    <n v="46"/>
    <s v="2019-46"/>
  </r>
  <r>
    <n v="0.10000000000000009"/>
    <m/>
    <x v="243"/>
    <x v="0"/>
    <s v="ksc - tunnel"/>
    <x v="50"/>
    <x v="15"/>
    <x v="0"/>
    <x v="0"/>
    <n v="3.75"/>
    <m/>
    <m/>
    <m/>
    <m/>
    <s v="268017-25 "/>
    <x v="15"/>
    <n v="5"/>
    <n v="2019"/>
    <n v="46"/>
    <s v="2019-46"/>
  </r>
  <r>
    <n v="1.1000000000000001"/>
    <m/>
    <x v="244"/>
    <x v="0"/>
    <s v="ksc - tunnel"/>
    <x v="51"/>
    <x v="15"/>
    <x v="0"/>
    <x v="0"/>
    <n v="5"/>
    <m/>
    <m/>
    <m/>
    <m/>
    <s v="268017-25 "/>
    <x v="15"/>
    <n v="1"/>
    <n v="2019"/>
    <n v="45"/>
    <s v="2019-45"/>
  </r>
  <r>
    <n v="1.1000000000000001"/>
    <m/>
    <x v="244"/>
    <x v="0"/>
    <s v="ksc - tunnel"/>
    <x v="51"/>
    <x v="15"/>
    <x v="0"/>
    <x v="0"/>
    <n v="2.5"/>
    <m/>
    <m/>
    <m/>
    <m/>
    <s v="268017-25 "/>
    <x v="15"/>
    <n v="1"/>
    <n v="2019"/>
    <n v="45"/>
    <s v="2019-45"/>
  </r>
  <r>
    <n v="1.1000000000000001"/>
    <m/>
    <x v="245"/>
    <x v="0"/>
    <s v="ksc - tunnel"/>
    <x v="51"/>
    <x v="15"/>
    <x v="0"/>
    <x v="0"/>
    <n v="7.5"/>
    <m/>
    <m/>
    <m/>
    <m/>
    <s v="268017-25 "/>
    <x v="15"/>
    <n v="2"/>
    <n v="2019"/>
    <n v="45"/>
    <s v="2019-45"/>
  </r>
  <r>
    <n v="1.1000000000000001"/>
    <m/>
    <x v="246"/>
    <x v="0"/>
    <s v="ksc - tunnel"/>
    <x v="51"/>
    <x v="15"/>
    <x v="0"/>
    <x v="0"/>
    <n v="7.5"/>
    <m/>
    <m/>
    <m/>
    <m/>
    <s v="268017-25 "/>
    <x v="15"/>
    <n v="3"/>
    <n v="2019"/>
    <n v="45"/>
    <s v="2019-45"/>
  </r>
  <r>
    <n v="1.1000000000000001"/>
    <m/>
    <x v="247"/>
    <x v="0"/>
    <s v="vbb 3rd - new bridge"/>
    <x v="51"/>
    <x v="16"/>
    <x v="0"/>
    <x v="0"/>
    <n v="2"/>
    <m/>
    <m/>
    <m/>
    <m/>
    <s v="210035-51"/>
    <x v="16"/>
    <n v="4"/>
    <n v="2019"/>
    <n v="45"/>
    <s v="2019-45"/>
  </r>
  <r>
    <n v="1.1000000000000001"/>
    <m/>
    <x v="247"/>
    <x v="0"/>
    <s v="vbb 3rd - new bridge"/>
    <x v="51"/>
    <x v="16"/>
    <x v="0"/>
    <x v="0"/>
    <n v="5.5"/>
    <m/>
    <m/>
    <m/>
    <m/>
    <s v="210035-51"/>
    <x v="16"/>
    <n v="4"/>
    <n v="2019"/>
    <n v="45"/>
    <s v="2019-45"/>
  </r>
  <r>
    <n v="1.1000000000000001"/>
    <m/>
    <x v="248"/>
    <x v="0"/>
    <s v="ksc - tunnel"/>
    <x v="51"/>
    <x v="15"/>
    <x v="0"/>
    <x v="0"/>
    <n v="7.5"/>
    <m/>
    <m/>
    <m/>
    <m/>
    <s v="268017-25 "/>
    <x v="15"/>
    <n v="5"/>
    <n v="2019"/>
    <n v="45"/>
    <s v="2019-45"/>
  </r>
  <r>
    <n v="0.10000000000000009"/>
    <m/>
    <x v="249"/>
    <x v="0"/>
    <s v="ksc - tunnel"/>
    <x v="52"/>
    <x v="15"/>
    <x v="0"/>
    <x v="0"/>
    <n v="5"/>
    <m/>
    <m/>
    <m/>
    <m/>
    <s v="268017-25 "/>
    <x v="15"/>
    <n v="1"/>
    <n v="2019"/>
    <n v="44"/>
    <s v="2019-44"/>
  </r>
  <r>
    <n v="0.10000000000000009"/>
    <m/>
    <x v="250"/>
    <x v="0"/>
    <s v="ksc - pm"/>
    <x v="52"/>
    <x v="19"/>
    <x v="0"/>
    <x v="0"/>
    <n v="2.5"/>
    <m/>
    <m/>
    <m/>
    <m/>
    <s v="268017-10"/>
    <x v="19"/>
    <n v="2"/>
    <n v="2019"/>
    <n v="44"/>
    <s v="2019-44"/>
  </r>
  <r>
    <n v="0.10000000000000009"/>
    <m/>
    <x v="250"/>
    <x v="0"/>
    <s v="ksc - tunnel"/>
    <x v="52"/>
    <x v="15"/>
    <x v="0"/>
    <x v="0"/>
    <n v="7.5"/>
    <m/>
    <m/>
    <m/>
    <m/>
    <s v="268017-25 "/>
    <x v="15"/>
    <n v="2"/>
    <n v="2019"/>
    <n v="44"/>
    <s v="2019-44"/>
  </r>
  <r>
    <n v="0.10000000000000009"/>
    <m/>
    <x v="251"/>
    <x v="0"/>
    <s v="vbb - assessment"/>
    <x v="52"/>
    <x v="20"/>
    <x v="0"/>
    <x v="0"/>
    <n v="7.5"/>
    <m/>
    <m/>
    <m/>
    <m/>
    <s v="265720-20"/>
    <x v="20"/>
    <n v="3"/>
    <n v="2019"/>
    <n v="44"/>
    <s v="2019-44"/>
  </r>
  <r>
    <n v="0.10000000000000009"/>
    <m/>
    <x v="252"/>
    <x v="0"/>
    <s v="vbb 3rd - new bridge"/>
    <x v="52"/>
    <x v="16"/>
    <x v="0"/>
    <x v="0"/>
    <n v="7.5"/>
    <m/>
    <m/>
    <m/>
    <m/>
    <s v="210035-51"/>
    <x v="16"/>
    <n v="4"/>
    <n v="2019"/>
    <n v="44"/>
    <s v="2019-44"/>
  </r>
  <r>
    <n v="0.10000000000000009"/>
    <m/>
    <x v="253"/>
    <x v="0"/>
    <s v="ksc - tunnel"/>
    <x v="52"/>
    <x v="15"/>
    <x v="0"/>
    <x v="0"/>
    <n v="7.5"/>
    <m/>
    <m/>
    <m/>
    <m/>
    <s v="268017-25 "/>
    <x v="15"/>
    <n v="5"/>
    <n v="2019"/>
    <n v="44"/>
    <s v="2019-44"/>
  </r>
  <r>
    <n v="1.1000000000000001"/>
    <m/>
    <x v="254"/>
    <x v="0"/>
    <s v="ksc - tunnel"/>
    <x v="53"/>
    <x v="15"/>
    <x v="0"/>
    <x v="0"/>
    <n v="3.75"/>
    <m/>
    <m/>
    <m/>
    <m/>
    <s v="268017-25 "/>
    <x v="15"/>
    <n v="1"/>
    <n v="2019"/>
    <n v="43"/>
    <s v="2019-43"/>
  </r>
  <r>
    <n v="1.1000000000000001"/>
    <m/>
    <x v="254"/>
    <x v="0"/>
    <s v="ksc - pm"/>
    <x v="53"/>
    <x v="19"/>
    <x v="0"/>
    <x v="0"/>
    <n v="3.75"/>
    <m/>
    <m/>
    <m/>
    <m/>
    <s v="268017-10"/>
    <x v="19"/>
    <n v="1"/>
    <n v="2019"/>
    <n v="43"/>
    <s v="2019-43"/>
  </r>
  <r>
    <n v="1.1000000000000001"/>
    <m/>
    <x v="255"/>
    <x v="0"/>
    <s v="ksc - pm"/>
    <x v="53"/>
    <x v="19"/>
    <x v="0"/>
    <x v="0"/>
    <n v="7.5"/>
    <m/>
    <m/>
    <m/>
    <m/>
    <s v="268017-10"/>
    <x v="19"/>
    <n v="2"/>
    <n v="2019"/>
    <n v="43"/>
    <s v="2019-43"/>
  </r>
  <r>
    <n v="1.1000000000000001"/>
    <m/>
    <x v="256"/>
    <x v="0"/>
    <s v="hcc - nazeing"/>
    <x v="53"/>
    <x v="21"/>
    <x v="0"/>
    <x v="0"/>
    <n v="7.5"/>
    <m/>
    <m/>
    <m/>
    <m/>
    <s v="236808-69"/>
    <x v="21"/>
    <n v="3"/>
    <n v="2019"/>
    <n v="43"/>
    <s v="2019-43"/>
  </r>
  <r>
    <n v="1.1000000000000001"/>
    <m/>
    <x v="257"/>
    <x v="0"/>
    <s v="vbb 3rd - new bridge"/>
    <x v="53"/>
    <x v="16"/>
    <x v="0"/>
    <x v="0"/>
    <n v="3.75"/>
    <m/>
    <m/>
    <m/>
    <m/>
    <s v="210035-51"/>
    <x v="16"/>
    <n v="4"/>
    <n v="2019"/>
    <n v="43"/>
    <s v="2019-43"/>
  </r>
  <r>
    <n v="1.1000000000000001"/>
    <m/>
    <x v="257"/>
    <x v="0"/>
    <s v="vbb 3rd - new bridge"/>
    <x v="53"/>
    <x v="16"/>
    <x v="0"/>
    <x v="0"/>
    <n v="3.75"/>
    <m/>
    <m/>
    <m/>
    <m/>
    <s v="210035-51"/>
    <x v="16"/>
    <n v="4"/>
    <n v="2019"/>
    <n v="43"/>
    <s v="2019-43"/>
  </r>
  <r>
    <n v="1.1000000000000001"/>
    <m/>
    <x v="258"/>
    <x v="0"/>
    <s v="hcc - nazeing"/>
    <x v="53"/>
    <x v="21"/>
    <x v="0"/>
    <x v="0"/>
    <n v="2"/>
    <m/>
    <m/>
    <m/>
    <m/>
    <s v="236808-69"/>
    <x v="21"/>
    <n v="5"/>
    <n v="2019"/>
    <n v="43"/>
    <s v="2019-43"/>
  </r>
  <r>
    <n v="1.1000000000000001"/>
    <m/>
    <x v="258"/>
    <x v="0"/>
    <s v="ksc - tunnel"/>
    <x v="53"/>
    <x v="15"/>
    <x v="0"/>
    <x v="0"/>
    <n v="5.5"/>
    <m/>
    <m/>
    <m/>
    <m/>
    <s v="268017-25 "/>
    <x v="15"/>
    <n v="5"/>
    <n v="2019"/>
    <n v="43"/>
    <s v="2019-43"/>
  </r>
  <r>
    <n v="0.10000000000000009"/>
    <m/>
    <x v="259"/>
    <x v="0"/>
    <s v="ksc - tunnel"/>
    <x v="54"/>
    <x v="15"/>
    <x v="0"/>
    <x v="0"/>
    <n v="2"/>
    <m/>
    <m/>
    <m/>
    <m/>
    <s v="268017-25 "/>
    <x v="15"/>
    <n v="1"/>
    <n v="2019"/>
    <n v="42"/>
    <s v="2019-42"/>
  </r>
  <r>
    <n v="0.10000000000000009"/>
    <m/>
    <x v="259"/>
    <x v="0"/>
    <s v="ksc - tunnel"/>
    <x v="54"/>
    <x v="15"/>
    <x v="0"/>
    <x v="0"/>
    <n v="5.5"/>
    <m/>
    <m/>
    <m/>
    <m/>
    <s v="268017-25 "/>
    <x v="15"/>
    <n v="1"/>
    <n v="2019"/>
    <n v="42"/>
    <s v="2019-42"/>
  </r>
  <r>
    <n v="0.10000000000000009"/>
    <m/>
    <x v="260"/>
    <x v="0"/>
    <s v="ksc - pm"/>
    <x v="54"/>
    <x v="19"/>
    <x v="0"/>
    <x v="0"/>
    <n v="3.5"/>
    <m/>
    <m/>
    <m/>
    <m/>
    <s v="268017-10"/>
    <x v="19"/>
    <n v="2"/>
    <n v="2019"/>
    <n v="42"/>
    <s v="2019-42"/>
  </r>
  <r>
    <n v="0.10000000000000009"/>
    <m/>
    <x v="260"/>
    <x v="0"/>
    <s v="vbb 3rd - new bridge"/>
    <x v="54"/>
    <x v="16"/>
    <x v="0"/>
    <x v="0"/>
    <n v="4"/>
    <m/>
    <m/>
    <m/>
    <m/>
    <s v="210035-51"/>
    <x v="16"/>
    <n v="2"/>
    <n v="2019"/>
    <n v="42"/>
    <s v="2019-42"/>
  </r>
  <r>
    <n v="0.10000000000000009"/>
    <m/>
    <x v="261"/>
    <x v="0"/>
    <s v="ksc - pm"/>
    <x v="54"/>
    <x v="19"/>
    <x v="0"/>
    <x v="0"/>
    <n v="7.5"/>
    <m/>
    <m/>
    <m/>
    <m/>
    <s v="268017-10"/>
    <x v="19"/>
    <n v="3"/>
    <n v="2019"/>
    <n v="42"/>
    <s v="2019-42"/>
  </r>
  <r>
    <n v="0.10000000000000009"/>
    <m/>
    <x v="262"/>
    <x v="0"/>
    <s v="vbb 3rd - new bridge"/>
    <x v="54"/>
    <x v="16"/>
    <x v="0"/>
    <x v="0"/>
    <n v="3"/>
    <m/>
    <m/>
    <m/>
    <m/>
    <s v="210035-51"/>
    <x v="16"/>
    <n v="4"/>
    <n v="2019"/>
    <n v="42"/>
    <s v="2019-42"/>
  </r>
  <r>
    <n v="0.10000000000000009"/>
    <m/>
    <x v="262"/>
    <x v="0"/>
    <s v="vbb 3rd - new bridge"/>
    <x v="54"/>
    <x v="16"/>
    <x v="0"/>
    <x v="0"/>
    <n v="4.5"/>
    <m/>
    <m/>
    <m/>
    <m/>
    <s v="210035-51"/>
    <x v="16"/>
    <n v="4"/>
    <n v="2019"/>
    <n v="42"/>
    <s v="2019-42"/>
  </r>
  <r>
    <n v="0.10000000000000009"/>
    <m/>
    <x v="263"/>
    <x v="0"/>
    <s v="ksc - pm"/>
    <x v="54"/>
    <x v="19"/>
    <x v="0"/>
    <x v="0"/>
    <n v="3"/>
    <m/>
    <m/>
    <m/>
    <m/>
    <s v="268017-10"/>
    <x v="19"/>
    <n v="5"/>
    <n v="2019"/>
    <n v="42"/>
    <s v="2019-42"/>
  </r>
  <r>
    <n v="0.10000000000000009"/>
    <m/>
    <x v="263"/>
    <x v="0"/>
    <s v="ksc - pm"/>
    <x v="54"/>
    <x v="19"/>
    <x v="0"/>
    <x v="0"/>
    <n v="4.5"/>
    <m/>
    <m/>
    <m/>
    <m/>
    <s v="268017-10"/>
    <x v="19"/>
    <n v="5"/>
    <n v="2019"/>
    <n v="42"/>
    <s v="2019-42"/>
  </r>
  <r>
    <n v="1.1000000000000001"/>
    <m/>
    <x v="264"/>
    <x v="0"/>
    <s v="ksc - tunnel"/>
    <x v="55"/>
    <x v="15"/>
    <x v="0"/>
    <x v="0"/>
    <n v="5.5"/>
    <m/>
    <m/>
    <m/>
    <m/>
    <s v="268017-25 "/>
    <x v="15"/>
    <n v="1"/>
    <n v="2019"/>
    <n v="41"/>
    <s v="2019-41"/>
  </r>
  <r>
    <n v="1.1000000000000001"/>
    <m/>
    <x v="264"/>
    <x v="0"/>
    <s v="ksc - tunnel"/>
    <x v="55"/>
    <x v="15"/>
    <x v="0"/>
    <x v="0"/>
    <n v="2"/>
    <m/>
    <m/>
    <m/>
    <m/>
    <s v="268017-25 "/>
    <x v="15"/>
    <n v="1"/>
    <n v="2019"/>
    <n v="41"/>
    <s v="2019-41"/>
  </r>
  <r>
    <n v="1.1000000000000001"/>
    <m/>
    <x v="265"/>
    <x v="0"/>
    <s v="vbb 3rd - new bridge"/>
    <x v="55"/>
    <x v="16"/>
    <x v="0"/>
    <x v="0"/>
    <n v="3.75"/>
    <m/>
    <m/>
    <m/>
    <m/>
    <s v="210035-51"/>
    <x v="16"/>
    <n v="2"/>
    <n v="2019"/>
    <n v="41"/>
    <s v="2019-41"/>
  </r>
  <r>
    <n v="1.1000000000000001"/>
    <m/>
    <x v="265"/>
    <x v="0"/>
    <s v="vbb 3rd - new bridge"/>
    <x v="55"/>
    <x v="16"/>
    <x v="0"/>
    <x v="0"/>
    <n v="3.75"/>
    <m/>
    <m/>
    <m/>
    <m/>
    <s v="210035-51"/>
    <x v="16"/>
    <n v="2"/>
    <n v="2019"/>
    <n v="41"/>
    <s v="2019-41"/>
  </r>
  <r>
    <n v="1.1000000000000001"/>
    <m/>
    <x v="266"/>
    <x v="0"/>
    <s v="ksc - tunnel"/>
    <x v="55"/>
    <x v="15"/>
    <x v="0"/>
    <x v="0"/>
    <n v="3.75"/>
    <m/>
    <m/>
    <m/>
    <m/>
    <s v="268017-25 "/>
    <x v="15"/>
    <n v="3"/>
    <n v="2019"/>
    <n v="41"/>
    <s v="2019-41"/>
  </r>
  <r>
    <n v="1.1000000000000001"/>
    <m/>
    <x v="266"/>
    <x v="0"/>
    <s v="vbb 3rd - new bridge"/>
    <x v="55"/>
    <x v="16"/>
    <x v="0"/>
    <x v="0"/>
    <n v="3.75"/>
    <m/>
    <m/>
    <m/>
    <m/>
    <s v="210035-51"/>
    <x v="16"/>
    <n v="3"/>
    <n v="2019"/>
    <n v="41"/>
    <s v="2019-41"/>
  </r>
  <r>
    <n v="1.1000000000000001"/>
    <m/>
    <x v="267"/>
    <x v="0"/>
    <s v="vbb 3rd - new bridge"/>
    <x v="55"/>
    <x v="16"/>
    <x v="0"/>
    <x v="0"/>
    <n v="3.75"/>
    <m/>
    <m/>
    <m/>
    <m/>
    <s v="210035-51"/>
    <x v="16"/>
    <n v="4"/>
    <n v="2019"/>
    <n v="41"/>
    <s v="2019-41"/>
  </r>
  <r>
    <n v="1.1000000000000001"/>
    <m/>
    <x v="267"/>
    <x v="0"/>
    <s v="ksc - tunnel"/>
    <x v="55"/>
    <x v="15"/>
    <x v="0"/>
    <x v="0"/>
    <n v="3.75"/>
    <m/>
    <m/>
    <m/>
    <m/>
    <s v="268017-25 "/>
    <x v="15"/>
    <n v="4"/>
    <n v="2019"/>
    <n v="41"/>
    <s v="2019-41"/>
  </r>
  <r>
    <n v="1.1000000000000001"/>
    <m/>
    <x v="268"/>
    <x v="0"/>
    <s v="ksc - tunnel"/>
    <x v="55"/>
    <x v="15"/>
    <x v="0"/>
    <x v="0"/>
    <n v="3.75"/>
    <m/>
    <m/>
    <m/>
    <m/>
    <s v="268017-25 "/>
    <x v="15"/>
    <n v="5"/>
    <n v="2019"/>
    <n v="41"/>
    <s v="2019-41"/>
  </r>
  <r>
    <n v="1.1000000000000001"/>
    <m/>
    <x v="268"/>
    <x v="0"/>
    <s v="vbb 3rd - new bridge"/>
    <x v="55"/>
    <x v="16"/>
    <x v="0"/>
    <x v="0"/>
    <n v="3.75"/>
    <m/>
    <m/>
    <m/>
    <m/>
    <s v="210035-51"/>
    <x v="16"/>
    <n v="5"/>
    <n v="2019"/>
    <n v="41"/>
    <s v="2019-41"/>
  </r>
  <r>
    <n v="0.10000000000000009"/>
    <m/>
    <x v="269"/>
    <x v="0"/>
    <s v="ksc - tunnel"/>
    <x v="56"/>
    <x v="15"/>
    <x v="0"/>
    <x v="0"/>
    <n v="7.5"/>
    <m/>
    <m/>
    <m/>
    <m/>
    <s v="268017-25 "/>
    <x v="15"/>
    <n v="1"/>
    <n v="2019"/>
    <n v="40"/>
    <s v="2019-40"/>
  </r>
  <r>
    <n v="0.10000000000000009"/>
    <m/>
    <x v="270"/>
    <x v="0"/>
    <s v="ksc - tunnel"/>
    <x v="56"/>
    <x v="15"/>
    <x v="0"/>
    <x v="0"/>
    <n v="3.75"/>
    <m/>
    <m/>
    <m/>
    <m/>
    <s v="268017-25 "/>
    <x v="15"/>
    <n v="2"/>
    <n v="2019"/>
    <n v="40"/>
    <s v="2019-40"/>
  </r>
  <r>
    <n v="0.10000000000000009"/>
    <m/>
    <x v="270"/>
    <x v="0"/>
    <s v="vbb 3rd - new bridge"/>
    <x v="56"/>
    <x v="16"/>
    <x v="0"/>
    <x v="0"/>
    <n v="3.75"/>
    <m/>
    <m/>
    <m/>
    <m/>
    <s v="210035-51"/>
    <x v="16"/>
    <n v="2"/>
    <n v="2019"/>
    <n v="40"/>
    <s v="2019-40"/>
  </r>
  <r>
    <n v="0.10000000000000009"/>
    <m/>
    <x v="271"/>
    <x v="0"/>
    <s v="vbb - assessment"/>
    <x v="56"/>
    <x v="20"/>
    <x v="0"/>
    <x v="0"/>
    <n v="7.5"/>
    <m/>
    <m/>
    <m/>
    <m/>
    <s v="265720-20"/>
    <x v="20"/>
    <n v="3"/>
    <n v="2019"/>
    <n v="40"/>
    <s v="2019-40"/>
  </r>
  <r>
    <n v="0.10000000000000009"/>
    <m/>
    <x v="272"/>
    <x v="0"/>
    <s v="vbb 3rd - new bridge"/>
    <x v="56"/>
    <x v="16"/>
    <x v="0"/>
    <x v="0"/>
    <n v="2"/>
    <m/>
    <m/>
    <m/>
    <m/>
    <s v="210035-51"/>
    <x v="16"/>
    <n v="4"/>
    <n v="2019"/>
    <n v="40"/>
    <s v="2019-40"/>
  </r>
  <r>
    <n v="0.10000000000000009"/>
    <m/>
    <x v="272"/>
    <x v="0"/>
    <s v="vbb 3rd - new bridge"/>
    <x v="56"/>
    <x v="16"/>
    <x v="0"/>
    <x v="0"/>
    <n v="5.5"/>
    <m/>
    <m/>
    <m/>
    <m/>
    <s v="210035-51"/>
    <x v="16"/>
    <n v="4"/>
    <n v="2019"/>
    <n v="40"/>
    <s v="2019-40"/>
  </r>
  <r>
    <n v="0.10000000000000009"/>
    <m/>
    <x v="273"/>
    <x v="0"/>
    <s v="ksc - tunnel"/>
    <x v="56"/>
    <x v="15"/>
    <x v="0"/>
    <x v="0"/>
    <n v="2"/>
    <m/>
    <m/>
    <m/>
    <m/>
    <s v="268017-25 "/>
    <x v="15"/>
    <n v="5"/>
    <n v="2019"/>
    <n v="40"/>
    <s v="2019-40"/>
  </r>
  <r>
    <n v="0.10000000000000009"/>
    <m/>
    <x v="273"/>
    <x v="0"/>
    <s v="vbb 3rd - new bridge"/>
    <x v="56"/>
    <x v="16"/>
    <x v="0"/>
    <x v="0"/>
    <n v="3"/>
    <m/>
    <m/>
    <m/>
    <m/>
    <s v="210035-51"/>
    <x v="16"/>
    <n v="5"/>
    <n v="2019"/>
    <n v="40"/>
    <s v="2019-40"/>
  </r>
  <r>
    <n v="0.10000000000000009"/>
    <m/>
    <x v="273"/>
    <x v="0"/>
    <s v="vbb 3rd - new bridge"/>
    <x v="56"/>
    <x v="16"/>
    <x v="0"/>
    <x v="0"/>
    <n v="2.5"/>
    <m/>
    <m/>
    <m/>
    <m/>
    <s v="210035-51"/>
    <x v="16"/>
    <n v="5"/>
    <n v="2019"/>
    <n v="40"/>
    <s v="2019-40"/>
  </r>
  <r>
    <n v="1.1000000000000001"/>
    <m/>
    <x v="274"/>
    <x v="0"/>
    <s v="ksc - tunnel"/>
    <x v="57"/>
    <x v="15"/>
    <x v="0"/>
    <x v="0"/>
    <n v="7.5"/>
    <m/>
    <m/>
    <m/>
    <m/>
    <s v="268017-25 "/>
    <x v="15"/>
    <n v="1"/>
    <n v="2019"/>
    <n v="39"/>
    <s v="2019-39"/>
  </r>
  <r>
    <n v="1.1000000000000001"/>
    <m/>
    <x v="275"/>
    <x v="0"/>
    <s v="ksc - tunnel"/>
    <x v="57"/>
    <x v="15"/>
    <x v="0"/>
    <x v="0"/>
    <n v="7.5"/>
    <m/>
    <m/>
    <m/>
    <m/>
    <s v="268017-25 "/>
    <x v="15"/>
    <n v="2"/>
    <n v="2019"/>
    <n v="39"/>
    <s v="2019-39"/>
  </r>
  <r>
    <n v="1.1000000000000001"/>
    <m/>
    <x v="276"/>
    <x v="0"/>
    <s v="ksc - tunnel"/>
    <x v="57"/>
    <x v="15"/>
    <x v="0"/>
    <x v="0"/>
    <n v="7.5"/>
    <m/>
    <m/>
    <m/>
    <m/>
    <s v="268017-25 "/>
    <x v="15"/>
    <n v="3"/>
    <n v="2019"/>
    <n v="39"/>
    <s v="2019-39"/>
  </r>
  <r>
    <n v="1.1000000000000001"/>
    <m/>
    <x v="277"/>
    <x v="0"/>
    <s v="ksc - tunnel"/>
    <x v="57"/>
    <x v="15"/>
    <x v="0"/>
    <x v="0"/>
    <n v="7.5"/>
    <m/>
    <m/>
    <m/>
    <m/>
    <s v="268017-25 "/>
    <x v="15"/>
    <n v="4"/>
    <n v="2019"/>
    <n v="39"/>
    <s v="2019-39"/>
  </r>
  <r>
    <n v="1.1000000000000001"/>
    <m/>
    <x v="278"/>
    <x v="0"/>
    <s v="ksc - tunnel"/>
    <x v="57"/>
    <x v="15"/>
    <x v="0"/>
    <x v="0"/>
    <n v="7.5"/>
    <m/>
    <m/>
    <m/>
    <m/>
    <s v="268017-25 "/>
    <x v="15"/>
    <n v="5"/>
    <n v="2019"/>
    <n v="39"/>
    <s v="2019-39"/>
  </r>
  <r>
    <n v="0.10000000000000009"/>
    <m/>
    <x v="279"/>
    <x v="0"/>
    <s v="ksc - tunnel"/>
    <x v="58"/>
    <x v="15"/>
    <x v="0"/>
    <x v="0"/>
    <n v="7.5"/>
    <m/>
    <m/>
    <m/>
    <m/>
    <s v="268017-25 "/>
    <x v="15"/>
    <n v="1"/>
    <n v="2019"/>
    <n v="38"/>
    <s v="2019-38"/>
  </r>
  <r>
    <n v="0.10000000000000009"/>
    <m/>
    <x v="280"/>
    <x v="0"/>
    <s v="vbb - assessment"/>
    <x v="58"/>
    <x v="20"/>
    <x v="0"/>
    <x v="0"/>
    <n v="7.5"/>
    <m/>
    <m/>
    <m/>
    <m/>
    <s v="265720-20"/>
    <x v="20"/>
    <n v="2"/>
    <n v="2019"/>
    <n v="38"/>
    <s v="2019-38"/>
  </r>
  <r>
    <n v="0.10000000000000009"/>
    <m/>
    <x v="281"/>
    <x v="0"/>
    <s v="vbb 3rd - new bridge"/>
    <x v="58"/>
    <x v="16"/>
    <x v="0"/>
    <x v="0"/>
    <n v="7.5"/>
    <m/>
    <m/>
    <m/>
    <m/>
    <s v="210035-51"/>
    <x v="16"/>
    <n v="3"/>
    <n v="2019"/>
    <n v="38"/>
    <s v="2019-38"/>
  </r>
  <r>
    <n v="0.10000000000000009"/>
    <m/>
    <x v="282"/>
    <x v="0"/>
    <s v="vbb 3rd - new bridge"/>
    <x v="58"/>
    <x v="16"/>
    <x v="0"/>
    <x v="0"/>
    <n v="7.5"/>
    <m/>
    <m/>
    <m/>
    <m/>
    <s v="210035-51"/>
    <x v="16"/>
    <n v="4"/>
    <n v="2019"/>
    <n v="38"/>
    <s v="2019-38"/>
  </r>
  <r>
    <n v="0.10000000000000009"/>
    <m/>
    <x v="283"/>
    <x v="0"/>
    <s v="vbb - assessment"/>
    <x v="58"/>
    <x v="20"/>
    <x v="0"/>
    <x v="0"/>
    <n v="7.5"/>
    <m/>
    <m/>
    <m/>
    <m/>
    <s v="265720-20"/>
    <x v="20"/>
    <n v="5"/>
    <n v="2019"/>
    <n v="38"/>
    <s v="2019-38"/>
  </r>
  <r>
    <n v="1.1000000000000001"/>
    <m/>
    <x v="284"/>
    <x v="0"/>
    <s v="leave"/>
    <x v="59"/>
    <x v="5"/>
    <x v="0"/>
    <x v="0"/>
    <n v="7.5"/>
    <m/>
    <m/>
    <m/>
    <m/>
    <s v="LEAVE"/>
    <x v="5"/>
    <n v="5"/>
    <n v="2019"/>
    <n v="37"/>
    <s v="2019-37"/>
  </r>
  <r>
    <n v="1.1000000000000001"/>
    <m/>
    <x v="285"/>
    <x v="0"/>
    <s v="leave"/>
    <x v="59"/>
    <x v="5"/>
    <x v="0"/>
    <x v="0"/>
    <n v="7.5"/>
    <m/>
    <m/>
    <m/>
    <m/>
    <s v="LEAVE"/>
    <x v="5"/>
    <n v="4"/>
    <n v="2019"/>
    <n v="37"/>
    <s v="2019-37"/>
  </r>
  <r>
    <n v="1.1000000000000001"/>
    <m/>
    <x v="286"/>
    <x v="0"/>
    <s v="leave"/>
    <x v="59"/>
    <x v="5"/>
    <x v="0"/>
    <x v="0"/>
    <n v="7.5"/>
    <m/>
    <m/>
    <m/>
    <m/>
    <s v="LEAVE"/>
    <x v="5"/>
    <n v="3"/>
    <n v="2019"/>
    <n v="37"/>
    <s v="2019-37"/>
  </r>
  <r>
    <n v="1.1000000000000001"/>
    <m/>
    <x v="287"/>
    <x v="0"/>
    <s v="leave"/>
    <x v="59"/>
    <x v="5"/>
    <x v="0"/>
    <x v="0"/>
    <n v="7.5"/>
    <m/>
    <m/>
    <m/>
    <m/>
    <s v="LEAVE"/>
    <x v="5"/>
    <n v="2"/>
    <n v="2019"/>
    <n v="37"/>
    <s v="2019-37"/>
  </r>
  <r>
    <n v="1.1000000000000001"/>
    <m/>
    <x v="288"/>
    <x v="0"/>
    <s v="leave"/>
    <x v="59"/>
    <x v="5"/>
    <x v="0"/>
    <x v="0"/>
    <n v="7.5"/>
    <m/>
    <m/>
    <m/>
    <m/>
    <s v="LEAVE"/>
    <x v="5"/>
    <n v="1"/>
    <n v="2019"/>
    <n v="37"/>
    <s v="2019-37"/>
  </r>
  <r>
    <n v="0.10000000000000009"/>
    <m/>
    <x v="289"/>
    <x v="0"/>
    <s v="leave"/>
    <x v="60"/>
    <x v="5"/>
    <x v="0"/>
    <x v="0"/>
    <n v="7.5"/>
    <m/>
    <m/>
    <m/>
    <m/>
    <s v="LEAVE"/>
    <x v="5"/>
    <n v="5"/>
    <n v="2019"/>
    <n v="36"/>
    <s v="2019-36"/>
  </r>
  <r>
    <n v="0.10000000000000009"/>
    <m/>
    <x v="290"/>
    <x v="0"/>
    <s v="leave"/>
    <x v="60"/>
    <x v="5"/>
    <x v="0"/>
    <x v="0"/>
    <n v="7.5"/>
    <m/>
    <m/>
    <m/>
    <m/>
    <s v="LEAVE"/>
    <x v="5"/>
    <n v="4"/>
    <n v="2019"/>
    <n v="36"/>
    <s v="2019-36"/>
  </r>
  <r>
    <n v="0.10000000000000009"/>
    <m/>
    <x v="291"/>
    <x v="0"/>
    <s v="leave"/>
    <x v="60"/>
    <x v="5"/>
    <x v="0"/>
    <x v="0"/>
    <n v="7.5"/>
    <m/>
    <m/>
    <m/>
    <m/>
    <s v="LEAVE"/>
    <x v="5"/>
    <n v="3"/>
    <n v="2019"/>
    <n v="36"/>
    <s v="2019-36"/>
  </r>
  <r>
    <n v="0.10000000000000009"/>
    <m/>
    <x v="292"/>
    <x v="0"/>
    <s v="leave"/>
    <x v="60"/>
    <x v="5"/>
    <x v="0"/>
    <x v="0"/>
    <n v="7.5"/>
    <m/>
    <m/>
    <m/>
    <m/>
    <s v="LEAVE"/>
    <x v="5"/>
    <n v="2"/>
    <n v="2019"/>
    <n v="36"/>
    <s v="2019-36"/>
  </r>
  <r>
    <n v="0.10000000000000009"/>
    <m/>
    <x v="293"/>
    <x v="0"/>
    <s v="bank holiday"/>
    <x v="60"/>
    <x v="11"/>
    <x v="0"/>
    <x v="0"/>
    <n v="7.5"/>
    <m/>
    <m/>
    <m/>
    <m/>
    <s v="BANK HOLIDAY"/>
    <x v="11"/>
    <n v="1"/>
    <n v="2019"/>
    <n v="36"/>
    <s v="2019-36"/>
  </r>
  <r>
    <n v="1.1000000000000001"/>
    <m/>
    <x v="294"/>
    <x v="0"/>
    <s v="vbb 3rd - new bridge"/>
    <x v="61"/>
    <x v="16"/>
    <x v="0"/>
    <x v="0"/>
    <n v="7.5"/>
    <m/>
    <m/>
    <m/>
    <m/>
    <s v="210035-51"/>
    <x v="16"/>
    <n v="1"/>
    <n v="2019"/>
    <n v="35"/>
    <s v="2019-35"/>
  </r>
  <r>
    <n v="1.1000000000000001"/>
    <m/>
    <x v="295"/>
    <x v="0"/>
    <s v="vbb - assessment"/>
    <x v="61"/>
    <x v="20"/>
    <x v="0"/>
    <x v="0"/>
    <n v="7.5"/>
    <m/>
    <m/>
    <m/>
    <m/>
    <s v="265720-20"/>
    <x v="20"/>
    <n v="2"/>
    <n v="2019"/>
    <n v="35"/>
    <s v="2019-35"/>
  </r>
  <r>
    <n v="1.1000000000000001"/>
    <m/>
    <x v="296"/>
    <x v="0"/>
    <s v="vbb - assessment"/>
    <x v="61"/>
    <x v="20"/>
    <x v="0"/>
    <x v="0"/>
    <n v="2"/>
    <m/>
    <m/>
    <m/>
    <m/>
    <s v="265720-20"/>
    <x v="20"/>
    <n v="3"/>
    <n v="2019"/>
    <n v="35"/>
    <s v="2019-35"/>
  </r>
  <r>
    <n v="1.1000000000000001"/>
    <m/>
    <x v="296"/>
    <x v="0"/>
    <s v="vbb 3rd - new bridge"/>
    <x v="61"/>
    <x v="16"/>
    <x v="0"/>
    <x v="0"/>
    <n v="5.5"/>
    <m/>
    <m/>
    <m/>
    <m/>
    <s v="210035-51"/>
    <x v="16"/>
    <n v="3"/>
    <n v="2019"/>
    <n v="35"/>
    <s v="2019-35"/>
  </r>
  <r>
    <n v="1.1000000000000001"/>
    <m/>
    <x v="297"/>
    <x v="0"/>
    <s v="vbb 3rd - new bridge"/>
    <x v="61"/>
    <x v="16"/>
    <x v="0"/>
    <x v="0"/>
    <n v="5.5"/>
    <m/>
    <m/>
    <m/>
    <m/>
    <s v="210035-51"/>
    <x v="16"/>
    <n v="4"/>
    <n v="2019"/>
    <n v="35"/>
    <s v="2019-35"/>
  </r>
  <r>
    <n v="1.1000000000000001"/>
    <m/>
    <x v="297"/>
    <x v="0"/>
    <s v="vbb - assessment"/>
    <x v="61"/>
    <x v="20"/>
    <x v="0"/>
    <x v="0"/>
    <n v="2"/>
    <m/>
    <m/>
    <m/>
    <m/>
    <s v="265720-20"/>
    <x v="20"/>
    <n v="4"/>
    <n v="2019"/>
    <n v="35"/>
    <s v="2019-35"/>
  </r>
  <r>
    <n v="1.1000000000000001"/>
    <m/>
    <x v="298"/>
    <x v="0"/>
    <s v="vbb - assessment"/>
    <x v="61"/>
    <x v="20"/>
    <x v="0"/>
    <x v="0"/>
    <n v="7.5"/>
    <m/>
    <m/>
    <m/>
    <m/>
    <s v="265720-20"/>
    <x v="20"/>
    <n v="5"/>
    <n v="2019"/>
    <n v="35"/>
    <s v="2019-35"/>
  </r>
  <r>
    <n v="0.10000000000000009"/>
    <m/>
    <x v="299"/>
    <x v="0"/>
    <s v="vbb 3rd - new bridge"/>
    <x v="62"/>
    <x v="16"/>
    <x v="0"/>
    <x v="0"/>
    <n v="7.5"/>
    <m/>
    <m/>
    <m/>
    <m/>
    <s v="210035-51"/>
    <x v="16"/>
    <n v="1"/>
    <n v="2019"/>
    <n v="34"/>
    <s v="2019-34"/>
  </r>
  <r>
    <n v="0.10000000000000009"/>
    <m/>
    <x v="300"/>
    <x v="0"/>
    <s v="vbb 3rd - new bridge"/>
    <x v="62"/>
    <x v="16"/>
    <x v="0"/>
    <x v="0"/>
    <n v="3.75"/>
    <m/>
    <m/>
    <m/>
    <m/>
    <s v="210035-51"/>
    <x v="16"/>
    <n v="2"/>
    <n v="2019"/>
    <n v="34"/>
    <s v="2019-34"/>
  </r>
  <r>
    <n v="0.10000000000000009"/>
    <m/>
    <x v="300"/>
    <x v="0"/>
    <s v="leave"/>
    <x v="62"/>
    <x v="5"/>
    <x v="0"/>
    <x v="0"/>
    <n v="3.75"/>
    <m/>
    <m/>
    <m/>
    <m/>
    <s v="LEAVE"/>
    <x v="5"/>
    <n v="2"/>
    <n v="2019"/>
    <n v="34"/>
    <s v="2019-34"/>
  </r>
  <r>
    <n v="0.10000000000000009"/>
    <m/>
    <x v="301"/>
    <x v="0"/>
    <s v="vbb 3rd - new bridge"/>
    <x v="62"/>
    <x v="16"/>
    <x v="0"/>
    <x v="0"/>
    <n v="5.5"/>
    <m/>
    <m/>
    <m/>
    <m/>
    <s v="210035-51"/>
    <x v="16"/>
    <n v="3"/>
    <n v="2019"/>
    <n v="34"/>
    <s v="2019-34"/>
  </r>
  <r>
    <n v="0.10000000000000009"/>
    <m/>
    <x v="301"/>
    <x v="0"/>
    <s v="vbb 3rd - new bridge"/>
    <x v="62"/>
    <x v="16"/>
    <x v="0"/>
    <x v="0"/>
    <n v="2"/>
    <m/>
    <m/>
    <m/>
    <m/>
    <s v="210035-51"/>
    <x v="16"/>
    <n v="3"/>
    <n v="2019"/>
    <n v="34"/>
    <s v="2019-34"/>
  </r>
  <r>
    <n v="0.10000000000000009"/>
    <m/>
    <x v="302"/>
    <x v="0"/>
    <s v="vbb - assessment"/>
    <x v="62"/>
    <x v="20"/>
    <x v="0"/>
    <x v="0"/>
    <n v="7.5"/>
    <m/>
    <m/>
    <m/>
    <m/>
    <s v="265720-20"/>
    <x v="20"/>
    <n v="4"/>
    <n v="2019"/>
    <n v="34"/>
    <s v="2019-34"/>
  </r>
  <r>
    <n v="0.10000000000000009"/>
    <m/>
    <x v="303"/>
    <x v="0"/>
    <s v="vbb - assessment"/>
    <x v="62"/>
    <x v="20"/>
    <x v="0"/>
    <x v="0"/>
    <n v="3.75"/>
    <m/>
    <m/>
    <m/>
    <m/>
    <s v="265720-20"/>
    <x v="20"/>
    <n v="5"/>
    <n v="2019"/>
    <n v="34"/>
    <s v="2019-34"/>
  </r>
  <r>
    <n v="0.10000000000000009"/>
    <m/>
    <x v="303"/>
    <x v="0"/>
    <s v="leave"/>
    <x v="62"/>
    <x v="5"/>
    <x v="0"/>
    <x v="0"/>
    <n v="3.75"/>
    <m/>
    <m/>
    <m/>
    <m/>
    <s v="LEAVE"/>
    <x v="5"/>
    <n v="5"/>
    <n v="2019"/>
    <n v="34"/>
    <s v="2019-34"/>
  </r>
  <r>
    <n v="1.1000000000000001"/>
    <m/>
    <x v="304"/>
    <x v="0"/>
    <s v="vbb - assessment"/>
    <x v="63"/>
    <x v="20"/>
    <x v="0"/>
    <x v="0"/>
    <m/>
    <m/>
    <m/>
    <m/>
    <m/>
    <s v="265720-20"/>
    <x v="20"/>
    <n v="1"/>
    <n v="2019"/>
    <n v="33"/>
    <s v="2019-33"/>
  </r>
  <r>
    <n v="1.1000000000000001"/>
    <m/>
    <x v="305"/>
    <x v="0"/>
    <s v="vbb 3rd - new bridge"/>
    <x v="63"/>
    <x v="16"/>
    <x v="0"/>
    <x v="0"/>
    <m/>
    <m/>
    <m/>
    <m/>
    <m/>
    <s v="210035-51"/>
    <x v="16"/>
    <n v="2"/>
    <n v="2019"/>
    <n v="33"/>
    <s v="2019-33"/>
  </r>
  <r>
    <n v="1.1000000000000001"/>
    <m/>
    <x v="306"/>
    <x v="0"/>
    <s v="vbb 3rd - new bridge"/>
    <x v="63"/>
    <x v="16"/>
    <x v="0"/>
    <x v="0"/>
    <m/>
    <m/>
    <m/>
    <m/>
    <m/>
    <s v="210035-51"/>
    <x v="16"/>
    <n v="3"/>
    <n v="2019"/>
    <n v="33"/>
    <s v="2019-33"/>
  </r>
  <r>
    <n v="1.1000000000000001"/>
    <m/>
    <x v="307"/>
    <x v="0"/>
    <s v="vbb 3rd - new bridge"/>
    <x v="63"/>
    <x v="16"/>
    <x v="0"/>
    <x v="0"/>
    <m/>
    <m/>
    <m/>
    <m/>
    <m/>
    <s v="210035-51"/>
    <x v="16"/>
    <n v="4"/>
    <n v="2019"/>
    <n v="33"/>
    <s v="2019-33"/>
  </r>
  <r>
    <n v="1.1000000000000001"/>
    <m/>
    <x v="308"/>
    <x v="0"/>
    <s v="vbb - assessment"/>
    <x v="63"/>
    <x v="20"/>
    <x v="0"/>
    <x v="0"/>
    <m/>
    <m/>
    <m/>
    <m/>
    <m/>
    <s v="265720-20"/>
    <x v="20"/>
    <n v="5"/>
    <n v="2019"/>
    <n v="33"/>
    <s v="2019-33"/>
  </r>
  <r>
    <n v="0.10000000000000009"/>
    <m/>
    <x v="309"/>
    <x v="0"/>
    <s v="vbb 3rd - new bridge"/>
    <x v="64"/>
    <x v="16"/>
    <x v="0"/>
    <x v="0"/>
    <n v="7.5"/>
    <m/>
    <m/>
    <m/>
    <m/>
    <s v="210035-51"/>
    <x v="16"/>
    <n v="1"/>
    <n v="2019"/>
    <n v="32"/>
    <s v="2019-32"/>
  </r>
  <r>
    <n v="0.10000000000000009"/>
    <m/>
    <x v="310"/>
    <x v="0"/>
    <s v="vbb - assessment"/>
    <x v="64"/>
    <x v="20"/>
    <x v="0"/>
    <x v="0"/>
    <n v="7.5"/>
    <m/>
    <m/>
    <m/>
    <m/>
    <s v="265720-20"/>
    <x v="20"/>
    <n v="2"/>
    <n v="2019"/>
    <n v="32"/>
    <s v="2019-32"/>
  </r>
  <r>
    <n v="0.10000000000000009"/>
    <m/>
    <x v="311"/>
    <x v="0"/>
    <s v="vbb - assessment"/>
    <x v="64"/>
    <x v="20"/>
    <x v="0"/>
    <x v="0"/>
    <n v="7.5"/>
    <m/>
    <m/>
    <m/>
    <m/>
    <s v="265720-20"/>
    <x v="20"/>
    <n v="3"/>
    <n v="2019"/>
    <n v="32"/>
    <s v="2019-32"/>
  </r>
  <r>
    <n v="0.10000000000000009"/>
    <m/>
    <x v="312"/>
    <x v="0"/>
    <s v="vbb 3rd - new bridge"/>
    <x v="64"/>
    <x v="16"/>
    <x v="0"/>
    <x v="0"/>
    <n v="7.5"/>
    <m/>
    <m/>
    <m/>
    <m/>
    <s v="210035-51"/>
    <x v="16"/>
    <n v="4"/>
    <n v="2019"/>
    <n v="32"/>
    <s v="2019-32"/>
  </r>
  <r>
    <n v="0.10000000000000009"/>
    <m/>
    <x v="313"/>
    <x v="0"/>
    <s v="leave"/>
    <x v="64"/>
    <x v="5"/>
    <x v="0"/>
    <x v="0"/>
    <n v="7.5"/>
    <m/>
    <m/>
    <m/>
    <m/>
    <s v="LEAVE"/>
    <x v="5"/>
    <n v="5"/>
    <n v="2019"/>
    <n v="32"/>
    <s v="2019-32"/>
  </r>
  <r>
    <n v="1.1000000000000001"/>
    <m/>
    <x v="314"/>
    <x v="0"/>
    <s v="bcs - resource 2019"/>
    <x v="65"/>
    <x v="22"/>
    <x v="0"/>
    <x v="0"/>
    <n v="2.5"/>
    <m/>
    <m/>
    <m/>
    <m/>
    <s v="074097-30"/>
    <x v="22"/>
    <n v="1"/>
    <n v="2019"/>
    <n v="31"/>
    <s v="2019-31"/>
  </r>
  <r>
    <n v="1.1000000000000001"/>
    <m/>
    <x v="314"/>
    <x v="0"/>
    <s v="vbb - assessment"/>
    <x v="65"/>
    <x v="20"/>
    <x v="0"/>
    <x v="0"/>
    <n v="5"/>
    <m/>
    <m/>
    <m/>
    <m/>
    <s v="265720-20"/>
    <x v="20"/>
    <n v="1"/>
    <n v="2019"/>
    <n v="31"/>
    <s v="2019-31"/>
  </r>
  <r>
    <n v="1.1000000000000001"/>
    <m/>
    <x v="315"/>
    <x v="0"/>
    <s v="vbb 3rd - new bridge"/>
    <x v="65"/>
    <x v="16"/>
    <x v="0"/>
    <x v="0"/>
    <n v="7.5"/>
    <m/>
    <m/>
    <m/>
    <m/>
    <s v="210035-51"/>
    <x v="16"/>
    <n v="2"/>
    <n v="2019"/>
    <n v="31"/>
    <s v="2019-31"/>
  </r>
  <r>
    <n v="1.1000000000000001"/>
    <m/>
    <x v="316"/>
    <x v="0"/>
    <s v="brisa"/>
    <x v="65"/>
    <x v="23"/>
    <x v="0"/>
    <x v="0"/>
    <n v="7.5"/>
    <m/>
    <m/>
    <m/>
    <m/>
    <s v="268268-00"/>
    <x v="23"/>
    <n v="3"/>
    <n v="2019"/>
    <n v="31"/>
    <s v="2019-31"/>
  </r>
  <r>
    <n v="1.1000000000000001"/>
    <m/>
    <x v="317"/>
    <x v="0"/>
    <s v="brisa"/>
    <x v="65"/>
    <x v="23"/>
    <x v="0"/>
    <x v="0"/>
    <n v="7.5"/>
    <m/>
    <m/>
    <m/>
    <m/>
    <s v="268268-00"/>
    <x v="23"/>
    <n v="4"/>
    <n v="2019"/>
    <n v="31"/>
    <s v="2019-31"/>
  </r>
  <r>
    <n v="1.1000000000000001"/>
    <m/>
    <x v="318"/>
    <x v="0"/>
    <s v="brisa"/>
    <x v="65"/>
    <x v="23"/>
    <x v="0"/>
    <x v="0"/>
    <n v="7.5"/>
    <m/>
    <m/>
    <m/>
    <m/>
    <s v="268268-00"/>
    <x v="23"/>
    <n v="5"/>
    <n v="2019"/>
    <n v="31"/>
    <s v="2019-31"/>
  </r>
  <r>
    <n v="0.10000000000000009"/>
    <m/>
    <x v="319"/>
    <x v="0"/>
    <s v="bcs - resource 2019"/>
    <x v="66"/>
    <x v="22"/>
    <x v="0"/>
    <x v="0"/>
    <n v="2.5"/>
    <m/>
    <m/>
    <m/>
    <m/>
    <s v="074097-30"/>
    <x v="22"/>
    <n v="1"/>
    <n v="2019"/>
    <n v="30"/>
    <s v="2019-30"/>
  </r>
  <r>
    <n v="0.10000000000000009"/>
    <m/>
    <x v="319"/>
    <x v="0"/>
    <s v="vbb 3rd - new bridge"/>
    <x v="66"/>
    <x v="16"/>
    <x v="0"/>
    <x v="0"/>
    <n v="5"/>
    <m/>
    <m/>
    <m/>
    <m/>
    <s v="210035-51"/>
    <x v="16"/>
    <n v="1"/>
    <n v="2019"/>
    <n v="30"/>
    <s v="2019-30"/>
  </r>
  <r>
    <n v="0.10000000000000009"/>
    <m/>
    <x v="320"/>
    <x v="0"/>
    <s v="vbb - assessment"/>
    <x v="66"/>
    <x v="20"/>
    <x v="0"/>
    <x v="0"/>
    <n v="5"/>
    <m/>
    <m/>
    <m/>
    <m/>
    <s v="265720-20"/>
    <x v="20"/>
    <n v="2"/>
    <n v="2019"/>
    <n v="30"/>
    <s v="2019-30"/>
  </r>
  <r>
    <n v="0.10000000000000009"/>
    <m/>
    <x v="320"/>
    <x v="0"/>
    <s v="vbb 3rd - new bridge"/>
    <x v="66"/>
    <x v="16"/>
    <x v="0"/>
    <x v="0"/>
    <n v="2.5"/>
    <m/>
    <m/>
    <m/>
    <m/>
    <s v="210035-51"/>
    <x v="16"/>
    <n v="2"/>
    <n v="2019"/>
    <n v="30"/>
    <s v="2019-30"/>
  </r>
  <r>
    <n v="0.10000000000000009"/>
    <m/>
    <x v="321"/>
    <x v="0"/>
    <s v="bcs - promotional"/>
    <x v="66"/>
    <x v="24"/>
    <x v="0"/>
    <x v="0"/>
    <n v="2.5"/>
    <m/>
    <m/>
    <m/>
    <m/>
    <s v="071945-07"/>
    <x v="24"/>
    <n v="3"/>
    <n v="2019"/>
    <n v="30"/>
    <s v="2019-30"/>
  </r>
  <r>
    <n v="0.10000000000000009"/>
    <m/>
    <x v="321"/>
    <x v="0"/>
    <s v="vbb 3rd - new bridge"/>
    <x v="66"/>
    <x v="16"/>
    <x v="0"/>
    <x v="0"/>
    <n v="2.5"/>
    <m/>
    <m/>
    <m/>
    <m/>
    <s v="210035-51"/>
    <x v="16"/>
    <n v="3"/>
    <n v="2019"/>
    <n v="30"/>
    <s v="2019-30"/>
  </r>
  <r>
    <n v="0.10000000000000009"/>
    <m/>
    <x v="321"/>
    <x v="0"/>
    <s v="vbb 3rd - new bridge"/>
    <x v="66"/>
    <x v="16"/>
    <x v="0"/>
    <x v="0"/>
    <n v="1"/>
    <m/>
    <m/>
    <m/>
    <m/>
    <s v="210035-51"/>
    <x v="16"/>
    <n v="3"/>
    <n v="2019"/>
    <n v="30"/>
    <s v="2019-30"/>
  </r>
  <r>
    <n v="0.10000000000000009"/>
    <m/>
    <x v="321"/>
    <x v="0"/>
    <s v="vbb - assessment"/>
    <x v="66"/>
    <x v="20"/>
    <x v="0"/>
    <x v="0"/>
    <n v="1.5"/>
    <m/>
    <m/>
    <m/>
    <m/>
    <s v="265720-20"/>
    <x v="20"/>
    <n v="3"/>
    <n v="2019"/>
    <n v="30"/>
    <s v="2019-30"/>
  </r>
  <r>
    <n v="0.10000000000000009"/>
    <m/>
    <x v="322"/>
    <x v="0"/>
    <s v="vbb - assessment"/>
    <x v="66"/>
    <x v="20"/>
    <x v="0"/>
    <x v="0"/>
    <n v="7.5"/>
    <m/>
    <m/>
    <m/>
    <m/>
    <s v="265720-20"/>
    <x v="20"/>
    <n v="4"/>
    <n v="2019"/>
    <n v="30"/>
    <s v="2019-30"/>
  </r>
  <r>
    <n v="0.10000000000000009"/>
    <m/>
    <x v="323"/>
    <x v="0"/>
    <s v="leave"/>
    <x v="66"/>
    <x v="5"/>
    <x v="0"/>
    <x v="0"/>
    <n v="7.5"/>
    <m/>
    <m/>
    <m/>
    <m/>
    <s v="LEAVE"/>
    <x v="5"/>
    <n v="5"/>
    <n v="2019"/>
    <n v="30"/>
    <s v="2019-30"/>
  </r>
  <r>
    <n v="1.1000000000000001"/>
    <m/>
    <x v="324"/>
    <x v="0"/>
    <s v="leave"/>
    <x v="67"/>
    <x v="5"/>
    <x v="0"/>
    <x v="0"/>
    <n v="7.5"/>
    <m/>
    <m/>
    <m/>
    <m/>
    <s v="LEAVE"/>
    <x v="5"/>
    <n v="1"/>
    <n v="2019"/>
    <n v="29"/>
    <s v="2019-29"/>
  </r>
  <r>
    <n v="1.1000000000000001"/>
    <m/>
    <x v="325"/>
    <x v="0"/>
    <s v="vbb - assessment"/>
    <x v="67"/>
    <x v="20"/>
    <x v="0"/>
    <x v="0"/>
    <n v="7.5"/>
    <m/>
    <m/>
    <m/>
    <m/>
    <s v="265720-20"/>
    <x v="20"/>
    <n v="2"/>
    <n v="2019"/>
    <n v="29"/>
    <s v="2019-29"/>
  </r>
  <r>
    <n v="1.1000000000000001"/>
    <m/>
    <x v="326"/>
    <x v="0"/>
    <s v="vbb 3rd - new bridge"/>
    <x v="67"/>
    <x v="16"/>
    <x v="0"/>
    <x v="0"/>
    <n v="2"/>
    <m/>
    <m/>
    <m/>
    <m/>
    <s v="210035-51"/>
    <x v="16"/>
    <n v="3"/>
    <n v="2019"/>
    <n v="29"/>
    <s v="2019-29"/>
  </r>
  <r>
    <n v="1.1000000000000001"/>
    <m/>
    <x v="326"/>
    <x v="0"/>
    <s v="hcc - lower kings rd"/>
    <x v="67"/>
    <x v="9"/>
    <x v="0"/>
    <x v="0"/>
    <n v="1"/>
    <m/>
    <m/>
    <m/>
    <m/>
    <s v="255670-17"/>
    <x v="9"/>
    <n v="3"/>
    <n v="2019"/>
    <n v="29"/>
    <s v="2019-29"/>
  </r>
  <r>
    <n v="1.1000000000000001"/>
    <m/>
    <x v="326"/>
    <x v="0"/>
    <s v="vbb - assessment"/>
    <x v="67"/>
    <x v="20"/>
    <x v="0"/>
    <x v="0"/>
    <n v="4.5"/>
    <m/>
    <m/>
    <m/>
    <m/>
    <s v="265720-20"/>
    <x v="20"/>
    <n v="3"/>
    <n v="2019"/>
    <n v="29"/>
    <s v="2019-29"/>
  </r>
  <r>
    <n v="1.1000000000000001"/>
    <m/>
    <x v="327"/>
    <x v="0"/>
    <s v="vbb 3rd - new bridge"/>
    <x v="67"/>
    <x v="16"/>
    <x v="0"/>
    <x v="0"/>
    <n v="3.75"/>
    <m/>
    <m/>
    <m/>
    <m/>
    <s v="210035-51"/>
    <x v="16"/>
    <n v="4"/>
    <n v="2019"/>
    <n v="29"/>
    <s v="2019-29"/>
  </r>
  <r>
    <n v="1.1000000000000001"/>
    <m/>
    <x v="327"/>
    <x v="0"/>
    <s v="vbb - assessment"/>
    <x v="67"/>
    <x v="20"/>
    <x v="0"/>
    <x v="0"/>
    <n v="3.75"/>
    <m/>
    <m/>
    <m/>
    <m/>
    <s v="265720-20"/>
    <x v="20"/>
    <n v="4"/>
    <n v="2019"/>
    <n v="29"/>
    <s v="2019-29"/>
  </r>
  <r>
    <n v="1.1000000000000001"/>
    <m/>
    <x v="328"/>
    <x v="0"/>
    <s v="vbb 3rd - new bridge"/>
    <x v="67"/>
    <x v="16"/>
    <x v="0"/>
    <x v="0"/>
    <n v="3.75"/>
    <m/>
    <m/>
    <m/>
    <m/>
    <s v="210035-51"/>
    <x v="16"/>
    <n v="5"/>
    <n v="2019"/>
    <n v="29"/>
    <s v="2019-29"/>
  </r>
  <r>
    <n v="1.1000000000000001"/>
    <m/>
    <x v="328"/>
    <x v="0"/>
    <s v="vbb - assessment"/>
    <x v="67"/>
    <x v="20"/>
    <x v="0"/>
    <x v="0"/>
    <n v="3.75"/>
    <m/>
    <m/>
    <m/>
    <m/>
    <s v="265720-20"/>
    <x v="20"/>
    <n v="5"/>
    <n v="2019"/>
    <n v="29"/>
    <s v="2019-29"/>
  </r>
  <r>
    <n v="0.10000000000000009"/>
    <m/>
    <x v="329"/>
    <x v="0"/>
    <s v="cp - assessment"/>
    <x v="68"/>
    <x v="25"/>
    <x v="0"/>
    <x v="0"/>
    <n v="3.5"/>
    <m/>
    <m/>
    <m/>
    <m/>
    <s v="215526-27"/>
    <x v="25"/>
    <n v="1"/>
    <n v="2019"/>
    <n v="28"/>
    <s v="2019-28"/>
  </r>
  <r>
    <n v="0.10000000000000009"/>
    <m/>
    <x v="329"/>
    <x v="0"/>
    <s v="hcc - lower kings rd"/>
    <x v="68"/>
    <x v="9"/>
    <x v="0"/>
    <x v="0"/>
    <n v="4"/>
    <m/>
    <m/>
    <m/>
    <m/>
    <s v="255670-17"/>
    <x v="9"/>
    <n v="1"/>
    <n v="2019"/>
    <n v="28"/>
    <s v="2019-28"/>
  </r>
  <r>
    <n v="0.10000000000000009"/>
    <m/>
    <x v="330"/>
    <x v="0"/>
    <s v="vbb - assessment"/>
    <x v="68"/>
    <x v="20"/>
    <x v="0"/>
    <x v="0"/>
    <n v="3.75"/>
    <m/>
    <m/>
    <m/>
    <m/>
    <s v="265720-20"/>
    <x v="20"/>
    <n v="2"/>
    <n v="2019"/>
    <n v="28"/>
    <s v="2019-28"/>
  </r>
  <r>
    <n v="0.10000000000000009"/>
    <m/>
    <x v="330"/>
    <x v="0"/>
    <s v="bcs - promotional"/>
    <x v="68"/>
    <x v="24"/>
    <x v="0"/>
    <x v="0"/>
    <n v="3.75"/>
    <m/>
    <m/>
    <m/>
    <m/>
    <s v="071945-07"/>
    <x v="24"/>
    <n v="2"/>
    <n v="2019"/>
    <n v="28"/>
    <s v="2019-28"/>
  </r>
  <r>
    <n v="0.10000000000000009"/>
    <m/>
    <x v="331"/>
    <x v="0"/>
    <s v="vbb - assessment"/>
    <x v="68"/>
    <x v="20"/>
    <x v="0"/>
    <x v="0"/>
    <n v="7.5"/>
    <m/>
    <m/>
    <m/>
    <m/>
    <s v="265720-20"/>
    <x v="20"/>
    <n v="3"/>
    <n v="2019"/>
    <n v="28"/>
    <s v="2019-28"/>
  </r>
  <r>
    <n v="0.10000000000000009"/>
    <m/>
    <x v="332"/>
    <x v="0"/>
    <s v="vbb - assessment"/>
    <x v="68"/>
    <x v="20"/>
    <x v="0"/>
    <x v="0"/>
    <n v="3.75"/>
    <m/>
    <m/>
    <m/>
    <m/>
    <s v="265720-20"/>
    <x v="20"/>
    <n v="4"/>
    <n v="2019"/>
    <n v="28"/>
    <s v="2019-28"/>
  </r>
  <r>
    <n v="0.10000000000000009"/>
    <m/>
    <x v="332"/>
    <x v="0"/>
    <s v="vbb - assessment"/>
    <x v="68"/>
    <x v="20"/>
    <x v="0"/>
    <x v="0"/>
    <n v="1.5"/>
    <m/>
    <m/>
    <m/>
    <m/>
    <s v="265720-20"/>
    <x v="20"/>
    <n v="4"/>
    <n v="2019"/>
    <n v="28"/>
    <s v="2019-28"/>
  </r>
  <r>
    <n v="0.10000000000000009"/>
    <m/>
    <x v="332"/>
    <x v="0"/>
    <s v="vbb - assessment"/>
    <x v="68"/>
    <x v="20"/>
    <x v="0"/>
    <x v="0"/>
    <n v="2.25"/>
    <m/>
    <m/>
    <m/>
    <m/>
    <s v="265720-20"/>
    <x v="20"/>
    <n v="4"/>
    <n v="2019"/>
    <n v="28"/>
    <s v="2019-28"/>
  </r>
  <r>
    <n v="0.10000000000000009"/>
    <m/>
    <x v="333"/>
    <x v="0"/>
    <s v="vbb 3rd - new bridge"/>
    <x v="68"/>
    <x v="16"/>
    <x v="0"/>
    <x v="0"/>
    <n v="5.5"/>
    <m/>
    <m/>
    <m/>
    <m/>
    <s v="210035-51"/>
    <x v="16"/>
    <n v="5"/>
    <n v="2019"/>
    <n v="28"/>
    <s v="2019-28"/>
  </r>
  <r>
    <n v="0.10000000000000009"/>
    <m/>
    <x v="333"/>
    <x v="0"/>
    <s v="vbb - assessment"/>
    <x v="68"/>
    <x v="20"/>
    <x v="0"/>
    <x v="0"/>
    <n v="2"/>
    <m/>
    <m/>
    <m/>
    <m/>
    <s v="265720-20"/>
    <x v="20"/>
    <n v="5"/>
    <n v="2019"/>
    <n v="28"/>
    <s v="2019-28"/>
  </r>
  <r>
    <n v="1.1000000000000001"/>
    <m/>
    <x v="334"/>
    <x v="0"/>
    <s v="vbb - design basis"/>
    <x v="69"/>
    <x v="26"/>
    <x v="0"/>
    <x v="0"/>
    <n v="7.5"/>
    <m/>
    <m/>
    <m/>
    <m/>
    <s v="265720-10"/>
    <x v="26"/>
    <n v="1"/>
    <n v="2019"/>
    <n v="27"/>
    <s v="2019-27"/>
  </r>
  <r>
    <n v="1.1000000000000001"/>
    <m/>
    <x v="335"/>
    <x v="0"/>
    <s v="vbb - design basis"/>
    <x v="69"/>
    <x v="26"/>
    <x v="0"/>
    <x v="0"/>
    <n v="7.5"/>
    <m/>
    <m/>
    <m/>
    <m/>
    <s v="265720-10"/>
    <x v="26"/>
    <n v="2"/>
    <n v="2019"/>
    <n v="27"/>
    <s v="2019-27"/>
  </r>
  <r>
    <n v="1.1000000000000001"/>
    <m/>
    <x v="336"/>
    <x v="0"/>
    <s v="vbb - design basis"/>
    <x v="69"/>
    <x v="26"/>
    <x v="0"/>
    <x v="0"/>
    <n v="3.75"/>
    <m/>
    <m/>
    <m/>
    <m/>
    <s v="265720-10"/>
    <x v="26"/>
    <n v="3"/>
    <n v="2019"/>
    <n v="27"/>
    <s v="2019-27"/>
  </r>
  <r>
    <n v="1.1000000000000001"/>
    <m/>
    <x v="336"/>
    <x v="0"/>
    <s v="leave"/>
    <x v="69"/>
    <x v="5"/>
    <x v="0"/>
    <x v="0"/>
    <n v="3.75"/>
    <m/>
    <m/>
    <m/>
    <m/>
    <s v="LEAVE"/>
    <x v="5"/>
    <n v="3"/>
    <n v="2019"/>
    <n v="27"/>
    <s v="2019-27"/>
  </r>
  <r>
    <n v="1.1000000000000001"/>
    <m/>
    <x v="337"/>
    <x v="0"/>
    <s v="vbb - design basis"/>
    <x v="69"/>
    <x v="26"/>
    <x v="0"/>
    <x v="0"/>
    <n v="7.5"/>
    <m/>
    <m/>
    <m/>
    <m/>
    <s v="265720-10"/>
    <x v="26"/>
    <n v="4"/>
    <n v="2019"/>
    <n v="27"/>
    <s v="2019-27"/>
  </r>
  <r>
    <n v="1.1000000000000001"/>
    <m/>
    <x v="338"/>
    <x v="0"/>
    <s v="vbb - design basis"/>
    <x v="69"/>
    <x v="26"/>
    <x v="0"/>
    <x v="0"/>
    <n v="3.75"/>
    <m/>
    <m/>
    <m/>
    <m/>
    <s v="265720-10"/>
    <x v="26"/>
    <n v="5"/>
    <n v="2019"/>
    <n v="27"/>
    <s v="2019-27"/>
  </r>
  <r>
    <n v="1.1000000000000001"/>
    <m/>
    <x v="338"/>
    <x v="0"/>
    <s v="leave"/>
    <x v="69"/>
    <x v="5"/>
    <x v="0"/>
    <x v="0"/>
    <n v="3.75"/>
    <m/>
    <m/>
    <m/>
    <m/>
    <s v="LEAVE"/>
    <x v="5"/>
    <n v="5"/>
    <n v="2019"/>
    <n v="27"/>
    <s v="2019-27"/>
  </r>
  <r>
    <n v="0.10000000000000009"/>
    <m/>
    <x v="339"/>
    <x v="0"/>
    <s v="vbb - assessment"/>
    <x v="70"/>
    <x v="20"/>
    <x v="0"/>
    <x v="0"/>
    <n v="7.5"/>
    <m/>
    <m/>
    <m/>
    <m/>
    <s v="265720-20"/>
    <x v="20"/>
    <n v="1"/>
    <n v="2019"/>
    <n v="26"/>
    <s v="2019-26"/>
  </r>
  <r>
    <n v="0.10000000000000009"/>
    <m/>
    <x v="340"/>
    <x v="0"/>
    <s v="hcc - lower kings rd"/>
    <x v="70"/>
    <x v="9"/>
    <x v="0"/>
    <x v="0"/>
    <n v="2"/>
    <m/>
    <m/>
    <m/>
    <m/>
    <s v="255670-17"/>
    <x v="9"/>
    <n v="2"/>
    <n v="2019"/>
    <n v="26"/>
    <s v="2019-26"/>
  </r>
  <r>
    <n v="0.10000000000000009"/>
    <m/>
    <x v="340"/>
    <x v="0"/>
    <s v="cp - assessment"/>
    <x v="70"/>
    <x v="25"/>
    <x v="0"/>
    <x v="0"/>
    <n v="1"/>
    <m/>
    <m/>
    <m/>
    <m/>
    <s v="215526-27"/>
    <x v="25"/>
    <n v="2"/>
    <n v="2019"/>
    <n v="26"/>
    <s v="2019-26"/>
  </r>
  <r>
    <n v="0.10000000000000009"/>
    <m/>
    <x v="340"/>
    <x v="0"/>
    <s v="vbb - design basis"/>
    <x v="70"/>
    <x v="26"/>
    <x v="0"/>
    <x v="0"/>
    <n v="2"/>
    <m/>
    <m/>
    <m/>
    <m/>
    <s v="265720-10"/>
    <x v="26"/>
    <n v="2"/>
    <n v="2019"/>
    <n v="26"/>
    <s v="2019-26"/>
  </r>
  <r>
    <n v="0.10000000000000009"/>
    <m/>
    <x v="340"/>
    <x v="0"/>
    <s v="brisa"/>
    <x v="70"/>
    <x v="23"/>
    <x v="0"/>
    <x v="0"/>
    <n v="2.5"/>
    <m/>
    <m/>
    <m/>
    <m/>
    <s v="268268-00"/>
    <x v="23"/>
    <n v="2"/>
    <n v="2019"/>
    <n v="26"/>
    <s v="2019-26"/>
  </r>
  <r>
    <n v="0.10000000000000009"/>
    <m/>
    <x v="341"/>
    <x v="0"/>
    <s v="brisa"/>
    <x v="70"/>
    <x v="23"/>
    <x v="0"/>
    <x v="0"/>
    <n v="7.5"/>
    <m/>
    <m/>
    <m/>
    <m/>
    <s v="268268-00"/>
    <x v="23"/>
    <n v="3"/>
    <n v="2019"/>
    <n v="26"/>
    <s v="2019-26"/>
  </r>
  <r>
    <n v="0.10000000000000009"/>
    <m/>
    <x v="342"/>
    <x v="0"/>
    <s v="leave"/>
    <x v="70"/>
    <x v="5"/>
    <x v="0"/>
    <x v="0"/>
    <n v="7.5"/>
    <m/>
    <m/>
    <m/>
    <m/>
    <s v="LEAVE"/>
    <x v="5"/>
    <n v="4"/>
    <n v="2019"/>
    <n v="26"/>
    <s v="2019-26"/>
  </r>
  <r>
    <n v="0.10000000000000009"/>
    <m/>
    <x v="343"/>
    <x v="0"/>
    <s v="leave"/>
    <x v="70"/>
    <x v="5"/>
    <x v="0"/>
    <x v="0"/>
    <n v="7.5"/>
    <m/>
    <m/>
    <m/>
    <m/>
    <s v="LEAVE"/>
    <x v="5"/>
    <n v="5"/>
    <n v="2019"/>
    <n v="26"/>
    <s v="2019-26"/>
  </r>
  <r>
    <n v="1.1000000000000001"/>
    <m/>
    <x v="344"/>
    <x v="0"/>
    <s v="bcs - promotional"/>
    <x v="71"/>
    <x v="24"/>
    <x v="0"/>
    <x v="0"/>
    <n v="7.5"/>
    <m/>
    <m/>
    <m/>
    <m/>
    <s v="071945-07"/>
    <x v="24"/>
    <n v="1"/>
    <n v="2019"/>
    <n v="25"/>
    <s v="2019-25"/>
  </r>
  <r>
    <n v="1.1000000000000001"/>
    <m/>
    <x v="345"/>
    <x v="0"/>
    <s v="bcs - promotional"/>
    <x v="71"/>
    <x v="24"/>
    <x v="0"/>
    <x v="0"/>
    <n v="7.5"/>
    <m/>
    <m/>
    <m/>
    <m/>
    <s v="071945-07"/>
    <x v="24"/>
    <n v="2"/>
    <n v="2019"/>
    <n v="25"/>
    <s v="2019-25"/>
  </r>
  <r>
    <n v="1.1000000000000001"/>
    <m/>
    <x v="346"/>
    <x v="0"/>
    <s v="vbb - design basis"/>
    <x v="71"/>
    <x v="26"/>
    <x v="0"/>
    <x v="0"/>
    <n v="7.5"/>
    <m/>
    <m/>
    <m/>
    <m/>
    <s v="265720-10"/>
    <x v="26"/>
    <n v="3"/>
    <n v="2019"/>
    <n v="25"/>
    <s v="2019-25"/>
  </r>
  <r>
    <n v="1.1000000000000001"/>
    <m/>
    <x v="347"/>
    <x v="0"/>
    <s v="vbb - design basis"/>
    <x v="71"/>
    <x v="26"/>
    <x v="0"/>
    <x v="0"/>
    <n v="7.5"/>
    <m/>
    <m/>
    <m/>
    <m/>
    <s v="265720-10"/>
    <x v="26"/>
    <n v="4"/>
    <n v="2019"/>
    <n v="25"/>
    <s v="2019-25"/>
  </r>
  <r>
    <n v="1.1000000000000001"/>
    <m/>
    <x v="348"/>
    <x v="0"/>
    <s v="vbb - assessment"/>
    <x v="71"/>
    <x v="20"/>
    <x v="0"/>
    <x v="0"/>
    <n v="7.5"/>
    <m/>
    <m/>
    <m/>
    <m/>
    <s v="265720-20"/>
    <x v="20"/>
    <n v="5"/>
    <n v="2019"/>
    <n v="25"/>
    <s v="2019-25"/>
  </r>
  <r>
    <n v="0.10000000000000009"/>
    <m/>
    <x v="349"/>
    <x v="0"/>
    <s v="vbb - design basis"/>
    <x v="72"/>
    <x v="26"/>
    <x v="0"/>
    <x v="0"/>
    <n v="7.5"/>
    <m/>
    <m/>
    <m/>
    <m/>
    <s v="265720-10"/>
    <x v="26"/>
    <n v="1"/>
    <n v="2019"/>
    <n v="24"/>
    <s v="2019-24"/>
  </r>
  <r>
    <n v="0.10000000000000009"/>
    <m/>
    <x v="350"/>
    <x v="0"/>
    <s v="vbb - design basis"/>
    <x v="72"/>
    <x v="26"/>
    <x v="0"/>
    <x v="0"/>
    <n v="7.5"/>
    <m/>
    <m/>
    <m/>
    <m/>
    <s v="265720-10"/>
    <x v="26"/>
    <n v="2"/>
    <n v="2019"/>
    <n v="24"/>
    <s v="2019-24"/>
  </r>
  <r>
    <n v="0.10000000000000009"/>
    <m/>
    <x v="351"/>
    <x v="0"/>
    <s v="vbb - design basis"/>
    <x v="72"/>
    <x v="26"/>
    <x v="0"/>
    <x v="0"/>
    <n v="7.5"/>
    <m/>
    <m/>
    <m/>
    <m/>
    <s v="265720-10"/>
    <x v="26"/>
    <n v="3"/>
    <n v="2019"/>
    <n v="24"/>
    <s v="2019-24"/>
  </r>
  <r>
    <n v="0.10000000000000009"/>
    <m/>
    <x v="352"/>
    <x v="0"/>
    <s v="cp - assessment"/>
    <x v="72"/>
    <x v="25"/>
    <x v="0"/>
    <x v="0"/>
    <n v="3.75"/>
    <m/>
    <m/>
    <m/>
    <m/>
    <s v="215526-27"/>
    <x v="25"/>
    <n v="4"/>
    <n v="2019"/>
    <n v="24"/>
    <s v="2019-24"/>
  </r>
  <r>
    <n v="0.10000000000000009"/>
    <m/>
    <x v="352"/>
    <x v="0"/>
    <s v="bcs - promotional"/>
    <x v="72"/>
    <x v="24"/>
    <x v="0"/>
    <x v="0"/>
    <n v="3.75"/>
    <m/>
    <m/>
    <m/>
    <m/>
    <s v="071945-07"/>
    <x v="24"/>
    <n v="4"/>
    <n v="2019"/>
    <n v="24"/>
    <s v="2019-24"/>
  </r>
  <r>
    <n v="0.10000000000000009"/>
    <m/>
    <x v="353"/>
    <x v="0"/>
    <s v="bcs - promotional"/>
    <x v="72"/>
    <x v="24"/>
    <x v="0"/>
    <x v="0"/>
    <n v="3.75"/>
    <m/>
    <m/>
    <m/>
    <m/>
    <s v="071945-07"/>
    <x v="24"/>
    <n v="5"/>
    <n v="2019"/>
    <n v="24"/>
    <s v="2019-24"/>
  </r>
  <r>
    <n v="0.10000000000000009"/>
    <m/>
    <x v="353"/>
    <x v="0"/>
    <s v="leave"/>
    <x v="72"/>
    <x v="5"/>
    <x v="0"/>
    <x v="0"/>
    <n v="3.75"/>
    <m/>
    <m/>
    <m/>
    <m/>
    <s v="LEAVE"/>
    <x v="5"/>
    <n v="5"/>
    <n v="2019"/>
    <n v="24"/>
    <s v="2019-24"/>
  </r>
  <r>
    <n v="1.1000000000000001"/>
    <m/>
    <x v="354"/>
    <x v="0"/>
    <s v="bank holiday"/>
    <x v="73"/>
    <x v="11"/>
    <x v="0"/>
    <x v="0"/>
    <n v="7.5"/>
    <m/>
    <m/>
    <m/>
    <m/>
    <s v="BANK HOLIDAY"/>
    <x v="11"/>
    <n v="1"/>
    <n v="2019"/>
    <n v="23"/>
    <s v="2019-23"/>
  </r>
  <r>
    <n v="1.1000000000000001"/>
    <m/>
    <x v="355"/>
    <x v="0"/>
    <s v="vbb - design basis"/>
    <x v="73"/>
    <x v="26"/>
    <x v="0"/>
    <x v="0"/>
    <n v="7.5"/>
    <m/>
    <m/>
    <m/>
    <m/>
    <s v="265720-10"/>
    <x v="26"/>
    <n v="2"/>
    <n v="2019"/>
    <n v="23"/>
    <s v="2019-23"/>
  </r>
  <r>
    <n v="1.1000000000000001"/>
    <m/>
    <x v="356"/>
    <x v="0"/>
    <s v="vbb - design basis"/>
    <x v="73"/>
    <x v="26"/>
    <x v="0"/>
    <x v="0"/>
    <n v="7.5"/>
    <m/>
    <m/>
    <m/>
    <m/>
    <s v="265720-10"/>
    <x v="26"/>
    <n v="3"/>
    <n v="2019"/>
    <n v="23"/>
    <s v="2019-23"/>
  </r>
  <r>
    <n v="1.1000000000000001"/>
    <m/>
    <x v="356"/>
    <x v="0"/>
    <s v="cafa"/>
    <x v="73"/>
    <x v="27"/>
    <x v="0"/>
    <x v="0"/>
    <n v="3.5"/>
    <m/>
    <m/>
    <m/>
    <m/>
    <s v="262218-08"/>
    <x v="27"/>
    <n v="3"/>
    <n v="2019"/>
    <n v="23"/>
    <s v="2019-23"/>
  </r>
  <r>
    <n v="1.1000000000000001"/>
    <m/>
    <x v="357"/>
    <x v="0"/>
    <s v="a465 updates"/>
    <x v="73"/>
    <x v="28"/>
    <x v="0"/>
    <x v="0"/>
    <n v="4"/>
    <m/>
    <m/>
    <m/>
    <m/>
    <s v="266122-24"/>
    <x v="28"/>
    <n v="4"/>
    <n v="2019"/>
    <n v="23"/>
    <s v="2019-23"/>
  </r>
  <r>
    <n v="1.1000000000000001"/>
    <m/>
    <x v="358"/>
    <x v="0"/>
    <s v="vbb - design basis"/>
    <x v="73"/>
    <x v="26"/>
    <x v="0"/>
    <x v="0"/>
    <n v="7.5"/>
    <m/>
    <m/>
    <m/>
    <m/>
    <s v="265720-10"/>
    <x v="26"/>
    <n v="5"/>
    <n v="2019"/>
    <n v="23"/>
    <s v="2019-23"/>
  </r>
  <r>
    <n v="0.10000000000000009"/>
    <m/>
    <x v="359"/>
    <x v="0"/>
    <s v="brisa"/>
    <x v="74"/>
    <x v="23"/>
    <x v="0"/>
    <x v="0"/>
    <n v="7.5"/>
    <m/>
    <m/>
    <m/>
    <m/>
    <s v="268268-00"/>
    <x v="23"/>
    <n v="1"/>
    <n v="2019"/>
    <n v="22"/>
    <s v="2019-22"/>
  </r>
  <r>
    <n v="0.10000000000000009"/>
    <m/>
    <x v="360"/>
    <x v="0"/>
    <s v="vbb - assessment"/>
    <x v="74"/>
    <x v="20"/>
    <x v="0"/>
    <x v="0"/>
    <n v="7.5"/>
    <m/>
    <m/>
    <m/>
    <m/>
    <s v="265720-20"/>
    <x v="20"/>
    <n v="2"/>
    <n v="2019"/>
    <n v="22"/>
    <s v="2019-22"/>
  </r>
  <r>
    <n v="0.10000000000000009"/>
    <m/>
    <x v="361"/>
    <x v="0"/>
    <s v="vbb - assessment"/>
    <x v="74"/>
    <x v="20"/>
    <x v="0"/>
    <x v="0"/>
    <n v="7.5"/>
    <m/>
    <m/>
    <m/>
    <m/>
    <s v="265720-20"/>
    <x v="20"/>
    <n v="3"/>
    <n v="2019"/>
    <n v="22"/>
    <s v="2019-22"/>
  </r>
  <r>
    <n v="0.10000000000000009"/>
    <m/>
    <x v="362"/>
    <x v="0"/>
    <s v="vbb - assessment"/>
    <x v="74"/>
    <x v="20"/>
    <x v="0"/>
    <x v="0"/>
    <n v="7.5"/>
    <m/>
    <m/>
    <m/>
    <m/>
    <s v="265720-20"/>
    <x v="20"/>
    <n v="4"/>
    <n v="2019"/>
    <n v="22"/>
    <s v="2019-22"/>
  </r>
  <r>
    <n v="0.10000000000000009"/>
    <m/>
    <x v="363"/>
    <x v="0"/>
    <s v="vbb - assessment"/>
    <x v="74"/>
    <x v="20"/>
    <x v="0"/>
    <x v="0"/>
    <n v="3.75"/>
    <m/>
    <m/>
    <m/>
    <m/>
    <s v="265720-20"/>
    <x v="20"/>
    <n v="5"/>
    <n v="2019"/>
    <n v="22"/>
    <s v="2019-22"/>
  </r>
  <r>
    <n v="0.10000000000000009"/>
    <m/>
    <x v="363"/>
    <x v="0"/>
    <s v="leave"/>
    <x v="74"/>
    <x v="5"/>
    <x v="0"/>
    <x v="0"/>
    <n v="3.75"/>
    <m/>
    <m/>
    <m/>
    <m/>
    <s v="LEAVE"/>
    <x v="5"/>
    <n v="5"/>
    <n v="2019"/>
    <n v="22"/>
    <s v="2019-22"/>
  </r>
  <r>
    <n v="1.1000000000000001"/>
    <m/>
    <x v="364"/>
    <x v="0"/>
    <s v="wmre lot 6"/>
    <x v="75"/>
    <x v="29"/>
    <x v="0"/>
    <x v="0"/>
    <n v="7.5"/>
    <m/>
    <m/>
    <m/>
    <m/>
    <s v="601593-72"/>
    <x v="29"/>
    <n v="1"/>
    <n v="2019"/>
    <n v="21"/>
    <s v="2019-21"/>
  </r>
  <r>
    <n v="1.1000000000000001"/>
    <m/>
    <x v="365"/>
    <x v="0"/>
    <s v="wmre lot 6"/>
    <x v="75"/>
    <x v="29"/>
    <x v="0"/>
    <x v="0"/>
    <n v="5.5"/>
    <m/>
    <m/>
    <m/>
    <m/>
    <s v="601593-72"/>
    <x v="29"/>
    <n v="2"/>
    <n v="2019"/>
    <n v="21"/>
    <s v="2019-21"/>
  </r>
  <r>
    <n v="1.1000000000000001"/>
    <m/>
    <x v="365"/>
    <x v="0"/>
    <s v="vbb - assessment"/>
    <x v="75"/>
    <x v="20"/>
    <x v="0"/>
    <x v="0"/>
    <n v="2"/>
    <m/>
    <m/>
    <m/>
    <m/>
    <s v="265720-20"/>
    <x v="20"/>
    <n v="2"/>
    <n v="2019"/>
    <n v="21"/>
    <s v="2019-21"/>
  </r>
  <r>
    <n v="1.1000000000000001"/>
    <m/>
    <x v="366"/>
    <x v="0"/>
    <s v="vbb - assessment"/>
    <x v="75"/>
    <x v="20"/>
    <x v="0"/>
    <x v="0"/>
    <n v="7.5"/>
    <m/>
    <m/>
    <m/>
    <m/>
    <s v="265720-20"/>
    <x v="20"/>
    <n v="3"/>
    <n v="2019"/>
    <n v="21"/>
    <s v="2019-21"/>
  </r>
  <r>
    <n v="1.1000000000000001"/>
    <m/>
    <x v="367"/>
    <x v="0"/>
    <s v="vbb - assessment"/>
    <x v="75"/>
    <x v="20"/>
    <x v="0"/>
    <x v="0"/>
    <n v="7.5"/>
    <m/>
    <m/>
    <m/>
    <m/>
    <s v="265720-20"/>
    <x v="20"/>
    <n v="4"/>
    <n v="2019"/>
    <n v="21"/>
    <s v="2019-21"/>
  </r>
  <r>
    <n v="1.1000000000000001"/>
    <m/>
    <x v="368"/>
    <x v="0"/>
    <s v="vbb -  extra fatgiue work"/>
    <x v="75"/>
    <x v="30"/>
    <x v="0"/>
    <x v="0"/>
    <n v="3.75"/>
    <m/>
    <m/>
    <m/>
    <m/>
    <s v="265720-01"/>
    <x v="30"/>
    <n v="5"/>
    <n v="2019"/>
    <n v="21"/>
    <s v="2019-21"/>
  </r>
  <r>
    <n v="1.1000000000000001"/>
    <m/>
    <x v="368"/>
    <x v="0"/>
    <s v="vbb - assessment"/>
    <x v="75"/>
    <x v="20"/>
    <x v="0"/>
    <x v="0"/>
    <n v="2.75"/>
    <m/>
    <m/>
    <m/>
    <m/>
    <s v="265720-20"/>
    <x v="20"/>
    <n v="5"/>
    <n v="2019"/>
    <n v="21"/>
    <s v="2019-21"/>
  </r>
  <r>
    <n v="1.1000000000000001"/>
    <m/>
    <x v="368"/>
    <x v="0"/>
    <e v="#N/A"/>
    <x v="75"/>
    <x v="0"/>
    <x v="0"/>
    <x v="0"/>
    <n v="1"/>
    <m/>
    <m/>
    <m/>
    <m/>
    <e v="#N/A"/>
    <x v="0"/>
    <n v="5"/>
    <n v="2019"/>
    <n v="21"/>
    <s v="2019-21"/>
  </r>
  <r>
    <n v="0.10000000000000009"/>
    <m/>
    <x v="369"/>
    <x v="0"/>
    <s v="bank holiday"/>
    <x v="76"/>
    <x v="11"/>
    <x v="0"/>
    <x v="0"/>
    <n v="7.5"/>
    <m/>
    <m/>
    <m/>
    <m/>
    <s v="BANK HOLIDAY"/>
    <x v="11"/>
    <n v="1"/>
    <n v="2019"/>
    <n v="20"/>
    <s v="2019-20"/>
  </r>
  <r>
    <n v="0.10000000000000009"/>
    <m/>
    <x v="370"/>
    <x v="0"/>
    <s v="vbb - assessment"/>
    <x v="76"/>
    <x v="20"/>
    <x v="0"/>
    <x v="0"/>
    <n v="7.5"/>
    <m/>
    <m/>
    <m/>
    <m/>
    <s v="265720-20"/>
    <x v="20"/>
    <n v="2"/>
    <n v="2019"/>
    <n v="20"/>
    <s v="2019-20"/>
  </r>
  <r>
    <n v="0.10000000000000009"/>
    <m/>
    <x v="371"/>
    <x v="0"/>
    <s v="vbb - assessment"/>
    <x v="76"/>
    <x v="20"/>
    <x v="0"/>
    <x v="0"/>
    <n v="7.5"/>
    <m/>
    <m/>
    <m/>
    <m/>
    <s v="265720-20"/>
    <x v="20"/>
    <n v="3"/>
    <n v="2019"/>
    <n v="20"/>
    <s v="2019-20"/>
  </r>
  <r>
    <n v="0.10000000000000009"/>
    <m/>
    <x v="372"/>
    <x v="0"/>
    <s v="vbb - assessment"/>
    <x v="76"/>
    <x v="20"/>
    <x v="0"/>
    <x v="0"/>
    <n v="7.5"/>
    <m/>
    <m/>
    <m/>
    <m/>
    <s v="265720-20"/>
    <x v="20"/>
    <n v="4"/>
    <n v="2019"/>
    <n v="20"/>
    <s v="2019-20"/>
  </r>
  <r>
    <n v="0.10000000000000009"/>
    <m/>
    <x v="373"/>
    <x v="0"/>
    <s v="m25 west msa"/>
    <x v="76"/>
    <x v="17"/>
    <x v="0"/>
    <x v="0"/>
    <n v="7.5"/>
    <m/>
    <m/>
    <m/>
    <m/>
    <s v="255375-00"/>
    <x v="17"/>
    <n v="5"/>
    <n v="2019"/>
    <n v="20"/>
    <s v="2019-20"/>
  </r>
  <r>
    <n v="1.1000000000000001"/>
    <m/>
    <x v="374"/>
    <x v="0"/>
    <s v="vbb - design basis"/>
    <x v="77"/>
    <x v="26"/>
    <x v="0"/>
    <x v="0"/>
    <n v="7.5"/>
    <m/>
    <m/>
    <m/>
    <m/>
    <s v="265720-10"/>
    <x v="26"/>
    <n v="1"/>
    <n v="2019"/>
    <n v="19"/>
    <s v="2019-19"/>
  </r>
  <r>
    <n v="1.1000000000000001"/>
    <m/>
    <x v="375"/>
    <x v="0"/>
    <s v="vbb - design basis"/>
    <x v="77"/>
    <x v="26"/>
    <x v="0"/>
    <x v="0"/>
    <n v="7.5"/>
    <m/>
    <m/>
    <m/>
    <m/>
    <s v="265720-10"/>
    <x v="26"/>
    <n v="2"/>
    <n v="2019"/>
    <n v="19"/>
    <s v="2019-19"/>
  </r>
  <r>
    <n v="1.1000000000000001"/>
    <m/>
    <x v="376"/>
    <x v="0"/>
    <s v="vbb - design basis"/>
    <x v="77"/>
    <x v="26"/>
    <x v="0"/>
    <x v="0"/>
    <n v="7.5"/>
    <m/>
    <m/>
    <m/>
    <m/>
    <s v="265720-10"/>
    <x v="26"/>
    <n v="3"/>
    <n v="2019"/>
    <n v="19"/>
    <s v="2019-19"/>
  </r>
  <r>
    <n v="1.1000000000000001"/>
    <m/>
    <x v="377"/>
    <x v="0"/>
    <s v="vbb - assessment"/>
    <x v="77"/>
    <x v="20"/>
    <x v="0"/>
    <x v="0"/>
    <n v="3.75"/>
    <m/>
    <m/>
    <m/>
    <m/>
    <s v="265720-20"/>
    <x v="20"/>
    <n v="4"/>
    <n v="2019"/>
    <n v="19"/>
    <s v="2019-19"/>
  </r>
  <r>
    <n v="1.1000000000000001"/>
    <m/>
    <x v="377"/>
    <x v="0"/>
    <s v="vbb - design basis"/>
    <x v="77"/>
    <x v="26"/>
    <x v="0"/>
    <x v="0"/>
    <n v="3.75"/>
    <m/>
    <m/>
    <m/>
    <m/>
    <s v="265720-10"/>
    <x v="26"/>
    <n v="4"/>
    <n v="2019"/>
    <n v="19"/>
    <s v="2019-19"/>
  </r>
  <r>
    <n v="1.1000000000000001"/>
    <m/>
    <x v="378"/>
    <x v="0"/>
    <s v="leave"/>
    <x v="77"/>
    <x v="5"/>
    <x v="0"/>
    <x v="0"/>
    <n v="3.75"/>
    <m/>
    <m/>
    <m/>
    <m/>
    <s v="LEAVE"/>
    <x v="5"/>
    <n v="5"/>
    <n v="2019"/>
    <n v="19"/>
    <s v="2019-19"/>
  </r>
  <r>
    <n v="1.1000000000000001"/>
    <m/>
    <x v="378"/>
    <x v="0"/>
    <s v="vbb - design basis"/>
    <x v="77"/>
    <x v="26"/>
    <x v="0"/>
    <x v="0"/>
    <n v="3.75"/>
    <m/>
    <m/>
    <m/>
    <m/>
    <s v="265720-10"/>
    <x v="26"/>
    <n v="5"/>
    <n v="2019"/>
    <n v="19"/>
    <s v="2019-19"/>
  </r>
  <r>
    <n v="0.10000000000000009"/>
    <m/>
    <x v="379"/>
    <x v="0"/>
    <s v="bank holiday"/>
    <x v="78"/>
    <x v="11"/>
    <x v="0"/>
    <x v="0"/>
    <n v="7.5"/>
    <m/>
    <m/>
    <m/>
    <m/>
    <s v="BANK HOLIDAY"/>
    <x v="11"/>
    <n v="1"/>
    <n v="2019"/>
    <n v="18"/>
    <s v="2019-18"/>
  </r>
  <r>
    <n v="0.10000000000000009"/>
    <m/>
    <x v="380"/>
    <x v="0"/>
    <s v="vbb - design basis"/>
    <x v="78"/>
    <x v="26"/>
    <x v="0"/>
    <x v="0"/>
    <n v="7.5"/>
    <m/>
    <m/>
    <m/>
    <m/>
    <s v="265720-10"/>
    <x v="26"/>
    <n v="2"/>
    <n v="2019"/>
    <n v="18"/>
    <s v="2019-18"/>
  </r>
  <r>
    <n v="0.10000000000000009"/>
    <m/>
    <x v="381"/>
    <x v="0"/>
    <s v="vbb - design basis"/>
    <x v="78"/>
    <x v="26"/>
    <x v="0"/>
    <x v="0"/>
    <n v="7.5"/>
    <m/>
    <m/>
    <m/>
    <m/>
    <s v="265720-10"/>
    <x v="26"/>
    <n v="3"/>
    <n v="2019"/>
    <n v="18"/>
    <s v="2019-18"/>
  </r>
  <r>
    <n v="0.10000000000000009"/>
    <m/>
    <x v="382"/>
    <x v="0"/>
    <s v="vbb - design basis"/>
    <x v="78"/>
    <x v="26"/>
    <x v="0"/>
    <x v="0"/>
    <n v="3.75"/>
    <m/>
    <m/>
    <m/>
    <m/>
    <s v="265720-10"/>
    <x v="26"/>
    <n v="4"/>
    <n v="2019"/>
    <n v="18"/>
    <s v="2019-18"/>
  </r>
  <r>
    <n v="0.10000000000000009"/>
    <m/>
    <x v="382"/>
    <x v="0"/>
    <s v="vbb - assessment"/>
    <x v="78"/>
    <x v="20"/>
    <x v="0"/>
    <x v="0"/>
    <n v="3.75"/>
    <m/>
    <m/>
    <m/>
    <m/>
    <s v="265720-20"/>
    <x v="20"/>
    <n v="4"/>
    <n v="2019"/>
    <n v="18"/>
    <s v="2019-18"/>
  </r>
  <r>
    <n v="0.10000000000000009"/>
    <m/>
    <x v="383"/>
    <x v="0"/>
    <s v="vbb - assessment"/>
    <x v="78"/>
    <x v="20"/>
    <x v="0"/>
    <x v="0"/>
    <n v="3.75"/>
    <m/>
    <m/>
    <m/>
    <m/>
    <s v="265720-20"/>
    <x v="20"/>
    <n v="5"/>
    <n v="2019"/>
    <n v="18"/>
    <s v="2019-18"/>
  </r>
  <r>
    <n v="0.10000000000000009"/>
    <m/>
    <x v="383"/>
    <x v="0"/>
    <s v="vbb - assessment"/>
    <x v="78"/>
    <x v="20"/>
    <x v="0"/>
    <x v="0"/>
    <n v="3.75"/>
    <m/>
    <m/>
    <m/>
    <m/>
    <s v="265720-20"/>
    <x v="20"/>
    <n v="5"/>
    <n v="2019"/>
    <n v="18"/>
    <s v="2019-18"/>
  </r>
  <r>
    <n v="1.1000000000000001"/>
    <m/>
    <x v="384"/>
    <x v="0"/>
    <s v="vbb - design basis"/>
    <x v="79"/>
    <x v="26"/>
    <x v="0"/>
    <x v="0"/>
    <n v="2.5"/>
    <m/>
    <m/>
    <m/>
    <m/>
    <s v="265720-10"/>
    <x v="26"/>
    <n v="1"/>
    <n v="2019"/>
    <n v="17"/>
    <s v="2019-17"/>
  </r>
  <r>
    <n v="1.1000000000000001"/>
    <m/>
    <x v="384"/>
    <x v="0"/>
    <s v="vbb - design basis"/>
    <x v="79"/>
    <x v="26"/>
    <x v="0"/>
    <x v="0"/>
    <n v="5"/>
    <m/>
    <m/>
    <m/>
    <m/>
    <s v="265720-10"/>
    <x v="26"/>
    <n v="1"/>
    <n v="2019"/>
    <n v="17"/>
    <s v="2019-17"/>
  </r>
  <r>
    <n v="1.1000000000000001"/>
    <m/>
    <x v="385"/>
    <x v="0"/>
    <s v="vbb - design basis"/>
    <x v="79"/>
    <x v="26"/>
    <x v="0"/>
    <x v="0"/>
    <n v="5"/>
    <m/>
    <m/>
    <m/>
    <m/>
    <s v="265720-10"/>
    <x v="26"/>
    <n v="2"/>
    <n v="2019"/>
    <n v="17"/>
    <s v="2019-17"/>
  </r>
  <r>
    <n v="1.1000000000000001"/>
    <m/>
    <x v="385"/>
    <x v="0"/>
    <s v="vbb - design basis"/>
    <x v="79"/>
    <x v="26"/>
    <x v="0"/>
    <x v="0"/>
    <n v="2.5"/>
    <m/>
    <m/>
    <m/>
    <m/>
    <s v="265720-10"/>
    <x v="26"/>
    <n v="2"/>
    <n v="2019"/>
    <n v="17"/>
    <s v="2019-17"/>
  </r>
  <r>
    <n v="1.1000000000000001"/>
    <m/>
    <x v="386"/>
    <x v="0"/>
    <s v="vbb - design basis"/>
    <x v="79"/>
    <x v="26"/>
    <x v="0"/>
    <x v="0"/>
    <n v="7.5"/>
    <m/>
    <m/>
    <m/>
    <m/>
    <s v="265720-10"/>
    <x v="26"/>
    <n v="3"/>
    <n v="2019"/>
    <n v="17"/>
    <s v="2019-17"/>
  </r>
  <r>
    <n v="1.1000000000000001"/>
    <m/>
    <x v="387"/>
    <x v="0"/>
    <s v="vbb - design basis"/>
    <x v="79"/>
    <x v="26"/>
    <x v="0"/>
    <x v="0"/>
    <n v="3.75"/>
    <m/>
    <m/>
    <m/>
    <m/>
    <s v="265720-10"/>
    <x v="26"/>
    <n v="4"/>
    <n v="2019"/>
    <n v="17"/>
    <s v="2019-17"/>
  </r>
  <r>
    <n v="1.1000000000000001"/>
    <m/>
    <x v="387"/>
    <x v="0"/>
    <s v="vbb - design basis"/>
    <x v="79"/>
    <x v="26"/>
    <x v="0"/>
    <x v="0"/>
    <n v="3.75"/>
    <m/>
    <m/>
    <m/>
    <m/>
    <s v="265720-10"/>
    <x v="26"/>
    <n v="4"/>
    <n v="2019"/>
    <n v="17"/>
    <s v="2019-17"/>
  </r>
  <r>
    <n v="1.1000000000000001"/>
    <m/>
    <x v="388"/>
    <x v="0"/>
    <s v="leave"/>
    <x v="79"/>
    <x v="5"/>
    <x v="0"/>
    <x v="0"/>
    <n v="7.5"/>
    <m/>
    <m/>
    <m/>
    <m/>
    <s v="LEAVE"/>
    <x v="5"/>
    <n v="5"/>
    <n v="2019"/>
    <n v="17"/>
    <s v="2019-17"/>
  </r>
  <r>
    <n v="0.10000000000000009"/>
    <m/>
    <x v="389"/>
    <x v="0"/>
    <s v="vbb - design basis"/>
    <x v="80"/>
    <x v="26"/>
    <x v="0"/>
    <x v="0"/>
    <n v="7.5"/>
    <m/>
    <m/>
    <m/>
    <m/>
    <s v="265720-10"/>
    <x v="26"/>
    <n v="1"/>
    <n v="2019"/>
    <n v="16"/>
    <s v="2019-16"/>
  </r>
  <r>
    <n v="0.10000000000000009"/>
    <m/>
    <x v="390"/>
    <x v="0"/>
    <s v="vbb - design basis"/>
    <x v="80"/>
    <x v="26"/>
    <x v="0"/>
    <x v="0"/>
    <n v="7.5"/>
    <m/>
    <m/>
    <m/>
    <m/>
    <s v="265720-10"/>
    <x v="26"/>
    <n v="2"/>
    <n v="2019"/>
    <n v="16"/>
    <s v="2019-16"/>
  </r>
  <r>
    <n v="0.10000000000000009"/>
    <m/>
    <x v="391"/>
    <x v="0"/>
    <s v="vbb - design basis"/>
    <x v="80"/>
    <x v="26"/>
    <x v="0"/>
    <x v="0"/>
    <n v="2.5"/>
    <m/>
    <m/>
    <m/>
    <m/>
    <s v="265720-10"/>
    <x v="26"/>
    <n v="3"/>
    <n v="2019"/>
    <n v="16"/>
    <s v="2019-16"/>
  </r>
  <r>
    <n v="0.10000000000000009"/>
    <m/>
    <x v="391"/>
    <x v="0"/>
    <s v="vbb - design basis"/>
    <x v="80"/>
    <x v="26"/>
    <x v="0"/>
    <x v="0"/>
    <n v="5"/>
    <m/>
    <m/>
    <m/>
    <m/>
    <s v="265720-10"/>
    <x v="26"/>
    <n v="3"/>
    <n v="2019"/>
    <n v="16"/>
    <s v="2019-16"/>
  </r>
  <r>
    <n v="0.10000000000000009"/>
    <m/>
    <x v="392"/>
    <x v="0"/>
    <s v="smp"/>
    <x v="80"/>
    <x v="31"/>
    <x v="0"/>
    <x v="0"/>
    <n v="3.75"/>
    <m/>
    <m/>
    <m/>
    <m/>
    <s v="261723-02"/>
    <x v="31"/>
    <n v="4"/>
    <n v="2019"/>
    <n v="16"/>
    <s v="2019-16"/>
  </r>
  <r>
    <n v="0.10000000000000009"/>
    <m/>
    <x v="392"/>
    <x v="0"/>
    <s v="vbb - design basis"/>
    <x v="80"/>
    <x v="26"/>
    <x v="0"/>
    <x v="0"/>
    <n v="3.75"/>
    <m/>
    <m/>
    <m/>
    <m/>
    <s v="265720-10"/>
    <x v="26"/>
    <n v="4"/>
    <n v="2019"/>
    <n v="16"/>
    <s v="2019-16"/>
  </r>
  <r>
    <n v="0.10000000000000009"/>
    <m/>
    <x v="393"/>
    <x v="0"/>
    <s v="smp"/>
    <x v="80"/>
    <x v="31"/>
    <x v="0"/>
    <x v="0"/>
    <n v="3.75"/>
    <m/>
    <m/>
    <m/>
    <m/>
    <s v="261723-02"/>
    <x v="31"/>
    <n v="5"/>
    <n v="2019"/>
    <n v="16"/>
    <s v="2019-16"/>
  </r>
  <r>
    <n v="0.10000000000000009"/>
    <m/>
    <x v="393"/>
    <x v="0"/>
    <s v="vbb - design basis"/>
    <x v="80"/>
    <x v="26"/>
    <x v="0"/>
    <x v="0"/>
    <n v="3.75"/>
    <m/>
    <m/>
    <m/>
    <m/>
    <s v="265720-10"/>
    <x v="26"/>
    <n v="5"/>
    <n v="2019"/>
    <n v="16"/>
    <s v="2019-16"/>
  </r>
  <r>
    <n v="1.1000000000000001"/>
    <m/>
    <x v="394"/>
    <x v="0"/>
    <s v="vbb - design basis"/>
    <x v="81"/>
    <x v="26"/>
    <x v="0"/>
    <x v="0"/>
    <n v="4"/>
    <m/>
    <m/>
    <m/>
    <m/>
    <s v="265720-10"/>
    <x v="26"/>
    <n v="1"/>
    <n v="2019"/>
    <n v="15"/>
    <s v="2019-15"/>
  </r>
  <r>
    <n v="1.1000000000000001"/>
    <m/>
    <x v="394"/>
    <x v="0"/>
    <s v="vbb - design basis"/>
    <x v="81"/>
    <x v="26"/>
    <x v="0"/>
    <x v="0"/>
    <n v="2"/>
    <m/>
    <m/>
    <m/>
    <m/>
    <s v="265720-10"/>
    <x v="26"/>
    <n v="1"/>
    <n v="2019"/>
    <n v="15"/>
    <s v="2019-15"/>
  </r>
  <r>
    <n v="1.1000000000000001"/>
    <m/>
    <x v="394"/>
    <x v="0"/>
    <s v="vbb - design basis"/>
    <x v="81"/>
    <x v="26"/>
    <x v="0"/>
    <x v="0"/>
    <n v="1.5"/>
    <m/>
    <m/>
    <m/>
    <m/>
    <s v="265720-10"/>
    <x v="26"/>
    <n v="1"/>
    <n v="2019"/>
    <n v="15"/>
    <s v="2019-15"/>
  </r>
  <r>
    <n v="1.1000000000000001"/>
    <m/>
    <x v="395"/>
    <x v="0"/>
    <s v="vbb - design basis"/>
    <x v="81"/>
    <x v="26"/>
    <x v="0"/>
    <x v="0"/>
    <n v="7.5"/>
    <m/>
    <m/>
    <m/>
    <m/>
    <s v="265720-10"/>
    <x v="26"/>
    <n v="2"/>
    <n v="2019"/>
    <n v="15"/>
    <s v="2019-15"/>
  </r>
  <r>
    <n v="1.1000000000000001"/>
    <m/>
    <x v="396"/>
    <x v="0"/>
    <s v="vbb - design basis"/>
    <x v="81"/>
    <x v="26"/>
    <x v="0"/>
    <x v="0"/>
    <n v="7.5"/>
    <m/>
    <m/>
    <m/>
    <m/>
    <s v="265720-10"/>
    <x v="26"/>
    <n v="3"/>
    <n v="2019"/>
    <n v="15"/>
    <s v="2019-15"/>
  </r>
  <r>
    <n v="1.1000000000000001"/>
    <m/>
    <x v="397"/>
    <x v="0"/>
    <s v="vbb - design basis"/>
    <x v="81"/>
    <x v="26"/>
    <x v="0"/>
    <x v="0"/>
    <n v="7.5"/>
    <m/>
    <m/>
    <m/>
    <m/>
    <s v="265720-10"/>
    <x v="26"/>
    <n v="4"/>
    <n v="2019"/>
    <n v="15"/>
    <s v="2019-15"/>
  </r>
  <r>
    <n v="1.1000000000000001"/>
    <m/>
    <x v="398"/>
    <x v="0"/>
    <s v="vbb - design basis"/>
    <x v="81"/>
    <x v="26"/>
    <x v="0"/>
    <x v="0"/>
    <n v="7.5"/>
    <m/>
    <m/>
    <m/>
    <m/>
    <s v="265720-10"/>
    <x v="26"/>
    <n v="5"/>
    <n v="2019"/>
    <n v="15"/>
    <s v="2019-15"/>
  </r>
  <r>
    <n v="0.10000000000000009"/>
    <m/>
    <x v="399"/>
    <x v="0"/>
    <s v="vbb - design basis"/>
    <x v="82"/>
    <x v="26"/>
    <x v="0"/>
    <x v="0"/>
    <n v="7.5"/>
    <m/>
    <m/>
    <m/>
    <m/>
    <s v="265720-10"/>
    <x v="26"/>
    <n v="1"/>
    <n v="2019"/>
    <n v="14"/>
    <s v="2019-14"/>
  </r>
  <r>
    <n v="0.10000000000000009"/>
    <m/>
    <x v="400"/>
    <x v="0"/>
    <s v="vbb - design basis"/>
    <x v="82"/>
    <x v="26"/>
    <x v="0"/>
    <x v="0"/>
    <n v="2"/>
    <m/>
    <m/>
    <m/>
    <m/>
    <s v="265720-10"/>
    <x v="26"/>
    <n v="2"/>
    <n v="2019"/>
    <n v="14"/>
    <s v="2019-14"/>
  </r>
  <r>
    <n v="0.10000000000000009"/>
    <m/>
    <x v="400"/>
    <x v="0"/>
    <s v="vbb - design basis"/>
    <x v="82"/>
    <x v="26"/>
    <x v="0"/>
    <x v="0"/>
    <n v="3"/>
    <m/>
    <m/>
    <m/>
    <m/>
    <s v="265720-10"/>
    <x v="26"/>
    <n v="2"/>
    <n v="2019"/>
    <n v="14"/>
    <s v="2019-14"/>
  </r>
  <r>
    <n v="0.10000000000000009"/>
    <m/>
    <x v="400"/>
    <x v="0"/>
    <s v="smp"/>
    <x v="82"/>
    <x v="31"/>
    <x v="0"/>
    <x v="0"/>
    <n v="2.5"/>
    <m/>
    <m/>
    <m/>
    <m/>
    <s v="261723-02"/>
    <x v="31"/>
    <n v="2"/>
    <n v="2019"/>
    <n v="14"/>
    <s v="2019-14"/>
  </r>
  <r>
    <n v="0.10000000000000009"/>
    <m/>
    <x v="401"/>
    <x v="0"/>
    <s v="smp"/>
    <x v="82"/>
    <x v="31"/>
    <x v="0"/>
    <x v="0"/>
    <n v="5"/>
    <m/>
    <m/>
    <m/>
    <m/>
    <s v="261723-02"/>
    <x v="31"/>
    <n v="3"/>
    <n v="2019"/>
    <n v="14"/>
    <s v="2019-14"/>
  </r>
  <r>
    <n v="0.10000000000000009"/>
    <m/>
    <x v="401"/>
    <x v="0"/>
    <s v="vbb - design basis"/>
    <x v="82"/>
    <x v="26"/>
    <x v="0"/>
    <x v="0"/>
    <n v="2.5"/>
    <m/>
    <m/>
    <m/>
    <m/>
    <s v="265720-10"/>
    <x v="26"/>
    <n v="3"/>
    <n v="2019"/>
    <n v="14"/>
    <s v="2019-14"/>
  </r>
  <r>
    <n v="0.10000000000000009"/>
    <m/>
    <x v="402"/>
    <x v="0"/>
    <s v="smp"/>
    <x v="82"/>
    <x v="31"/>
    <x v="0"/>
    <x v="0"/>
    <n v="2.5"/>
    <m/>
    <m/>
    <m/>
    <m/>
    <s v="261723-02"/>
    <x v="31"/>
    <n v="4"/>
    <n v="2019"/>
    <n v="14"/>
    <s v="2019-14"/>
  </r>
  <r>
    <n v="0.10000000000000009"/>
    <m/>
    <x v="402"/>
    <x v="0"/>
    <s v="vbb - design basis"/>
    <x v="82"/>
    <x v="26"/>
    <x v="0"/>
    <x v="0"/>
    <n v="5"/>
    <m/>
    <m/>
    <m/>
    <m/>
    <s v="265720-10"/>
    <x v="26"/>
    <n v="4"/>
    <n v="2019"/>
    <n v="14"/>
    <s v="2019-14"/>
  </r>
  <r>
    <n v="0.10000000000000009"/>
    <m/>
    <x v="403"/>
    <x v="0"/>
    <s v="vbb - design basis"/>
    <x v="82"/>
    <x v="26"/>
    <x v="0"/>
    <x v="0"/>
    <n v="7.5"/>
    <m/>
    <m/>
    <m/>
    <m/>
    <s v="265720-10"/>
    <x v="26"/>
    <n v="5"/>
    <n v="2019"/>
    <n v="14"/>
    <s v="2019-14"/>
  </r>
  <r>
    <n v="1.1000000000000001"/>
    <m/>
    <x v="404"/>
    <x v="0"/>
    <s v="a465"/>
    <x v="83"/>
    <x v="32"/>
    <x v="0"/>
    <x v="0"/>
    <n v="7.5"/>
    <m/>
    <m/>
    <m/>
    <m/>
    <s v="266122-21"/>
    <x v="32"/>
    <n v="1"/>
    <n v="2019"/>
    <n v="13"/>
    <s v="2019-13"/>
  </r>
  <r>
    <n v="1.1000000000000001"/>
    <m/>
    <x v="405"/>
    <x v="0"/>
    <s v="vbb - design basis"/>
    <x v="83"/>
    <x v="26"/>
    <x v="0"/>
    <x v="0"/>
    <n v="7.5"/>
    <m/>
    <m/>
    <m/>
    <m/>
    <s v="265720-10"/>
    <x v="26"/>
    <n v="2"/>
    <n v="2019"/>
    <n v="13"/>
    <s v="2019-13"/>
  </r>
  <r>
    <n v="1.1000000000000001"/>
    <m/>
    <x v="406"/>
    <x v="0"/>
    <s v="vbb - design basis"/>
    <x v="83"/>
    <x v="26"/>
    <x v="0"/>
    <x v="0"/>
    <n v="7.5"/>
    <m/>
    <m/>
    <m/>
    <m/>
    <s v="265720-10"/>
    <x v="26"/>
    <n v="3"/>
    <n v="2019"/>
    <n v="13"/>
    <s v="2019-13"/>
  </r>
  <r>
    <n v="1.1000000000000001"/>
    <m/>
    <x v="407"/>
    <x v="0"/>
    <s v="vbb - design basis"/>
    <x v="83"/>
    <x v="26"/>
    <x v="0"/>
    <x v="0"/>
    <n v="7.5"/>
    <m/>
    <m/>
    <m/>
    <m/>
    <s v="265720-10"/>
    <x v="26"/>
    <n v="4"/>
    <n v="2019"/>
    <n v="13"/>
    <s v="2019-13"/>
  </r>
  <r>
    <n v="1.1000000000000001"/>
    <m/>
    <x v="408"/>
    <x v="0"/>
    <s v="a465"/>
    <x v="83"/>
    <x v="32"/>
    <x v="0"/>
    <x v="0"/>
    <n v="7.5"/>
    <m/>
    <m/>
    <m/>
    <m/>
    <s v="266122-21"/>
    <x v="32"/>
    <n v="5"/>
    <n v="2019"/>
    <n v="13"/>
    <s v="2019-13"/>
  </r>
  <r>
    <n v="0.10000000000000009"/>
    <m/>
    <x v="409"/>
    <x v="0"/>
    <s v="a465"/>
    <x v="84"/>
    <x v="32"/>
    <x v="0"/>
    <x v="0"/>
    <n v="5"/>
    <m/>
    <m/>
    <m/>
    <m/>
    <s v="266122-21"/>
    <x v="32"/>
    <n v="1"/>
    <n v="2019"/>
    <n v="12"/>
    <s v="2019-12"/>
  </r>
  <r>
    <n v="0.10000000000000009"/>
    <m/>
    <x v="409"/>
    <x v="0"/>
    <s v="a465"/>
    <x v="84"/>
    <x v="32"/>
    <x v="0"/>
    <x v="0"/>
    <n v="2.5"/>
    <m/>
    <m/>
    <m/>
    <m/>
    <s v="266122-21"/>
    <x v="32"/>
    <n v="1"/>
    <n v="2019"/>
    <n v="12"/>
    <s v="2019-12"/>
  </r>
  <r>
    <n v="0.10000000000000009"/>
    <m/>
    <x v="410"/>
    <x v="0"/>
    <s v="a465"/>
    <x v="84"/>
    <x v="32"/>
    <x v="0"/>
    <x v="0"/>
    <n v="7.5"/>
    <m/>
    <m/>
    <m/>
    <m/>
    <s v="266122-21"/>
    <x v="32"/>
    <n v="2"/>
    <n v="2019"/>
    <n v="12"/>
    <s v="2019-12"/>
  </r>
  <r>
    <n v="0.10000000000000009"/>
    <m/>
    <x v="411"/>
    <x v="0"/>
    <s v="vbb - design basis"/>
    <x v="84"/>
    <x v="26"/>
    <x v="0"/>
    <x v="0"/>
    <n v="7.5"/>
    <m/>
    <m/>
    <m/>
    <m/>
    <s v="265720-10"/>
    <x v="26"/>
    <n v="3"/>
    <n v="2019"/>
    <n v="12"/>
    <s v="2019-12"/>
  </r>
  <r>
    <n v="0.10000000000000009"/>
    <m/>
    <x v="412"/>
    <x v="0"/>
    <s v="vbb - design basis"/>
    <x v="84"/>
    <x v="26"/>
    <x v="0"/>
    <x v="0"/>
    <n v="7.5"/>
    <m/>
    <m/>
    <m/>
    <m/>
    <s v="265720-10"/>
    <x v="26"/>
    <n v="4"/>
    <n v="2019"/>
    <n v="12"/>
    <s v="2019-12"/>
  </r>
  <r>
    <n v="0.10000000000000009"/>
    <m/>
    <x v="413"/>
    <x v="0"/>
    <s v="a465"/>
    <x v="84"/>
    <x v="32"/>
    <x v="0"/>
    <x v="0"/>
    <n v="7.5"/>
    <m/>
    <m/>
    <m/>
    <m/>
    <s v="266122-21"/>
    <x v="32"/>
    <n v="5"/>
    <n v="2019"/>
    <n v="12"/>
    <s v="2019-12"/>
  </r>
  <r>
    <n v="1.1000000000000001"/>
    <m/>
    <x v="414"/>
    <x v="0"/>
    <s v="a465"/>
    <x v="85"/>
    <x v="32"/>
    <x v="0"/>
    <x v="0"/>
    <n v="2"/>
    <m/>
    <m/>
    <m/>
    <m/>
    <s v="266122-21"/>
    <x v="32"/>
    <n v="1"/>
    <n v="2019"/>
    <n v="11"/>
    <s v="2019-11"/>
  </r>
  <r>
    <n v="1.1000000000000001"/>
    <m/>
    <x v="414"/>
    <x v="0"/>
    <s v="a465"/>
    <x v="85"/>
    <x v="32"/>
    <x v="0"/>
    <x v="0"/>
    <n v="5.5"/>
    <m/>
    <m/>
    <m/>
    <m/>
    <s v="266122-21"/>
    <x v="32"/>
    <n v="1"/>
    <n v="2019"/>
    <n v="11"/>
    <s v="2019-11"/>
  </r>
  <r>
    <n v="1.1000000000000001"/>
    <m/>
    <x v="415"/>
    <x v="0"/>
    <s v="a465"/>
    <x v="85"/>
    <x v="32"/>
    <x v="0"/>
    <x v="0"/>
    <n v="2.5"/>
    <m/>
    <m/>
    <m/>
    <m/>
    <s v="266122-21"/>
    <x v="32"/>
    <n v="2"/>
    <n v="2019"/>
    <n v="11"/>
    <s v="2019-11"/>
  </r>
  <r>
    <n v="1.1000000000000001"/>
    <m/>
    <x v="415"/>
    <x v="0"/>
    <s v="gatwick"/>
    <x v="85"/>
    <x v="33"/>
    <x v="0"/>
    <x v="0"/>
    <n v="5"/>
    <m/>
    <m/>
    <m/>
    <m/>
    <s v="264520-00"/>
    <x v="33"/>
    <n v="2"/>
    <n v="2019"/>
    <n v="11"/>
    <s v="2019-11"/>
  </r>
  <r>
    <n v="1.1000000000000001"/>
    <m/>
    <x v="416"/>
    <x v="0"/>
    <s v="shb - existing"/>
    <x v="85"/>
    <x v="34"/>
    <x v="0"/>
    <x v="0"/>
    <n v="7.5"/>
    <m/>
    <m/>
    <m/>
    <m/>
    <s v="239230-42"/>
    <x v="34"/>
    <n v="3"/>
    <n v="2019"/>
    <n v="11"/>
    <s v="2019-11"/>
  </r>
  <r>
    <n v="1.1000000000000001"/>
    <m/>
    <x v="417"/>
    <x v="0"/>
    <s v="vbb - design basis"/>
    <x v="85"/>
    <x v="26"/>
    <x v="0"/>
    <x v="0"/>
    <n v="7.5"/>
    <m/>
    <m/>
    <m/>
    <m/>
    <s v="265720-10"/>
    <x v="26"/>
    <n v="4"/>
    <n v="2019"/>
    <n v="11"/>
    <s v="2019-11"/>
  </r>
  <r>
    <n v="1.1000000000000001"/>
    <m/>
    <x v="418"/>
    <x v="0"/>
    <s v="a465"/>
    <x v="85"/>
    <x v="32"/>
    <x v="0"/>
    <x v="0"/>
    <n v="5"/>
    <m/>
    <m/>
    <m/>
    <m/>
    <s v="266122-21"/>
    <x v="32"/>
    <n v="5"/>
    <n v="2019"/>
    <n v="11"/>
    <s v="2019-11"/>
  </r>
  <r>
    <n v="1.1000000000000001"/>
    <m/>
    <x v="418"/>
    <x v="0"/>
    <s v="a465"/>
    <x v="85"/>
    <x v="32"/>
    <x v="0"/>
    <x v="0"/>
    <n v="2.5"/>
    <m/>
    <m/>
    <m/>
    <m/>
    <s v="266122-21"/>
    <x v="32"/>
    <n v="5"/>
    <n v="2019"/>
    <n v="11"/>
    <s v="2019-11"/>
  </r>
  <r>
    <n v="0.10000000000000009"/>
    <m/>
    <x v="419"/>
    <x v="0"/>
    <s v="wlw"/>
    <x v="86"/>
    <x v="35"/>
    <x v="0"/>
    <x v="0"/>
    <n v="2"/>
    <m/>
    <m/>
    <m/>
    <m/>
    <s v="264744-00"/>
    <x v="35"/>
    <n v="1"/>
    <n v="2019"/>
    <n v="10"/>
    <s v="2019-10"/>
  </r>
  <r>
    <n v="0.10000000000000009"/>
    <m/>
    <x v="419"/>
    <x v="0"/>
    <s v="ams support"/>
    <x v="86"/>
    <x v="36"/>
    <x v="0"/>
    <x v="0"/>
    <n v="2.5"/>
    <m/>
    <m/>
    <m/>
    <m/>
    <s v="000000-00"/>
    <x v="36"/>
    <n v="1"/>
    <n v="2019"/>
    <n v="10"/>
    <s v="2019-10"/>
  </r>
  <r>
    <n v="0.10000000000000009"/>
    <m/>
    <x v="419"/>
    <x v="0"/>
    <s v="ams support"/>
    <x v="86"/>
    <x v="36"/>
    <x v="0"/>
    <x v="0"/>
    <n v="1"/>
    <m/>
    <m/>
    <m/>
    <m/>
    <s v="000000-00"/>
    <x v="36"/>
    <n v="1"/>
    <n v="2019"/>
    <n v="10"/>
    <s v="2019-10"/>
  </r>
  <r>
    <n v="0.10000000000000009"/>
    <m/>
    <x v="419"/>
    <x v="0"/>
    <s v="shb - existing"/>
    <x v="86"/>
    <x v="34"/>
    <x v="0"/>
    <x v="0"/>
    <n v="1"/>
    <m/>
    <m/>
    <m/>
    <m/>
    <s v="239230-42"/>
    <x v="34"/>
    <n v="1"/>
    <n v="2019"/>
    <n v="10"/>
    <s v="2019-10"/>
  </r>
  <r>
    <n v="0.10000000000000009"/>
    <m/>
    <x v="419"/>
    <x v="0"/>
    <s v="a465"/>
    <x v="86"/>
    <x v="32"/>
    <x v="0"/>
    <x v="0"/>
    <n v="1"/>
    <m/>
    <m/>
    <m/>
    <m/>
    <s v="266122-21"/>
    <x v="32"/>
    <n v="1"/>
    <n v="2019"/>
    <n v="10"/>
    <s v="2019-10"/>
  </r>
  <r>
    <n v="0.10000000000000009"/>
    <m/>
    <x v="420"/>
    <x v="0"/>
    <s v="waalbrug"/>
    <x v="86"/>
    <x v="37"/>
    <x v="0"/>
    <x v="0"/>
    <n v="5.5"/>
    <m/>
    <m/>
    <m/>
    <m/>
    <s v="259933-00"/>
    <x v="37"/>
    <n v="2"/>
    <n v="2019"/>
    <n v="10"/>
    <s v="2019-10"/>
  </r>
  <r>
    <n v="0.10000000000000009"/>
    <m/>
    <x v="420"/>
    <x v="0"/>
    <s v="shb - existing"/>
    <x v="86"/>
    <x v="34"/>
    <x v="0"/>
    <x v="0"/>
    <n v="2"/>
    <m/>
    <m/>
    <m/>
    <m/>
    <s v="239230-42"/>
    <x v="34"/>
    <n v="2"/>
    <n v="2019"/>
    <n v="10"/>
    <s v="2019-10"/>
  </r>
  <r>
    <n v="0.10000000000000009"/>
    <m/>
    <x v="421"/>
    <x v="0"/>
    <s v="a465"/>
    <x v="86"/>
    <x v="32"/>
    <x v="0"/>
    <x v="0"/>
    <n v="3.75"/>
    <m/>
    <m/>
    <m/>
    <m/>
    <s v="266122-21"/>
    <x v="32"/>
    <n v="3"/>
    <n v="2019"/>
    <n v="10"/>
    <s v="2019-10"/>
  </r>
  <r>
    <n v="0.10000000000000009"/>
    <m/>
    <x v="421"/>
    <x v="0"/>
    <s v="a465"/>
    <x v="86"/>
    <x v="32"/>
    <x v="0"/>
    <x v="0"/>
    <n v="3.75"/>
    <m/>
    <m/>
    <m/>
    <m/>
    <s v="266122-21"/>
    <x v="32"/>
    <n v="3"/>
    <n v="2019"/>
    <n v="10"/>
    <s v="2019-10"/>
  </r>
  <r>
    <n v="0.10000000000000009"/>
    <m/>
    <x v="422"/>
    <x v="0"/>
    <s v="smp"/>
    <x v="86"/>
    <x v="31"/>
    <x v="0"/>
    <x v="0"/>
    <n v="2.5"/>
    <m/>
    <m/>
    <m/>
    <m/>
    <s v="261723-02"/>
    <x v="31"/>
    <n v="4"/>
    <n v="2019"/>
    <n v="10"/>
    <s v="2019-10"/>
  </r>
  <r>
    <n v="0.10000000000000009"/>
    <m/>
    <x v="422"/>
    <x v="0"/>
    <s v="hcc - paul cully"/>
    <x v="86"/>
    <x v="12"/>
    <x v="0"/>
    <x v="0"/>
    <n v="2.5"/>
    <m/>
    <m/>
    <m/>
    <m/>
    <s v="254304-96"/>
    <x v="12"/>
    <n v="4"/>
    <n v="2019"/>
    <n v="10"/>
    <s v="2019-10"/>
  </r>
  <r>
    <n v="0.10000000000000009"/>
    <m/>
    <x v="422"/>
    <x v="0"/>
    <s v="hcc - paul cully"/>
    <x v="86"/>
    <x v="12"/>
    <x v="0"/>
    <x v="0"/>
    <n v="2.5"/>
    <m/>
    <m/>
    <m/>
    <m/>
    <s v="254304-96"/>
    <x v="12"/>
    <n v="4"/>
    <n v="2019"/>
    <n v="10"/>
    <s v="2019-10"/>
  </r>
  <r>
    <n v="0.10000000000000009"/>
    <m/>
    <x v="423"/>
    <x v="0"/>
    <s v="a465"/>
    <x v="86"/>
    <x v="32"/>
    <x v="0"/>
    <x v="0"/>
    <n v="7.5"/>
    <m/>
    <m/>
    <m/>
    <m/>
    <s v="266122-21"/>
    <x v="32"/>
    <n v="5"/>
    <n v="2019"/>
    <n v="10"/>
    <s v="2019-10"/>
  </r>
  <r>
    <n v="1.1000000000000001"/>
    <m/>
    <x v="424"/>
    <x v="0"/>
    <s v="a465"/>
    <x v="87"/>
    <x v="32"/>
    <x v="0"/>
    <x v="0"/>
    <n v="7.5"/>
    <m/>
    <m/>
    <m/>
    <m/>
    <s v="266122-21"/>
    <x v="32"/>
    <n v="1"/>
    <n v="2019"/>
    <n v="9"/>
    <s v="2019-9"/>
  </r>
  <r>
    <n v="1.1000000000000001"/>
    <m/>
    <x v="425"/>
    <x v="0"/>
    <s v="m25 west msa"/>
    <x v="87"/>
    <x v="17"/>
    <x v="0"/>
    <x v="0"/>
    <n v="6.5"/>
    <m/>
    <m/>
    <m/>
    <m/>
    <s v="255375-00"/>
    <x v="17"/>
    <n v="2"/>
    <n v="2019"/>
    <n v="9"/>
    <s v="2019-9"/>
  </r>
  <r>
    <n v="1.1000000000000001"/>
    <m/>
    <x v="425"/>
    <x v="0"/>
    <s v="hcc - lower kings rd"/>
    <x v="87"/>
    <x v="9"/>
    <x v="0"/>
    <x v="0"/>
    <n v="1"/>
    <m/>
    <m/>
    <m/>
    <m/>
    <s v="255670-17"/>
    <x v="9"/>
    <n v="2"/>
    <n v="2019"/>
    <n v="9"/>
    <s v="2019-9"/>
  </r>
  <r>
    <n v="1.1000000000000001"/>
    <m/>
    <x v="426"/>
    <x v="0"/>
    <s v="wlw"/>
    <x v="87"/>
    <x v="35"/>
    <x v="0"/>
    <x v="0"/>
    <n v="2"/>
    <m/>
    <m/>
    <m/>
    <m/>
    <s v="264744-00"/>
    <x v="35"/>
    <n v="3"/>
    <n v="2019"/>
    <n v="9"/>
    <s v="2019-9"/>
  </r>
  <r>
    <n v="1.1000000000000001"/>
    <m/>
    <x v="426"/>
    <x v="0"/>
    <s v="smp"/>
    <x v="87"/>
    <x v="31"/>
    <x v="0"/>
    <x v="0"/>
    <n v="2"/>
    <m/>
    <m/>
    <m/>
    <m/>
    <s v="261723-02"/>
    <x v="31"/>
    <n v="3"/>
    <n v="2019"/>
    <n v="9"/>
    <s v="2019-9"/>
  </r>
  <r>
    <n v="1.1000000000000001"/>
    <m/>
    <x v="426"/>
    <x v="0"/>
    <s v="a465"/>
    <x v="87"/>
    <x v="32"/>
    <x v="0"/>
    <x v="0"/>
    <n v="3.5"/>
    <m/>
    <m/>
    <m/>
    <m/>
    <s v="266122-21"/>
    <x v="32"/>
    <n v="3"/>
    <n v="2019"/>
    <n v="9"/>
    <s v="2019-9"/>
  </r>
  <r>
    <n v="1.1000000000000001"/>
    <m/>
    <x v="427"/>
    <x v="0"/>
    <s v="interview"/>
    <x v="87"/>
    <x v="38"/>
    <x v="0"/>
    <x v="0"/>
    <n v="4"/>
    <m/>
    <m/>
    <m/>
    <m/>
    <n v="0"/>
    <x v="38"/>
    <n v="4"/>
    <n v="2019"/>
    <n v="9"/>
    <s v="2019-9"/>
  </r>
  <r>
    <n v="1.1000000000000001"/>
    <m/>
    <x v="427"/>
    <x v="0"/>
    <s v="a465"/>
    <x v="87"/>
    <x v="32"/>
    <x v="0"/>
    <x v="0"/>
    <n v="3.5"/>
    <m/>
    <m/>
    <m/>
    <m/>
    <s v="266122-21"/>
    <x v="32"/>
    <n v="4"/>
    <n v="2019"/>
    <n v="9"/>
    <s v="2019-9"/>
  </r>
  <r>
    <n v="1.1000000000000001"/>
    <m/>
    <x v="428"/>
    <x v="0"/>
    <s v="a465"/>
    <x v="87"/>
    <x v="32"/>
    <x v="0"/>
    <x v="0"/>
    <n v="7.5"/>
    <m/>
    <m/>
    <m/>
    <m/>
    <s v="266122-21"/>
    <x v="32"/>
    <n v="5"/>
    <n v="2019"/>
    <n v="9"/>
    <s v="2019-9"/>
  </r>
  <r>
    <n v="0.10000000000000009"/>
    <m/>
    <x v="429"/>
    <x v="0"/>
    <s v="leave"/>
    <x v="88"/>
    <x v="5"/>
    <x v="0"/>
    <x v="0"/>
    <n v="7.5"/>
    <m/>
    <m/>
    <m/>
    <m/>
    <s v="LEAVE"/>
    <x v="5"/>
    <n v="1"/>
    <n v="2019"/>
    <n v="8"/>
    <s v="2019-8"/>
  </r>
  <r>
    <n v="0.10000000000000009"/>
    <m/>
    <x v="430"/>
    <x v="0"/>
    <s v="leave"/>
    <x v="88"/>
    <x v="5"/>
    <x v="0"/>
    <x v="0"/>
    <n v="7.5"/>
    <m/>
    <m/>
    <m/>
    <m/>
    <s v="LEAVE"/>
    <x v="5"/>
    <n v="2"/>
    <n v="2019"/>
    <n v="8"/>
    <s v="2019-8"/>
  </r>
  <r>
    <n v="0.10000000000000009"/>
    <m/>
    <x v="431"/>
    <x v="0"/>
    <s v="leave"/>
    <x v="88"/>
    <x v="5"/>
    <x v="0"/>
    <x v="0"/>
    <n v="7.5"/>
    <m/>
    <m/>
    <m/>
    <m/>
    <s v="LEAVE"/>
    <x v="5"/>
    <n v="3"/>
    <n v="2019"/>
    <n v="8"/>
    <s v="2019-8"/>
  </r>
  <r>
    <n v="0.10000000000000009"/>
    <m/>
    <x v="432"/>
    <x v="0"/>
    <s v="leave"/>
    <x v="88"/>
    <x v="5"/>
    <x v="0"/>
    <x v="0"/>
    <n v="7.5"/>
    <m/>
    <m/>
    <m/>
    <m/>
    <s v="LEAVE"/>
    <x v="5"/>
    <n v="4"/>
    <n v="2019"/>
    <n v="8"/>
    <s v="2019-8"/>
  </r>
  <r>
    <n v="0.10000000000000009"/>
    <m/>
    <x v="433"/>
    <x v="0"/>
    <s v="leave"/>
    <x v="88"/>
    <x v="5"/>
    <x v="0"/>
    <x v="0"/>
    <n v="7.5"/>
    <m/>
    <m/>
    <m/>
    <m/>
    <s v="LEAVE"/>
    <x v="5"/>
    <n v="5"/>
    <n v="2019"/>
    <n v="8"/>
    <s v="2019-8"/>
  </r>
  <r>
    <n v="1.1000000000000001"/>
    <m/>
    <x v="434"/>
    <x v="0"/>
    <s v="galecopper - joints and b"/>
    <x v="89"/>
    <x v="39"/>
    <x v="0"/>
    <x v="0"/>
    <n v="3.75"/>
    <m/>
    <m/>
    <m/>
    <m/>
    <s v="260258-41"/>
    <x v="39"/>
    <n v="1"/>
    <n v="2019"/>
    <n v="7"/>
    <s v="2019-7"/>
  </r>
  <r>
    <n v="1.1000000000000001"/>
    <m/>
    <x v="434"/>
    <x v="0"/>
    <s v="m25 west msa"/>
    <x v="89"/>
    <x v="17"/>
    <x v="0"/>
    <x v="0"/>
    <n v="3.75"/>
    <m/>
    <m/>
    <m/>
    <m/>
    <s v="255375-00"/>
    <x v="17"/>
    <n v="1"/>
    <n v="2019"/>
    <n v="7"/>
    <s v="2019-7"/>
  </r>
  <r>
    <n v="1.1000000000000001"/>
    <m/>
    <x v="435"/>
    <x v="0"/>
    <s v="a465"/>
    <x v="89"/>
    <x v="32"/>
    <x v="0"/>
    <x v="0"/>
    <n v="7.5"/>
    <m/>
    <m/>
    <m/>
    <m/>
    <s v="266122-21"/>
    <x v="32"/>
    <n v="2"/>
    <n v="2019"/>
    <n v="7"/>
    <s v="2019-7"/>
  </r>
  <r>
    <n v="1.1000000000000001"/>
    <m/>
    <x v="436"/>
    <x v="0"/>
    <s v="galecopper - joints and b"/>
    <x v="89"/>
    <x v="39"/>
    <x v="0"/>
    <x v="0"/>
    <n v="7.5"/>
    <m/>
    <m/>
    <m/>
    <m/>
    <s v="260258-41"/>
    <x v="39"/>
    <n v="3"/>
    <n v="2019"/>
    <n v="7"/>
    <s v="2019-7"/>
  </r>
  <r>
    <n v="1.1000000000000001"/>
    <m/>
    <x v="437"/>
    <x v="0"/>
    <s v="infra bim"/>
    <x v="89"/>
    <x v="40"/>
    <x v="0"/>
    <x v="0"/>
    <n v="7.5"/>
    <m/>
    <m/>
    <m/>
    <m/>
    <s v="077616-63"/>
    <x v="40"/>
    <n v="4"/>
    <n v="2019"/>
    <n v="7"/>
    <s v="2019-7"/>
  </r>
  <r>
    <n v="1.1000000000000001"/>
    <m/>
    <x v="438"/>
    <x v="0"/>
    <s v="a465"/>
    <x v="89"/>
    <x v="32"/>
    <x v="0"/>
    <x v="0"/>
    <n v="3.75"/>
    <m/>
    <m/>
    <m/>
    <m/>
    <s v="266122-21"/>
    <x v="32"/>
    <n v="5"/>
    <n v="2019"/>
    <n v="7"/>
    <s v="2019-7"/>
  </r>
  <r>
    <n v="1.1000000000000001"/>
    <m/>
    <x v="438"/>
    <x v="0"/>
    <s v="galecopper - joints and b"/>
    <x v="89"/>
    <x v="39"/>
    <x v="0"/>
    <x v="0"/>
    <n v="1"/>
    <m/>
    <m/>
    <m/>
    <m/>
    <s v="260258-41"/>
    <x v="39"/>
    <n v="5"/>
    <n v="2019"/>
    <n v="7"/>
    <s v="2019-7"/>
  </r>
  <r>
    <n v="1.1000000000000001"/>
    <m/>
    <x v="438"/>
    <x v="0"/>
    <s v="hcc - paul cully"/>
    <x v="89"/>
    <x v="12"/>
    <x v="0"/>
    <x v="0"/>
    <n v="1.5"/>
    <m/>
    <m/>
    <m/>
    <m/>
    <s v="254304-96"/>
    <x v="12"/>
    <n v="5"/>
    <n v="2019"/>
    <n v="7"/>
    <s v="2019-7"/>
  </r>
  <r>
    <n v="1.1000000000000001"/>
    <m/>
    <x v="438"/>
    <x v="0"/>
    <s v="hcc - paul cully"/>
    <x v="89"/>
    <x v="12"/>
    <x v="0"/>
    <x v="0"/>
    <n v="1.25"/>
    <m/>
    <m/>
    <m/>
    <m/>
    <s v="254304-96"/>
    <x v="12"/>
    <n v="5"/>
    <n v="2019"/>
    <n v="7"/>
    <s v="2019-7"/>
  </r>
  <r>
    <n v="0.10000000000000009"/>
    <m/>
    <x v="439"/>
    <x v="0"/>
    <s v="hcc - paul cully"/>
    <x v="90"/>
    <x v="12"/>
    <x v="0"/>
    <x v="0"/>
    <n v="2.5"/>
    <m/>
    <m/>
    <m/>
    <m/>
    <s v="254304-96"/>
    <x v="12"/>
    <n v="1"/>
    <n v="2019"/>
    <n v="6"/>
    <s v="2019-6"/>
  </r>
  <r>
    <n v="0.10000000000000009"/>
    <m/>
    <x v="439"/>
    <x v="0"/>
    <s v="a465"/>
    <x v="90"/>
    <x v="32"/>
    <x v="0"/>
    <x v="0"/>
    <n v="2"/>
    <m/>
    <m/>
    <m/>
    <m/>
    <s v="266122-21"/>
    <x v="32"/>
    <n v="1"/>
    <n v="2019"/>
    <n v="6"/>
    <s v="2019-6"/>
  </r>
  <r>
    <n v="0.10000000000000009"/>
    <m/>
    <x v="439"/>
    <x v="0"/>
    <s v="a465"/>
    <x v="90"/>
    <x v="32"/>
    <x v="0"/>
    <x v="0"/>
    <n v="3"/>
    <m/>
    <m/>
    <m/>
    <m/>
    <s v="266122-21"/>
    <x v="32"/>
    <n v="1"/>
    <n v="2019"/>
    <n v="6"/>
    <s v="2019-6"/>
  </r>
  <r>
    <n v="0.10000000000000009"/>
    <m/>
    <x v="440"/>
    <x v="0"/>
    <s v="a465"/>
    <x v="90"/>
    <x v="32"/>
    <x v="0"/>
    <x v="0"/>
    <n v="7.5"/>
    <m/>
    <m/>
    <m/>
    <m/>
    <s v="266122-21"/>
    <x v="32"/>
    <n v="2"/>
    <n v="2019"/>
    <n v="6"/>
    <s v="2019-6"/>
  </r>
  <r>
    <n v="0.10000000000000009"/>
    <m/>
    <x v="441"/>
    <x v="0"/>
    <s v="m25 west msa"/>
    <x v="90"/>
    <x v="17"/>
    <x v="0"/>
    <x v="0"/>
    <n v="7.5"/>
    <m/>
    <m/>
    <m/>
    <m/>
    <s v="255375-00"/>
    <x v="17"/>
    <n v="3"/>
    <n v="2019"/>
    <n v="6"/>
    <s v="2019-6"/>
  </r>
  <r>
    <n v="0.10000000000000009"/>
    <m/>
    <x v="442"/>
    <x v="0"/>
    <s v="cp - assessment"/>
    <x v="90"/>
    <x v="25"/>
    <x v="0"/>
    <x v="0"/>
    <n v="3.75"/>
    <m/>
    <m/>
    <m/>
    <m/>
    <s v="215526-27"/>
    <x v="25"/>
    <n v="4"/>
    <n v="2019"/>
    <n v="6"/>
    <s v="2019-6"/>
  </r>
  <r>
    <n v="0.10000000000000009"/>
    <m/>
    <x v="442"/>
    <x v="0"/>
    <s v="a465"/>
    <x v="90"/>
    <x v="32"/>
    <x v="0"/>
    <x v="0"/>
    <n v="3.75"/>
    <m/>
    <m/>
    <m/>
    <m/>
    <s v="266122-21"/>
    <x v="32"/>
    <n v="4"/>
    <n v="2019"/>
    <n v="6"/>
    <s v="2019-6"/>
  </r>
  <r>
    <n v="0.10000000000000009"/>
    <m/>
    <x v="443"/>
    <x v="0"/>
    <s v="a465"/>
    <x v="90"/>
    <x v="32"/>
    <x v="0"/>
    <x v="0"/>
    <n v="3.75"/>
    <m/>
    <m/>
    <m/>
    <m/>
    <s v="266122-21"/>
    <x v="32"/>
    <n v="5"/>
    <n v="2019"/>
    <n v="6"/>
    <s v="2019-6"/>
  </r>
  <r>
    <n v="0.10000000000000009"/>
    <m/>
    <x v="443"/>
    <x v="0"/>
    <s v="a465"/>
    <x v="90"/>
    <x v="32"/>
    <x v="0"/>
    <x v="0"/>
    <n v="3.75"/>
    <m/>
    <m/>
    <m/>
    <m/>
    <s v="266122-21"/>
    <x v="32"/>
    <n v="5"/>
    <n v="2019"/>
    <n v="6"/>
    <s v="2019-6"/>
  </r>
  <r>
    <n v="1.1000000000000001"/>
    <m/>
    <x v="444"/>
    <x v="0"/>
    <s v="a465"/>
    <x v="91"/>
    <x v="32"/>
    <x v="0"/>
    <x v="0"/>
    <n v="7.5"/>
    <m/>
    <m/>
    <m/>
    <m/>
    <s v="266122-21"/>
    <x v="32"/>
    <n v="1"/>
    <n v="2019"/>
    <n v="5"/>
    <s v="2019-5"/>
  </r>
  <r>
    <n v="1.1000000000000001"/>
    <m/>
    <x v="445"/>
    <x v="0"/>
    <s v="ams support"/>
    <x v="91"/>
    <x v="36"/>
    <x v="0"/>
    <x v="0"/>
    <n v="7.5"/>
    <m/>
    <m/>
    <m/>
    <m/>
    <s v="000000-00"/>
    <x v="36"/>
    <n v="2"/>
    <n v="2019"/>
    <n v="5"/>
    <s v="2019-5"/>
  </r>
  <r>
    <n v="1.1000000000000001"/>
    <m/>
    <x v="446"/>
    <x v="0"/>
    <s v="de locht"/>
    <x v="91"/>
    <x v="41"/>
    <x v="0"/>
    <x v="0"/>
    <n v="2"/>
    <m/>
    <m/>
    <m/>
    <m/>
    <s v="265675-00"/>
    <x v="41"/>
    <n v="3"/>
    <n v="2019"/>
    <n v="5"/>
    <s v="2019-5"/>
  </r>
  <r>
    <n v="1.1000000000000001"/>
    <m/>
    <x v="446"/>
    <x v="0"/>
    <s v="ams support"/>
    <x v="91"/>
    <x v="36"/>
    <x v="0"/>
    <x v="0"/>
    <n v="5.5"/>
    <m/>
    <m/>
    <m/>
    <m/>
    <s v="000000-00"/>
    <x v="36"/>
    <n v="3"/>
    <n v="2019"/>
    <n v="5"/>
    <s v="2019-5"/>
  </r>
  <r>
    <n v="1.1000000000000001"/>
    <m/>
    <x v="447"/>
    <x v="0"/>
    <s v="waalbrug"/>
    <x v="91"/>
    <x v="37"/>
    <x v="0"/>
    <x v="0"/>
    <n v="7.5"/>
    <m/>
    <m/>
    <m/>
    <m/>
    <s v="259933-00"/>
    <x v="37"/>
    <n v="4"/>
    <n v="2019"/>
    <n v="5"/>
    <s v="2019-5"/>
  </r>
  <r>
    <n v="1.1000000000000001"/>
    <m/>
    <x v="448"/>
    <x v="0"/>
    <s v="hcc - paul cully"/>
    <x v="91"/>
    <x v="12"/>
    <x v="0"/>
    <x v="0"/>
    <n v="3.75"/>
    <m/>
    <m/>
    <m/>
    <m/>
    <s v="254304-96"/>
    <x v="12"/>
    <n v="5"/>
    <n v="2019"/>
    <n v="5"/>
    <s v="2019-5"/>
  </r>
  <r>
    <n v="1.1000000000000001"/>
    <m/>
    <x v="448"/>
    <x v="0"/>
    <s v="a465"/>
    <x v="91"/>
    <x v="32"/>
    <x v="0"/>
    <x v="0"/>
    <n v="3.75"/>
    <m/>
    <m/>
    <m/>
    <m/>
    <s v="266122-21"/>
    <x v="32"/>
    <n v="5"/>
    <n v="2019"/>
    <n v="5"/>
    <s v="2019-5"/>
  </r>
  <r>
    <n v="0.10000000000000009"/>
    <m/>
    <x v="449"/>
    <x v="0"/>
    <s v="waalbrug"/>
    <x v="92"/>
    <x v="37"/>
    <x v="0"/>
    <x v="0"/>
    <n v="7.5"/>
    <m/>
    <m/>
    <m/>
    <m/>
    <s v="259933-00"/>
    <x v="37"/>
    <n v="1"/>
    <n v="2019"/>
    <n v="4"/>
    <s v="2019-4"/>
  </r>
  <r>
    <n v="0.10000000000000009"/>
    <m/>
    <x v="450"/>
    <x v="0"/>
    <s v="waalbrug"/>
    <x v="92"/>
    <x v="37"/>
    <x v="0"/>
    <x v="0"/>
    <n v="7.5"/>
    <m/>
    <m/>
    <m/>
    <m/>
    <s v="259933-00"/>
    <x v="37"/>
    <n v="2"/>
    <n v="2019"/>
    <n v="4"/>
    <s v="2019-4"/>
  </r>
  <r>
    <n v="0.10000000000000009"/>
    <m/>
    <x v="451"/>
    <x v="0"/>
    <s v="infra bim"/>
    <x v="92"/>
    <x v="40"/>
    <x v="0"/>
    <x v="0"/>
    <n v="7.5"/>
    <m/>
    <m/>
    <m/>
    <m/>
    <s v="077616-63"/>
    <x v="40"/>
    <n v="3"/>
    <n v="2019"/>
    <n v="4"/>
    <s v="2019-4"/>
  </r>
  <r>
    <n v="0.10000000000000009"/>
    <m/>
    <x v="452"/>
    <x v="0"/>
    <s v="infra bim"/>
    <x v="92"/>
    <x v="40"/>
    <x v="0"/>
    <x v="0"/>
    <n v="7.5"/>
    <m/>
    <m/>
    <m/>
    <m/>
    <s v="077616-63"/>
    <x v="40"/>
    <n v="4"/>
    <n v="2019"/>
    <n v="4"/>
    <s v="2019-4"/>
  </r>
  <r>
    <n v="0.10000000000000009"/>
    <m/>
    <x v="453"/>
    <x v="0"/>
    <s v="infra bim"/>
    <x v="92"/>
    <x v="40"/>
    <x v="0"/>
    <x v="0"/>
    <n v="7.5"/>
    <m/>
    <m/>
    <m/>
    <m/>
    <s v="077616-63"/>
    <x v="40"/>
    <n v="5"/>
    <n v="2019"/>
    <n v="4"/>
    <s v="2019-4"/>
  </r>
  <r>
    <n v="1.1000000000000001"/>
    <m/>
    <x v="454"/>
    <x v="0"/>
    <s v="m25 west msa"/>
    <x v="93"/>
    <x v="17"/>
    <x v="0"/>
    <x v="0"/>
    <n v="7.5"/>
    <m/>
    <m/>
    <m/>
    <m/>
    <s v="255375-00"/>
    <x v="17"/>
    <n v="1"/>
    <n v="2019"/>
    <n v="3"/>
    <s v="2019-3"/>
  </r>
  <r>
    <n v="1.1000000000000001"/>
    <m/>
    <x v="455"/>
    <x v="0"/>
    <s v="galecopper"/>
    <x v="93"/>
    <x v="42"/>
    <x v="0"/>
    <x v="0"/>
    <n v="3"/>
    <m/>
    <m/>
    <m/>
    <m/>
    <s v="260258-47"/>
    <x v="42"/>
    <n v="2"/>
    <n v="2019"/>
    <n v="3"/>
    <s v="2019-3"/>
  </r>
  <r>
    <n v="1.1000000000000001"/>
    <m/>
    <x v="455"/>
    <x v="0"/>
    <s v="ams support"/>
    <x v="93"/>
    <x v="36"/>
    <x v="0"/>
    <x v="0"/>
    <n v="4.5"/>
    <m/>
    <m/>
    <m/>
    <m/>
    <s v="000000-00"/>
    <x v="36"/>
    <n v="2"/>
    <n v="2019"/>
    <n v="3"/>
    <s v="2019-3"/>
  </r>
  <r>
    <n v="1.1000000000000001"/>
    <m/>
    <x v="456"/>
    <x v="0"/>
    <s v="ams support"/>
    <x v="93"/>
    <x v="36"/>
    <x v="0"/>
    <x v="0"/>
    <n v="7.5"/>
    <m/>
    <m/>
    <m/>
    <m/>
    <s v="000000-00"/>
    <x v="36"/>
    <n v="3"/>
    <n v="2019"/>
    <n v="3"/>
    <s v="2019-3"/>
  </r>
  <r>
    <n v="1.1000000000000001"/>
    <m/>
    <x v="457"/>
    <x v="0"/>
    <s v="hcc - lower kings rd"/>
    <x v="93"/>
    <x v="9"/>
    <x v="0"/>
    <x v="0"/>
    <n v="2"/>
    <m/>
    <m/>
    <m/>
    <m/>
    <s v="255670-17"/>
    <x v="9"/>
    <n v="4"/>
    <n v="2019"/>
    <n v="3"/>
    <s v="2019-3"/>
  </r>
  <r>
    <n v="1.1000000000000001"/>
    <m/>
    <x v="457"/>
    <x v="0"/>
    <s v="hcc - paul cully"/>
    <x v="93"/>
    <x v="12"/>
    <x v="0"/>
    <x v="0"/>
    <n v="5.5"/>
    <m/>
    <m/>
    <m/>
    <m/>
    <s v="254304-96"/>
    <x v="12"/>
    <n v="4"/>
    <n v="2019"/>
    <n v="3"/>
    <s v="2019-3"/>
  </r>
  <r>
    <n v="1.1000000000000001"/>
    <m/>
    <x v="458"/>
    <x v="0"/>
    <s v="hcc - weston hills tunnel"/>
    <x v="93"/>
    <x v="10"/>
    <x v="0"/>
    <x v="0"/>
    <n v="2.5"/>
    <m/>
    <m/>
    <m/>
    <m/>
    <s v="246233-56"/>
    <x v="10"/>
    <n v="5"/>
    <n v="2019"/>
    <n v="3"/>
    <s v="2019-3"/>
  </r>
  <r>
    <n v="1.1000000000000001"/>
    <m/>
    <x v="458"/>
    <x v="0"/>
    <s v="waalbrug"/>
    <x v="93"/>
    <x v="37"/>
    <x v="0"/>
    <x v="0"/>
    <n v="2.5"/>
    <m/>
    <m/>
    <m/>
    <m/>
    <s v="259933-00"/>
    <x v="37"/>
    <n v="5"/>
    <n v="2019"/>
    <n v="3"/>
    <s v="2019-3"/>
  </r>
  <r>
    <n v="1.1000000000000001"/>
    <m/>
    <x v="458"/>
    <x v="0"/>
    <s v="hcc - paul cully"/>
    <x v="93"/>
    <x v="12"/>
    <x v="0"/>
    <x v="0"/>
    <n v="2.5"/>
    <m/>
    <m/>
    <m/>
    <m/>
    <s v="254304-96"/>
    <x v="12"/>
    <n v="5"/>
    <n v="2019"/>
    <n v="3"/>
    <s v="2019-3"/>
  </r>
  <r>
    <n v="0.10000000000000009"/>
    <m/>
    <x v="459"/>
    <x v="0"/>
    <s v="leave"/>
    <x v="94"/>
    <x v="5"/>
    <x v="0"/>
    <x v="0"/>
    <n v="7.5"/>
    <m/>
    <m/>
    <m/>
    <m/>
    <s v="LEAVE"/>
    <x v="5"/>
    <n v="1"/>
    <n v="2019"/>
    <n v="2"/>
    <s v="2019-2"/>
  </r>
  <r>
    <n v="0.10000000000000009"/>
    <m/>
    <x v="460"/>
    <x v="0"/>
    <s v="bank holiday"/>
    <x v="94"/>
    <x v="11"/>
    <x v="0"/>
    <x v="0"/>
    <n v="7.5"/>
    <m/>
    <m/>
    <m/>
    <m/>
    <s v="BANK HOLIDAY"/>
    <x v="11"/>
    <n v="2"/>
    <n v="2019"/>
    <n v="2"/>
    <s v="2019-2"/>
  </r>
  <r>
    <n v="0.10000000000000009"/>
    <m/>
    <x v="461"/>
    <x v="0"/>
    <s v="cp - assessment"/>
    <x v="94"/>
    <x v="25"/>
    <x v="0"/>
    <x v="0"/>
    <n v="7.5"/>
    <m/>
    <m/>
    <m/>
    <m/>
    <s v="215526-27"/>
    <x v="25"/>
    <n v="3"/>
    <n v="2019"/>
    <n v="2"/>
    <s v="2019-2"/>
  </r>
  <r>
    <n v="0.10000000000000009"/>
    <m/>
    <x v="462"/>
    <x v="0"/>
    <s v="galecopper"/>
    <x v="94"/>
    <x v="42"/>
    <x v="0"/>
    <x v="0"/>
    <n v="7.5"/>
    <m/>
    <m/>
    <m/>
    <m/>
    <s v="260258-47"/>
    <x v="42"/>
    <n v="4"/>
    <n v="2019"/>
    <n v="2"/>
    <s v="2019-2"/>
  </r>
  <r>
    <n v="0.10000000000000009"/>
    <m/>
    <x v="463"/>
    <x v="0"/>
    <s v="galecopper"/>
    <x v="94"/>
    <x v="42"/>
    <x v="0"/>
    <x v="0"/>
    <n v="2.5"/>
    <m/>
    <m/>
    <m/>
    <m/>
    <s v="260258-47"/>
    <x v="42"/>
    <n v="5"/>
    <n v="2019"/>
    <n v="2"/>
    <s v="2019-2"/>
  </r>
  <r>
    <n v="0.10000000000000009"/>
    <m/>
    <x v="463"/>
    <x v="0"/>
    <s v="m25 west msa"/>
    <x v="94"/>
    <x v="17"/>
    <x v="0"/>
    <x v="0"/>
    <n v="3"/>
    <m/>
    <m/>
    <m/>
    <m/>
    <s v="255375-00"/>
    <x v="17"/>
    <n v="5"/>
    <n v="2019"/>
    <n v="2"/>
    <s v="2019-2"/>
  </r>
  <r>
    <n v="0.10000000000000009"/>
    <m/>
    <x v="463"/>
    <x v="0"/>
    <s v="hcc - weston hills tunnel"/>
    <x v="94"/>
    <x v="10"/>
    <x v="0"/>
    <x v="0"/>
    <n v="2"/>
    <m/>
    <m/>
    <m/>
    <m/>
    <s v="246233-56"/>
    <x v="10"/>
    <n v="5"/>
    <n v="2019"/>
    <n v="2"/>
    <s v="2019-2"/>
  </r>
  <r>
    <n v="1.1000000000000001"/>
    <m/>
    <x v="464"/>
    <x v="0"/>
    <s v="leave"/>
    <x v="95"/>
    <x v="5"/>
    <x v="0"/>
    <x v="0"/>
    <n v="7.5"/>
    <m/>
    <m/>
    <m/>
    <m/>
    <s v="LEAVE"/>
    <x v="5"/>
    <n v="1"/>
    <n v="2018"/>
    <n v="53"/>
    <s v="2018-53"/>
  </r>
  <r>
    <n v="1.1000000000000001"/>
    <m/>
    <x v="465"/>
    <x v="0"/>
    <s v="bank holiday"/>
    <x v="95"/>
    <x v="11"/>
    <x v="0"/>
    <x v="0"/>
    <n v="7.5"/>
    <m/>
    <m/>
    <m/>
    <m/>
    <s v="BANK HOLIDAY"/>
    <x v="11"/>
    <n v="2"/>
    <n v="2018"/>
    <n v="53"/>
    <s v="2018-53"/>
  </r>
  <r>
    <n v="1.1000000000000001"/>
    <m/>
    <x v="466"/>
    <x v="0"/>
    <s v="bank holiday"/>
    <x v="95"/>
    <x v="11"/>
    <x v="0"/>
    <x v="0"/>
    <n v="7.5"/>
    <m/>
    <m/>
    <m/>
    <m/>
    <s v="BANK HOLIDAY"/>
    <x v="11"/>
    <n v="3"/>
    <n v="2018"/>
    <n v="53"/>
    <s v="2018-53"/>
  </r>
  <r>
    <n v="1.1000000000000001"/>
    <m/>
    <x v="467"/>
    <x v="0"/>
    <s v="leave"/>
    <x v="95"/>
    <x v="5"/>
    <x v="0"/>
    <x v="0"/>
    <n v="7.5"/>
    <m/>
    <m/>
    <m/>
    <m/>
    <s v="LEAVE"/>
    <x v="5"/>
    <n v="4"/>
    <n v="2018"/>
    <n v="53"/>
    <s v="2018-53"/>
  </r>
  <r>
    <n v="1.1000000000000001"/>
    <m/>
    <x v="468"/>
    <x v="0"/>
    <s v="leave"/>
    <x v="95"/>
    <x v="5"/>
    <x v="0"/>
    <x v="0"/>
    <n v="7.5"/>
    <m/>
    <m/>
    <m/>
    <m/>
    <s v="LEAVE"/>
    <x v="5"/>
    <n v="5"/>
    <n v="2018"/>
    <n v="53"/>
    <s v="2018-53"/>
  </r>
  <r>
    <n v="0.10000000000000009"/>
    <m/>
    <x v="469"/>
    <x v="0"/>
    <s v="ams support"/>
    <x v="96"/>
    <x v="36"/>
    <x v="0"/>
    <x v="0"/>
    <n v="3.75"/>
    <m/>
    <m/>
    <m/>
    <m/>
    <s v="000000-00"/>
    <x v="36"/>
    <n v="1"/>
    <n v="2018"/>
    <n v="52"/>
    <s v="2018-52"/>
  </r>
  <r>
    <n v="0.10000000000000009"/>
    <m/>
    <x v="469"/>
    <x v="0"/>
    <s v="waalbrug"/>
    <x v="96"/>
    <x v="37"/>
    <x v="0"/>
    <x v="0"/>
    <n v="3.75"/>
    <m/>
    <m/>
    <m/>
    <m/>
    <s v="259933-00"/>
    <x v="37"/>
    <n v="1"/>
    <n v="2018"/>
    <n v="52"/>
    <s v="2018-52"/>
  </r>
  <r>
    <n v="0.10000000000000009"/>
    <m/>
    <x v="470"/>
    <x v="0"/>
    <s v="ams support"/>
    <x v="96"/>
    <x v="36"/>
    <x v="0"/>
    <x v="0"/>
    <n v="7.5"/>
    <m/>
    <m/>
    <m/>
    <m/>
    <s v="000000-00"/>
    <x v="36"/>
    <n v="2"/>
    <n v="2018"/>
    <n v="52"/>
    <s v="2018-52"/>
  </r>
  <r>
    <n v="0.10000000000000009"/>
    <m/>
    <x v="471"/>
    <x v="0"/>
    <e v="#N/A"/>
    <x v="96"/>
    <x v="0"/>
    <x v="0"/>
    <x v="0"/>
    <n v="1"/>
    <m/>
    <m/>
    <m/>
    <m/>
    <e v="#N/A"/>
    <x v="0"/>
    <n v="3"/>
    <n v="2018"/>
    <n v="52"/>
    <s v="2018-52"/>
  </r>
  <r>
    <n v="0.10000000000000009"/>
    <m/>
    <x v="471"/>
    <x v="0"/>
    <s v="hcc - nursery ln"/>
    <x v="96"/>
    <x v="43"/>
    <x v="0"/>
    <x v="0"/>
    <n v="2"/>
    <m/>
    <m/>
    <m/>
    <m/>
    <s v="254304-79"/>
    <x v="43"/>
    <n v="3"/>
    <n v="2018"/>
    <n v="52"/>
    <s v="2018-52"/>
  </r>
  <r>
    <n v="0.10000000000000009"/>
    <m/>
    <x v="471"/>
    <x v="0"/>
    <s v="hcc - paul cully"/>
    <x v="96"/>
    <x v="12"/>
    <x v="0"/>
    <x v="0"/>
    <n v="4.5"/>
    <m/>
    <m/>
    <m/>
    <m/>
    <s v="254304-96"/>
    <x v="12"/>
    <n v="3"/>
    <n v="2018"/>
    <n v="52"/>
    <s v="2018-52"/>
  </r>
  <r>
    <n v="0.10000000000000009"/>
    <m/>
    <x v="472"/>
    <x v="0"/>
    <s v="cp - assessment"/>
    <x v="96"/>
    <x v="25"/>
    <x v="0"/>
    <x v="0"/>
    <n v="7.5"/>
    <m/>
    <m/>
    <m/>
    <m/>
    <s v="215526-27"/>
    <x v="25"/>
    <n v="4"/>
    <n v="2018"/>
    <n v="52"/>
    <s v="2018-52"/>
  </r>
  <r>
    <n v="0.10000000000000009"/>
    <m/>
    <x v="473"/>
    <x v="0"/>
    <s v="cp - assessment"/>
    <x v="96"/>
    <x v="25"/>
    <x v="0"/>
    <x v="0"/>
    <n v="3.75"/>
    <m/>
    <m/>
    <m/>
    <m/>
    <s v="215526-27"/>
    <x v="25"/>
    <n v="5"/>
    <n v="2018"/>
    <n v="52"/>
    <s v="2018-52"/>
  </r>
  <r>
    <n v="0.10000000000000009"/>
    <m/>
    <x v="473"/>
    <x v="0"/>
    <s v="waalbrug"/>
    <x v="96"/>
    <x v="37"/>
    <x v="0"/>
    <x v="0"/>
    <n v="3.75"/>
    <m/>
    <m/>
    <m/>
    <m/>
    <s v="259933-00"/>
    <x v="37"/>
    <n v="5"/>
    <n v="2018"/>
    <n v="52"/>
    <s v="2018-52"/>
  </r>
  <r>
    <n v="1.1000000000000001"/>
    <m/>
    <x v="474"/>
    <x v="0"/>
    <s v="swindon d&amp;b"/>
    <x v="97"/>
    <x v="44"/>
    <x v="0"/>
    <x v="0"/>
    <n v="7.5"/>
    <m/>
    <m/>
    <m/>
    <m/>
    <s v="601701-23"/>
    <x v="44"/>
    <n v="1"/>
    <n v="2018"/>
    <n v="51"/>
    <s v="2018-51"/>
  </r>
  <r>
    <n v="1.1000000000000001"/>
    <m/>
    <x v="475"/>
    <x v="0"/>
    <s v="ams support"/>
    <x v="97"/>
    <x v="36"/>
    <x v="0"/>
    <x v="0"/>
    <n v="7.5"/>
    <m/>
    <m/>
    <m/>
    <m/>
    <s v="000000-00"/>
    <x v="36"/>
    <n v="2"/>
    <n v="2018"/>
    <n v="51"/>
    <s v="2018-51"/>
  </r>
  <r>
    <n v="1.1000000000000001"/>
    <m/>
    <x v="476"/>
    <x v="0"/>
    <s v="ams support"/>
    <x v="97"/>
    <x v="36"/>
    <x v="0"/>
    <x v="0"/>
    <n v="7.5"/>
    <m/>
    <m/>
    <m/>
    <m/>
    <s v="000000-00"/>
    <x v="36"/>
    <n v="3"/>
    <n v="2018"/>
    <n v="51"/>
    <s v="2018-51"/>
  </r>
  <r>
    <n v="1.1000000000000001"/>
    <m/>
    <x v="477"/>
    <x v="0"/>
    <s v="swindon d&amp;b"/>
    <x v="97"/>
    <x v="44"/>
    <x v="0"/>
    <x v="0"/>
    <n v="7.5"/>
    <m/>
    <m/>
    <m/>
    <m/>
    <s v="601701-23"/>
    <x v="44"/>
    <n v="4"/>
    <n v="2018"/>
    <n v="51"/>
    <s v="2018-51"/>
  </r>
  <r>
    <n v="1.1000000000000001"/>
    <m/>
    <x v="478"/>
    <x v="0"/>
    <s v="waalbrug"/>
    <x v="97"/>
    <x v="37"/>
    <x v="0"/>
    <x v="0"/>
    <n v="4"/>
    <m/>
    <m/>
    <m/>
    <m/>
    <s v="259933-00"/>
    <x v="37"/>
    <n v="5"/>
    <n v="2018"/>
    <n v="51"/>
    <s v="2018-51"/>
  </r>
  <r>
    <n v="1.1000000000000001"/>
    <m/>
    <x v="478"/>
    <x v="0"/>
    <s v="hatta"/>
    <x v="97"/>
    <x v="45"/>
    <x v="0"/>
    <x v="0"/>
    <n v="2"/>
    <m/>
    <m/>
    <m/>
    <m/>
    <s v="77616-41"/>
    <x v="45"/>
    <n v="5"/>
    <n v="2018"/>
    <n v="51"/>
    <s v="2018-51"/>
  </r>
  <r>
    <n v="1.1000000000000001"/>
    <m/>
    <x v="478"/>
    <x v="0"/>
    <s v="swindon d&amp;b"/>
    <x v="97"/>
    <x v="44"/>
    <x v="0"/>
    <x v="0"/>
    <n v="1.5"/>
    <m/>
    <m/>
    <m/>
    <m/>
    <s v="601701-23"/>
    <x v="44"/>
    <n v="5"/>
    <n v="2018"/>
    <n v="51"/>
    <s v="2018-51"/>
  </r>
  <r>
    <n v="0.10000000000000009"/>
    <m/>
    <x v="479"/>
    <x v="0"/>
    <s v="bcst appraisal"/>
    <x v="98"/>
    <x v="6"/>
    <x v="0"/>
    <x v="0"/>
    <n v="2"/>
    <m/>
    <m/>
    <m/>
    <m/>
    <s v="074097-29"/>
    <x v="6"/>
    <n v="1"/>
    <n v="2018"/>
    <n v="50"/>
    <s v="2018-50"/>
  </r>
  <r>
    <n v="0.10000000000000009"/>
    <m/>
    <x v="479"/>
    <x v="0"/>
    <s v="hcc - paul cully"/>
    <x v="98"/>
    <x v="12"/>
    <x v="0"/>
    <x v="0"/>
    <n v="5.5"/>
    <m/>
    <m/>
    <m/>
    <m/>
    <s v="254304-96"/>
    <x v="12"/>
    <n v="1"/>
    <n v="2018"/>
    <n v="50"/>
    <s v="2018-50"/>
  </r>
  <r>
    <n v="0.10000000000000009"/>
    <m/>
    <x v="480"/>
    <x v="0"/>
    <s v="suurhoffbrug"/>
    <x v="98"/>
    <x v="46"/>
    <x v="0"/>
    <x v="0"/>
    <n v="7.5"/>
    <m/>
    <m/>
    <m/>
    <m/>
    <s v="239230-40"/>
    <x v="46"/>
    <n v="2"/>
    <n v="2018"/>
    <n v="50"/>
    <s v="2018-50"/>
  </r>
  <r>
    <n v="0.10000000000000009"/>
    <m/>
    <x v="481"/>
    <x v="0"/>
    <s v="ams support"/>
    <x v="98"/>
    <x v="36"/>
    <x v="0"/>
    <x v="0"/>
    <n v="7.5"/>
    <m/>
    <m/>
    <m/>
    <m/>
    <s v="000000-00"/>
    <x v="36"/>
    <n v="3"/>
    <n v="2018"/>
    <n v="50"/>
    <s v="2018-50"/>
  </r>
  <r>
    <n v="0.10000000000000009"/>
    <m/>
    <x v="482"/>
    <x v="0"/>
    <s v="ams support"/>
    <x v="98"/>
    <x v="36"/>
    <x v="0"/>
    <x v="0"/>
    <n v="7.5"/>
    <m/>
    <m/>
    <m/>
    <m/>
    <s v="000000-00"/>
    <x v="36"/>
    <n v="4"/>
    <n v="2018"/>
    <n v="50"/>
    <s v="2018-50"/>
  </r>
  <r>
    <n v="0.10000000000000009"/>
    <m/>
    <x v="483"/>
    <x v="0"/>
    <s v="bcst appraisal"/>
    <x v="98"/>
    <x v="6"/>
    <x v="0"/>
    <x v="0"/>
    <n v="2"/>
    <m/>
    <m/>
    <m/>
    <m/>
    <s v="074097-29"/>
    <x v="6"/>
    <n v="5"/>
    <n v="2018"/>
    <n v="50"/>
    <s v="2018-50"/>
  </r>
  <r>
    <n v="0.10000000000000009"/>
    <m/>
    <x v="483"/>
    <x v="0"/>
    <s v="bcs - promotional"/>
    <x v="98"/>
    <x v="24"/>
    <x v="0"/>
    <x v="0"/>
    <n v="2"/>
    <m/>
    <m/>
    <m/>
    <m/>
    <s v="071945-07"/>
    <x v="24"/>
    <n v="5"/>
    <n v="2018"/>
    <n v="50"/>
    <s v="2018-50"/>
  </r>
  <r>
    <n v="0.10000000000000009"/>
    <m/>
    <x v="483"/>
    <x v="0"/>
    <s v="galecopper"/>
    <x v="98"/>
    <x v="42"/>
    <x v="0"/>
    <x v="0"/>
    <n v="3.5"/>
    <m/>
    <m/>
    <m/>
    <m/>
    <s v="260258-47"/>
    <x v="42"/>
    <n v="5"/>
    <n v="2018"/>
    <n v="50"/>
    <s v="2018-50"/>
  </r>
  <r>
    <n v="1.1000000000000001"/>
    <m/>
    <x v="484"/>
    <x v="0"/>
    <s v="engagement cohort"/>
    <x v="99"/>
    <x v="47"/>
    <x v="0"/>
    <x v="0"/>
    <n v="3.75"/>
    <m/>
    <m/>
    <m/>
    <m/>
    <s v="074103-30"/>
    <x v="47"/>
    <n v="1"/>
    <n v="2018"/>
    <n v="49"/>
    <s v="2018-49"/>
  </r>
  <r>
    <n v="1.1000000000000001"/>
    <m/>
    <x v="484"/>
    <x v="0"/>
    <s v="cp - assessment"/>
    <x v="99"/>
    <x v="25"/>
    <x v="0"/>
    <x v="0"/>
    <n v="3.75"/>
    <m/>
    <m/>
    <m/>
    <m/>
    <s v="215526-27"/>
    <x v="25"/>
    <n v="1"/>
    <n v="2018"/>
    <n v="49"/>
    <s v="2018-49"/>
  </r>
  <r>
    <n v="1.1000000000000001"/>
    <m/>
    <x v="485"/>
    <x v="0"/>
    <s v="hcc - nursery ln"/>
    <x v="99"/>
    <x v="43"/>
    <x v="0"/>
    <x v="0"/>
    <n v="2.5"/>
    <m/>
    <m/>
    <m/>
    <m/>
    <s v="254304-79"/>
    <x v="43"/>
    <n v="2"/>
    <n v="2018"/>
    <n v="49"/>
    <s v="2018-49"/>
  </r>
  <r>
    <n v="1.1000000000000001"/>
    <m/>
    <x v="485"/>
    <x v="0"/>
    <s v="hcc - asset management"/>
    <x v="99"/>
    <x v="48"/>
    <x v="0"/>
    <x v="0"/>
    <n v="3"/>
    <m/>
    <m/>
    <m/>
    <m/>
    <s v="254304-44"/>
    <x v="48"/>
    <n v="2"/>
    <n v="2018"/>
    <n v="49"/>
    <s v="2018-49"/>
  </r>
  <r>
    <n v="1.1000000000000001"/>
    <m/>
    <x v="485"/>
    <x v="0"/>
    <s v="hcc - paul cully"/>
    <x v="99"/>
    <x v="12"/>
    <x v="0"/>
    <x v="0"/>
    <n v="1"/>
    <m/>
    <m/>
    <m/>
    <m/>
    <s v="254304-96"/>
    <x v="12"/>
    <n v="2"/>
    <n v="2018"/>
    <n v="49"/>
    <s v="2018-49"/>
  </r>
  <r>
    <n v="1.1000000000000001"/>
    <m/>
    <x v="485"/>
    <x v="0"/>
    <s v="hcc - weston hills tunnel"/>
    <x v="99"/>
    <x v="10"/>
    <x v="0"/>
    <x v="0"/>
    <n v="1"/>
    <m/>
    <m/>
    <m/>
    <m/>
    <s v="246233-56"/>
    <x v="10"/>
    <n v="2"/>
    <n v="2018"/>
    <n v="49"/>
    <s v="2018-49"/>
  </r>
  <r>
    <n v="1.1000000000000001"/>
    <m/>
    <x v="486"/>
    <x v="0"/>
    <s v="hcc - nursery ln"/>
    <x v="99"/>
    <x v="43"/>
    <x v="0"/>
    <x v="0"/>
    <n v="7.5"/>
    <m/>
    <m/>
    <m/>
    <m/>
    <s v="254304-79"/>
    <x v="43"/>
    <n v="3"/>
    <n v="2018"/>
    <n v="49"/>
    <s v="2018-49"/>
  </r>
  <r>
    <n v="1.1000000000000001"/>
    <m/>
    <x v="487"/>
    <x v="0"/>
    <s v="smp"/>
    <x v="99"/>
    <x v="31"/>
    <x v="0"/>
    <x v="0"/>
    <n v="5"/>
    <m/>
    <m/>
    <m/>
    <m/>
    <s v="261723-02"/>
    <x v="31"/>
    <n v="4"/>
    <n v="2018"/>
    <n v="49"/>
    <s v="2018-49"/>
  </r>
  <r>
    <n v="1.1000000000000001"/>
    <m/>
    <x v="487"/>
    <x v="0"/>
    <s v="cp - assessment"/>
    <x v="99"/>
    <x v="25"/>
    <x v="0"/>
    <x v="0"/>
    <n v="2.5"/>
    <m/>
    <m/>
    <m/>
    <m/>
    <s v="215526-27"/>
    <x v="25"/>
    <n v="4"/>
    <n v="2018"/>
    <n v="49"/>
    <s v="2018-49"/>
  </r>
  <r>
    <n v="1.1000000000000001"/>
    <m/>
    <x v="488"/>
    <x v="0"/>
    <s v="bcst appraisal"/>
    <x v="99"/>
    <x v="6"/>
    <x v="0"/>
    <x v="0"/>
    <n v="2"/>
    <m/>
    <m/>
    <m/>
    <m/>
    <s v="074097-29"/>
    <x v="6"/>
    <n v="5"/>
    <n v="2018"/>
    <n v="49"/>
    <s v="2018-49"/>
  </r>
  <r>
    <n v="1.1000000000000001"/>
    <m/>
    <x v="488"/>
    <x v="0"/>
    <s v="hcc - paul cully"/>
    <x v="99"/>
    <x v="12"/>
    <x v="0"/>
    <x v="0"/>
    <n v="3"/>
    <m/>
    <m/>
    <m/>
    <m/>
    <s v="254304-96"/>
    <x v="12"/>
    <n v="5"/>
    <n v="2018"/>
    <n v="49"/>
    <s v="2018-49"/>
  </r>
  <r>
    <n v="1.1000000000000001"/>
    <m/>
    <x v="488"/>
    <x v="0"/>
    <s v="hcc - weston hills tunnel"/>
    <x v="99"/>
    <x v="10"/>
    <x v="0"/>
    <x v="0"/>
    <n v="2.5"/>
    <m/>
    <m/>
    <m/>
    <m/>
    <s v="246233-56"/>
    <x v="10"/>
    <n v="5"/>
    <n v="2018"/>
    <n v="49"/>
    <s v="2018-49"/>
  </r>
  <r>
    <n v="0.10000000000000009"/>
    <m/>
    <x v="489"/>
    <x v="0"/>
    <s v="smp"/>
    <x v="100"/>
    <x v="31"/>
    <x v="0"/>
    <x v="0"/>
    <n v="3.75"/>
    <m/>
    <m/>
    <m/>
    <m/>
    <s v="261723-02"/>
    <x v="31"/>
    <n v="1"/>
    <n v="2018"/>
    <n v="48"/>
    <s v="2018-48"/>
  </r>
  <r>
    <n v="0.10000000000000009"/>
    <m/>
    <x v="489"/>
    <x v="0"/>
    <s v="hs2 ph2b"/>
    <x v="100"/>
    <x v="49"/>
    <x v="0"/>
    <x v="0"/>
    <n v="3.75"/>
    <m/>
    <m/>
    <m/>
    <m/>
    <s v="254841-07"/>
    <x v="49"/>
    <n v="1"/>
    <n v="2018"/>
    <n v="48"/>
    <s v="2018-48"/>
  </r>
  <r>
    <n v="0.10000000000000009"/>
    <m/>
    <x v="490"/>
    <x v="0"/>
    <s v="hs2 ph2b"/>
    <x v="100"/>
    <x v="49"/>
    <x v="0"/>
    <x v="0"/>
    <n v="7.5"/>
    <m/>
    <m/>
    <m/>
    <m/>
    <s v="254841-07"/>
    <x v="49"/>
    <n v="2"/>
    <n v="2018"/>
    <n v="48"/>
    <s v="2018-48"/>
  </r>
  <r>
    <n v="0.10000000000000009"/>
    <m/>
    <x v="490"/>
    <x v="0"/>
    <s v="engagement cohort"/>
    <x v="100"/>
    <x v="47"/>
    <x v="0"/>
    <x v="0"/>
    <n v="0"/>
    <m/>
    <m/>
    <m/>
    <m/>
    <s v="074103-30"/>
    <x v="47"/>
    <n v="2"/>
    <n v="2018"/>
    <n v="48"/>
    <s v="2018-48"/>
  </r>
  <r>
    <n v="0.10000000000000009"/>
    <m/>
    <x v="490"/>
    <x v="0"/>
    <e v="#N/A"/>
    <x v="100"/>
    <x v="0"/>
    <x v="0"/>
    <x v="0"/>
    <n v="0"/>
    <m/>
    <m/>
    <m/>
    <m/>
    <e v="#N/A"/>
    <x v="0"/>
    <n v="2"/>
    <n v="2018"/>
    <n v="48"/>
    <s v="2018-48"/>
  </r>
  <r>
    <n v="0.10000000000000009"/>
    <m/>
    <x v="491"/>
    <x v="0"/>
    <s v="hcc - nursery ln"/>
    <x v="100"/>
    <x v="43"/>
    <x v="0"/>
    <x v="0"/>
    <n v="7.5"/>
    <m/>
    <m/>
    <m/>
    <m/>
    <s v="254304-79"/>
    <x v="43"/>
    <n v="3"/>
    <n v="2018"/>
    <n v="48"/>
    <s v="2018-48"/>
  </r>
  <r>
    <n v="0.10000000000000009"/>
    <m/>
    <x v="492"/>
    <x v="0"/>
    <s v="bcst appraisal"/>
    <x v="100"/>
    <x v="6"/>
    <x v="0"/>
    <x v="0"/>
    <n v="2"/>
    <m/>
    <m/>
    <m/>
    <m/>
    <s v="074097-29"/>
    <x v="6"/>
    <n v="4"/>
    <n v="2018"/>
    <n v="48"/>
    <s v="2018-48"/>
  </r>
  <r>
    <n v="0.10000000000000009"/>
    <m/>
    <x v="492"/>
    <x v="0"/>
    <s v="engagement cohort"/>
    <x v="100"/>
    <x v="47"/>
    <x v="0"/>
    <x v="0"/>
    <n v="3"/>
    <m/>
    <m/>
    <m/>
    <m/>
    <s v="074103-30"/>
    <x v="47"/>
    <n v="4"/>
    <n v="2018"/>
    <n v="48"/>
    <s v="2018-48"/>
  </r>
  <r>
    <n v="0.10000000000000009"/>
    <m/>
    <x v="492"/>
    <x v="0"/>
    <s v="hcc - nursery ln"/>
    <x v="100"/>
    <x v="43"/>
    <x v="0"/>
    <x v="0"/>
    <n v="2.5"/>
    <m/>
    <m/>
    <m/>
    <m/>
    <s v="254304-79"/>
    <x v="43"/>
    <n v="4"/>
    <n v="2018"/>
    <n v="48"/>
    <s v="2018-48"/>
  </r>
  <r>
    <n v="0.10000000000000009"/>
    <m/>
    <x v="493"/>
    <x v="0"/>
    <s v="bcs - promotional"/>
    <x v="100"/>
    <x v="24"/>
    <x v="0"/>
    <x v="0"/>
    <n v="2"/>
    <m/>
    <m/>
    <m/>
    <m/>
    <s v="071945-07"/>
    <x v="24"/>
    <n v="5"/>
    <n v="2018"/>
    <n v="48"/>
    <s v="2018-48"/>
  </r>
  <r>
    <n v="0.10000000000000009"/>
    <m/>
    <x v="493"/>
    <x v="0"/>
    <s v="bcs - promotional"/>
    <x v="100"/>
    <x v="24"/>
    <x v="0"/>
    <x v="0"/>
    <n v="1"/>
    <m/>
    <m/>
    <m/>
    <m/>
    <s v="071945-07"/>
    <x v="24"/>
    <n v="5"/>
    <n v="2018"/>
    <n v="48"/>
    <s v="2018-48"/>
  </r>
  <r>
    <n v="0.10000000000000009"/>
    <m/>
    <x v="493"/>
    <x v="0"/>
    <s v="engagement cohort"/>
    <x v="100"/>
    <x v="47"/>
    <x v="0"/>
    <x v="0"/>
    <n v="1"/>
    <m/>
    <m/>
    <m/>
    <m/>
    <s v="074103-30"/>
    <x v="47"/>
    <n v="5"/>
    <n v="2018"/>
    <n v="48"/>
    <s v="2018-48"/>
  </r>
  <r>
    <n v="0.10000000000000009"/>
    <m/>
    <x v="493"/>
    <x v="0"/>
    <s v="hcc - nursery ln"/>
    <x v="100"/>
    <x v="43"/>
    <x v="0"/>
    <x v="0"/>
    <n v="3.5"/>
    <m/>
    <m/>
    <m/>
    <m/>
    <s v="254304-79"/>
    <x v="43"/>
    <n v="5"/>
    <n v="2018"/>
    <n v="48"/>
    <s v="2018-48"/>
  </r>
  <r>
    <n v="1.1000000000000001"/>
    <m/>
    <x v="494"/>
    <x v="0"/>
    <s v="bcs - promotional"/>
    <x v="101"/>
    <x v="24"/>
    <x v="0"/>
    <x v="0"/>
    <n v="1"/>
    <m/>
    <m/>
    <m/>
    <m/>
    <s v="071945-07"/>
    <x v="24"/>
    <n v="1"/>
    <n v="2018"/>
    <n v="47"/>
    <s v="2018-47"/>
  </r>
  <r>
    <n v="1.1000000000000001"/>
    <m/>
    <x v="494"/>
    <x v="0"/>
    <s v="cp - assessment"/>
    <x v="101"/>
    <x v="25"/>
    <x v="0"/>
    <x v="0"/>
    <n v="2"/>
    <m/>
    <m/>
    <m/>
    <m/>
    <s v="215526-27"/>
    <x v="25"/>
    <n v="1"/>
    <n v="2018"/>
    <n v="47"/>
    <s v="2018-47"/>
  </r>
  <r>
    <n v="1.1000000000000001"/>
    <m/>
    <x v="494"/>
    <x v="0"/>
    <s v="engagement cohort"/>
    <x v="101"/>
    <x v="47"/>
    <x v="0"/>
    <x v="0"/>
    <n v="1"/>
    <m/>
    <m/>
    <m/>
    <m/>
    <s v="074103-30"/>
    <x v="47"/>
    <n v="1"/>
    <n v="2018"/>
    <n v="47"/>
    <s v="2018-47"/>
  </r>
  <r>
    <n v="1.1000000000000001"/>
    <m/>
    <x v="494"/>
    <x v="0"/>
    <s v="wlw"/>
    <x v="101"/>
    <x v="35"/>
    <x v="0"/>
    <x v="0"/>
    <n v="3.5"/>
    <m/>
    <m/>
    <m/>
    <m/>
    <s v="264744-00"/>
    <x v="35"/>
    <n v="1"/>
    <n v="2018"/>
    <n v="47"/>
    <s v="2018-47"/>
  </r>
  <r>
    <n v="1.1000000000000001"/>
    <m/>
    <x v="495"/>
    <x v="0"/>
    <s v="smp"/>
    <x v="101"/>
    <x v="31"/>
    <x v="0"/>
    <x v="0"/>
    <n v="3.75"/>
    <m/>
    <m/>
    <m/>
    <m/>
    <s v="261723-02"/>
    <x v="31"/>
    <n v="2"/>
    <n v="2018"/>
    <n v="47"/>
    <s v="2018-47"/>
  </r>
  <r>
    <n v="1.1000000000000001"/>
    <m/>
    <x v="495"/>
    <x v="0"/>
    <e v="#N/A"/>
    <x v="101"/>
    <x v="0"/>
    <x v="0"/>
    <x v="0"/>
    <n v="3.75"/>
    <m/>
    <m/>
    <m/>
    <m/>
    <e v="#N/A"/>
    <x v="0"/>
    <n v="2"/>
    <n v="2018"/>
    <n v="47"/>
    <s v="2018-47"/>
  </r>
  <r>
    <n v="1.1000000000000001"/>
    <m/>
    <x v="496"/>
    <x v="0"/>
    <s v="wlw"/>
    <x v="101"/>
    <x v="35"/>
    <x v="0"/>
    <x v="0"/>
    <n v="7.5"/>
    <m/>
    <m/>
    <m/>
    <m/>
    <s v="264744-00"/>
    <x v="35"/>
    <n v="3"/>
    <n v="2018"/>
    <n v="47"/>
    <s v="2018-47"/>
  </r>
  <r>
    <n v="1.1000000000000001"/>
    <m/>
    <x v="497"/>
    <x v="0"/>
    <s v="wlw"/>
    <x v="101"/>
    <x v="35"/>
    <x v="0"/>
    <x v="0"/>
    <n v="7.5"/>
    <m/>
    <m/>
    <m/>
    <m/>
    <s v="264744-00"/>
    <x v="35"/>
    <n v="4"/>
    <n v="2018"/>
    <n v="47"/>
    <s v="2018-47"/>
  </r>
  <r>
    <n v="1.1000000000000001"/>
    <m/>
    <x v="498"/>
    <x v="0"/>
    <s v="bcs - promotional"/>
    <x v="101"/>
    <x v="24"/>
    <x v="0"/>
    <x v="0"/>
    <n v="2"/>
    <m/>
    <m/>
    <m/>
    <m/>
    <s v="071945-07"/>
    <x v="24"/>
    <n v="5"/>
    <n v="2018"/>
    <n v="47"/>
    <s v="2018-47"/>
  </r>
  <r>
    <n v="1.1000000000000001"/>
    <m/>
    <x v="498"/>
    <x v="0"/>
    <s v="cp - assessment"/>
    <x v="101"/>
    <x v="25"/>
    <x v="0"/>
    <x v="0"/>
    <n v="5.5"/>
    <m/>
    <m/>
    <m/>
    <m/>
    <s v="215526-27"/>
    <x v="25"/>
    <n v="5"/>
    <n v="2018"/>
    <n v="47"/>
    <s v="2018-47"/>
  </r>
  <r>
    <n v="0.10000000000000009"/>
    <m/>
    <x v="499"/>
    <x v="0"/>
    <s v="smp"/>
    <x v="102"/>
    <x v="31"/>
    <x v="0"/>
    <x v="0"/>
    <n v="1.25"/>
    <m/>
    <m/>
    <m/>
    <m/>
    <s v="261723-02"/>
    <x v="31"/>
    <n v="1"/>
    <n v="2018"/>
    <n v="46"/>
    <s v="2018-46"/>
  </r>
  <r>
    <n v="0.10000000000000009"/>
    <m/>
    <x v="499"/>
    <x v="0"/>
    <s v="smp"/>
    <x v="102"/>
    <x v="31"/>
    <x v="0"/>
    <x v="0"/>
    <n v="2.5"/>
    <m/>
    <m/>
    <m/>
    <m/>
    <s v="261723-02"/>
    <x v="31"/>
    <n v="1"/>
    <n v="2018"/>
    <n v="46"/>
    <s v="2018-46"/>
  </r>
  <r>
    <n v="0.10000000000000009"/>
    <m/>
    <x v="499"/>
    <x v="0"/>
    <s v="leave"/>
    <x v="102"/>
    <x v="5"/>
    <x v="0"/>
    <x v="0"/>
    <n v="3.75"/>
    <m/>
    <m/>
    <m/>
    <m/>
    <s v="LEAVE"/>
    <x v="5"/>
    <n v="1"/>
    <n v="2018"/>
    <n v="46"/>
    <s v="2018-46"/>
  </r>
  <r>
    <n v="0.10000000000000009"/>
    <m/>
    <x v="500"/>
    <x v="0"/>
    <s v="smp"/>
    <x v="102"/>
    <x v="31"/>
    <x v="0"/>
    <x v="0"/>
    <n v="7.5"/>
    <m/>
    <m/>
    <m/>
    <m/>
    <s v="261723-02"/>
    <x v="31"/>
    <n v="2"/>
    <n v="2018"/>
    <n v="46"/>
    <s v="2018-46"/>
  </r>
  <r>
    <n v="0.10000000000000009"/>
    <m/>
    <x v="501"/>
    <x v="0"/>
    <s v="wlw"/>
    <x v="102"/>
    <x v="35"/>
    <x v="0"/>
    <x v="0"/>
    <n v="3"/>
    <m/>
    <m/>
    <m/>
    <m/>
    <s v="264744-00"/>
    <x v="35"/>
    <n v="3"/>
    <n v="2018"/>
    <n v="46"/>
    <s v="2018-46"/>
  </r>
  <r>
    <n v="0.10000000000000009"/>
    <m/>
    <x v="501"/>
    <x v="0"/>
    <s v="cafa"/>
    <x v="102"/>
    <x v="27"/>
    <x v="0"/>
    <x v="0"/>
    <n v="1"/>
    <m/>
    <m/>
    <m/>
    <m/>
    <s v="262218-08"/>
    <x v="27"/>
    <n v="3"/>
    <n v="2018"/>
    <n v="46"/>
    <s v="2018-46"/>
  </r>
  <r>
    <n v="0.10000000000000009"/>
    <m/>
    <x v="501"/>
    <x v="0"/>
    <s v="cafa"/>
    <x v="102"/>
    <x v="27"/>
    <x v="0"/>
    <x v="0"/>
    <n v="3.5"/>
    <m/>
    <m/>
    <m/>
    <m/>
    <s v="262218-08"/>
    <x v="27"/>
    <n v="3"/>
    <n v="2018"/>
    <n v="46"/>
    <s v="2018-46"/>
  </r>
  <r>
    <n v="0.10000000000000009"/>
    <m/>
    <x v="502"/>
    <x v="0"/>
    <s v="wlw"/>
    <x v="102"/>
    <x v="35"/>
    <x v="0"/>
    <x v="0"/>
    <n v="2"/>
    <m/>
    <m/>
    <m/>
    <m/>
    <s v="264744-00"/>
    <x v="35"/>
    <n v="4"/>
    <n v="2018"/>
    <n v="46"/>
    <s v="2018-46"/>
  </r>
  <r>
    <n v="0.10000000000000009"/>
    <m/>
    <x v="502"/>
    <x v="0"/>
    <s v="bcs - promotional"/>
    <x v="102"/>
    <x v="24"/>
    <x v="0"/>
    <x v="0"/>
    <n v="2"/>
    <m/>
    <m/>
    <m/>
    <m/>
    <s v="071945-07"/>
    <x v="24"/>
    <n v="4"/>
    <n v="2018"/>
    <n v="46"/>
    <s v="2018-46"/>
  </r>
  <r>
    <n v="0.10000000000000009"/>
    <m/>
    <x v="502"/>
    <x v="0"/>
    <s v="bcs - promotional"/>
    <x v="102"/>
    <x v="24"/>
    <x v="0"/>
    <x v="0"/>
    <n v="3.5"/>
    <m/>
    <m/>
    <m/>
    <m/>
    <s v="071945-07"/>
    <x v="24"/>
    <n v="4"/>
    <n v="2018"/>
    <n v="46"/>
    <s v="2018-46"/>
  </r>
  <r>
    <n v="0.10000000000000009"/>
    <m/>
    <x v="503"/>
    <x v="0"/>
    <s v="bcs - promotional"/>
    <x v="102"/>
    <x v="24"/>
    <x v="0"/>
    <x v="0"/>
    <n v="2"/>
    <m/>
    <m/>
    <m/>
    <m/>
    <s v="071945-07"/>
    <x v="24"/>
    <n v="5"/>
    <n v="2018"/>
    <n v="46"/>
    <s v="2018-46"/>
  </r>
  <r>
    <n v="0.10000000000000009"/>
    <m/>
    <x v="503"/>
    <x v="0"/>
    <s v="intro to bridges"/>
    <x v="102"/>
    <x v="14"/>
    <x v="0"/>
    <x v="0"/>
    <n v="2.5"/>
    <m/>
    <m/>
    <m/>
    <m/>
    <s v="252076-05"/>
    <x v="14"/>
    <n v="5"/>
    <n v="2018"/>
    <n v="46"/>
    <s v="2018-46"/>
  </r>
  <r>
    <n v="0.10000000000000009"/>
    <m/>
    <x v="503"/>
    <x v="0"/>
    <s v="wlw"/>
    <x v="102"/>
    <x v="35"/>
    <x v="0"/>
    <x v="0"/>
    <n v="3"/>
    <m/>
    <m/>
    <m/>
    <m/>
    <s v="264744-00"/>
    <x v="35"/>
    <n v="5"/>
    <n v="2018"/>
    <n v="46"/>
    <s v="2018-46"/>
  </r>
  <r>
    <n v="1.1000000000000001"/>
    <m/>
    <x v="504"/>
    <x v="0"/>
    <s v="wlw"/>
    <x v="103"/>
    <x v="35"/>
    <x v="0"/>
    <x v="0"/>
    <n v="3.5"/>
    <m/>
    <m/>
    <m/>
    <m/>
    <s v="264744-00"/>
    <x v="35"/>
    <n v="1"/>
    <n v="2018"/>
    <n v="45"/>
    <s v="2018-45"/>
  </r>
  <r>
    <n v="1.1000000000000001"/>
    <m/>
    <x v="504"/>
    <x v="0"/>
    <s v="cafa"/>
    <x v="103"/>
    <x v="27"/>
    <x v="0"/>
    <x v="0"/>
    <n v="4"/>
    <m/>
    <m/>
    <m/>
    <m/>
    <s v="262218-08"/>
    <x v="27"/>
    <n v="1"/>
    <n v="2018"/>
    <n v="45"/>
    <s v="2018-45"/>
  </r>
  <r>
    <n v="1.1000000000000001"/>
    <m/>
    <x v="505"/>
    <x v="0"/>
    <s v="cafa"/>
    <x v="103"/>
    <x v="27"/>
    <x v="0"/>
    <x v="0"/>
    <n v="7.5"/>
    <m/>
    <m/>
    <m/>
    <m/>
    <s v="262218-08"/>
    <x v="27"/>
    <n v="2"/>
    <n v="2018"/>
    <n v="45"/>
    <s v="2018-45"/>
  </r>
  <r>
    <n v="1.1000000000000001"/>
    <m/>
    <x v="506"/>
    <x v="0"/>
    <s v="smp"/>
    <x v="103"/>
    <x v="31"/>
    <x v="0"/>
    <x v="0"/>
    <n v="7.5"/>
    <m/>
    <m/>
    <m/>
    <m/>
    <s v="261723-02"/>
    <x v="31"/>
    <n v="3"/>
    <n v="2018"/>
    <n v="45"/>
    <s v="2018-45"/>
  </r>
  <r>
    <n v="1.1000000000000001"/>
    <m/>
    <x v="507"/>
    <x v="0"/>
    <s v="wlw"/>
    <x v="103"/>
    <x v="35"/>
    <x v="0"/>
    <x v="0"/>
    <n v="3.75"/>
    <m/>
    <m/>
    <m/>
    <m/>
    <s v="264744-00"/>
    <x v="35"/>
    <n v="4"/>
    <n v="2018"/>
    <n v="45"/>
    <s v="2018-45"/>
  </r>
  <r>
    <n v="1.1000000000000001"/>
    <m/>
    <x v="507"/>
    <x v="0"/>
    <s v="engagement cohort"/>
    <x v="103"/>
    <x v="47"/>
    <x v="0"/>
    <x v="0"/>
    <n v="3.75"/>
    <m/>
    <m/>
    <m/>
    <m/>
    <s v="074103-30"/>
    <x v="47"/>
    <n v="4"/>
    <n v="2018"/>
    <n v="45"/>
    <s v="2018-45"/>
  </r>
  <r>
    <n v="1.1000000000000001"/>
    <m/>
    <x v="508"/>
    <x v="0"/>
    <s v="smp"/>
    <x v="103"/>
    <x v="31"/>
    <x v="0"/>
    <x v="0"/>
    <n v="7.5"/>
    <m/>
    <m/>
    <m/>
    <m/>
    <s v="261723-02"/>
    <x v="31"/>
    <n v="5"/>
    <n v="2018"/>
    <n v="45"/>
    <s v="2018-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0145C5-CF43-46E8-9A07-73F4BF963D6B}"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I556" firstHeaderRow="0" firstDataRow="1" firstDataCol="4"/>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items count="6">
        <item x="2"/>
        <item x="1"/>
        <item x="5"/>
        <item x="4"/>
        <item x="3"/>
        <item h="1"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sortType="descending">
      <items count="10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04"/>
        <item x="0"/>
        <item t="default"/>
      </items>
      <extLst>
        <ext xmlns:x14="http://schemas.microsoft.com/office/spreadsheetml/2009/9/main" uri="{2946ED86-A175-432a-8AC1-64E0C546D7DE}">
          <x14:pivotField fillDownLabels="1"/>
        </ext>
      </extLst>
    </pivotField>
    <pivotField axis="axisRow" compact="0" outline="0" subtotalTop="0" showAll="0" defaultSubtotal="0">
      <items count="99">
        <item m="1" x="92"/>
        <item x="1"/>
        <item m="1" x="52"/>
        <item m="1" x="61"/>
        <item m="1" x="76"/>
        <item m="1" x="83"/>
        <item m="1" x="51"/>
        <item m="1" x="98"/>
        <item m="1" x="66"/>
        <item m="1" x="75"/>
        <item m="1" x="84"/>
        <item m="1" x="85"/>
        <item m="1" x="62"/>
        <item m="1" x="89"/>
        <item m="1" x="65"/>
        <item m="1" x="71"/>
        <item m="1" x="68"/>
        <item m="1" x="53"/>
        <item m="1" x="82"/>
        <item m="1" x="81"/>
        <item m="1" x="69"/>
        <item m="1" x="74"/>
        <item m="1" x="79"/>
        <item m="1" x="58"/>
        <item m="1" x="77"/>
        <item m="1" x="90"/>
        <item m="1" x="88"/>
        <item m="1" x="63"/>
        <item m="1" x="54"/>
        <item m="1" x="55"/>
        <item m="1" x="59"/>
        <item m="1" x="64"/>
        <item m="1" x="96"/>
        <item m="1" x="93"/>
        <item m="1" x="91"/>
        <item m="1" x="86"/>
        <item m="1" x="56"/>
        <item m="1" x="73"/>
        <item m="1" x="87"/>
        <item m="1" x="80"/>
        <item m="1" x="60"/>
        <item m="1" x="67"/>
        <item m="1" x="70"/>
        <item m="1" x="95"/>
        <item m="1" x="97"/>
        <item m="1" x="78"/>
        <item m="1" x="94"/>
        <item m="1" x="57"/>
        <item x="0"/>
        <item m="1" x="50"/>
        <item x="4"/>
        <item m="1" x="72"/>
        <item x="5"/>
        <item x="6"/>
        <item x="7"/>
        <item x="8"/>
        <item x="9"/>
        <item x="10"/>
        <item x="11"/>
        <item x="12"/>
        <item x="13"/>
        <item x="2"/>
        <item x="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extLst>
        <ext xmlns:x14="http://schemas.microsoft.com/office/spreadsheetml/2009/9/main" uri="{2946ED86-A175-432a-8AC1-64E0C546D7DE}">
          <x14:pivotField fillDownLabels="1"/>
        </ext>
      </extLst>
    </pivotField>
    <pivotField axis="axisRow" compact="0" outline="0" subtotalTop="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588">
        <item m="1" x="318"/>
        <item m="1" x="587"/>
        <item m="1" x="281"/>
        <item m="1" x="447"/>
        <item m="1" x="185"/>
        <item m="1" x="545"/>
        <item m="1" x="556"/>
        <item m="1" x="346"/>
        <item m="1" x="230"/>
        <item m="1" x="575"/>
        <item m="1" x="347"/>
        <item m="1" x="522"/>
        <item m="1" x="247"/>
        <item m="1" x="460"/>
        <item m="1" x="335"/>
        <item m="1" x="507"/>
        <item m="1" x="440"/>
        <item m="1" x="552"/>
        <item m="1" x="328"/>
        <item m="1" x="368"/>
        <item m="1" x="402"/>
        <item m="1" x="299"/>
        <item m="1" x="397"/>
        <item m="1" x="495"/>
        <item m="1" x="570"/>
        <item m="1" x="428"/>
        <item m="1" x="496"/>
        <item m="1" x="184"/>
        <item m="1" x="528"/>
        <item m="1" x="377"/>
        <item m="1" x="564"/>
        <item m="1" x="236"/>
        <item m="1" x="420"/>
        <item m="1" x="400"/>
        <item m="1" x="501"/>
        <item m="1" x="550"/>
        <item m="1" x="193"/>
        <item m="1" x="579"/>
        <item m="1" x="520"/>
        <item m="1" x="433"/>
        <item m="1" x="351"/>
        <item m="1" x="311"/>
        <item m="1" x="301"/>
        <item m="1" x="332"/>
        <item m="1" x="491"/>
        <item m="1" x="470"/>
        <item m="1" x="524"/>
        <item m="1" x="256"/>
        <item m="1" x="410"/>
        <item m="1" x="329"/>
        <item m="1" x="270"/>
        <item m="1" x="366"/>
        <item m="1" x="220"/>
        <item m="1" x="510"/>
        <item m="1" x="474"/>
        <item m="1" x="585"/>
        <item m="1" x="243"/>
        <item m="1" x="414"/>
        <item m="1" x="258"/>
        <item m="1" x="282"/>
        <item m="1" x="287"/>
        <item m="1" x="514"/>
        <item m="1" x="289"/>
        <item m="1" x="509"/>
        <item m="1" x="532"/>
        <item m="1" x="464"/>
        <item m="1" x="438"/>
        <item m="1" x="208"/>
        <item m="1" x="306"/>
        <item m="1" x="407"/>
        <item m="1" x="265"/>
        <item m="1" x="292"/>
        <item m="1" x="458"/>
        <item m="1" x="559"/>
        <item m="1" x="253"/>
        <item m="1" x="324"/>
        <item m="1" x="262"/>
        <item m="1" x="274"/>
        <item m="1" x="503"/>
        <item m="1" x="285"/>
        <item m="1" x="313"/>
        <item m="1" x="382"/>
        <item m="1" x="569"/>
        <item m="1" x="490"/>
        <item m="1" x="326"/>
        <item m="1" x="537"/>
        <item m="1" x="209"/>
        <item m="1" x="196"/>
        <item m="1" x="511"/>
        <item m="1" x="370"/>
        <item m="1" x="516"/>
        <item m="1" x="305"/>
        <item m="1" x="403"/>
        <item m="1" x="424"/>
        <item m="1" x="202"/>
        <item m="1" x="260"/>
        <item m="1" x="519"/>
        <item m="1" x="472"/>
        <item m="1" x="223"/>
        <item m="1" x="263"/>
        <item m="1" x="358"/>
        <item m="1" x="356"/>
        <item m="1" x="419"/>
        <item m="1" x="504"/>
        <item m="1" x="483"/>
        <item m="1" x="558"/>
        <item m="1" x="194"/>
        <item m="1" x="476"/>
        <item m="1" x="293"/>
        <item m="1" x="279"/>
        <item m="1" x="360"/>
        <item m="1" x="191"/>
        <item m="1" x="469"/>
        <item m="1" x="340"/>
        <item m="1" x="352"/>
        <item m="1" x="543"/>
        <item m="1" x="222"/>
        <item m="1" x="261"/>
        <item m="1" x="534"/>
        <item m="1" x="204"/>
        <item m="1" x="284"/>
        <item m="1" x="429"/>
        <item m="1" x="468"/>
        <item m="1" x="386"/>
        <item m="1" x="212"/>
        <item m="1" x="286"/>
        <item m="1" x="362"/>
        <item m="1" x="577"/>
        <item m="1" x="269"/>
        <item m="1" x="300"/>
        <item m="1" x="237"/>
        <item m="1" x="555"/>
        <item m="1" x="283"/>
        <item m="1" x="188"/>
        <item m="1" x="562"/>
        <item m="1" x="297"/>
        <item m="1" x="497"/>
        <item m="1" x="348"/>
        <item m="1" x="421"/>
        <item m="1" x="479"/>
        <item m="1" x="277"/>
        <item m="1" x="314"/>
        <item m="1" x="422"/>
        <item m="1" x="521"/>
        <item m="1" x="578"/>
        <item m="1" x="415"/>
        <item m="1" x="405"/>
        <item m="1" x="298"/>
        <item m="1" x="276"/>
        <item m="1" x="546"/>
        <item m="1" x="448"/>
        <item m="1" x="349"/>
        <item m="1" x="336"/>
        <item m="1" x="451"/>
        <item m="1" x="471"/>
        <item m="1" x="376"/>
        <item m="1" x="513"/>
        <item m="1" x="523"/>
        <item m="1" x="557"/>
        <item m="1" x="533"/>
        <item m="1" x="255"/>
        <item m="1" x="233"/>
        <item m="1" x="213"/>
        <item m="1" x="240"/>
        <item m="1" x="436"/>
        <item m="1" x="463"/>
        <item m="1" x="427"/>
        <item m="1" x="373"/>
        <item m="1" x="320"/>
        <item m="1" x="365"/>
        <item m="1" x="444"/>
        <item m="1" x="412"/>
        <item m="1" x="538"/>
        <item x="93"/>
        <item m="1" x="201"/>
        <item m="1" x="338"/>
        <item m="1" x="192"/>
        <item m="1" x="418"/>
        <item m="1" x="195"/>
        <item m="1" x="505"/>
        <item m="1" x="506"/>
        <item m="1" x="235"/>
        <item m="1" x="477"/>
        <item m="1" x="296"/>
        <item m="1" x="246"/>
        <item m="1" x="457"/>
        <item m="1" x="272"/>
        <item m="1" x="257"/>
        <item m="1" x="203"/>
        <item m="1" x="302"/>
        <item m="1" x="576"/>
        <item m="1" x="310"/>
        <item m="1" x="512"/>
        <item m="1" x="345"/>
        <item m="1" x="406"/>
        <item m="1" x="291"/>
        <item m="1" x="561"/>
        <item m="1" x="214"/>
        <item m="1" x="530"/>
        <item m="1" x="408"/>
        <item m="1" x="445"/>
        <item m="1" x="361"/>
        <item m="1" x="374"/>
        <item m="1" x="363"/>
        <item m="1" x="401"/>
        <item m="1" x="288"/>
        <item m="1" x="267"/>
        <item m="1" x="381"/>
        <item m="1" x="198"/>
        <item m="1" x="394"/>
        <item m="1" x="411"/>
        <item m="1" x="517"/>
        <item m="1" x="333"/>
        <item m="1" x="290"/>
        <item m="1" x="380"/>
        <item m="1" x="308"/>
        <item m="1" x="450"/>
        <item m="1" x="582"/>
        <item m="1" x="273"/>
        <item m="1" x="390"/>
        <item m="1" x="187"/>
        <item m="1" x="303"/>
        <item m="1" x="218"/>
        <item m="1" x="392"/>
        <item m="1" x="500"/>
        <item m="1" x="387"/>
        <item m="1" x="225"/>
        <item m="1" x="359"/>
        <item m="1" x="527"/>
        <item m="1" x="372"/>
        <item m="1" x="515"/>
        <item m="1" x="312"/>
        <item m="1" x="467"/>
        <item m="1" x="295"/>
        <item m="1" x="239"/>
        <item m="1" x="574"/>
        <item m="1" x="499"/>
        <item m="1" x="581"/>
        <item x="174"/>
        <item m="1" x="190"/>
        <item m="1" x="221"/>
        <item m="1" x="531"/>
        <item m="1" x="526"/>
        <item m="1" x="568"/>
        <item m="1" x="231"/>
        <item m="1" x="484"/>
        <item m="1" x="425"/>
        <item m="1" x="536"/>
        <item m="1" x="487"/>
        <item m="1" x="566"/>
        <item m="1" x="441"/>
        <item m="1" x="449"/>
        <item m="1" x="432"/>
        <item m="1" x="357"/>
        <item m="1" x="442"/>
        <item m="1" x="423"/>
        <item m="1" x="478"/>
        <item m="1" x="278"/>
        <item m="1" x="331"/>
        <item m="1" x="404"/>
        <item m="1" x="319"/>
        <item m="1" x="385"/>
        <item m="1" x="250"/>
        <item m="1" x="197"/>
        <item m="1" x="248"/>
        <item m="1" x="317"/>
        <item m="1" x="226"/>
        <item m="1" x="227"/>
        <item m="1" x="369"/>
        <item m="1" x="455"/>
        <item m="1" x="207"/>
        <item m="1" x="264"/>
        <item m="1" x="294"/>
        <item m="1" x="563"/>
        <item m="1" x="275"/>
        <item m="1" x="254"/>
        <item m="1" x="482"/>
        <item m="1" x="565"/>
        <item m="1" x="409"/>
        <item m="1" x="493"/>
        <item m="1" x="330"/>
        <item m="1" x="417"/>
        <item m="1" x="391"/>
        <item m="1" x="518"/>
        <item m="1" x="241"/>
        <item m="1" x="215"/>
        <item m="1" x="539"/>
        <item m="1" x="396"/>
        <item m="1" x="234"/>
        <item m="1" x="439"/>
        <item m="1" x="489"/>
        <item m="1" x="525"/>
        <item m="1" x="554"/>
        <item m="1" x="486"/>
        <item m="1" x="186"/>
        <item m="1" x="375"/>
        <item m="1" x="341"/>
        <item m="1" x="462"/>
        <item m="1" x="453"/>
        <item m="1" x="485"/>
        <item m="1" x="321"/>
        <item m="1" x="367"/>
        <item m="1" x="315"/>
        <item m="1" x="271"/>
        <item m="1" x="224"/>
        <item m="1" x="583"/>
        <item m="1" x="461"/>
        <item m="1" x="309"/>
        <item m="1" x="498"/>
        <item m="1" x="217"/>
        <item m="1" x="452"/>
        <item m="1" x="553"/>
        <item m="1" x="353"/>
        <item m="1" x="327"/>
        <item m="1" x="573"/>
        <item m="1" x="544"/>
        <item m="1" x="323"/>
        <item m="1" x="337"/>
        <item m="1" x="378"/>
        <item m="1" x="200"/>
        <item m="1" x="339"/>
        <item m="1" x="475"/>
        <item m="1" x="473"/>
        <item m="1" x="459"/>
        <item m="1" x="446"/>
        <item m="1" x="334"/>
        <item m="1" x="371"/>
        <item m="1" x="508"/>
        <item m="1" x="229"/>
        <item m="1" x="205"/>
        <item m="1" x="551"/>
        <item m="1" x="342"/>
        <item m="1" x="494"/>
        <item m="1" x="384"/>
        <item m="1" x="388"/>
        <item m="1" x="216"/>
        <item m="1" x="456"/>
        <item m="1" x="399"/>
        <item m="1" x="488"/>
        <item m="1" x="304"/>
        <item m="1" x="437"/>
        <item m="1" x="245"/>
        <item m="1" x="383"/>
        <item m="1" x="454"/>
        <item m="1" x="572"/>
        <item m="1" x="542"/>
        <item m="1" x="586"/>
        <item m="1" x="541"/>
        <item m="1" x="189"/>
        <item x="0"/>
        <item m="1" x="343"/>
        <item x="131"/>
        <item m="1" x="389"/>
        <item x="133"/>
        <item m="1" x="252"/>
        <item m="1" x="280"/>
        <item m="1" x="354"/>
        <item m="1" x="268"/>
        <item m="1" x="398"/>
        <item m="1" x="430"/>
        <item m="1" x="228"/>
        <item m="1" x="466"/>
        <item m="1" x="529"/>
        <item m="1" x="219"/>
        <item x="147"/>
        <item m="1" x="571"/>
        <item x="149"/>
        <item x="150"/>
        <item m="1" x="316"/>
        <item m="1" x="210"/>
        <item m="1" x="259"/>
        <item x="156"/>
        <item x="157"/>
        <item m="1" x="502"/>
        <item m="1" x="481"/>
        <item x="135"/>
        <item m="1" x="206"/>
        <item m="1" x="199"/>
        <item m="1" x="211"/>
        <item x="124"/>
        <item x="126"/>
        <item x="127"/>
        <item m="1" x="426"/>
        <item x="129"/>
        <item x="130"/>
        <item x="110"/>
        <item x="111"/>
        <item m="1" x="434"/>
        <item m="1" x="431"/>
        <item x="113"/>
        <item m="1" x="416"/>
        <item x="117"/>
        <item x="118"/>
        <item x="119"/>
        <item x="120"/>
        <item m="1" x="548"/>
        <item x="104"/>
        <item x="105"/>
        <item x="106"/>
        <item x="107"/>
        <item x="108"/>
        <item m="1" x="535"/>
        <item x="94"/>
        <item x="95"/>
        <item x="96"/>
        <item m="1" x="251"/>
        <item x="90"/>
        <item x="98"/>
        <item x="99"/>
        <item x="100"/>
        <item x="101"/>
        <item x="102"/>
        <item x="103"/>
        <item x="88"/>
        <item x="89"/>
        <item m="1" x="393"/>
        <item x="91"/>
        <item x="92"/>
        <item m="1" x="322"/>
        <item x="80"/>
        <item x="81"/>
        <item m="1" x="567"/>
        <item x="83"/>
        <item x="84"/>
        <item x="85"/>
        <item m="1" x="344"/>
        <item m="1" x="232"/>
        <item m="1" x="584"/>
        <item m="1" x="492"/>
        <item x="73"/>
        <item x="74"/>
        <item x="75"/>
        <item x="76"/>
        <item x="77"/>
        <item x="78"/>
        <item m="1" x="244"/>
        <item x="61"/>
        <item m="1" x="249"/>
        <item m="1" x="355"/>
        <item x="64"/>
        <item m="1" x="350"/>
        <item m="1" x="580"/>
        <item m="1" x="435"/>
        <item m="1" x="443"/>
        <item m="1" x="238"/>
        <item m="1" x="325"/>
        <item x="51"/>
        <item m="1" x="307"/>
        <item m="1" x="395"/>
        <item x="54"/>
        <item m="1" x="549"/>
        <item m="1" x="364"/>
        <item x="57"/>
        <item m="1" x="540"/>
        <item m="1" x="480"/>
        <item m="1" x="560"/>
        <item x="39"/>
        <item x="40"/>
        <item x="41"/>
        <item x="42"/>
        <item m="1" x="379"/>
        <item x="44"/>
        <item x="45"/>
        <item m="1" x="242"/>
        <item m="1" x="413"/>
        <item x="48"/>
        <item x="49"/>
        <item m="1" x="465"/>
        <item x="29"/>
        <item x="30"/>
        <item m="1" x="547"/>
        <item x="34"/>
        <item x="35"/>
        <item x="37"/>
        <item x="38"/>
        <item x="27"/>
        <item x="28"/>
        <item x="31"/>
        <item x="32"/>
        <item x="33"/>
        <item x="36"/>
        <item x="43"/>
        <item x="46"/>
        <item x="47"/>
        <item x="50"/>
        <item x="52"/>
        <item x="53"/>
        <item x="55"/>
        <item x="56"/>
        <item x="58"/>
        <item x="59"/>
        <item x="60"/>
        <item x="62"/>
        <item x="63"/>
        <item x="65"/>
        <item x="66"/>
        <item x="67"/>
        <item x="68"/>
        <item x="69"/>
        <item x="70"/>
        <item x="71"/>
        <item x="72"/>
        <item x="79"/>
        <item x="82"/>
        <item x="86"/>
        <item x="87"/>
        <item x="97"/>
        <item x="109"/>
        <item m="1" x="266"/>
        <item x="112"/>
        <item x="114"/>
        <item x="115"/>
        <item x="116"/>
        <item x="121"/>
        <item x="122"/>
        <item x="123"/>
        <item x="125"/>
        <item x="128"/>
        <item x="132"/>
        <item x="134"/>
        <item x="136"/>
        <item x="137"/>
        <item x="138"/>
        <item x="139"/>
        <item x="140"/>
        <item x="141"/>
        <item x="142"/>
        <item x="143"/>
        <item x="144"/>
        <item x="145"/>
        <item x="146"/>
        <item x="148"/>
        <item x="151"/>
        <item x="152"/>
        <item x="153"/>
        <item x="154"/>
        <item x="155"/>
        <item x="158"/>
        <item x="159"/>
        <item x="160"/>
        <item x="161"/>
        <item x="162"/>
        <item x="163"/>
        <item x="164"/>
        <item x="165"/>
        <item x="166"/>
        <item x="167"/>
        <item x="168"/>
        <item x="169"/>
        <item x="170"/>
        <item x="171"/>
        <item x="172"/>
        <item x="173"/>
        <item x="175"/>
        <item x="176"/>
        <item x="177"/>
        <item x="178"/>
        <item x="179"/>
        <item x="180"/>
        <item x="181"/>
        <item x="182"/>
        <item x="183"/>
        <item x="22"/>
        <item x="23"/>
        <item x="24"/>
        <item x="25"/>
        <item x="26"/>
        <item x="7"/>
        <item x="18"/>
        <item x="19"/>
        <item x="20"/>
        <item x="21"/>
        <item x="1"/>
        <item x="2"/>
        <item x="3"/>
        <item x="4"/>
        <item x="5"/>
        <item x="6"/>
        <item x="8"/>
        <item x="9"/>
        <item x="10"/>
        <item x="11"/>
        <item x="12"/>
        <item x="13"/>
        <item x="14"/>
        <item x="15"/>
        <item x="16"/>
        <item x="1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4">
    <field x="5"/>
    <field x="6"/>
    <field x="7"/>
    <field x="8"/>
  </rowFields>
  <rowItems count="555">
    <i>
      <x/>
      <x v="1"/>
      <x/>
      <x v="572"/>
    </i>
    <i r="3">
      <x v="573"/>
    </i>
    <i r="3">
      <x v="574"/>
    </i>
    <i r="3">
      <x v="575"/>
    </i>
    <i t="default">
      <x/>
    </i>
    <i>
      <x v="1"/>
      <x v="1"/>
      <x/>
      <x v="567"/>
    </i>
    <i r="3">
      <x v="576"/>
    </i>
    <i r="3">
      <x v="578"/>
    </i>
    <i r="3">
      <x v="579"/>
    </i>
    <i r="3">
      <x v="580"/>
    </i>
    <i r="3">
      <x v="581"/>
    </i>
    <i r="3">
      <x v="582"/>
    </i>
    <i r="3">
      <x v="583"/>
    </i>
    <i r="3">
      <x v="584"/>
    </i>
    <i r="3">
      <x v="585"/>
    </i>
    <i r="3">
      <x v="586"/>
    </i>
    <i r="3">
      <x v="587"/>
    </i>
    <i r="1">
      <x v="61"/>
      <x/>
      <x v="577"/>
    </i>
    <i t="default">
      <x v="1"/>
    </i>
    <i>
      <x v="2"/>
      <x v="1"/>
      <x/>
      <x v="475"/>
    </i>
    <i r="3">
      <x v="476"/>
    </i>
    <i r="3">
      <x v="562"/>
    </i>
    <i r="3">
      <x v="563"/>
    </i>
    <i r="3">
      <x v="564"/>
    </i>
    <i r="3">
      <x v="565"/>
    </i>
    <i r="3">
      <x v="567"/>
    </i>
    <i r="3">
      <x v="570"/>
    </i>
    <i r="3">
      <x v="571"/>
    </i>
    <i r="1">
      <x v="61"/>
      <x/>
      <x v="568"/>
    </i>
    <i r="3">
      <x v="569"/>
    </i>
    <i r="1">
      <x v="62"/>
      <x/>
      <x v="566"/>
    </i>
    <i t="default">
      <x v="2"/>
    </i>
    <i>
      <x v="3"/>
      <x v="1"/>
      <x/>
      <x v="468"/>
    </i>
    <i r="3">
      <x v="469"/>
    </i>
    <i r="3">
      <x v="471"/>
    </i>
    <i r="3">
      <x v="472"/>
    </i>
    <i r="3">
      <x v="473"/>
    </i>
    <i r="3">
      <x v="474"/>
    </i>
    <i r="3">
      <x v="477"/>
    </i>
    <i r="3">
      <x v="478"/>
    </i>
    <i r="3">
      <x v="479"/>
    </i>
    <i r="3">
      <x v="480"/>
    </i>
    <i t="default">
      <x v="3"/>
    </i>
    <i>
      <x v="4"/>
      <x v="1"/>
      <x/>
      <x v="456"/>
    </i>
    <i r="3">
      <x v="457"/>
    </i>
    <i r="3">
      <x v="458"/>
    </i>
    <i r="3">
      <x v="459"/>
    </i>
    <i r="3">
      <x v="461"/>
    </i>
    <i r="3">
      <x v="462"/>
    </i>
    <i r="3">
      <x v="465"/>
    </i>
    <i r="3">
      <x v="482"/>
    </i>
    <i r="3">
      <x v="483"/>
    </i>
    <i r="3">
      <x v="484"/>
    </i>
    <i r="1">
      <x v="50"/>
      <x/>
      <x v="466"/>
    </i>
    <i r="1">
      <x v="62"/>
      <x/>
      <x v="481"/>
    </i>
    <i t="default">
      <x v="4"/>
    </i>
    <i>
      <x v="5"/>
      <x v="1"/>
      <x/>
      <x v="446"/>
    </i>
    <i r="3">
      <x v="449"/>
    </i>
    <i r="3">
      <x v="452"/>
    </i>
    <i r="3">
      <x v="485"/>
    </i>
    <i r="3">
      <x v="486"/>
    </i>
    <i r="3">
      <x v="487"/>
    </i>
    <i r="3">
      <x v="488"/>
    </i>
    <i r="3">
      <x v="489"/>
    </i>
    <i r="3">
      <x v="490"/>
    </i>
    <i r="3">
      <x v="491"/>
    </i>
    <i t="default">
      <x v="5"/>
    </i>
    <i>
      <x v="6"/>
      <x v="1"/>
      <x/>
      <x v="436"/>
    </i>
    <i r="3">
      <x v="439"/>
    </i>
    <i r="3">
      <x v="492"/>
    </i>
    <i r="3">
      <x v="493"/>
    </i>
    <i r="3">
      <x v="494"/>
    </i>
    <i r="3">
      <x v="495"/>
    </i>
    <i r="3">
      <x v="496"/>
    </i>
    <i r="3">
      <x v="497"/>
    </i>
    <i r="3">
      <x v="498"/>
    </i>
    <i r="3">
      <x v="499"/>
    </i>
    <i t="default">
      <x v="6"/>
    </i>
    <i>
      <x v="7"/>
      <x v="1"/>
      <x/>
      <x v="429"/>
    </i>
    <i r="3">
      <x v="430"/>
    </i>
    <i r="3">
      <x v="431"/>
    </i>
    <i r="3">
      <x v="432"/>
    </i>
    <i r="3">
      <x v="433"/>
    </i>
    <i r="3">
      <x v="434"/>
    </i>
    <i r="3">
      <x v="500"/>
    </i>
    <i r="3">
      <x v="501"/>
    </i>
    <i r="1">
      <x v="52"/>
      <x/>
      <x v="349"/>
    </i>
    <i t="default">
      <x v="7"/>
    </i>
    <i>
      <x v="8"/>
      <x v="1"/>
      <x/>
      <x v="419"/>
    </i>
    <i r="3">
      <x v="420"/>
    </i>
    <i r="3">
      <x v="423"/>
    </i>
    <i r="3">
      <x v="424"/>
    </i>
    <i r="3">
      <x v="502"/>
    </i>
    <i r="3">
      <x v="503"/>
    </i>
    <i r="3">
      <x v="504"/>
    </i>
    <i r="3">
      <x v="505"/>
    </i>
    <i r="1">
      <x v="53"/>
      <x/>
      <x v="422"/>
    </i>
    <i t="default">
      <x v="8"/>
    </i>
    <i>
      <x v="9"/>
      <x v="1"/>
      <x/>
      <x v="413"/>
    </i>
    <i r="3">
      <x v="414"/>
    </i>
    <i r="3">
      <x v="416"/>
    </i>
    <i r="3">
      <x v="417"/>
    </i>
    <i r="1">
      <x v="54"/>
      <x/>
      <x v="406"/>
    </i>
    <i t="default">
      <x v="9"/>
    </i>
    <i>
      <x v="10"/>
      <x v="1"/>
      <x/>
      <x v="402"/>
    </i>
    <i r="3">
      <x v="403"/>
    </i>
    <i r="3">
      <x v="404"/>
    </i>
    <i r="3">
      <x v="407"/>
    </i>
    <i r="3">
      <x v="409"/>
    </i>
    <i r="3">
      <x v="410"/>
    </i>
    <i r="3">
      <x v="411"/>
    </i>
    <i r="3">
      <x v="412"/>
    </i>
    <i r="3">
      <x v="506"/>
    </i>
    <i r="1">
      <x v="52"/>
      <x/>
      <x v="173"/>
    </i>
    <i r="1">
      <x v="54"/>
      <x/>
      <x v="406"/>
    </i>
    <i r="3">
      <x v="408"/>
    </i>
    <i t="default">
      <x v="10"/>
    </i>
    <i>
      <x v="11"/>
      <x v="1"/>
      <x/>
      <x v="396"/>
    </i>
    <i r="3">
      <x v="399"/>
    </i>
    <i r="3">
      <x v="400"/>
    </i>
    <i r="3">
      <x v="507"/>
    </i>
    <i r="1">
      <x v="52"/>
      <x/>
      <x v="349"/>
    </i>
    <i r="1">
      <x v="54"/>
      <x/>
      <x v="397"/>
    </i>
    <i r="3">
      <x v="398"/>
    </i>
    <i t="default">
      <x v="11"/>
    </i>
    <i>
      <x v="12"/>
      <x v="1"/>
      <x/>
      <x v="385"/>
    </i>
    <i r="3">
      <x v="389"/>
    </i>
    <i r="3">
      <x v="391"/>
    </i>
    <i r="3">
      <x v="392"/>
    </i>
    <i r="3">
      <x v="394"/>
    </i>
    <i r="3">
      <x v="509"/>
    </i>
    <i r="3">
      <x v="510"/>
    </i>
    <i r="3">
      <x v="511"/>
    </i>
    <i r="1">
      <x v="50"/>
      <x/>
      <x v="386"/>
    </i>
    <i r="3">
      <x v="512"/>
    </i>
    <i r="1">
      <x v="54"/>
      <x/>
      <x v="393"/>
    </i>
    <i t="default">
      <x v="12"/>
    </i>
    <i>
      <x v="13"/>
      <x v="1"/>
      <x/>
      <x v="379"/>
    </i>
    <i r="3">
      <x v="380"/>
    </i>
    <i r="3">
      <x v="381"/>
    </i>
    <i r="3">
      <x v="383"/>
    </i>
    <i r="3">
      <x v="384"/>
    </i>
    <i r="3">
      <x v="513"/>
    </i>
    <i r="3">
      <x v="514"/>
    </i>
    <i r="3">
      <x v="517"/>
    </i>
    <i r="1">
      <x v="50"/>
      <x/>
      <x v="516"/>
    </i>
    <i r="1">
      <x v="52"/>
      <x/>
      <x v="349"/>
    </i>
    <i r="1">
      <x v="54"/>
      <x/>
      <x v="515"/>
    </i>
    <i t="default">
      <x v="13"/>
    </i>
    <i>
      <x v="14"/>
      <x v="1"/>
      <x/>
      <x v="351"/>
    </i>
    <i r="3">
      <x v="353"/>
    </i>
    <i r="3">
      <x v="375"/>
    </i>
    <i r="3">
      <x v="518"/>
    </i>
    <i r="3">
      <x v="520"/>
    </i>
    <i r="3">
      <x v="521"/>
    </i>
    <i r="1">
      <x v="50"/>
      <x/>
      <x v="386"/>
    </i>
    <i r="3">
      <x v="522"/>
    </i>
    <i r="1">
      <x v="54"/>
      <x/>
      <x v="519"/>
    </i>
    <i t="default">
      <x v="14"/>
    </i>
    <i>
      <x v="15"/>
      <x v="1"/>
      <x/>
      <x v="523"/>
    </i>
    <i r="3">
      <x v="525"/>
    </i>
    <i r="3">
      <x v="526"/>
    </i>
    <i r="3">
      <x v="527"/>
    </i>
    <i r="3">
      <x v="528"/>
    </i>
    <i r="3">
      <x v="529"/>
    </i>
    <i r="1">
      <x v="50"/>
      <x/>
      <x v="524"/>
    </i>
    <i r="1">
      <x v="55"/>
      <x/>
      <x v="530"/>
    </i>
    <i t="default">
      <x v="15"/>
    </i>
    <i>
      <x v="16"/>
      <x v="1"/>
      <x/>
      <x v="364"/>
    </i>
    <i r="3">
      <x v="366"/>
    </i>
    <i r="3">
      <x v="367"/>
    </i>
    <i r="3">
      <x v="531"/>
    </i>
    <i r="1">
      <x v="52"/>
      <x/>
      <x v="349"/>
    </i>
    <i t="default">
      <x v="16"/>
    </i>
    <i>
      <x v="17"/>
      <x v="1"/>
      <x/>
      <x v="532"/>
    </i>
    <i t="default">
      <x v="17"/>
    </i>
    <i>
      <x v="18"/>
      <x v="1"/>
      <x/>
      <x v="371"/>
    </i>
    <i r="3">
      <x v="372"/>
    </i>
    <i r="3">
      <x v="533"/>
    </i>
    <i r="3">
      <x v="535"/>
    </i>
    <i r="3">
      <x v="536"/>
    </i>
    <i r="3">
      <x v="540"/>
    </i>
    <i r="1">
      <x v="50"/>
      <x/>
      <x v="534"/>
    </i>
    <i r="3">
      <x v="538"/>
    </i>
    <i r="1">
      <x v="56"/>
      <x/>
      <x v="537"/>
    </i>
    <i r="3">
      <x v="539"/>
    </i>
    <i t="default">
      <x v="18"/>
    </i>
    <i>
      <x v="19"/>
      <x v="1"/>
      <x/>
      <x v="542"/>
    </i>
    <i r="3">
      <x v="544"/>
    </i>
    <i r="3">
      <x v="545"/>
    </i>
    <i r="3">
      <x v="546"/>
    </i>
    <i r="1">
      <x v="50"/>
      <x/>
      <x v="541"/>
    </i>
    <i r="1">
      <x v="56"/>
      <x/>
      <x v="543"/>
    </i>
    <i r="1">
      <x v="57"/>
      <x/>
      <x v="547"/>
    </i>
    <i t="default">
      <x v="19"/>
    </i>
    <i>
      <x v="20"/>
      <x v="1"/>
      <x/>
      <x v="238"/>
    </i>
    <i r="3">
      <x v="549"/>
    </i>
    <i r="3">
      <x v="554"/>
    </i>
    <i r="1">
      <x v="50"/>
      <x/>
      <x v="551"/>
    </i>
    <i r="1">
      <x v="54"/>
      <x/>
      <x v="548"/>
    </i>
    <i r="3">
      <x v="553"/>
    </i>
    <i r="3">
      <x v="555"/>
    </i>
    <i r="3">
      <x v="556"/>
    </i>
    <i r="1">
      <x v="56"/>
      <x/>
      <x v="552"/>
    </i>
    <i r="1">
      <x v="57"/>
      <x/>
      <x v="550"/>
    </i>
    <i r="1">
      <x v="58"/>
      <x/>
      <x v="349"/>
    </i>
    <i t="default">
      <x v="20"/>
    </i>
    <i>
      <x v="21"/>
      <x v="1"/>
      <x/>
      <x v="238"/>
    </i>
    <i r="3">
      <x v="558"/>
    </i>
    <i r="3">
      <x v="559"/>
    </i>
    <i r="1">
      <x v="52"/>
      <x/>
      <x v="349"/>
    </i>
    <i r="1">
      <x v="54"/>
      <x/>
      <x v="557"/>
    </i>
    <i r="3">
      <x v="560"/>
    </i>
    <i r="1">
      <x v="59"/>
      <x/>
      <x v="561"/>
    </i>
    <i t="default">
      <x v="21"/>
    </i>
    <i>
      <x v="22"/>
      <x v="1"/>
      <x/>
      <x v="349"/>
    </i>
    <i r="1">
      <x v="54"/>
      <x/>
      <x v="349"/>
    </i>
    <i t="default">
      <x v="22"/>
    </i>
    <i>
      <x v="23"/>
      <x v="1"/>
      <x/>
      <x v="349"/>
    </i>
    <i r="1">
      <x v="58"/>
      <x/>
      <x v="349"/>
    </i>
    <i r="1">
      <x v="60"/>
      <x/>
      <x v="349"/>
    </i>
    <i t="default">
      <x v="23"/>
    </i>
    <i>
      <x v="24"/>
      <x v="1"/>
      <x/>
      <x v="349"/>
    </i>
    <i t="default">
      <x v="24"/>
    </i>
    <i>
      <x v="25"/>
      <x v="52"/>
      <x/>
      <x v="349"/>
    </i>
    <i r="1">
      <x v="60"/>
      <x/>
      <x v="349"/>
    </i>
    <i t="default">
      <x v="25"/>
    </i>
    <i>
      <x v="26"/>
      <x v="58"/>
      <x/>
      <x v="349"/>
    </i>
    <i r="1">
      <x v="60"/>
      <x/>
      <x v="349"/>
    </i>
    <i t="default">
      <x v="26"/>
    </i>
    <i>
      <x v="27"/>
      <x v="58"/>
      <x/>
      <x v="349"/>
    </i>
    <i r="1">
      <x v="60"/>
      <x/>
      <x v="349"/>
    </i>
    <i t="default">
      <x v="27"/>
    </i>
    <i>
      <x v="28"/>
      <x v="60"/>
      <x/>
      <x v="349"/>
    </i>
    <i t="default">
      <x v="28"/>
    </i>
    <i>
      <x v="29"/>
      <x v="60"/>
      <x/>
      <x v="349"/>
    </i>
    <i t="default">
      <x v="29"/>
    </i>
    <i>
      <x v="30"/>
      <x v="56"/>
      <x/>
      <x v="349"/>
    </i>
    <i r="1">
      <x v="60"/>
      <x/>
      <x v="349"/>
    </i>
    <i t="default">
      <x v="30"/>
    </i>
    <i>
      <x v="31"/>
      <x v="56"/>
      <x/>
      <x v="349"/>
    </i>
    <i r="1">
      <x v="60"/>
      <x/>
      <x v="349"/>
    </i>
    <i t="default">
      <x v="31"/>
    </i>
    <i>
      <x v="32"/>
      <x v="60"/>
      <x/>
      <x v="349"/>
    </i>
    <i t="default">
      <x v="32"/>
    </i>
    <i>
      <x v="33"/>
      <x v="60"/>
      <x/>
      <x v="349"/>
    </i>
    <i t="default">
      <x v="33"/>
    </i>
    <i>
      <x v="34"/>
      <x v="56"/>
      <x/>
      <x v="349"/>
    </i>
    <i r="1">
      <x v="60"/>
      <x/>
      <x v="349"/>
    </i>
    <i t="default">
      <x v="34"/>
    </i>
    <i>
      <x v="35"/>
      <x v="56"/>
      <x/>
      <x v="349"/>
    </i>
    <i r="1">
      <x v="60"/>
      <x/>
      <x v="349"/>
    </i>
    <i t="default">
      <x v="35"/>
    </i>
    <i>
      <x v="36"/>
      <x v="56"/>
      <x/>
      <x v="349"/>
    </i>
    <i r="1">
      <x v="60"/>
      <x/>
      <x v="349"/>
    </i>
    <i r="1">
      <x v="63"/>
      <x/>
      <x v="349"/>
    </i>
    <i t="default">
      <x v="36"/>
    </i>
    <i>
      <x v="37"/>
      <x v="56"/>
      <x/>
      <x v="349"/>
    </i>
    <i r="1">
      <x v="60"/>
      <x/>
      <x v="349"/>
    </i>
    <i r="1">
      <x v="64"/>
      <x/>
      <x v="349"/>
    </i>
    <i t="default">
      <x v="37"/>
    </i>
    <i>
      <x v="38"/>
      <x v="60"/>
      <x/>
      <x v="349"/>
    </i>
    <i r="1">
      <x v="64"/>
      <x/>
      <x v="349"/>
    </i>
    <i t="default">
      <x v="38"/>
    </i>
    <i>
      <x v="39"/>
      <x v="60"/>
      <x/>
      <x v="349"/>
    </i>
    <i r="1">
      <x v="64"/>
      <x/>
      <x v="349"/>
    </i>
    <i t="default">
      <x v="39"/>
    </i>
    <i>
      <x v="40"/>
      <x v="64"/>
      <x/>
      <x v="349"/>
    </i>
    <i r="1">
      <x v="65"/>
      <x/>
      <x v="349"/>
    </i>
    <i t="default">
      <x v="40"/>
    </i>
    <i>
      <x v="41"/>
      <x v="52"/>
      <x/>
      <x v="349"/>
    </i>
    <i r="1">
      <x v="58"/>
      <x/>
      <x v="349"/>
    </i>
    <i t="default">
      <x v="41"/>
    </i>
    <i>
      <x v="42"/>
      <x v="52"/>
      <x/>
      <x v="349"/>
    </i>
    <i r="1">
      <x v="58"/>
      <x/>
      <x v="349"/>
    </i>
    <i r="1">
      <x v="64"/>
      <x/>
      <x v="349"/>
    </i>
    <i t="default">
      <x v="42"/>
    </i>
    <i>
      <x v="43"/>
      <x v="64"/>
      <x/>
      <x v="349"/>
    </i>
    <i r="1">
      <x v="65"/>
      <x/>
      <x v="349"/>
    </i>
    <i r="1">
      <x v="66"/>
      <x/>
      <x v="349"/>
    </i>
    <i t="default">
      <x v="43"/>
    </i>
    <i>
      <x v="44"/>
      <x v="64"/>
      <x/>
      <x v="349"/>
    </i>
    <i r="1">
      <x v="65"/>
      <x/>
      <x v="349"/>
    </i>
    <i r="1">
      <x v="66"/>
      <x/>
      <x v="349"/>
    </i>
    <i t="default">
      <x v="44"/>
    </i>
    <i>
      <x v="45"/>
      <x v="64"/>
      <x/>
      <x v="349"/>
    </i>
    <i r="1">
      <x v="65"/>
      <x/>
      <x v="349"/>
    </i>
    <i t="default">
      <x v="45"/>
    </i>
    <i>
      <x v="46"/>
      <x v="53"/>
      <x/>
      <x v="349"/>
    </i>
    <i r="1">
      <x v="64"/>
      <x/>
      <x v="349"/>
    </i>
    <i r="1">
      <x v="65"/>
      <x/>
      <x v="349"/>
    </i>
    <i t="default">
      <x v="46"/>
    </i>
    <i>
      <x v="47"/>
      <x v="53"/>
      <x/>
      <x v="349"/>
    </i>
    <i r="1">
      <x v="64"/>
      <x/>
      <x v="349"/>
    </i>
    <i r="1">
      <x v="65"/>
      <x/>
      <x v="349"/>
    </i>
    <i r="1">
      <x v="67"/>
      <x/>
      <x v="349"/>
    </i>
    <i t="default">
      <x v="47"/>
    </i>
    <i>
      <x v="48"/>
      <x v="64"/>
      <x/>
      <x v="349"/>
    </i>
    <i r="1">
      <x v="65"/>
      <x/>
      <x v="349"/>
    </i>
    <i t="default">
      <x v="48"/>
    </i>
    <i>
      <x v="49"/>
      <x v="48"/>
      <x/>
      <x v="349"/>
    </i>
    <i r="1">
      <x v="64"/>
      <x/>
      <x v="349"/>
    </i>
    <i r="1">
      <x v="65"/>
      <x/>
      <x v="349"/>
    </i>
    <i t="default">
      <x v="49"/>
    </i>
    <i>
      <x v="50"/>
      <x v="64"/>
      <x/>
      <x v="349"/>
    </i>
    <i r="1">
      <x v="65"/>
      <x/>
      <x v="349"/>
    </i>
    <i t="default">
      <x v="50"/>
    </i>
    <i>
      <x v="51"/>
      <x v="64"/>
      <x/>
      <x v="349"/>
    </i>
    <i r="1">
      <x v="65"/>
      <x/>
      <x v="349"/>
    </i>
    <i r="1">
      <x v="68"/>
      <x/>
      <x v="349"/>
    </i>
    <i r="1">
      <x v="69"/>
      <x/>
      <x v="349"/>
    </i>
    <i t="default">
      <x v="51"/>
    </i>
    <i>
      <x v="52"/>
      <x v="64"/>
      <x/>
      <x v="349"/>
    </i>
    <i r="1">
      <x v="65"/>
      <x/>
      <x v="349"/>
    </i>
    <i r="1">
      <x v="68"/>
      <x/>
      <x v="349"/>
    </i>
    <i r="1">
      <x v="70"/>
      <x/>
      <x v="349"/>
    </i>
    <i t="default">
      <x v="52"/>
    </i>
    <i>
      <x v="53"/>
      <x v="64"/>
      <x/>
      <x v="349"/>
    </i>
    <i r="1">
      <x v="65"/>
      <x/>
      <x v="349"/>
    </i>
    <i r="1">
      <x v="68"/>
      <x/>
      <x v="349"/>
    </i>
    <i t="default">
      <x v="53"/>
    </i>
    <i>
      <x v="54"/>
      <x v="64"/>
      <x/>
      <x v="349"/>
    </i>
    <i r="1">
      <x v="65"/>
      <x/>
      <x v="349"/>
    </i>
    <i t="default">
      <x v="54"/>
    </i>
    <i>
      <x v="55"/>
      <x v="64"/>
      <x/>
      <x v="349"/>
    </i>
    <i r="1">
      <x v="65"/>
      <x/>
      <x v="349"/>
    </i>
    <i r="1">
      <x v="69"/>
      <x/>
      <x v="349"/>
    </i>
    <i t="default">
      <x v="55"/>
    </i>
    <i>
      <x v="56"/>
      <x v="64"/>
      <x/>
      <x v="349"/>
    </i>
    <i t="default">
      <x v="56"/>
    </i>
    <i>
      <x v="57"/>
      <x v="64"/>
      <x/>
      <x v="349"/>
    </i>
    <i r="1">
      <x v="65"/>
      <x/>
      <x v="349"/>
    </i>
    <i r="1">
      <x v="69"/>
      <x/>
      <x v="349"/>
    </i>
    <i t="default">
      <x v="57"/>
    </i>
    <i>
      <x v="58"/>
      <x v="52"/>
      <x/>
      <x v="349"/>
    </i>
    <i t="default">
      <x v="58"/>
    </i>
    <i>
      <x v="59"/>
      <x v="52"/>
      <x/>
      <x v="349"/>
    </i>
    <i r="1">
      <x v="58"/>
      <x/>
      <x v="349"/>
    </i>
    <i t="default">
      <x v="59"/>
    </i>
    <i>
      <x v="60"/>
      <x v="65"/>
      <x/>
      <x v="349"/>
    </i>
    <i r="1">
      <x v="69"/>
      <x/>
      <x v="349"/>
    </i>
    <i t="default">
      <x v="60"/>
    </i>
    <i>
      <x v="61"/>
      <x v="52"/>
      <x/>
      <x v="349"/>
    </i>
    <i r="1">
      <x v="65"/>
      <x/>
      <x v="349"/>
    </i>
    <i r="1">
      <x v="69"/>
      <x/>
      <x v="349"/>
    </i>
    <i t="default">
      <x v="61"/>
    </i>
    <i>
      <x v="62"/>
      <x v="65"/>
      <x/>
      <x v="349"/>
    </i>
    <i r="1">
      <x v="69"/>
      <x/>
      <x v="349"/>
    </i>
    <i t="default">
      <x v="62"/>
    </i>
    <i>
      <x v="63"/>
      <x v="52"/>
      <x/>
      <x v="349"/>
    </i>
    <i r="1">
      <x v="65"/>
      <x/>
      <x v="349"/>
    </i>
    <i r="1">
      <x v="69"/>
      <x/>
      <x v="349"/>
    </i>
    <i t="default">
      <x v="63"/>
    </i>
    <i>
      <x v="64"/>
      <x v="65"/>
      <x/>
      <x v="349"/>
    </i>
    <i r="1">
      <x v="69"/>
      <x/>
      <x v="349"/>
    </i>
    <i r="1">
      <x v="71"/>
      <x/>
      <x v="349"/>
    </i>
    <i r="1">
      <x v="72"/>
      <x/>
      <x v="349"/>
    </i>
    <i t="default">
      <x v="64"/>
    </i>
    <i>
      <x v="65"/>
      <x v="52"/>
      <x/>
      <x v="349"/>
    </i>
    <i r="1">
      <x v="65"/>
      <x/>
      <x v="349"/>
    </i>
    <i r="1">
      <x v="69"/>
      <x/>
      <x v="349"/>
    </i>
    <i r="1">
      <x v="71"/>
      <x/>
      <x v="349"/>
    </i>
    <i r="1">
      <x v="73"/>
      <x/>
      <x v="349"/>
    </i>
    <i t="default">
      <x v="65"/>
    </i>
    <i>
      <x v="66"/>
      <x v="52"/>
      <x/>
      <x v="349"/>
    </i>
    <i r="1">
      <x v="56"/>
      <x/>
      <x v="349"/>
    </i>
    <i r="1">
      <x v="65"/>
      <x/>
      <x v="349"/>
    </i>
    <i r="1">
      <x v="69"/>
      <x/>
      <x v="349"/>
    </i>
    <i t="default">
      <x v="66"/>
    </i>
    <i>
      <x v="67"/>
      <x v="56"/>
      <x/>
      <x v="349"/>
    </i>
    <i r="1">
      <x v="65"/>
      <x/>
      <x v="349"/>
    </i>
    <i r="1">
      <x v="69"/>
      <x/>
      <x v="349"/>
    </i>
    <i r="1">
      <x v="73"/>
      <x/>
      <x v="349"/>
    </i>
    <i r="1">
      <x v="74"/>
      <x/>
      <x v="349"/>
    </i>
    <i t="default">
      <x v="67"/>
    </i>
    <i>
      <x v="68"/>
      <x v="52"/>
      <x/>
      <x v="349"/>
    </i>
    <i r="1">
      <x v="75"/>
      <x/>
      <x v="349"/>
    </i>
    <i t="default">
      <x v="68"/>
    </i>
    <i>
      <x v="69"/>
      <x v="52"/>
      <x/>
      <x v="349"/>
    </i>
    <i r="1">
      <x v="56"/>
      <x/>
      <x v="349"/>
    </i>
    <i r="1">
      <x v="69"/>
      <x/>
      <x v="349"/>
    </i>
    <i r="1">
      <x v="72"/>
      <x/>
      <x v="349"/>
    </i>
    <i r="1">
      <x v="74"/>
      <x/>
      <x v="349"/>
    </i>
    <i r="1">
      <x v="75"/>
      <x/>
      <x v="349"/>
    </i>
    <i t="default">
      <x v="69"/>
    </i>
    <i>
      <x v="70"/>
      <x v="69"/>
      <x/>
      <x v="349"/>
    </i>
    <i r="1">
      <x v="73"/>
      <x/>
      <x v="349"/>
    </i>
    <i r="1">
      <x v="75"/>
      <x/>
      <x v="349"/>
    </i>
    <i t="default">
      <x v="70"/>
    </i>
    <i>
      <x v="71"/>
      <x v="52"/>
      <x/>
      <x v="349"/>
    </i>
    <i r="1">
      <x v="73"/>
      <x/>
      <x v="349"/>
    </i>
    <i r="1">
      <x v="74"/>
      <x/>
      <x v="349"/>
    </i>
    <i r="1">
      <x v="75"/>
      <x/>
      <x v="349"/>
    </i>
    <i t="default">
      <x v="71"/>
    </i>
    <i>
      <x v="72"/>
      <x v="58"/>
      <x/>
      <x v="349"/>
    </i>
    <i r="1">
      <x v="75"/>
      <x/>
      <x v="349"/>
    </i>
    <i r="1">
      <x v="76"/>
      <x/>
      <x v="349"/>
    </i>
    <i r="1">
      <x v="77"/>
      <x/>
      <x v="349"/>
    </i>
    <i t="default">
      <x v="72"/>
    </i>
    <i>
      <x v="73"/>
      <x v="52"/>
      <x/>
      <x v="349"/>
    </i>
    <i r="1">
      <x v="69"/>
      <x/>
      <x v="349"/>
    </i>
    <i r="1">
      <x v="72"/>
      <x/>
      <x v="349"/>
    </i>
    <i t="default">
      <x v="73"/>
    </i>
    <i>
      <x v="74"/>
      <x v="48"/>
      <x/>
      <x v="349"/>
    </i>
    <i r="1">
      <x v="69"/>
      <x/>
      <x v="349"/>
    </i>
    <i r="1">
      <x v="78"/>
      <x/>
      <x v="349"/>
    </i>
    <i r="1">
      <x v="79"/>
      <x/>
      <x v="349"/>
    </i>
    <i t="default">
      <x v="74"/>
    </i>
    <i>
      <x v="75"/>
      <x v="58"/>
      <x/>
      <x v="349"/>
    </i>
    <i r="1">
      <x v="66"/>
      <x/>
      <x v="349"/>
    </i>
    <i r="1">
      <x v="69"/>
      <x/>
      <x v="349"/>
    </i>
    <i t="default">
      <x v="75"/>
    </i>
    <i>
      <x v="76"/>
      <x v="52"/>
      <x/>
      <x v="349"/>
    </i>
    <i r="1">
      <x v="69"/>
      <x/>
      <x v="349"/>
    </i>
    <i r="1">
      <x v="75"/>
      <x/>
      <x v="349"/>
    </i>
    <i t="default">
      <x v="76"/>
    </i>
    <i>
      <x v="77"/>
      <x v="58"/>
      <x/>
      <x v="349"/>
    </i>
    <i r="1">
      <x v="69"/>
      <x/>
      <x v="349"/>
    </i>
    <i r="1">
      <x v="75"/>
      <x/>
      <x v="349"/>
    </i>
    <i t="default">
      <x v="77"/>
    </i>
    <i>
      <x v="78"/>
      <x v="52"/>
      <x/>
      <x v="349"/>
    </i>
    <i r="1">
      <x v="75"/>
      <x/>
      <x v="349"/>
    </i>
    <i t="default">
      <x v="78"/>
    </i>
    <i>
      <x v="79"/>
      <x v="75"/>
      <x/>
      <x v="349"/>
    </i>
    <i r="1">
      <x v="80"/>
      <x/>
      <x v="349"/>
    </i>
    <i t="default">
      <x v="79"/>
    </i>
    <i>
      <x v="80"/>
      <x v="75"/>
      <x/>
      <x v="349"/>
    </i>
    <i t="default">
      <x v="80"/>
    </i>
    <i>
      <x v="81"/>
      <x v="75"/>
      <x/>
      <x v="349"/>
    </i>
    <i r="1">
      <x v="80"/>
      <x/>
      <x v="349"/>
    </i>
    <i t="default">
      <x v="81"/>
    </i>
    <i>
      <x v="82"/>
      <x v="75"/>
      <x/>
      <x v="349"/>
    </i>
    <i r="1">
      <x v="81"/>
      <x/>
      <x v="349"/>
    </i>
    <i t="default">
      <x v="82"/>
    </i>
    <i>
      <x v="83"/>
      <x v="75"/>
      <x/>
      <x v="349"/>
    </i>
    <i r="1">
      <x v="81"/>
      <x/>
      <x v="349"/>
    </i>
    <i t="default">
      <x v="83"/>
    </i>
    <i>
      <x v="84"/>
      <x v="75"/>
      <x/>
      <x v="349"/>
    </i>
    <i r="1">
      <x v="81"/>
      <x/>
      <x v="349"/>
    </i>
    <i r="1">
      <x v="82"/>
      <x/>
      <x v="349"/>
    </i>
    <i r="1">
      <x v="83"/>
      <x/>
      <x v="349"/>
    </i>
    <i t="default">
      <x v="84"/>
    </i>
    <i>
      <x v="85"/>
      <x v="59"/>
      <x/>
      <x v="349"/>
    </i>
    <i r="1">
      <x v="80"/>
      <x/>
      <x v="349"/>
    </i>
    <i r="1">
      <x v="81"/>
      <x/>
      <x v="349"/>
    </i>
    <i r="1">
      <x v="83"/>
      <x/>
      <x v="349"/>
    </i>
    <i r="1">
      <x v="84"/>
      <x/>
      <x v="349"/>
    </i>
    <i r="1">
      <x v="85"/>
      <x/>
      <x v="349"/>
    </i>
    <i r="1">
      <x v="86"/>
      <x/>
      <x v="349"/>
    </i>
    <i t="default">
      <x v="85"/>
    </i>
    <i>
      <x v="86"/>
      <x v="56"/>
      <x/>
      <x v="349"/>
    </i>
    <i r="1">
      <x v="66"/>
      <x/>
      <x v="349"/>
    </i>
    <i r="1">
      <x v="80"/>
      <x/>
      <x v="349"/>
    </i>
    <i r="1">
      <x v="81"/>
      <x/>
      <x v="349"/>
    </i>
    <i r="1">
      <x v="84"/>
      <x/>
      <x v="349"/>
    </i>
    <i r="1">
      <x v="87"/>
      <x/>
      <x v="349"/>
    </i>
    <i t="default">
      <x v="86"/>
    </i>
    <i>
      <x v="87"/>
      <x v="52"/>
      <x/>
      <x v="349"/>
    </i>
    <i t="default">
      <x v="87"/>
    </i>
    <i>
      <x v="88"/>
      <x v="59"/>
      <x/>
      <x v="349"/>
    </i>
    <i r="1">
      <x v="66"/>
      <x/>
      <x v="349"/>
    </i>
    <i r="1">
      <x v="81"/>
      <x/>
      <x v="349"/>
    </i>
    <i r="1">
      <x v="88"/>
      <x/>
      <x v="349"/>
    </i>
    <i r="1">
      <x v="89"/>
      <x/>
      <x v="349"/>
    </i>
    <i t="default">
      <x v="88"/>
    </i>
    <i>
      <x v="89"/>
      <x v="59"/>
      <x/>
      <x v="349"/>
    </i>
    <i r="1">
      <x v="66"/>
      <x/>
      <x v="349"/>
    </i>
    <i r="1">
      <x v="74"/>
      <x/>
      <x v="349"/>
    </i>
    <i r="1">
      <x v="81"/>
      <x/>
      <x v="349"/>
    </i>
    <i t="default">
      <x v="89"/>
    </i>
    <i>
      <x v="90"/>
      <x v="59"/>
      <x/>
      <x v="349"/>
    </i>
    <i r="1">
      <x v="81"/>
      <x/>
      <x v="349"/>
    </i>
    <i r="1">
      <x v="85"/>
      <x/>
      <x v="349"/>
    </i>
    <i r="1">
      <x v="86"/>
      <x/>
      <x v="349"/>
    </i>
    <i r="1">
      <x v="90"/>
      <x/>
      <x v="349"/>
    </i>
    <i t="default">
      <x v="90"/>
    </i>
    <i>
      <x v="91"/>
      <x v="86"/>
      <x/>
      <x v="349"/>
    </i>
    <i r="1">
      <x v="89"/>
      <x/>
      <x v="349"/>
    </i>
    <i t="default">
      <x v="91"/>
    </i>
    <i>
      <x v="92"/>
      <x v="56"/>
      <x/>
      <x v="349"/>
    </i>
    <i r="1">
      <x v="57"/>
      <x/>
      <x v="349"/>
    </i>
    <i r="1">
      <x v="59"/>
      <x/>
      <x v="349"/>
    </i>
    <i r="1">
      <x v="66"/>
      <x/>
      <x v="349"/>
    </i>
    <i r="1">
      <x v="85"/>
      <x/>
      <x v="349"/>
    </i>
    <i r="1">
      <x v="86"/>
      <x/>
      <x v="349"/>
    </i>
    <i r="1">
      <x v="91"/>
      <x/>
      <x v="349"/>
    </i>
    <i t="default">
      <x v="92"/>
    </i>
    <i>
      <x v="93"/>
      <x v="52"/>
      <x/>
      <x v="349"/>
    </i>
    <i r="1">
      <x v="57"/>
      <x/>
      <x v="349"/>
    </i>
    <i r="1">
      <x v="58"/>
      <x/>
      <x v="349"/>
    </i>
    <i r="1">
      <x v="66"/>
      <x/>
      <x v="349"/>
    </i>
    <i r="1">
      <x v="74"/>
      <x/>
      <x v="349"/>
    </i>
    <i r="1">
      <x v="91"/>
      <x/>
      <x v="349"/>
    </i>
    <i t="default">
      <x v="93"/>
    </i>
    <i>
      <x v="94"/>
      <x v="52"/>
      <x/>
      <x v="349"/>
    </i>
    <i r="1">
      <x v="58"/>
      <x/>
      <x v="349"/>
    </i>
    <i t="default">
      <x v="94"/>
    </i>
    <i>
      <x v="95"/>
      <x v="48"/>
      <x/>
      <x v="349"/>
    </i>
    <i r="1">
      <x v="59"/>
      <x/>
      <x v="349"/>
    </i>
    <i r="1">
      <x v="74"/>
      <x/>
      <x v="349"/>
    </i>
    <i r="1">
      <x v="85"/>
      <x/>
      <x v="349"/>
    </i>
    <i r="1">
      <x v="86"/>
      <x/>
      <x v="349"/>
    </i>
    <i r="1">
      <x v="92"/>
      <x/>
      <x v="349"/>
    </i>
    <i t="default">
      <x v="95"/>
    </i>
    <i>
      <x v="96"/>
      <x v="85"/>
      <x/>
      <x v="349"/>
    </i>
    <i r="1">
      <x v="86"/>
      <x/>
      <x v="349"/>
    </i>
    <i r="1">
      <x v="93"/>
      <x/>
      <x v="349"/>
    </i>
    <i r="1">
      <x v="94"/>
      <x/>
      <x v="349"/>
    </i>
    <i t="default">
      <x v="96"/>
    </i>
    <i>
      <x v="97"/>
      <x v="53"/>
      <x/>
      <x v="349"/>
    </i>
    <i r="1">
      <x v="59"/>
      <x/>
      <x v="349"/>
    </i>
    <i r="1">
      <x v="73"/>
      <x/>
      <x v="349"/>
    </i>
    <i r="1">
      <x v="85"/>
      <x/>
      <x v="349"/>
    </i>
    <i r="1">
      <x v="91"/>
      <x/>
      <x v="349"/>
    </i>
    <i r="1">
      <x v="95"/>
      <x/>
      <x v="349"/>
    </i>
    <i t="default">
      <x v="97"/>
    </i>
    <i>
      <x v="98"/>
      <x v="53"/>
      <x/>
      <x v="349"/>
    </i>
    <i r="1">
      <x v="57"/>
      <x/>
      <x v="349"/>
    </i>
    <i r="1">
      <x v="59"/>
      <x/>
      <x v="349"/>
    </i>
    <i r="1">
      <x v="74"/>
      <x/>
      <x v="349"/>
    </i>
    <i r="1">
      <x v="80"/>
      <x/>
      <x v="349"/>
    </i>
    <i r="1">
      <x v="92"/>
      <x/>
      <x v="349"/>
    </i>
    <i r="1">
      <x v="96"/>
      <x/>
      <x v="349"/>
    </i>
    <i r="1">
      <x v="97"/>
      <x/>
      <x v="349"/>
    </i>
    <i t="default">
      <x v="98"/>
    </i>
    <i>
      <x v="99"/>
      <x v="48"/>
      <x/>
      <x v="349"/>
    </i>
    <i r="1">
      <x v="53"/>
      <x/>
      <x v="349"/>
    </i>
    <i r="1">
      <x v="73"/>
      <x/>
      <x v="349"/>
    </i>
    <i r="1">
      <x v="80"/>
      <x/>
      <x v="349"/>
    </i>
    <i r="1">
      <x v="92"/>
      <x/>
      <x v="349"/>
    </i>
    <i r="1">
      <x v="96"/>
      <x/>
      <x v="349"/>
    </i>
    <i r="1">
      <x v="98"/>
      <x/>
      <x v="349"/>
    </i>
    <i t="default">
      <x v="99"/>
    </i>
    <i>
      <x v="100"/>
      <x v="48"/>
      <x/>
      <x v="349"/>
    </i>
    <i r="1">
      <x v="73"/>
      <x/>
      <x v="349"/>
    </i>
    <i r="1">
      <x v="74"/>
      <x/>
      <x v="349"/>
    </i>
    <i r="1">
      <x v="80"/>
      <x/>
      <x v="349"/>
    </i>
    <i r="1">
      <x v="84"/>
      <x/>
      <x v="349"/>
    </i>
    <i r="1">
      <x v="96"/>
      <x/>
      <x v="349"/>
    </i>
    <i t="default">
      <x v="100"/>
    </i>
    <i>
      <x v="101"/>
      <x v="52"/>
      <x/>
      <x v="349"/>
    </i>
    <i r="1">
      <x v="63"/>
      <x/>
      <x v="349"/>
    </i>
    <i r="1">
      <x v="73"/>
      <x/>
      <x v="349"/>
    </i>
    <i r="1">
      <x v="76"/>
      <x/>
      <x v="349"/>
    </i>
    <i r="1">
      <x v="80"/>
      <x/>
      <x v="349"/>
    </i>
    <i r="1">
      <x v="84"/>
      <x/>
      <x v="349"/>
    </i>
    <i t="default">
      <x v="101"/>
    </i>
    <i>
      <x v="102"/>
      <x v="76"/>
      <x/>
      <x v="349"/>
    </i>
    <i r="1">
      <x v="80"/>
      <x/>
      <x v="349"/>
    </i>
    <i r="1">
      <x v="84"/>
      <x/>
      <x v="349"/>
    </i>
    <i r="1">
      <x v="96"/>
      <x/>
      <x v="349"/>
    </i>
    <i t="default">
      <x v="102"/>
    </i>
    <i>
      <x v="104"/>
      <x v="48"/>
      <x/>
      <x v="349"/>
    </i>
    <i t="default">
      <x v="104"/>
    </i>
    <i t="grand">
      <x/>
    </i>
  </rowItems>
  <colFields count="1">
    <field x="-2"/>
  </colFields>
  <colItems count="5">
    <i>
      <x/>
    </i>
    <i i="1">
      <x v="1"/>
    </i>
    <i i="2">
      <x v="2"/>
    </i>
    <i i="3">
      <x v="3"/>
    </i>
    <i i="4">
      <x v="4"/>
    </i>
  </colItems>
  <dataFields count="5">
    <dataField name="Sum of hr_mo" fld="9" baseField="0" baseItem="0"/>
    <dataField name="Sum of hr_tu" fld="10" baseField="0" baseItem="0"/>
    <dataField name="Sum of hr_we" fld="11" baseField="0" baseItem="0"/>
    <dataField name="Sum of hr_th" fld="12" baseField="0" baseItem="0"/>
    <dataField name="Sum of hr_fr" fld="13" baseField="0" baseItem="0"/>
  </dataFields>
  <formats count="75">
    <format dxfId="96">
      <pivotArea type="all" dataOnly="0" outline="0" fieldPosition="0"/>
    </format>
    <format dxfId="95">
      <pivotArea outline="0" collapsedLevelsAreSubtotals="1" fieldPosition="0"/>
    </format>
    <format dxfId="94">
      <pivotArea type="origin" dataOnly="0" labelOnly="1" outline="0" fieldPosition="0"/>
    </format>
    <format dxfId="93">
      <pivotArea field="3" type="button" dataOnly="0" labelOnly="1" outline="0"/>
    </format>
    <format dxfId="92">
      <pivotArea type="topRight" dataOnly="0" labelOnly="1" outline="0" fieldPosition="0"/>
    </format>
    <format dxfId="91">
      <pivotArea field="5" type="button" dataOnly="0" labelOnly="1" outline="0" axis="axisRow" fieldPosition="0"/>
    </format>
    <format dxfId="90">
      <pivotArea field="6" type="button" dataOnly="0" labelOnly="1" outline="0" axis="axisRow" fieldPosition="1"/>
    </format>
    <format dxfId="89">
      <pivotArea field="7" type="button" dataOnly="0" labelOnly="1" outline="0" axis="axisRow" fieldPosition="2"/>
    </format>
    <format dxfId="88">
      <pivotArea field="8" type="button" dataOnly="0" labelOnly="1" outline="0" axis="axisRow" fieldPosition="3"/>
    </format>
    <format dxfId="87">
      <pivotArea dataOnly="0" labelOnly="1" outline="0" fieldPosition="0">
        <references count="1">
          <reference field="5" count="14">
            <x v="2"/>
            <x v="3"/>
            <x v="4"/>
            <x v="5"/>
            <x v="6"/>
            <x v="7"/>
            <x v="8"/>
            <x v="9"/>
            <x v="10"/>
            <x v="11"/>
            <x v="12"/>
            <x v="13"/>
            <x v="14"/>
            <x v="15"/>
          </reference>
        </references>
      </pivotArea>
    </format>
    <format dxfId="86">
      <pivotArea dataOnly="0" labelOnly="1" outline="0" fieldPosition="0">
        <references count="1">
          <reference field="5" count="14" defaultSubtotal="1">
            <x v="2"/>
            <x v="3"/>
            <x v="4"/>
            <x v="5"/>
            <x v="6"/>
            <x v="7"/>
            <x v="8"/>
            <x v="9"/>
            <x v="10"/>
            <x v="11"/>
            <x v="12"/>
            <x v="13"/>
            <x v="14"/>
            <x v="15"/>
          </reference>
        </references>
      </pivotArea>
    </format>
    <format dxfId="85">
      <pivotArea dataOnly="0" labelOnly="1" grandRow="1" outline="0" fieldPosition="0"/>
    </format>
    <format dxfId="84">
      <pivotArea dataOnly="0" labelOnly="1" outline="0" fieldPosition="0">
        <references count="2">
          <reference field="5" count="1" selected="0">
            <x v="2"/>
          </reference>
          <reference field="6" count="3">
            <x v="1"/>
            <x v="61"/>
            <x v="62"/>
          </reference>
        </references>
      </pivotArea>
    </format>
    <format dxfId="83">
      <pivotArea dataOnly="0" labelOnly="1" outline="0" fieldPosition="0">
        <references count="2">
          <reference field="5" count="1" selected="0">
            <x v="3"/>
          </reference>
          <reference field="6" count="1">
            <x v="1"/>
          </reference>
        </references>
      </pivotArea>
    </format>
    <format dxfId="82">
      <pivotArea dataOnly="0" labelOnly="1" outline="0" fieldPosition="0">
        <references count="2">
          <reference field="5" count="1" selected="0">
            <x v="4"/>
          </reference>
          <reference field="6" count="3">
            <x v="1"/>
            <x v="48"/>
            <x v="50"/>
          </reference>
        </references>
      </pivotArea>
    </format>
    <format dxfId="81">
      <pivotArea dataOnly="0" labelOnly="1" outline="0" fieldPosition="0">
        <references count="2">
          <reference field="5" count="1" selected="0">
            <x v="5"/>
          </reference>
          <reference field="6" count="1">
            <x v="1"/>
          </reference>
        </references>
      </pivotArea>
    </format>
    <format dxfId="80">
      <pivotArea dataOnly="0" labelOnly="1" outline="0" fieldPosition="0">
        <references count="2">
          <reference field="5" count="1" selected="0">
            <x v="6"/>
          </reference>
          <reference field="6" count="1">
            <x v="1"/>
          </reference>
        </references>
      </pivotArea>
    </format>
    <format dxfId="79">
      <pivotArea dataOnly="0" labelOnly="1" outline="0" fieldPosition="0">
        <references count="2">
          <reference field="5" count="1" selected="0">
            <x v="7"/>
          </reference>
          <reference field="6" count="2">
            <x v="1"/>
            <x v="52"/>
          </reference>
        </references>
      </pivotArea>
    </format>
    <format dxfId="78">
      <pivotArea dataOnly="0" labelOnly="1" outline="0" fieldPosition="0">
        <references count="2">
          <reference field="5" count="1" selected="0">
            <x v="8"/>
          </reference>
          <reference field="6" count="2">
            <x v="1"/>
            <x v="53"/>
          </reference>
        </references>
      </pivotArea>
    </format>
    <format dxfId="77">
      <pivotArea dataOnly="0" labelOnly="1" outline="0" fieldPosition="0">
        <references count="2">
          <reference field="5" count="1" selected="0">
            <x v="9"/>
          </reference>
          <reference field="6" count="2">
            <x v="1"/>
            <x v="54"/>
          </reference>
        </references>
      </pivotArea>
    </format>
    <format dxfId="76">
      <pivotArea dataOnly="0" labelOnly="1" outline="0" fieldPosition="0">
        <references count="2">
          <reference field="5" count="1" selected="0">
            <x v="10"/>
          </reference>
          <reference field="6" count="3">
            <x v="1"/>
            <x v="52"/>
            <x v="54"/>
          </reference>
        </references>
      </pivotArea>
    </format>
    <format dxfId="75">
      <pivotArea dataOnly="0" labelOnly="1" outline="0" fieldPosition="0">
        <references count="2">
          <reference field="5" count="1" selected="0">
            <x v="11"/>
          </reference>
          <reference field="6" count="3">
            <x v="1"/>
            <x v="52"/>
            <x v="54"/>
          </reference>
        </references>
      </pivotArea>
    </format>
    <format dxfId="74">
      <pivotArea dataOnly="0" labelOnly="1" outline="0" fieldPosition="0">
        <references count="2">
          <reference field="5" count="1" selected="0">
            <x v="12"/>
          </reference>
          <reference field="6" count="3">
            <x v="1"/>
            <x v="50"/>
            <x v="54"/>
          </reference>
        </references>
      </pivotArea>
    </format>
    <format dxfId="73">
      <pivotArea dataOnly="0" labelOnly="1" outline="0" fieldPosition="0">
        <references count="2">
          <reference field="5" count="1" selected="0">
            <x v="13"/>
          </reference>
          <reference field="6" count="4">
            <x v="1"/>
            <x v="50"/>
            <x v="52"/>
            <x v="54"/>
          </reference>
        </references>
      </pivotArea>
    </format>
    <format dxfId="72">
      <pivotArea dataOnly="0" labelOnly="1" outline="0" fieldPosition="0">
        <references count="2">
          <reference field="5" count="1" selected="0">
            <x v="14"/>
          </reference>
          <reference field="6" count="3">
            <x v="1"/>
            <x v="50"/>
            <x v="54"/>
          </reference>
        </references>
      </pivotArea>
    </format>
    <format dxfId="71">
      <pivotArea dataOnly="0" labelOnly="1" outline="0" fieldPosition="0">
        <references count="2">
          <reference field="5" count="1" selected="0">
            <x v="15"/>
          </reference>
          <reference field="6" count="2">
            <x v="1"/>
            <x v="50"/>
          </reference>
        </references>
      </pivotArea>
    </format>
    <format dxfId="70">
      <pivotArea dataOnly="0" labelOnly="1" outline="0" fieldPosition="0">
        <references count="3">
          <reference field="5" count="1" selected="0">
            <x v="2"/>
          </reference>
          <reference field="6" count="1" selected="0">
            <x v="1"/>
          </reference>
          <reference field="7" count="1">
            <x v="0"/>
          </reference>
        </references>
      </pivotArea>
    </format>
    <format dxfId="69">
      <pivotArea dataOnly="0" labelOnly="1" outline="0" fieldPosition="0">
        <references count="3">
          <reference field="5" count="1" selected="0">
            <x v="3"/>
          </reference>
          <reference field="6" count="1" selected="0">
            <x v="1"/>
          </reference>
          <reference field="7" count="1">
            <x v="1"/>
          </reference>
        </references>
      </pivotArea>
    </format>
    <format dxfId="68">
      <pivotArea dataOnly="0" labelOnly="1" outline="0" fieldPosition="0">
        <references count="3">
          <reference field="5" count="1" selected="0">
            <x v="4"/>
          </reference>
          <reference field="6" count="1" selected="0">
            <x v="1"/>
          </reference>
          <reference field="7" count="1">
            <x v="1"/>
          </reference>
        </references>
      </pivotArea>
    </format>
    <format dxfId="67">
      <pivotArea dataOnly="0" labelOnly="1" outline="0" fieldPosition="0">
        <references count="3">
          <reference field="5" count="1" selected="0">
            <x v="5"/>
          </reference>
          <reference field="6" count="1" selected="0">
            <x v="1"/>
          </reference>
          <reference field="7" count="1">
            <x v="1"/>
          </reference>
        </references>
      </pivotArea>
    </format>
    <format dxfId="66">
      <pivotArea dataOnly="0" labelOnly="1" outline="0" fieldPosition="0">
        <references count="3">
          <reference field="5" count="1" selected="0">
            <x v="6"/>
          </reference>
          <reference field="6" count="1" selected="0">
            <x v="1"/>
          </reference>
          <reference field="7" count="1">
            <x v="1"/>
          </reference>
        </references>
      </pivotArea>
    </format>
    <format dxfId="65">
      <pivotArea dataOnly="0" labelOnly="1" outline="0" fieldPosition="0">
        <references count="3">
          <reference field="5" count="1" selected="0">
            <x v="7"/>
          </reference>
          <reference field="6" count="1" selected="0">
            <x v="1"/>
          </reference>
          <reference field="7" count="1">
            <x v="1"/>
          </reference>
        </references>
      </pivotArea>
    </format>
    <format dxfId="64">
      <pivotArea dataOnly="0" labelOnly="1" outline="0" fieldPosition="0">
        <references count="3">
          <reference field="5" count="1" selected="0">
            <x v="8"/>
          </reference>
          <reference field="6" count="1" selected="0">
            <x v="1"/>
          </reference>
          <reference field="7" count="1">
            <x v="1"/>
          </reference>
        </references>
      </pivotArea>
    </format>
    <format dxfId="63">
      <pivotArea dataOnly="0" labelOnly="1" outline="0" fieldPosition="0">
        <references count="3">
          <reference field="5" count="1" selected="0">
            <x v="9"/>
          </reference>
          <reference field="6" count="1" selected="0">
            <x v="1"/>
          </reference>
          <reference field="7" count="1">
            <x v="1"/>
          </reference>
        </references>
      </pivotArea>
    </format>
    <format dxfId="62">
      <pivotArea dataOnly="0" labelOnly="1" outline="0" fieldPosition="0">
        <references count="3">
          <reference field="5" count="1" selected="0">
            <x v="10"/>
          </reference>
          <reference field="6" count="1" selected="0">
            <x v="1"/>
          </reference>
          <reference field="7" count="1">
            <x v="1"/>
          </reference>
        </references>
      </pivotArea>
    </format>
    <format dxfId="61">
      <pivotArea dataOnly="0" labelOnly="1" outline="0" fieldPosition="0">
        <references count="3">
          <reference field="5" count="1" selected="0">
            <x v="11"/>
          </reference>
          <reference field="6" count="1" selected="0">
            <x v="1"/>
          </reference>
          <reference field="7" count="1">
            <x v="1"/>
          </reference>
        </references>
      </pivotArea>
    </format>
    <format dxfId="60">
      <pivotArea dataOnly="0" labelOnly="1" outline="0" fieldPosition="0">
        <references count="3">
          <reference field="5" count="1" selected="0">
            <x v="12"/>
          </reference>
          <reference field="6" count="1" selected="0">
            <x v="1"/>
          </reference>
          <reference field="7" count="1">
            <x v="1"/>
          </reference>
        </references>
      </pivotArea>
    </format>
    <format dxfId="59">
      <pivotArea dataOnly="0" labelOnly="1" outline="0" fieldPosition="0">
        <references count="3">
          <reference field="5" count="1" selected="0">
            <x v="13"/>
          </reference>
          <reference field="6" count="1" selected="0">
            <x v="1"/>
          </reference>
          <reference field="7" count="1">
            <x v="1"/>
          </reference>
        </references>
      </pivotArea>
    </format>
    <format dxfId="58">
      <pivotArea dataOnly="0" labelOnly="1" outline="0" fieldPosition="0">
        <references count="3">
          <reference field="5" count="1" selected="0">
            <x v="14"/>
          </reference>
          <reference field="6" count="1" selected="0">
            <x v="1"/>
          </reference>
          <reference field="7" count="1">
            <x v="1"/>
          </reference>
        </references>
      </pivotArea>
    </format>
    <format dxfId="57">
      <pivotArea dataOnly="0" labelOnly="1" outline="0" fieldPosition="0">
        <references count="3">
          <reference field="5" count="1" selected="0">
            <x v="15"/>
          </reference>
          <reference field="6" count="1" selected="0">
            <x v="1"/>
          </reference>
          <reference field="7" count="1">
            <x v="1"/>
          </reference>
        </references>
      </pivotArea>
    </format>
    <format dxfId="56">
      <pivotArea dataOnly="0" labelOnly="1" outline="0" fieldPosition="0">
        <references count="4">
          <reference field="5" count="1" selected="0">
            <x v="2"/>
          </reference>
          <reference field="6" count="1" selected="0">
            <x v="1"/>
          </reference>
          <reference field="7" count="1" selected="0">
            <x v="0"/>
          </reference>
          <reference field="8" count="9">
            <x v="475"/>
            <x v="476"/>
            <x v="562"/>
            <x v="563"/>
            <x v="564"/>
            <x v="565"/>
            <x v="567"/>
            <x v="570"/>
            <x v="571"/>
          </reference>
        </references>
      </pivotArea>
    </format>
    <format dxfId="55">
      <pivotArea dataOnly="0" labelOnly="1" outline="0" fieldPosition="0">
        <references count="4">
          <reference field="5" count="1" selected="0">
            <x v="2"/>
          </reference>
          <reference field="6" count="1" selected="0">
            <x v="61"/>
          </reference>
          <reference field="7" count="1" selected="0">
            <x v="0"/>
          </reference>
          <reference field="8" count="2">
            <x v="568"/>
            <x v="569"/>
          </reference>
        </references>
      </pivotArea>
    </format>
    <format dxfId="54">
      <pivotArea dataOnly="0" labelOnly="1" outline="0" fieldPosition="0">
        <references count="4">
          <reference field="5" count="1" selected="0">
            <x v="2"/>
          </reference>
          <reference field="6" count="1" selected="0">
            <x v="62"/>
          </reference>
          <reference field="7" count="1" selected="0">
            <x v="0"/>
          </reference>
          <reference field="8" count="1">
            <x v="566"/>
          </reference>
        </references>
      </pivotArea>
    </format>
    <format dxfId="53">
      <pivotArea dataOnly="0" labelOnly="1" outline="0" fieldPosition="0">
        <references count="4">
          <reference field="5" count="1" selected="0">
            <x v="3"/>
          </reference>
          <reference field="6" count="1" selected="0">
            <x v="1"/>
          </reference>
          <reference field="7" count="1" selected="0">
            <x v="1"/>
          </reference>
          <reference field="8" count="10">
            <x v="468"/>
            <x v="469"/>
            <x v="471"/>
            <x v="472"/>
            <x v="473"/>
            <x v="474"/>
            <x v="477"/>
            <x v="478"/>
            <x v="479"/>
            <x v="480"/>
          </reference>
        </references>
      </pivotArea>
    </format>
    <format dxfId="52">
      <pivotArea dataOnly="0" labelOnly="1" outline="0" fieldPosition="0">
        <references count="4">
          <reference field="5" count="1" selected="0">
            <x v="4"/>
          </reference>
          <reference field="6" count="1" selected="0">
            <x v="1"/>
          </reference>
          <reference field="7" count="1" selected="0">
            <x v="1"/>
          </reference>
          <reference field="8" count="10">
            <x v="456"/>
            <x v="457"/>
            <x v="458"/>
            <x v="459"/>
            <x v="461"/>
            <x v="462"/>
            <x v="465"/>
            <x v="482"/>
            <x v="483"/>
            <x v="484"/>
          </reference>
        </references>
      </pivotArea>
    </format>
    <format dxfId="51">
      <pivotArea dataOnly="0" labelOnly="1" outline="0" fieldPosition="0">
        <references count="4">
          <reference field="5" count="1" selected="0">
            <x v="4"/>
          </reference>
          <reference field="6" count="1" selected="0">
            <x v="48"/>
          </reference>
          <reference field="7" count="1" selected="0">
            <x v="1"/>
          </reference>
          <reference field="8" count="1">
            <x v="481"/>
          </reference>
        </references>
      </pivotArea>
    </format>
    <format dxfId="50">
      <pivotArea dataOnly="0" labelOnly="1" outline="0" fieldPosition="0">
        <references count="4">
          <reference field="5" count="1" selected="0">
            <x v="4"/>
          </reference>
          <reference field="6" count="1" selected="0">
            <x v="50"/>
          </reference>
          <reference field="7" count="1" selected="0">
            <x v="1"/>
          </reference>
          <reference field="8" count="1">
            <x v="466"/>
          </reference>
        </references>
      </pivotArea>
    </format>
    <format dxfId="49">
      <pivotArea dataOnly="0" labelOnly="1" outline="0" fieldPosition="0">
        <references count="4">
          <reference field="5" count="1" selected="0">
            <x v="5"/>
          </reference>
          <reference field="6" count="1" selected="0">
            <x v="1"/>
          </reference>
          <reference field="7" count="1" selected="0">
            <x v="1"/>
          </reference>
          <reference field="8" count="10">
            <x v="446"/>
            <x v="449"/>
            <x v="452"/>
            <x v="485"/>
            <x v="486"/>
            <x v="487"/>
            <x v="488"/>
            <x v="489"/>
            <x v="490"/>
            <x v="491"/>
          </reference>
        </references>
      </pivotArea>
    </format>
    <format dxfId="48">
      <pivotArea dataOnly="0" labelOnly="1" outline="0" fieldPosition="0">
        <references count="4">
          <reference field="5" count="1" selected="0">
            <x v="6"/>
          </reference>
          <reference field="6" count="1" selected="0">
            <x v="1"/>
          </reference>
          <reference field="7" count="1" selected="0">
            <x v="1"/>
          </reference>
          <reference field="8" count="10">
            <x v="436"/>
            <x v="439"/>
            <x v="492"/>
            <x v="493"/>
            <x v="494"/>
            <x v="495"/>
            <x v="496"/>
            <x v="497"/>
            <x v="498"/>
            <x v="499"/>
          </reference>
        </references>
      </pivotArea>
    </format>
    <format dxfId="47">
      <pivotArea dataOnly="0" labelOnly="1" outline="0" fieldPosition="0">
        <references count="4">
          <reference field="5" count="1" selected="0">
            <x v="7"/>
          </reference>
          <reference field="6" count="1" selected="0">
            <x v="1"/>
          </reference>
          <reference field="7" count="1" selected="0">
            <x v="1"/>
          </reference>
          <reference field="8" count="8">
            <x v="429"/>
            <x v="430"/>
            <x v="431"/>
            <x v="432"/>
            <x v="433"/>
            <x v="434"/>
            <x v="500"/>
            <x v="501"/>
          </reference>
        </references>
      </pivotArea>
    </format>
    <format dxfId="46">
      <pivotArea dataOnly="0" labelOnly="1" outline="0" fieldPosition="0">
        <references count="4">
          <reference field="5" count="1" selected="0">
            <x v="7"/>
          </reference>
          <reference field="6" count="1" selected="0">
            <x v="52"/>
          </reference>
          <reference field="7" count="1" selected="0">
            <x v="1"/>
          </reference>
          <reference field="8" count="1">
            <x v="349"/>
          </reference>
        </references>
      </pivotArea>
    </format>
    <format dxfId="45">
      <pivotArea dataOnly="0" labelOnly="1" outline="0" fieldPosition="0">
        <references count="4">
          <reference field="5" count="1" selected="0">
            <x v="8"/>
          </reference>
          <reference field="6" count="1" selected="0">
            <x v="1"/>
          </reference>
          <reference field="7" count="1" selected="0">
            <x v="1"/>
          </reference>
          <reference field="8" count="8">
            <x v="419"/>
            <x v="420"/>
            <x v="423"/>
            <x v="424"/>
            <x v="502"/>
            <x v="503"/>
            <x v="504"/>
            <x v="505"/>
          </reference>
        </references>
      </pivotArea>
    </format>
    <format dxfId="44">
      <pivotArea dataOnly="0" labelOnly="1" outline="0" fieldPosition="0">
        <references count="4">
          <reference field="5" count="1" selected="0">
            <x v="8"/>
          </reference>
          <reference field="6" count="1" selected="0">
            <x v="53"/>
          </reference>
          <reference field="7" count="1" selected="0">
            <x v="1"/>
          </reference>
          <reference field="8" count="1">
            <x v="422"/>
          </reference>
        </references>
      </pivotArea>
    </format>
    <format dxfId="43">
      <pivotArea dataOnly="0" labelOnly="1" outline="0" fieldPosition="0">
        <references count="4">
          <reference field="5" count="1" selected="0">
            <x v="9"/>
          </reference>
          <reference field="6" count="1" selected="0">
            <x v="1"/>
          </reference>
          <reference field="7" count="1" selected="0">
            <x v="1"/>
          </reference>
          <reference field="8" count="4">
            <x v="413"/>
            <x v="414"/>
            <x v="416"/>
            <x v="417"/>
          </reference>
        </references>
      </pivotArea>
    </format>
    <format dxfId="42">
      <pivotArea dataOnly="0" labelOnly="1" outline="0" fieldPosition="0">
        <references count="4">
          <reference field="5" count="1" selected="0">
            <x v="9"/>
          </reference>
          <reference field="6" count="1" selected="0">
            <x v="54"/>
          </reference>
          <reference field="7" count="1" selected="0">
            <x v="1"/>
          </reference>
          <reference field="8" count="1">
            <x v="406"/>
          </reference>
        </references>
      </pivotArea>
    </format>
    <format dxfId="41">
      <pivotArea dataOnly="0" labelOnly="1" outline="0" fieldPosition="0">
        <references count="4">
          <reference field="5" count="1" selected="0">
            <x v="10"/>
          </reference>
          <reference field="6" count="1" selected="0">
            <x v="1"/>
          </reference>
          <reference field="7" count="1" selected="0">
            <x v="1"/>
          </reference>
          <reference field="8" count="9">
            <x v="402"/>
            <x v="403"/>
            <x v="404"/>
            <x v="407"/>
            <x v="409"/>
            <x v="410"/>
            <x v="411"/>
            <x v="412"/>
            <x v="506"/>
          </reference>
        </references>
      </pivotArea>
    </format>
    <format dxfId="40">
      <pivotArea dataOnly="0" labelOnly="1" outline="0" fieldPosition="0">
        <references count="4">
          <reference field="5" count="1" selected="0">
            <x v="10"/>
          </reference>
          <reference field="6" count="1" selected="0">
            <x v="52"/>
          </reference>
          <reference field="7" count="1" selected="0">
            <x v="1"/>
          </reference>
          <reference field="8" count="1">
            <x v="173"/>
          </reference>
        </references>
      </pivotArea>
    </format>
    <format dxfId="39">
      <pivotArea dataOnly="0" labelOnly="1" outline="0" fieldPosition="0">
        <references count="4">
          <reference field="5" count="1" selected="0">
            <x v="10"/>
          </reference>
          <reference field="6" count="1" selected="0">
            <x v="54"/>
          </reference>
          <reference field="7" count="1" selected="0">
            <x v="1"/>
          </reference>
          <reference field="8" count="2">
            <x v="406"/>
            <x v="408"/>
          </reference>
        </references>
      </pivotArea>
    </format>
    <format dxfId="38">
      <pivotArea dataOnly="0" labelOnly="1" outline="0" fieldPosition="0">
        <references count="4">
          <reference field="5" count="1" selected="0">
            <x v="11"/>
          </reference>
          <reference field="6" count="1" selected="0">
            <x v="1"/>
          </reference>
          <reference field="7" count="1" selected="0">
            <x v="1"/>
          </reference>
          <reference field="8" count="4">
            <x v="396"/>
            <x v="399"/>
            <x v="400"/>
            <x v="507"/>
          </reference>
        </references>
      </pivotArea>
    </format>
    <format dxfId="37">
      <pivotArea dataOnly="0" labelOnly="1" outline="0" fieldPosition="0">
        <references count="4">
          <reference field="5" count="1" selected="0">
            <x v="11"/>
          </reference>
          <reference field="6" count="1" selected="0">
            <x v="52"/>
          </reference>
          <reference field="7" count="1" selected="0">
            <x v="1"/>
          </reference>
          <reference field="8" count="1">
            <x v="349"/>
          </reference>
        </references>
      </pivotArea>
    </format>
    <format dxfId="36">
      <pivotArea dataOnly="0" labelOnly="1" outline="0" fieldPosition="0">
        <references count="4">
          <reference field="5" count="1" selected="0">
            <x v="11"/>
          </reference>
          <reference field="6" count="1" selected="0">
            <x v="54"/>
          </reference>
          <reference field="7" count="1" selected="0">
            <x v="1"/>
          </reference>
          <reference field="8" count="2">
            <x v="397"/>
            <x v="398"/>
          </reference>
        </references>
      </pivotArea>
    </format>
    <format dxfId="35">
      <pivotArea dataOnly="0" labelOnly="1" outline="0" fieldPosition="0">
        <references count="4">
          <reference field="5" count="1" selected="0">
            <x v="12"/>
          </reference>
          <reference field="6" count="1" selected="0">
            <x v="1"/>
          </reference>
          <reference field="7" count="1" selected="0">
            <x v="1"/>
          </reference>
          <reference field="8" count="8">
            <x v="385"/>
            <x v="389"/>
            <x v="391"/>
            <x v="392"/>
            <x v="394"/>
            <x v="509"/>
            <x v="510"/>
            <x v="511"/>
          </reference>
        </references>
      </pivotArea>
    </format>
    <format dxfId="34">
      <pivotArea dataOnly="0" labelOnly="1" outline="0" fieldPosition="0">
        <references count="4">
          <reference field="5" count="1" selected="0">
            <x v="12"/>
          </reference>
          <reference field="6" count="1" selected="0">
            <x v="50"/>
          </reference>
          <reference field="7" count="1" selected="0">
            <x v="1"/>
          </reference>
          <reference field="8" count="2">
            <x v="386"/>
            <x v="512"/>
          </reference>
        </references>
      </pivotArea>
    </format>
    <format dxfId="33">
      <pivotArea dataOnly="0" labelOnly="1" outline="0" fieldPosition="0">
        <references count="4">
          <reference field="5" count="1" selected="0">
            <x v="12"/>
          </reference>
          <reference field="6" count="1" selected="0">
            <x v="54"/>
          </reference>
          <reference field="7" count="1" selected="0">
            <x v="1"/>
          </reference>
          <reference field="8" count="1">
            <x v="393"/>
          </reference>
        </references>
      </pivotArea>
    </format>
    <format dxfId="32">
      <pivotArea dataOnly="0" labelOnly="1" outline="0" fieldPosition="0">
        <references count="4">
          <reference field="5" count="1" selected="0">
            <x v="13"/>
          </reference>
          <reference field="6" count="1" selected="0">
            <x v="1"/>
          </reference>
          <reference field="7" count="1" selected="0">
            <x v="1"/>
          </reference>
          <reference field="8" count="8">
            <x v="379"/>
            <x v="380"/>
            <x v="381"/>
            <x v="383"/>
            <x v="384"/>
            <x v="513"/>
            <x v="514"/>
            <x v="517"/>
          </reference>
        </references>
      </pivotArea>
    </format>
    <format dxfId="31">
      <pivotArea dataOnly="0" labelOnly="1" outline="0" fieldPosition="0">
        <references count="4">
          <reference field="5" count="1" selected="0">
            <x v="13"/>
          </reference>
          <reference field="6" count="1" selected="0">
            <x v="50"/>
          </reference>
          <reference field="7" count="1" selected="0">
            <x v="1"/>
          </reference>
          <reference field="8" count="1">
            <x v="516"/>
          </reference>
        </references>
      </pivotArea>
    </format>
    <format dxfId="30">
      <pivotArea dataOnly="0" labelOnly="1" outline="0" fieldPosition="0">
        <references count="4">
          <reference field="5" count="1" selected="0">
            <x v="13"/>
          </reference>
          <reference field="6" count="1" selected="0">
            <x v="52"/>
          </reference>
          <reference field="7" count="1" selected="0">
            <x v="1"/>
          </reference>
          <reference field="8" count="1">
            <x v="349"/>
          </reference>
        </references>
      </pivotArea>
    </format>
    <format dxfId="29">
      <pivotArea dataOnly="0" labelOnly="1" outline="0" fieldPosition="0">
        <references count="4">
          <reference field="5" count="1" selected="0">
            <x v="13"/>
          </reference>
          <reference field="6" count="1" selected="0">
            <x v="54"/>
          </reference>
          <reference field="7" count="1" selected="0">
            <x v="1"/>
          </reference>
          <reference field="8" count="1">
            <x v="515"/>
          </reference>
        </references>
      </pivotArea>
    </format>
    <format dxfId="28">
      <pivotArea dataOnly="0" labelOnly="1" outline="0" fieldPosition="0">
        <references count="4">
          <reference field="5" count="1" selected="0">
            <x v="14"/>
          </reference>
          <reference field="6" count="1" selected="0">
            <x v="1"/>
          </reference>
          <reference field="7" count="1" selected="0">
            <x v="1"/>
          </reference>
          <reference field="8" count="6">
            <x v="351"/>
            <x v="353"/>
            <x v="375"/>
            <x v="518"/>
            <x v="520"/>
            <x v="521"/>
          </reference>
        </references>
      </pivotArea>
    </format>
    <format dxfId="27">
      <pivotArea dataOnly="0" labelOnly="1" outline="0" fieldPosition="0">
        <references count="4">
          <reference field="5" count="1" selected="0">
            <x v="14"/>
          </reference>
          <reference field="6" count="1" selected="0">
            <x v="50"/>
          </reference>
          <reference field="7" count="1" selected="0">
            <x v="1"/>
          </reference>
          <reference field="8" count="2">
            <x v="386"/>
            <x v="522"/>
          </reference>
        </references>
      </pivotArea>
    </format>
    <format dxfId="26">
      <pivotArea dataOnly="0" labelOnly="1" outline="0" fieldPosition="0">
        <references count="4">
          <reference field="5" count="1" selected="0">
            <x v="14"/>
          </reference>
          <reference field="6" count="1" selected="0">
            <x v="54"/>
          </reference>
          <reference field="7" count="1" selected="0">
            <x v="1"/>
          </reference>
          <reference field="8" count="1">
            <x v="519"/>
          </reference>
        </references>
      </pivotArea>
    </format>
    <format dxfId="25">
      <pivotArea dataOnly="0" labelOnly="1" outline="0" fieldPosition="0">
        <references count="4">
          <reference field="5" count="1" selected="0">
            <x v="15"/>
          </reference>
          <reference field="6" count="1" selected="0">
            <x v="1"/>
          </reference>
          <reference field="7" count="1" selected="0">
            <x v="1"/>
          </reference>
          <reference field="8" count="3">
            <x v="523"/>
            <x v="525"/>
            <x v="526"/>
          </reference>
        </references>
      </pivotArea>
    </format>
    <format dxfId="24">
      <pivotArea dataOnly="0" labelOnly="1" outline="0" fieldPosition="0">
        <references count="4">
          <reference field="5" count="1" selected="0">
            <x v="15"/>
          </reference>
          <reference field="6" count="1" selected="0">
            <x v="50"/>
          </reference>
          <reference field="7" count="1" selected="0">
            <x v="1"/>
          </reference>
          <reference field="8" count="1">
            <x v="524"/>
          </reference>
        </references>
      </pivotArea>
    </format>
    <format dxfId="23">
      <pivotArea outline="0" collapsedLevelsAreSubtotals="1" fieldPosition="0"/>
    </format>
    <format dxfId="22">
      <pivotArea dataOnly="0" labelOnly="1" outline="0" fieldPosition="0">
        <references count="1">
          <reference field="4294967294" count="5">
            <x v="0"/>
            <x v="1"/>
            <x v="2"/>
            <x v="3"/>
            <x v="4"/>
          </reference>
        </references>
      </pivotArea>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E3132C-6276-45ED-A2DB-A192FCCC0851}"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C213" firstHeaderRow="1" firstDataRow="1" firstDataCol="3"/>
  <pivotFields count="22">
    <pivotField compact="0" outline="0" showAll="0" defaultSubtotal="0"/>
    <pivotField compact="0" outline="0" showAll="0" defaultSubtotal="0"/>
    <pivotField axis="axisRow" compact="0" outline="0" showAll="0" sortType="descending" defaultSubtotal="0">
      <items count="14">
        <item x="13"/>
        <item x="0"/>
        <item x="12"/>
        <item x="11"/>
        <item x="10"/>
        <item x="9"/>
        <item x="8"/>
        <item x="7"/>
        <item x="6"/>
        <item x="5"/>
        <item x="4"/>
        <item x="3"/>
        <item x="2"/>
        <item x="1"/>
      </items>
    </pivotField>
    <pivotField compact="0" outline="0" showAll="0" defaultSubtotal="0"/>
    <pivotField compact="0" outline="0" subtotalTop="0" showAll="0" defaultSubtotal="0"/>
    <pivotField compact="0" outline="0" showAll="0" sortType="descending"/>
    <pivotField compact="0" outline="0" subtotalTop="0" showAl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items count="55">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5"/>
        <item x="17"/>
        <item x="1"/>
        <item x="7"/>
        <item x="34"/>
        <item x="31"/>
        <item x="46"/>
        <item x="44"/>
        <item m="1" x="53"/>
        <item x="30"/>
        <item x="20"/>
        <item x="26"/>
        <item x="16"/>
        <item x="13"/>
        <item x="18"/>
        <item x="37"/>
        <item x="35"/>
        <item x="29"/>
        <item x="0"/>
        <item m="1" x="50"/>
        <item x="2"/>
        <item x="3"/>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6">
        <item x="0"/>
        <item x="1"/>
        <item x="2"/>
        <item x="3"/>
        <item x="4"/>
        <item x="5"/>
      </items>
    </pivotField>
    <pivotField axis="axisRow" compact="0" outline="0" subtotalTop="0" showAll="0" sortType="descending" defaultSubtotal="0">
      <items count="5">
        <item x="3"/>
        <item x="2"/>
        <item x="1"/>
        <item x="4"/>
        <item x="0"/>
      </items>
    </pivotField>
  </pivotFields>
  <rowFields count="3">
    <field x="15"/>
    <field x="21"/>
    <field x="2"/>
  </rowFields>
  <rowItems count="212">
    <i>
      <x/>
      <x v="1"/>
      <x v="11"/>
    </i>
    <i r="2">
      <x v="12"/>
    </i>
    <i r="2">
      <x v="13"/>
    </i>
    <i t="default">
      <x/>
    </i>
    <i>
      <x v="1"/>
      <x v="1"/>
      <x v="9"/>
    </i>
    <i t="default">
      <x v="1"/>
    </i>
    <i>
      <x v="2"/>
      <x v="1"/>
      <x v="12"/>
    </i>
    <i r="2">
      <x v="13"/>
    </i>
    <i r="1">
      <x v="2"/>
      <x v="2"/>
    </i>
    <i t="default">
      <x v="2"/>
    </i>
    <i>
      <x v="4"/>
      <x/>
      <x v="9"/>
    </i>
    <i r="2">
      <x v="10"/>
    </i>
    <i r="2">
      <x v="13"/>
    </i>
    <i r="1">
      <x v="1"/>
      <x v="2"/>
    </i>
    <i r="2">
      <x v="6"/>
    </i>
    <i r="2">
      <x v="9"/>
    </i>
    <i r="2">
      <x v="10"/>
    </i>
    <i r="2">
      <x v="13"/>
    </i>
    <i r="1">
      <x v="2"/>
      <x v="2"/>
    </i>
    <i t="default">
      <x v="4"/>
    </i>
    <i>
      <x v="5"/>
      <x/>
      <x v="5"/>
    </i>
    <i r="2">
      <x v="7"/>
    </i>
    <i r="2">
      <x v="8"/>
    </i>
    <i r="2">
      <x v="9"/>
    </i>
    <i t="default">
      <x v="5"/>
    </i>
    <i>
      <x v="6"/>
      <x v="1"/>
      <x v="7"/>
    </i>
    <i r="2">
      <x v="8"/>
    </i>
    <i r="1">
      <x v="2"/>
      <x v="2"/>
    </i>
    <i r="2">
      <x v="3"/>
    </i>
    <i t="default">
      <x v="6"/>
    </i>
    <i>
      <x v="7"/>
      <x v="1"/>
      <x v="7"/>
    </i>
    <i t="default">
      <x v="7"/>
    </i>
    <i>
      <x v="8"/>
      <x/>
      <x v="6"/>
    </i>
    <i r="1">
      <x v="1"/>
      <x v="3"/>
    </i>
    <i r="1">
      <x v="2"/>
      <x v="2"/>
    </i>
    <i r="2">
      <x v="3"/>
    </i>
    <i t="default">
      <x v="8"/>
    </i>
    <i>
      <x v="9"/>
      <x v="1"/>
      <x v="7"/>
    </i>
    <i r="2">
      <x v="8"/>
    </i>
    <i r="2">
      <x v="9"/>
    </i>
    <i t="default">
      <x v="9"/>
    </i>
    <i>
      <x v="10"/>
      <x v="1"/>
      <x v="9"/>
    </i>
    <i r="1">
      <x v="2"/>
      <x v="3"/>
    </i>
    <i r="2">
      <x v="4"/>
    </i>
    <i t="default">
      <x v="10"/>
    </i>
    <i>
      <x v="12"/>
      <x v="1"/>
      <x v="7"/>
    </i>
    <i r="2">
      <x v="8"/>
    </i>
    <i r="2">
      <x v="13"/>
    </i>
    <i r="1">
      <x v="2"/>
      <x v="2"/>
    </i>
    <i r="2">
      <x v="3"/>
    </i>
    <i t="default">
      <x v="12"/>
    </i>
    <i>
      <x v="13"/>
      <x v="1"/>
      <x v="13"/>
    </i>
    <i t="default">
      <x v="13"/>
    </i>
    <i>
      <x v="14"/>
      <x/>
      <x v="8"/>
    </i>
    <i t="default">
      <x v="14"/>
    </i>
    <i>
      <x v="15"/>
      <x v="2"/>
      <x v="3"/>
    </i>
    <i t="default">
      <x v="15"/>
    </i>
    <i>
      <x v="16"/>
      <x v="1"/>
      <x v="13"/>
    </i>
    <i r="1">
      <x v="2"/>
      <x v="2"/>
    </i>
    <i t="default">
      <x v="16"/>
    </i>
    <i>
      <x v="17"/>
      <x v="1"/>
      <x v="12"/>
    </i>
    <i t="default">
      <x v="17"/>
    </i>
    <i>
      <x v="18"/>
      <x v="1"/>
      <x v="11"/>
    </i>
    <i t="default">
      <x v="18"/>
    </i>
    <i>
      <x v="19"/>
      <x v="2"/>
      <x v="2"/>
    </i>
    <i t="default">
      <x v="19"/>
    </i>
    <i>
      <x v="20"/>
      <x v="2"/>
      <x v="3"/>
    </i>
    <i t="default">
      <x v="20"/>
    </i>
    <i>
      <x v="21"/>
      <x/>
      <x v="8"/>
    </i>
    <i r="2">
      <x v="9"/>
    </i>
    <i r="2">
      <x v="11"/>
    </i>
    <i r="2">
      <x v="12"/>
    </i>
    <i r="2">
      <x v="13"/>
    </i>
    <i r="1">
      <x v="1"/>
      <x v="7"/>
    </i>
    <i r="2">
      <x v="8"/>
    </i>
    <i r="2">
      <x v="12"/>
    </i>
    <i r="2">
      <x v="13"/>
    </i>
    <i t="default">
      <x v="21"/>
    </i>
    <i>
      <x v="22"/>
      <x v="1"/>
      <x v="4"/>
    </i>
    <i t="default">
      <x v="22"/>
    </i>
    <i>
      <x v="23"/>
      <x v="2"/>
      <x v="2"/>
    </i>
    <i r="2">
      <x v="3"/>
    </i>
    <i t="default">
      <x v="23"/>
    </i>
    <i>
      <x v="24"/>
      <x/>
      <x v="9"/>
    </i>
    <i r="1">
      <x v="1"/>
      <x v="12"/>
    </i>
    <i r="2">
      <x v="13"/>
    </i>
    <i r="1">
      <x v="2"/>
      <x v="2"/>
    </i>
    <i r="2">
      <x v="3"/>
    </i>
    <i t="default">
      <x v="24"/>
    </i>
    <i>
      <x v="25"/>
      <x/>
      <x v="8"/>
    </i>
    <i r="2">
      <x v="9"/>
    </i>
    <i r="1">
      <x v="1"/>
      <x v="13"/>
    </i>
    <i r="1">
      <x v="2"/>
      <x v="3"/>
    </i>
    <i t="default">
      <x v="25"/>
    </i>
    <i>
      <x v="26"/>
      <x v="2"/>
      <x v="3"/>
    </i>
    <i t="default">
      <x v="26"/>
    </i>
    <i>
      <x v="27"/>
      <x v="1"/>
      <x v="12"/>
    </i>
    <i r="2">
      <x v="13"/>
    </i>
    <i t="default">
      <x v="27"/>
    </i>
    <i>
      <x v="28"/>
      <x v="1"/>
      <x v="12"/>
    </i>
    <i t="default">
      <x v="28"/>
    </i>
    <i>
      <x v="29"/>
      <x/>
      <x v="12"/>
    </i>
    <i r="1">
      <x v="2"/>
      <x v="3"/>
    </i>
    <i t="default">
      <x v="29"/>
    </i>
    <i>
      <x v="30"/>
      <x v="1"/>
      <x v="4"/>
    </i>
    <i t="default">
      <x v="30"/>
    </i>
    <i>
      <x v="31"/>
      <x/>
      <x v="13"/>
    </i>
    <i r="1">
      <x v="1"/>
      <x v="2"/>
    </i>
    <i r="2">
      <x v="3"/>
    </i>
    <i r="2">
      <x v="4"/>
    </i>
    <i r="2">
      <x v="5"/>
    </i>
    <i t="default">
      <x v="31"/>
    </i>
    <i>
      <x v="32"/>
      <x/>
      <x v="6"/>
    </i>
    <i r="2">
      <x v="7"/>
    </i>
    <i r="2">
      <x v="8"/>
    </i>
    <i r="2">
      <x v="9"/>
    </i>
    <i r="2">
      <x v="10"/>
    </i>
    <i r="2">
      <x v="13"/>
    </i>
    <i r="1">
      <x v="1"/>
      <x v="2"/>
    </i>
    <i r="2">
      <x v="5"/>
    </i>
    <i r="2">
      <x v="6"/>
    </i>
    <i r="2">
      <x v="7"/>
    </i>
    <i r="2">
      <x v="8"/>
    </i>
    <i r="2">
      <x v="9"/>
    </i>
    <i r="2">
      <x v="10"/>
    </i>
    <i r="2">
      <x v="12"/>
    </i>
    <i r="1">
      <x v="2"/>
      <x v="2"/>
    </i>
    <i r="2">
      <x v="3"/>
    </i>
    <i t="default">
      <x v="32"/>
    </i>
    <i>
      <x v="33"/>
      <x v="1"/>
      <x v="2"/>
    </i>
    <i r="2">
      <x v="9"/>
    </i>
    <i r="2">
      <x v="12"/>
    </i>
    <i r="2">
      <x v="13"/>
    </i>
    <i t="default">
      <x v="33"/>
    </i>
    <i>
      <x v="34"/>
      <x/>
      <x v="4"/>
    </i>
    <i r="2">
      <x v="5"/>
    </i>
    <i r="2">
      <x v="6"/>
    </i>
    <i r="2">
      <x v="7"/>
    </i>
    <i r="2">
      <x v="8"/>
    </i>
    <i r="2">
      <x v="9"/>
    </i>
    <i r="2">
      <x v="10"/>
    </i>
    <i t="default">
      <x v="34"/>
    </i>
    <i>
      <x v="35"/>
      <x/>
      <x v="6"/>
    </i>
    <i r="2">
      <x v="7"/>
    </i>
    <i r="2">
      <x v="9"/>
    </i>
    <i t="default">
      <x v="35"/>
    </i>
    <i>
      <x v="36"/>
      <x v="1"/>
      <x v="11"/>
    </i>
    <i r="2">
      <x v="12"/>
    </i>
    <i t="default">
      <x v="36"/>
    </i>
    <i>
      <x v="37"/>
      <x v="1"/>
      <x v="10"/>
    </i>
    <i r="2">
      <x v="11"/>
    </i>
    <i r="2">
      <x v="12"/>
    </i>
    <i r="1">
      <x v="2"/>
      <x v="3"/>
    </i>
    <i r="2">
      <x v="4"/>
    </i>
    <i t="default">
      <x v="37"/>
    </i>
    <i>
      <x v="38"/>
      <x v="2"/>
      <x v="2"/>
    </i>
    <i t="default">
      <x v="38"/>
    </i>
    <i>
      <x v="39"/>
      <x v="2"/>
      <x v="2"/>
    </i>
    <i t="default">
      <x v="39"/>
    </i>
    <i>
      <x v="41"/>
      <x v="1"/>
      <x v="9"/>
    </i>
    <i t="default">
      <x v="41"/>
    </i>
    <i>
      <x v="42"/>
      <x v="1"/>
      <x v="4"/>
    </i>
    <i r="2">
      <x v="5"/>
    </i>
    <i r="2">
      <x v="6"/>
    </i>
    <i r="2">
      <x v="7"/>
    </i>
    <i r="2">
      <x v="8"/>
    </i>
    <i r="2">
      <x v="9"/>
    </i>
    <i r="2">
      <x v="10"/>
    </i>
    <i t="default">
      <x v="42"/>
    </i>
    <i>
      <x v="43"/>
      <x v="1"/>
      <x v="8"/>
    </i>
    <i r="2">
      <x v="9"/>
    </i>
    <i r="2">
      <x v="10"/>
    </i>
    <i r="2">
      <x v="11"/>
    </i>
    <i t="default">
      <x v="43"/>
    </i>
    <i>
      <x v="44"/>
      <x/>
      <x v="13"/>
    </i>
    <i r="1">
      <x v="1"/>
      <x v="2"/>
    </i>
    <i r="2">
      <x v="3"/>
    </i>
    <i r="2">
      <x v="4"/>
    </i>
    <i r="2">
      <x v="5"/>
    </i>
    <i r="2">
      <x v="6"/>
    </i>
    <i r="2">
      <x v="7"/>
    </i>
    <i t="default">
      <x v="44"/>
    </i>
    <i>
      <x v="45"/>
      <x/>
      <x v="9"/>
    </i>
    <i r="2">
      <x v="10"/>
    </i>
    <i r="2">
      <x v="11"/>
    </i>
    <i r="2">
      <x v="12"/>
    </i>
    <i r="2">
      <x v="13"/>
    </i>
    <i t="default">
      <x v="45"/>
    </i>
    <i>
      <x v="46"/>
      <x v="1"/>
      <x v="3"/>
    </i>
    <i t="default">
      <x v="46"/>
    </i>
    <i>
      <x v="47"/>
      <x v="1"/>
      <x v="12"/>
    </i>
    <i r="2">
      <x v="13"/>
    </i>
    <i r="1">
      <x v="2"/>
      <x v="2"/>
    </i>
    <i t="default">
      <x v="47"/>
    </i>
    <i>
      <x v="48"/>
      <x v="1"/>
      <x v="12"/>
    </i>
    <i r="1">
      <x v="2"/>
      <x v="3"/>
    </i>
    <i r="2">
      <x v="4"/>
    </i>
    <i t="default">
      <x v="48"/>
    </i>
    <i>
      <x v="49"/>
      <x v="1"/>
      <x v="9"/>
    </i>
    <i t="default">
      <x v="49"/>
    </i>
    <i>
      <x v="50"/>
      <x v="1"/>
      <x v="3"/>
    </i>
    <i r="2">
      <x v="9"/>
    </i>
    <i r="1">
      <x v="2"/>
      <x v="2"/>
    </i>
    <i r="2">
      <x v="3"/>
    </i>
    <i r="1">
      <x v="4"/>
      <x v="1"/>
    </i>
    <i t="default">
      <x v="50"/>
    </i>
    <i>
      <x v="52"/>
      <x/>
      <x v="4"/>
    </i>
    <i t="default">
      <x v="52"/>
    </i>
    <i>
      <x v="53"/>
      <x/>
      <x v="4"/>
    </i>
    <i r="2">
      <x v="5"/>
    </i>
    <i t="default">
      <x v="53"/>
    </i>
    <i t="grand">
      <x/>
    </i>
  </rowItems>
  <colItems count="1">
    <i/>
  </colItems>
  <formats count="1">
    <format dxfId="21">
      <pivotArea type="all" dataOnly="0" outline="0" fieldPosition="0"/>
    </format>
  </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E8F883-6373-4289-BE50-63792FCD401E}"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3:A54" firstHeaderRow="1" firstDataRow="1" firstDataCol="1"/>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sortType="descending">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54">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2"/>
        <item x="5"/>
        <item x="17"/>
        <item x="1"/>
        <item x="7"/>
        <item x="34"/>
        <item x="31"/>
        <item x="46"/>
        <item x="44"/>
        <item m="1" x="53"/>
        <item x="3"/>
        <item x="30"/>
        <item x="20"/>
        <item x="26"/>
        <item x="16"/>
        <item x="13"/>
        <item x="18"/>
        <item x="37"/>
        <item x="35"/>
        <item x="29"/>
        <item x="0"/>
        <item m="1" x="5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1">
    <field x="15"/>
  </rowFields>
  <rowItems count="51">
    <i>
      <x/>
    </i>
    <i>
      <x v="1"/>
    </i>
    <i>
      <x v="2"/>
    </i>
    <i>
      <x v="4"/>
    </i>
    <i>
      <x v="5"/>
    </i>
    <i>
      <x v="6"/>
    </i>
    <i>
      <x v="7"/>
    </i>
    <i>
      <x v="8"/>
    </i>
    <i>
      <x v="9"/>
    </i>
    <i>
      <x v="10"/>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2"/>
    </i>
    <i>
      <x v="43"/>
    </i>
    <i>
      <x v="44"/>
    </i>
    <i>
      <x v="45"/>
    </i>
    <i>
      <x v="46"/>
    </i>
    <i>
      <x v="47"/>
    </i>
    <i>
      <x v="48"/>
    </i>
    <i>
      <x v="49"/>
    </i>
    <i>
      <x v="50"/>
    </i>
    <i>
      <x v="51"/>
    </i>
    <i>
      <x v="52"/>
    </i>
    <i t="grand">
      <x/>
    </i>
  </rowItems>
  <colItems count="1">
    <i/>
  </colItems>
  <formats count="1">
    <format dxfId="20">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 displayName="projects" ref="A1:G54" totalsRowShown="0" headerRowDxfId="171" dataDxfId="170">
  <autoFilter ref="A1:G54" xr:uid="{256666F0-DEAB-4DE3-AEAA-B00CA95AA684}"/>
  <sortState xmlns:xlrd2="http://schemas.microsoft.com/office/spreadsheetml/2017/richdata2" ref="A2:G54">
    <sortCondition ref="A1:A54"/>
  </sortState>
  <tableColumns count="7">
    <tableColumn id="8" xr3:uid="{235576B3-EC44-4DD8-8A8B-BBB31F89DDD7}" name="Project_ID" dataDxfId="169"/>
    <tableColumn id="2" xr3:uid="{D215AD8B-BA29-45CC-A83B-1E9D8ACD26E4}" name="job number" dataDxfId="168"/>
    <tableColumn id="1" xr3:uid="{B01689E6-EE99-498A-854C-6EA6339F4A97}" name="Project_Name" dataDxfId="167"/>
    <tableColumn id="6" xr3:uid="{25976996-6C58-4D8E-BC8E-77B05A990DB5}" name="Column1" dataDxfId="166"/>
    <tableColumn id="5" xr3:uid="{95EE95B8-2FB5-4F54-806C-67603955C809}" name="Charge_Code" dataDxfId="165">
      <calculatedColumnFormula>_xlfn.TEXTJOIN(" ",TRUE,projects[[#This Row],[job number]],projects[[#This Row],[Project_Name]],projects[[#This Row],[Column1]])</calculatedColumnFormula>
    </tableColumn>
    <tableColumn id="3" xr3:uid="{EFFFFDC1-93AA-4EAD-A82B-977E0583ABDC}" name="narrative" dataDxfId="164"/>
    <tableColumn id="4" xr3:uid="{9D593771-EAC6-42D2-86A2-E263DFA509FB}" name="Status" dataDxfId="163"/>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9C3176-9FC9-45EC-A501-0EAD0DE77213}" name="TimeEntry8" displayName="TimeEntry8" ref="A1:F46" totalsRowShown="0" headerRowDxfId="160" dataDxfId="159" totalsRowDxfId="158">
  <autoFilter ref="A1:F46" xr:uid="{EB5332B6-601E-4625-9EF6-A60FF4BD909E}"/>
  <sortState xmlns:xlrd2="http://schemas.microsoft.com/office/spreadsheetml/2017/richdata2" ref="A2:F46">
    <sortCondition descending="1" ref="C1:C46"/>
  </sortState>
  <tableColumns count="6">
    <tableColumn id="14" xr3:uid="{943C10E1-A81F-4A81-92C8-DA049568D8FA}" name="Timestamp" dataDxfId="157" totalsRowDxfId="156"/>
    <tableColumn id="15" xr3:uid="{888BCE67-C3AC-4BF3-81CE-7580C3EAC52D}" name="Day" dataDxfId="155" totalsRowDxfId="154"/>
    <tableColumn id="2" xr3:uid="{C428DE1E-54E7-45EF-9681-409200DC175B}" name="Date" dataDxfId="153" totalsRowDxfId="152"/>
    <tableColumn id="16" xr3:uid="{645DBE52-E261-49DA-8869-88BC98D278DA}" name="Project_ID" dataDxfId="151" totalsRowDxfId="150"/>
    <tableColumn id="3" xr3:uid="{F19DBD51-CAE2-4C20-8D8A-28524D4E0975}" name="Project_Name" dataDxfId="149" totalsRowDxfId="148">
      <calculatedColumnFormula>INDEX(projects[Project_Name],MATCH(TimeEntry8[[#This Row],[Project_ID]], projects[Project_ID],0))</calculatedColumnFormula>
    </tableColumn>
    <tableColumn id="13" xr3:uid="{2385A6B0-93DA-4B81-A2BB-59D44CFA80F8}" name="Journal" dataDxfId="147" totalsRowDxfId="146"/>
  </tableColumns>
  <tableStyleInfo name="TableStyleMedium4"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C89E02-3C02-4AB5-814C-20C08C7519FA}" name="TimeEntry" displayName="TimeEntry" ref="A1:T880" totalsRowCount="1" headerRowDxfId="119" dataDxfId="118" totalsRowDxfId="117">
  <autoFilter ref="A1:T879" xr:uid="{EB5332B6-601E-4625-9EF6-A60FF4BD909E}"/>
  <tableColumns count="20">
    <tableColumn id="10" xr3:uid="{E51F7EC0-9AC2-4AC1-817A-0EA9CC4D64F3}" name="format" totalsRowLabel="Total" dataDxfId="116" totalsRowDxfId="19">
      <calculatedColumnFormula>MOD(IF(ROW()=2,0.1,IF(INDEX(TimeEntry[WkEnd],ROW()-1)  =  INDEX(TimeEntry[WkEnd],ROW()-2),    INDEX(TimeEntry[format],ROW()-2),    INDEX(TimeEntry[format],ROW()-2)    +1)),2)</calculatedColumnFormula>
    </tableColumn>
    <tableColumn id="14" xr3:uid="{50CD47E3-97CC-477E-9E3B-E665D51125DC}" name="Timestamp" dataDxfId="115" totalsRowDxfId="18"/>
    <tableColumn id="2" xr3:uid="{6357A6A7-5F11-452B-862B-C4221C8E55FA}" name="Date" dataDxfId="114" totalsRowDxfId="17"/>
    <tableColumn id="15" xr3:uid="{D0DC4DC8-23A8-4E1F-B7FE-8D5E1FCDC0FE}" name="Day" dataDxfId="113" totalsRowDxfId="16"/>
    <tableColumn id="16" xr3:uid="{26B57E91-B8FF-4F52-8A79-53514C3ED22F}" name="Project_ID" dataDxfId="112" totalsRowDxfId="15"/>
    <tableColumn id="1" xr3:uid="{19A113A4-0E4F-4EBD-B866-C3E3F7BC294A}" name="WkEnd" dataDxfId="111" totalsRowDxfId="14">
      <calculatedColumnFormula>IF(TimeEntry[[#This Row],[Date]]=0,F1,C2+(7-Q2))</calculatedColumnFormula>
    </tableColumn>
    <tableColumn id="3" xr3:uid="{C6F2B0EF-284B-4616-BB6C-C0BA87E819EE}" name="Charge Code" dataDxfId="110" totalsRowDxfId="13">
      <calculatedColumnFormula>INDEX(projects[Charge_Code],MATCH(TimeEntry[[#This Row],[Project_ID]],projects[Project_ID],0))</calculatedColumnFormula>
    </tableColumn>
    <tableColumn id="4" xr3:uid="{F4EF0FA7-72DB-4E85-92A4-807EBE4D9EB1}" name="Time Type" dataDxfId="109" totalsRowDxfId="12">
      <calculatedColumnFormula>"Normal Time"</calculatedColumnFormula>
    </tableColumn>
    <tableColumn id="13" xr3:uid="{F7E865F1-34C1-4D0E-BDC4-A91EE12BD054}" name="Narrative" dataDxfId="108" totalsRowDxfId="11"/>
    <tableColumn id="5" xr3:uid="{8DF5DBEB-13FD-4E46-9673-FA6E9BDF80E1}" name="hr_mo" dataDxfId="107" totalsRowDxfId="10"/>
    <tableColumn id="6" xr3:uid="{F9057049-C299-49A8-B05A-B09AAD8FDD17}" name="hr_tu" dataDxfId="106" totalsRowDxfId="9"/>
    <tableColumn id="11" xr3:uid="{36634835-EE18-4A6F-8243-416B3F1E999E}" name="hr_we" dataDxfId="105" totalsRowDxfId="8"/>
    <tableColumn id="19" xr3:uid="{72C57690-0F02-483B-9179-79DD1B35B531}" name="hr_th" dataDxfId="104" totalsRowDxfId="7"/>
    <tableColumn id="20" xr3:uid="{0F352DE0-E5D5-458B-A793-A6C1C7EE1CD2}" name="hr_fr" dataDxfId="103" totalsRowDxfId="6"/>
    <tableColumn id="17" xr3:uid="{979EC0BB-4603-4B5A-AFB6-E98D13C81109}" name="Job No" dataDxfId="102" totalsRowDxfId="5">
      <calculatedColumnFormula>INDEX(projects[job number],MATCH(TimeEntry[[#This Row],[Project_ID]], projects[Project_ID],0))</calculatedColumnFormula>
    </tableColumn>
    <tableColumn id="18" xr3:uid="{0FD43452-15A7-40DF-8C5B-03F3F9A065F3}" name="Project Name" dataDxfId="101" totalsRowDxfId="4">
      <calculatedColumnFormula>INDEX(projects[Project_Name],MATCH(TimeEntry[[#This Row],[Project_ID]], projects[Project_ID],0))</calculatedColumnFormula>
    </tableColumn>
    <tableColumn id="12" xr3:uid="{2325AD90-5F25-47B2-A1F0-34AE04FCE79A}" name="DayNo" dataDxfId="100" totalsRowDxfId="3">
      <calculatedColumnFormula>IF(TimeEntry[[#This Row],[Date]]=0,"",WEEKDAY(C2,2))</calculatedColumnFormula>
    </tableColumn>
    <tableColumn id="8" xr3:uid="{78A43BBB-FECB-48D3-A57A-5761EF931243}" name="Year" dataDxfId="99" totalsRowDxfId="2">
      <calculatedColumnFormula>YEAR(TimeEntry[[#This Row],[WkEnd]])</calculatedColumnFormula>
    </tableColumn>
    <tableColumn id="7" xr3:uid="{872206BF-F491-4085-B40B-B53C5F5580E8}" name="WkNo" dataDxfId="98" totalsRowDxfId="1">
      <calculatedColumnFormula>WEEKNUM(TimeEntry[[#This Row],[WkEnd]])</calculatedColumnFormula>
    </tableColumn>
    <tableColumn id="9" xr3:uid="{0EB44527-DD4D-454A-A785-F391C4D3C698}" name="WkRef" totalsRowFunction="count" dataDxfId="97" totalsRowDxfId="0">
      <calculatedColumnFormula>TimeEntry[[#This Row],[Year]]&amp;"-"&amp;TimeEntry[[#This Row],[WkNo]]</calculatedColumnFormula>
    </tableColumn>
  </tableColumns>
  <tableStyleInfo name="TableStyleMedium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FFED6-11EB-4A29-BB05-0248774D7251}">
  <dimension ref="A1:G54"/>
  <sheetViews>
    <sheetView workbookViewId="0">
      <selection activeCell="D7" sqref="D7"/>
    </sheetView>
  </sheetViews>
  <sheetFormatPr defaultRowHeight="15" x14ac:dyDescent="0.25"/>
  <cols>
    <col min="1" max="1" width="25.85546875" bestFit="1" customWidth="1"/>
    <col min="2" max="2" width="14.28515625" bestFit="1" customWidth="1"/>
    <col min="3" max="3" width="31" customWidth="1"/>
    <col min="4" max="4" width="13.5703125" bestFit="1" customWidth="1"/>
    <col min="5" max="5" width="53.7109375" bestFit="1" customWidth="1"/>
  </cols>
  <sheetData>
    <row r="1" spans="1:7" x14ac:dyDescent="0.25">
      <c r="A1" s="3" t="s">
        <v>360</v>
      </c>
      <c r="B1" s="3" t="s">
        <v>0</v>
      </c>
      <c r="C1" s="3" t="s">
        <v>348</v>
      </c>
      <c r="D1" s="3" t="s">
        <v>361</v>
      </c>
      <c r="E1" s="3" t="s">
        <v>359</v>
      </c>
      <c r="F1" s="3" t="s">
        <v>1</v>
      </c>
      <c r="G1" s="3" t="s">
        <v>2</v>
      </c>
    </row>
    <row r="2" spans="1:7" x14ac:dyDescent="0.25">
      <c r="A2" s="3" t="s">
        <v>468</v>
      </c>
      <c r="B2" t="s">
        <v>4</v>
      </c>
      <c r="C2" t="s">
        <v>3</v>
      </c>
      <c r="D2" s="20"/>
      <c r="E2" t="str">
        <f>_xlfn.TEXTJOIN(" ",TRUE,projects[[#This Row],[job number]],projects[[#This Row],[Project_Name]],projects[[#This Row],[Column1]])</f>
        <v>266122-21 A465</v>
      </c>
      <c r="G2" t="s">
        <v>24</v>
      </c>
    </row>
    <row r="3" spans="1:7" x14ac:dyDescent="0.25">
      <c r="A3" s="3" t="s">
        <v>464</v>
      </c>
      <c r="B3" t="s">
        <v>7</v>
      </c>
      <c r="C3" t="s">
        <v>6</v>
      </c>
      <c r="D3" s="20"/>
      <c r="E3" t="str">
        <f>_xlfn.TEXTJOIN(" ",TRUE,projects[[#This Row],[job number]],projects[[#This Row],[Project_Name]],projects[[#This Row],[Column1]])</f>
        <v>266122-24 A465 updates</v>
      </c>
      <c r="F3" t="s">
        <v>8</v>
      </c>
      <c r="G3" t="s">
        <v>24</v>
      </c>
    </row>
    <row r="4" spans="1:7" x14ac:dyDescent="0.25">
      <c r="A4" s="3" t="s">
        <v>472</v>
      </c>
      <c r="B4" t="s">
        <v>382</v>
      </c>
      <c r="C4" t="s">
        <v>381</v>
      </c>
      <c r="D4" s="20"/>
      <c r="E4" t="str">
        <f>_xlfn.TEXTJOIN(" ",TRUE,projects[[#This Row],[job number]],projects[[#This Row],[Project_Name]],projects[[#This Row],[Column1]])</f>
        <v>000000-00 AMS Support</v>
      </c>
      <c r="G4" t="s">
        <v>24</v>
      </c>
    </row>
    <row r="5" spans="1:7" x14ac:dyDescent="0.25">
      <c r="A5" s="3" t="s">
        <v>449</v>
      </c>
      <c r="B5" t="s">
        <v>11</v>
      </c>
      <c r="C5" t="s">
        <v>10</v>
      </c>
      <c r="D5" s="20"/>
      <c r="E5" t="str">
        <f>_xlfn.TEXTJOIN(" ",TRUE,projects[[#This Row],[job number]],projects[[#This Row],[Project_Name]],projects[[#This Row],[Column1]])</f>
        <v>BANK HOLIDAY Bank Holiday</v>
      </c>
      <c r="G5" t="s">
        <v>5</v>
      </c>
    </row>
    <row r="6" spans="1:7" x14ac:dyDescent="0.25">
      <c r="A6" s="3" t="s">
        <v>678</v>
      </c>
      <c r="B6" t="s">
        <v>382</v>
      </c>
      <c r="C6" s="40" t="s">
        <v>678</v>
      </c>
      <c r="D6" s="20"/>
      <c r="E6" s="39" t="str">
        <f>_xlfn.TEXTJOIN(" ",TRUE,projects[[#This Row],[job number]],projects[[#This Row],[Project_Name]],projects[[#This Row],[Column1]])</f>
        <v>000000-00 bcst</v>
      </c>
      <c r="F6" s="3"/>
      <c r="G6" s="3"/>
    </row>
    <row r="7" spans="1:7" x14ac:dyDescent="0.25">
      <c r="A7" s="3" t="s">
        <v>676</v>
      </c>
      <c r="B7" t="s">
        <v>9</v>
      </c>
      <c r="C7" t="s">
        <v>291</v>
      </c>
      <c r="D7" s="20" t="s">
        <v>367</v>
      </c>
      <c r="E7" t="str">
        <f>_xlfn.TEXTJOIN(" ",TRUE,projects[[#This Row],[job number]],projects[[#This Row],[Project_Name]],projects[[#This Row],[Column1]])</f>
        <v>074097-29 BCST Appraisal (01-124)</v>
      </c>
      <c r="G7" t="s">
        <v>5</v>
      </c>
    </row>
    <row r="8" spans="1:7" x14ac:dyDescent="0.25">
      <c r="A8" s="3" t="s">
        <v>443</v>
      </c>
      <c r="B8" t="s">
        <v>13</v>
      </c>
      <c r="C8" t="s">
        <v>186</v>
      </c>
      <c r="D8" s="20" t="s">
        <v>367</v>
      </c>
      <c r="E8" t="str">
        <f>_xlfn.TEXTJOIN(" ",TRUE,projects[[#This Row],[job number]],projects[[#This Row],[Project_Name]],projects[[#This Row],[Column1]])</f>
        <v>071945-07 BCS - management (01-124)</v>
      </c>
      <c r="G8" t="s">
        <v>5</v>
      </c>
    </row>
    <row r="9" spans="1:7" x14ac:dyDescent="0.25">
      <c r="A9" s="3" t="s">
        <v>677</v>
      </c>
      <c r="B9" t="s">
        <v>15</v>
      </c>
      <c r="C9" s="21" t="s">
        <v>388</v>
      </c>
      <c r="D9" s="20" t="s">
        <v>367</v>
      </c>
      <c r="E9" t="str">
        <f>_xlfn.TEXTJOIN(" ",TRUE,projects[[#This Row],[job number]],projects[[#This Row],[Project_Name]],projects[[#This Row],[Column1]])</f>
        <v>074097-30 LEADERSHIP &amp; MANAGEMENT CC124 (01-124)</v>
      </c>
    </row>
    <row r="10" spans="1:7" x14ac:dyDescent="0.25">
      <c r="A10" s="3" t="s">
        <v>675</v>
      </c>
      <c r="B10" t="s">
        <v>13</v>
      </c>
      <c r="C10" t="s">
        <v>12</v>
      </c>
      <c r="D10" s="20"/>
      <c r="E10" t="str">
        <f>_xlfn.TEXTJOIN(" ",TRUE,projects[[#This Row],[job number]],projects[[#This Row],[Project_Name]],projects[[#This Row],[Column1]])</f>
        <v>071945-07 BCS - promotional</v>
      </c>
      <c r="G10" t="s">
        <v>5</v>
      </c>
    </row>
    <row r="11" spans="1:7" x14ac:dyDescent="0.25">
      <c r="A11" s="3" t="s">
        <v>674</v>
      </c>
      <c r="B11" t="s">
        <v>15</v>
      </c>
      <c r="C11" t="s">
        <v>14</v>
      </c>
      <c r="D11" s="20"/>
      <c r="E11" t="str">
        <f>_xlfn.TEXTJOIN(" ",TRUE,projects[[#This Row],[job number]],projects[[#This Row],[Project_Name]],projects[[#This Row],[Column1]])</f>
        <v>074097-30 BCS - resource 2019</v>
      </c>
      <c r="G11" t="s">
        <v>5</v>
      </c>
    </row>
    <row r="12" spans="1:7" x14ac:dyDescent="0.25">
      <c r="A12" s="3" t="s">
        <v>460</v>
      </c>
      <c r="B12" t="s">
        <v>17</v>
      </c>
      <c r="C12" t="s">
        <v>16</v>
      </c>
      <c r="D12" s="20"/>
      <c r="E12" t="str">
        <f>_xlfn.TEXTJOIN(" ",TRUE,projects[[#This Row],[job number]],projects[[#This Row],[Project_Name]],projects[[#This Row],[Column1]])</f>
        <v>268268-00 Brisa</v>
      </c>
      <c r="G12" t="s">
        <v>24</v>
      </c>
    </row>
    <row r="13" spans="1:7" x14ac:dyDescent="0.25">
      <c r="A13" s="3" t="s">
        <v>463</v>
      </c>
      <c r="B13" t="s">
        <v>18</v>
      </c>
      <c r="C13" t="s">
        <v>98</v>
      </c>
      <c r="D13" s="20"/>
      <c r="E13" t="str">
        <f>_xlfn.TEXTJOIN(" ",TRUE,projects[[#This Row],[job number]],projects[[#This Row],[Project_Name]],projects[[#This Row],[Column1]])</f>
        <v>262218-08 CAFA</v>
      </c>
      <c r="F13" t="s">
        <v>19</v>
      </c>
      <c r="G13" t="s">
        <v>5</v>
      </c>
    </row>
    <row r="14" spans="1:7" x14ac:dyDescent="0.25">
      <c r="A14" s="3" t="s">
        <v>461</v>
      </c>
      <c r="B14" t="s">
        <v>21</v>
      </c>
      <c r="C14" t="s">
        <v>20</v>
      </c>
      <c r="D14" s="20" t="s">
        <v>367</v>
      </c>
      <c r="E14" t="str">
        <f>_xlfn.TEXTJOIN(" ",TRUE,projects[[#This Row],[job number]],projects[[#This Row],[Project_Name]],projects[[#This Row],[Column1]])</f>
        <v>215526-27 CP - Assessment (01-124)</v>
      </c>
    </row>
    <row r="15" spans="1:7" x14ac:dyDescent="0.25">
      <c r="A15" s="3" t="s">
        <v>477</v>
      </c>
      <c r="B15" t="s">
        <v>23</v>
      </c>
      <c r="C15" t="s">
        <v>22</v>
      </c>
      <c r="D15" s="20"/>
      <c r="E15" t="str">
        <f>_xlfn.TEXTJOIN(" ",TRUE,projects[[#This Row],[job number]],projects[[#This Row],[Project_Name]],projects[[#This Row],[Column1]])</f>
        <v>265675-00 de Locht</v>
      </c>
      <c r="G15" t="s">
        <v>24</v>
      </c>
    </row>
    <row r="16" spans="1:7" x14ac:dyDescent="0.25">
      <c r="A16" s="3" t="s">
        <v>446</v>
      </c>
      <c r="B16" t="s">
        <v>215</v>
      </c>
      <c r="C16" t="s">
        <v>214</v>
      </c>
      <c r="D16" s="20"/>
      <c r="E16" t="str">
        <f>_xlfn.TEXTJOIN(" ",TRUE,projects[[#This Row],[job number]],projects[[#This Row],[Project_Name]],projects[[#This Row],[Column1]])</f>
        <v xml:space="preserve">249980-13 Edmonton </v>
      </c>
      <c r="F16" t="s">
        <v>216</v>
      </c>
      <c r="G16" t="s">
        <v>5</v>
      </c>
    </row>
    <row r="17" spans="1:7" x14ac:dyDescent="0.25">
      <c r="A17" s="3" t="s">
        <v>482</v>
      </c>
      <c r="B17" t="s">
        <v>26</v>
      </c>
      <c r="C17" t="s">
        <v>25</v>
      </c>
      <c r="D17" s="20"/>
      <c r="E17" t="str">
        <f>_xlfn.TEXTJOIN(" ",TRUE,projects[[#This Row],[job number]],projects[[#This Row],[Project_Name]],projects[[#This Row],[Column1]])</f>
        <v>074103-30 Engagement cohort</v>
      </c>
      <c r="G17" t="s">
        <v>24</v>
      </c>
    </row>
    <row r="18" spans="1:7" x14ac:dyDescent="0.25">
      <c r="A18" s="3" t="s">
        <v>478</v>
      </c>
      <c r="B18" t="s">
        <v>28</v>
      </c>
      <c r="C18" t="s">
        <v>27</v>
      </c>
      <c r="D18" s="20"/>
      <c r="E18" t="str">
        <f>_xlfn.TEXTJOIN(" ",TRUE,projects[[#This Row],[job number]],projects[[#This Row],[Project_Name]],projects[[#This Row],[Column1]])</f>
        <v>260258-47 Galecopper</v>
      </c>
      <c r="G18" t="s">
        <v>24</v>
      </c>
    </row>
    <row r="19" spans="1:7" x14ac:dyDescent="0.25">
      <c r="A19" s="3" t="s">
        <v>475</v>
      </c>
      <c r="B19" t="s">
        <v>30</v>
      </c>
      <c r="C19" t="s">
        <v>29</v>
      </c>
      <c r="D19" s="20"/>
      <c r="E19" t="str">
        <f>_xlfn.TEXTJOIN(" ",TRUE,projects[[#This Row],[job number]],projects[[#This Row],[Project_Name]],projects[[#This Row],[Column1]])</f>
        <v>260258-41 Galecopper - joints and bearings</v>
      </c>
      <c r="G19" t="s">
        <v>24</v>
      </c>
    </row>
    <row r="20" spans="1:7" x14ac:dyDescent="0.25">
      <c r="A20" s="3" t="s">
        <v>469</v>
      </c>
      <c r="B20" t="s">
        <v>32</v>
      </c>
      <c r="C20" t="s">
        <v>31</v>
      </c>
      <c r="D20" s="20"/>
      <c r="E20" t="str">
        <f>_xlfn.TEXTJOIN(" ",TRUE,projects[[#This Row],[job number]],projects[[#This Row],[Project_Name]],projects[[#This Row],[Column1]])</f>
        <v>264520-00 Gatwick</v>
      </c>
      <c r="G20" t="s">
        <v>24</v>
      </c>
    </row>
    <row r="21" spans="1:7" x14ac:dyDescent="0.25">
      <c r="A21" s="3" t="s">
        <v>480</v>
      </c>
      <c r="B21" t="s">
        <v>34</v>
      </c>
      <c r="C21" t="s">
        <v>33</v>
      </c>
      <c r="D21" s="20"/>
      <c r="E21" t="str">
        <f>_xlfn.TEXTJOIN(" ",TRUE,projects[[#This Row],[job number]],projects[[#This Row],[Project_Name]],projects[[#This Row],[Column1]])</f>
        <v>77616-41 Hatta</v>
      </c>
      <c r="G21" t="s">
        <v>24</v>
      </c>
    </row>
    <row r="22" spans="1:7" x14ac:dyDescent="0.25">
      <c r="A22" s="3" t="s">
        <v>483</v>
      </c>
      <c r="B22" t="s">
        <v>36</v>
      </c>
      <c r="C22" t="s">
        <v>35</v>
      </c>
      <c r="D22" s="20" t="s">
        <v>608</v>
      </c>
      <c r="E22" t="str">
        <f>_xlfn.TEXTJOIN(" ",TRUE,projects[[#This Row],[job number]],projects[[#This Row],[Project_Name]],projects[[#This Row],[Column1]])</f>
        <v>254304-44 HCC - Asset management (01-382)</v>
      </c>
      <c r="G22" t="s">
        <v>24</v>
      </c>
    </row>
    <row r="23" spans="1:7" x14ac:dyDescent="0.25">
      <c r="A23" s="3" t="s">
        <v>447</v>
      </c>
      <c r="B23" t="s">
        <v>38</v>
      </c>
      <c r="C23" t="s">
        <v>609</v>
      </c>
      <c r="D23" s="20" t="s">
        <v>608</v>
      </c>
      <c r="E23" t="str">
        <f>_xlfn.TEXTJOIN(" ",TRUE,projects[[#This Row],[job number]],projects[[#This Row],[Project_Name]],projects[[#This Row],[Column1]])</f>
        <v>255670-17 LOWER KINGS ROAD ASSESSMENT (01-382)</v>
      </c>
      <c r="F23" t="s">
        <v>39</v>
      </c>
      <c r="G23" t="s">
        <v>5</v>
      </c>
    </row>
    <row r="24" spans="1:7" x14ac:dyDescent="0.25">
      <c r="A24" s="3" t="s">
        <v>459</v>
      </c>
      <c r="B24" t="s">
        <v>41</v>
      </c>
      <c r="C24" t="s">
        <v>40</v>
      </c>
      <c r="D24" s="20" t="s">
        <v>608</v>
      </c>
      <c r="E24" t="str">
        <f>_xlfn.TEXTJOIN(" ",TRUE,projects[[#This Row],[job number]],projects[[#This Row],[Project_Name]],projects[[#This Row],[Column1]])</f>
        <v>236808-69 HCC - Nazeing (01-382)</v>
      </c>
      <c r="F24" t="s">
        <v>168</v>
      </c>
      <c r="G24" t="s">
        <v>5</v>
      </c>
    </row>
    <row r="25" spans="1:7" x14ac:dyDescent="0.25">
      <c r="A25" s="3" t="s">
        <v>479</v>
      </c>
      <c r="B25" t="s">
        <v>43</v>
      </c>
      <c r="C25" t="s">
        <v>42</v>
      </c>
      <c r="D25" s="20" t="s">
        <v>608</v>
      </c>
      <c r="E25" t="str">
        <f>_xlfn.TEXTJOIN(" ",TRUE,projects[[#This Row],[job number]],projects[[#This Row],[Project_Name]],projects[[#This Row],[Column1]])</f>
        <v>254304-79 HCC - Nursery Ln (01-382)</v>
      </c>
      <c r="F25" t="s">
        <v>44</v>
      </c>
      <c r="G25" t="s">
        <v>5</v>
      </c>
    </row>
    <row r="26" spans="1:7" x14ac:dyDescent="0.25">
      <c r="A26" s="3" t="s">
        <v>450</v>
      </c>
      <c r="B26" t="s">
        <v>46</v>
      </c>
      <c r="C26" t="s">
        <v>45</v>
      </c>
      <c r="D26" s="20" t="s">
        <v>608</v>
      </c>
      <c r="E26" t="str">
        <f>_xlfn.TEXTJOIN(" ",TRUE,projects[[#This Row],[job number]],projects[[#This Row],[Project_Name]],projects[[#This Row],[Column1]])</f>
        <v>254304-96 HCC - Paul Cully (01-382)</v>
      </c>
      <c r="F26" t="s">
        <v>47</v>
      </c>
      <c r="G26" t="s">
        <v>5</v>
      </c>
    </row>
    <row r="27" spans="1:7" x14ac:dyDescent="0.25">
      <c r="A27" s="3" t="s">
        <v>448</v>
      </c>
      <c r="B27" t="s">
        <v>49</v>
      </c>
      <c r="C27" t="s">
        <v>48</v>
      </c>
      <c r="D27" s="20" t="s">
        <v>608</v>
      </c>
      <c r="E27" t="str">
        <f>_xlfn.TEXTJOIN(" ",TRUE,projects[[#This Row],[job number]],projects[[#This Row],[Project_Name]],projects[[#This Row],[Column1]])</f>
        <v>246233-56 HCC - Weston Hills Tunnel (01-382)</v>
      </c>
      <c r="G27" t="s">
        <v>5</v>
      </c>
    </row>
    <row r="28" spans="1:7" x14ac:dyDescent="0.25">
      <c r="A28" s="3" t="s">
        <v>484</v>
      </c>
      <c r="B28" t="s">
        <v>51</v>
      </c>
      <c r="C28" t="s">
        <v>50</v>
      </c>
      <c r="D28" s="20"/>
      <c r="E28" t="str">
        <f>_xlfn.TEXTJOIN(" ",TRUE,projects[[#This Row],[job number]],projects[[#This Row],[Project_Name]],projects[[#This Row],[Column1]])</f>
        <v>254841-07 HS2 Ph2b</v>
      </c>
      <c r="G28" t="s">
        <v>24</v>
      </c>
    </row>
    <row r="29" spans="1:7" x14ac:dyDescent="0.25">
      <c r="A29" s="3" t="s">
        <v>635</v>
      </c>
      <c r="B29" s="3" t="s">
        <v>634</v>
      </c>
      <c r="C29" s="3"/>
      <c r="D29" s="38"/>
      <c r="E29" s="39" t="str">
        <f>_xlfn.TEXTJOIN(" ",TRUE,projects[[#This Row],[job number]],projects[[#This Row],[Project_Name]],projects[[#This Row],[Column1]])</f>
        <v>ILLNESS</v>
      </c>
      <c r="F29" s="3"/>
      <c r="G29" s="3" t="s">
        <v>5</v>
      </c>
    </row>
    <row r="30" spans="1:7" x14ac:dyDescent="0.25">
      <c r="A30" s="3" t="s">
        <v>476</v>
      </c>
      <c r="B30" t="s">
        <v>53</v>
      </c>
      <c r="C30" t="s">
        <v>52</v>
      </c>
      <c r="D30" s="20"/>
      <c r="E30" t="str">
        <f>_xlfn.TEXTJOIN(" ",TRUE,projects[[#This Row],[job number]],projects[[#This Row],[Project_Name]],projects[[#This Row],[Column1]])</f>
        <v>077616-63 Infra BIM</v>
      </c>
      <c r="G30" t="s">
        <v>24</v>
      </c>
    </row>
    <row r="31" spans="1:7" x14ac:dyDescent="0.25">
      <c r="A31" s="3" t="s">
        <v>485</v>
      </c>
      <c r="B31" t="s">
        <v>55</v>
      </c>
      <c r="C31" t="s">
        <v>54</v>
      </c>
      <c r="D31" s="20"/>
      <c r="E31" t="str">
        <f>_xlfn.TEXTJOIN(" ",TRUE,projects[[#This Row],[job number]],projects[[#This Row],[Project_Name]],projects[[#This Row],[Column1]])</f>
        <v>074764-02 Infra Meetings (infra meeting, group meeting)</v>
      </c>
      <c r="F31" t="s">
        <v>56</v>
      </c>
      <c r="G31" t="s">
        <v>5</v>
      </c>
    </row>
    <row r="32" spans="1:7" x14ac:dyDescent="0.25">
      <c r="A32" s="3" t="s">
        <v>474</v>
      </c>
      <c r="C32" t="s">
        <v>57</v>
      </c>
      <c r="D32" s="20"/>
      <c r="E32" t="str">
        <f>_xlfn.TEXTJOIN(" ",TRUE,projects[[#This Row],[job number]],projects[[#This Row],[Project_Name]],projects[[#This Row],[Column1]])</f>
        <v>Interview</v>
      </c>
      <c r="G32" t="s">
        <v>24</v>
      </c>
    </row>
    <row r="33" spans="1:7" x14ac:dyDescent="0.25">
      <c r="A33" s="3" t="s">
        <v>452</v>
      </c>
      <c r="B33" t="s">
        <v>59</v>
      </c>
      <c r="C33" t="s">
        <v>58</v>
      </c>
      <c r="D33" s="20"/>
      <c r="E33" t="str">
        <f>_xlfn.TEXTJOIN(" ",TRUE,projects[[#This Row],[job number]],projects[[#This Row],[Project_Name]],projects[[#This Row],[Column1]])</f>
        <v>252076-05 Intro to bridges</v>
      </c>
      <c r="G33" t="s">
        <v>24</v>
      </c>
    </row>
    <row r="34" spans="1:7" x14ac:dyDescent="0.25">
      <c r="A34" s="3" t="s">
        <v>457</v>
      </c>
      <c r="B34" t="s">
        <v>61</v>
      </c>
      <c r="C34" t="s">
        <v>60</v>
      </c>
      <c r="D34" s="20"/>
      <c r="E34" t="str">
        <f>_xlfn.TEXTJOIN(" ",TRUE,projects[[#This Row],[job number]],projects[[#This Row],[Project_Name]],projects[[#This Row],[Column1]])</f>
        <v>268017-10 KSC - PM</v>
      </c>
      <c r="G34" t="s">
        <v>5</v>
      </c>
    </row>
    <row r="35" spans="1:7" x14ac:dyDescent="0.25">
      <c r="A35" s="3" t="s">
        <v>453</v>
      </c>
      <c r="B35" t="s">
        <v>63</v>
      </c>
      <c r="C35" t="s">
        <v>62</v>
      </c>
      <c r="D35" s="20"/>
      <c r="E35" t="str">
        <f>_xlfn.TEXTJOIN(" ",TRUE,projects[[#This Row],[job number]],projects[[#This Row],[Project_Name]],projects[[#This Row],[Column1]])</f>
        <v>268017-25  KSC - Tunnel</v>
      </c>
      <c r="F35" t="s">
        <v>64</v>
      </c>
      <c r="G35" t="s">
        <v>5</v>
      </c>
    </row>
    <row r="36" spans="1:7" x14ac:dyDescent="0.25">
      <c r="A36" s="3" t="s">
        <v>444</v>
      </c>
      <c r="B36" t="s">
        <v>66</v>
      </c>
      <c r="D36" s="20"/>
      <c r="E36" t="str">
        <f>_xlfn.TEXTJOIN(" ",TRUE,projects[[#This Row],[job number]],projects[[#This Row],[Project_Name]],projects[[#This Row],[Column1]])</f>
        <v>LEAVE</v>
      </c>
      <c r="G36" t="s">
        <v>5</v>
      </c>
    </row>
    <row r="37" spans="1:7" x14ac:dyDescent="0.25">
      <c r="A37" s="3" t="s">
        <v>455</v>
      </c>
      <c r="B37" t="s">
        <v>68</v>
      </c>
      <c r="C37" t="s">
        <v>67</v>
      </c>
      <c r="D37" s="20"/>
      <c r="E37" t="str">
        <f>_xlfn.TEXTJOIN(" ",TRUE,projects[[#This Row],[job number]],projects[[#This Row],[Project_Name]],projects[[#This Row],[Column1]])</f>
        <v>255375-00 M25 West MSA</v>
      </c>
      <c r="G37" t="s">
        <v>5</v>
      </c>
    </row>
    <row r="38" spans="1:7" x14ac:dyDescent="0.25">
      <c r="A38" s="3" t="s">
        <v>445</v>
      </c>
      <c r="B38" s="22" t="s">
        <v>166</v>
      </c>
      <c r="C38" t="s">
        <v>165</v>
      </c>
      <c r="D38" s="20"/>
      <c r="E38" t="str">
        <f>_xlfn.TEXTJOIN(" ",TRUE,projects[[#This Row],[job number]],projects[[#This Row],[Project_Name]],projects[[#This Row],[Column1]])</f>
        <v>257677-59  Melbourne Metro - Latrobe</v>
      </c>
      <c r="F38" t="s">
        <v>167</v>
      </c>
      <c r="G38" t="s">
        <v>5</v>
      </c>
    </row>
    <row r="39" spans="1:7" x14ac:dyDescent="0.25">
      <c r="A39" s="3" t="s">
        <v>611</v>
      </c>
      <c r="B39" s="37" t="s">
        <v>618</v>
      </c>
      <c r="C39" s="3"/>
      <c r="D39" s="38"/>
      <c r="E39" s="39" t="str">
        <f>_xlfn.TEXTJOIN(" ",TRUE,projects[[#This Row],[job number]],projects[[#This Row],[Project_Name]],projects[[#This Row],[Column1]])</f>
        <v>OTHERS</v>
      </c>
      <c r="F39" s="3"/>
      <c r="G39" s="3" t="s">
        <v>5</v>
      </c>
    </row>
    <row r="40" spans="1:7" x14ac:dyDescent="0.25">
      <c r="A40" s="3" t="s">
        <v>470</v>
      </c>
      <c r="B40" t="s">
        <v>70</v>
      </c>
      <c r="C40" t="s">
        <v>69</v>
      </c>
      <c r="D40" s="20"/>
      <c r="E40" t="str">
        <f>_xlfn.TEXTJOIN(" ",TRUE,projects[[#This Row],[job number]],projects[[#This Row],[Project_Name]],projects[[#This Row],[Column1]])</f>
        <v>239230-42 SHB - Existing</v>
      </c>
      <c r="G40" t="s">
        <v>24</v>
      </c>
    </row>
    <row r="41" spans="1:7" x14ac:dyDescent="0.25">
      <c r="A41" s="3" t="s">
        <v>467</v>
      </c>
      <c r="B41" t="s">
        <v>72</v>
      </c>
      <c r="C41" t="s">
        <v>71</v>
      </c>
      <c r="D41" s="20"/>
      <c r="E41" t="str">
        <f>_xlfn.TEXTJOIN(" ",TRUE,projects[[#This Row],[job number]],projects[[#This Row],[Project_Name]],projects[[#This Row],[Column1]])</f>
        <v>261723-02 SMP</v>
      </c>
      <c r="G41" t="s">
        <v>24</v>
      </c>
    </row>
    <row r="42" spans="1:7" x14ac:dyDescent="0.25">
      <c r="A42" s="3" t="s">
        <v>481</v>
      </c>
      <c r="B42" t="s">
        <v>74</v>
      </c>
      <c r="C42" t="s">
        <v>73</v>
      </c>
      <c r="D42" s="20"/>
      <c r="E42" t="str">
        <f>_xlfn.TEXTJOIN(" ",TRUE,projects[[#This Row],[job number]],projects[[#This Row],[Project_Name]],projects[[#This Row],[Column1]])</f>
        <v>239230-40 Suurhoffbrug</v>
      </c>
      <c r="G42" t="s">
        <v>24</v>
      </c>
    </row>
    <row r="43" spans="1:7" x14ac:dyDescent="0.25">
      <c r="A43" s="3" t="s">
        <v>75</v>
      </c>
      <c r="B43" t="s">
        <v>76</v>
      </c>
      <c r="C43" t="s">
        <v>75</v>
      </c>
      <c r="D43" s="20"/>
      <c r="E43" t="str">
        <f>_xlfn.TEXTJOIN(" ",TRUE,projects[[#This Row],[job number]],projects[[#This Row],[Project_Name]],projects[[#This Row],[Column1]])</f>
        <v>601701-23 swindon d&amp;b</v>
      </c>
      <c r="G43" t="s">
        <v>24</v>
      </c>
    </row>
    <row r="44" spans="1:7" x14ac:dyDescent="0.25">
      <c r="A44" s="3" t="s">
        <v>441</v>
      </c>
      <c r="C44" s="20" t="s">
        <v>389</v>
      </c>
      <c r="D44" s="20"/>
      <c r="E44" t="str">
        <f>_xlfn.TEXTJOIN(" ",TRUE,projects[[#This Row],[job number]],projects[[#This Row],[Project_Name]],projects[[#This Row],[Column1]])</f>
        <v>TRAINING (In-house training)</v>
      </c>
      <c r="G44" t="s">
        <v>5</v>
      </c>
    </row>
    <row r="45" spans="1:7" x14ac:dyDescent="0.25">
      <c r="A45" s="3" t="s">
        <v>466</v>
      </c>
      <c r="B45" t="s">
        <v>78</v>
      </c>
      <c r="C45" t="s">
        <v>77</v>
      </c>
      <c r="D45" s="20"/>
      <c r="E45" t="str">
        <f>_xlfn.TEXTJOIN(" ",TRUE,projects[[#This Row],[job number]],projects[[#This Row],[Project_Name]],projects[[#This Row],[Column1]])</f>
        <v>265720-01 VBB -  extra fatgiue work</v>
      </c>
      <c r="G45" t="s">
        <v>24</v>
      </c>
    </row>
    <row r="46" spans="1:7" x14ac:dyDescent="0.25">
      <c r="A46" s="3" t="s">
        <v>458</v>
      </c>
      <c r="B46" t="s">
        <v>80</v>
      </c>
      <c r="C46" t="s">
        <v>79</v>
      </c>
      <c r="D46" s="20"/>
      <c r="E46" t="str">
        <f>_xlfn.TEXTJOIN(" ",TRUE,projects[[#This Row],[job number]],projects[[#This Row],[Project_Name]],projects[[#This Row],[Column1]])</f>
        <v>265720-20 VBB - Assessment</v>
      </c>
      <c r="G46" t="s">
        <v>24</v>
      </c>
    </row>
    <row r="47" spans="1:7" x14ac:dyDescent="0.25">
      <c r="A47" s="3" t="s">
        <v>462</v>
      </c>
      <c r="B47" t="s">
        <v>82</v>
      </c>
      <c r="C47" t="s">
        <v>81</v>
      </c>
      <c r="D47" s="20"/>
      <c r="E47" t="str">
        <f>_xlfn.TEXTJOIN(" ",TRUE,projects[[#This Row],[job number]],projects[[#This Row],[Project_Name]],projects[[#This Row],[Column1]])</f>
        <v>265720-10 VBB - Design Basis</v>
      </c>
      <c r="G47" t="s">
        <v>24</v>
      </c>
    </row>
    <row r="48" spans="1:7" x14ac:dyDescent="0.25">
      <c r="A48" s="3" t="s">
        <v>454</v>
      </c>
      <c r="B48" t="s">
        <v>84</v>
      </c>
      <c r="C48" t="s">
        <v>83</v>
      </c>
      <c r="D48" s="20"/>
      <c r="E48" t="str">
        <f>_xlfn.TEXTJOIN(" ",TRUE,projects[[#This Row],[job number]],projects[[#This Row],[Project_Name]],projects[[#This Row],[Column1]])</f>
        <v>210035-51 VBB 3rd - new bridge</v>
      </c>
      <c r="G48" t="s">
        <v>24</v>
      </c>
    </row>
    <row r="49" spans="1:7" x14ac:dyDescent="0.25">
      <c r="A49" s="3" t="s">
        <v>451</v>
      </c>
      <c r="B49" t="s">
        <v>86</v>
      </c>
      <c r="C49" t="s">
        <v>85</v>
      </c>
      <c r="D49" s="20"/>
      <c r="E49" t="str">
        <f>_xlfn.TEXTJOIN(" ",TRUE,projects[[#This Row],[job number]],projects[[#This Row],[Project_Name]],projects[[#This Row],[Column1]])</f>
        <v>210035-64 VBB 3rd - new bridge VO</v>
      </c>
      <c r="G49" t="s">
        <v>5</v>
      </c>
    </row>
    <row r="50" spans="1:7" x14ac:dyDescent="0.25">
      <c r="A50" s="3" t="s">
        <v>456</v>
      </c>
      <c r="B50" t="s">
        <v>95</v>
      </c>
      <c r="C50" t="s">
        <v>94</v>
      </c>
      <c r="D50" s="20"/>
      <c r="E50" t="str">
        <f>_xlfn.TEXTJOIN(" ",TRUE,projects[[#This Row],[job number]],projects[[#This Row],[Project_Name]],projects[[#This Row],[Column1]])</f>
        <v>210035-58  VBB Afkeurmemo Oostbrug</v>
      </c>
      <c r="G50" t="s">
        <v>24</v>
      </c>
    </row>
    <row r="51" spans="1:7" x14ac:dyDescent="0.25">
      <c r="A51" s="3" t="s">
        <v>442</v>
      </c>
      <c r="B51" t="s">
        <v>164</v>
      </c>
      <c r="C51" t="s">
        <v>363</v>
      </c>
      <c r="D51" s="20" t="s">
        <v>362</v>
      </c>
      <c r="E51" t="str">
        <f>_xlfn.TEXTJOIN(" ",TRUE,projects[[#This Row],[job number]],projects[[#This Row],[Project_Name]],projects[[#This Row],[Column1]])</f>
        <v>210035-65 MC VBB WP1: DO-nota West (25-050)</v>
      </c>
      <c r="G51" t="s">
        <v>5</v>
      </c>
    </row>
    <row r="52" spans="1:7" x14ac:dyDescent="0.25">
      <c r="A52" s="3" t="s">
        <v>473</v>
      </c>
      <c r="B52" t="s">
        <v>88</v>
      </c>
      <c r="C52" t="s">
        <v>87</v>
      </c>
      <c r="D52" s="20"/>
      <c r="E52" t="str">
        <f>_xlfn.TEXTJOIN(" ",TRUE,projects[[#This Row],[job number]],projects[[#This Row],[Project_Name]],projects[[#This Row],[Column1]])</f>
        <v>259933-00 Waalbrug</v>
      </c>
      <c r="F52" t="s">
        <v>89</v>
      </c>
      <c r="G52" t="s">
        <v>24</v>
      </c>
    </row>
    <row r="53" spans="1:7" x14ac:dyDescent="0.25">
      <c r="A53" s="3" t="s">
        <v>471</v>
      </c>
      <c r="B53" t="s">
        <v>91</v>
      </c>
      <c r="C53" t="s">
        <v>90</v>
      </c>
      <c r="D53" s="20"/>
      <c r="E53" t="str">
        <f>_xlfn.TEXTJOIN(" ",TRUE,projects[[#This Row],[job number]],projects[[#This Row],[Project_Name]],projects[[#This Row],[Column1]])</f>
        <v>264744-00 WLW</v>
      </c>
      <c r="G53" t="s">
        <v>24</v>
      </c>
    </row>
    <row r="54" spans="1:7" x14ac:dyDescent="0.25">
      <c r="A54" s="3" t="s">
        <v>465</v>
      </c>
      <c r="B54" t="s">
        <v>93</v>
      </c>
      <c r="C54" t="s">
        <v>92</v>
      </c>
      <c r="D54" s="20"/>
      <c r="E54" t="str">
        <f>_xlfn.TEXTJOIN(" ",TRUE,projects[[#This Row],[job number]],projects[[#This Row],[Project_Name]],projects[[#This Row],[Column1]])</f>
        <v>601593-72 WMRE lot 6</v>
      </c>
      <c r="G54" t="s">
        <v>24</v>
      </c>
    </row>
  </sheetData>
  <conditionalFormatting sqref="E1:F1 B30:B31 E3:E54 F3:F36 B3:B28">
    <cfRule type="containsBlanks" dxfId="173" priority="3">
      <formula>LEN(TRIM(B1))=0</formula>
    </cfRule>
  </conditionalFormatting>
  <conditionalFormatting sqref="E2:F2">
    <cfRule type="containsBlanks" dxfId="172" priority="1">
      <formula>LEN(TRIM(E2))=0</formula>
    </cfRule>
  </conditionalFormatting>
  <dataValidations count="1">
    <dataValidation type="list" allowBlank="1" showInputMessage="1" showErrorMessage="1" sqref="G2:G54" xr:uid="{0F9BD4F1-CE34-4075-9062-D6060D813B18}">
      <formula1>"Open,Closed"</formula1>
    </dataValidation>
  </dataValidations>
  <pageMargins left="0.7" right="0.7" top="0.75" bottom="0.75" header="0.3" footer="0.3"/>
  <pageSetup paperSize="9"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970A-A9D7-43D7-9C0B-23D9D976EC7C}">
  <dimension ref="A1:F46"/>
  <sheetViews>
    <sheetView zoomScaleNormal="100" workbookViewId="0">
      <selection activeCell="F8" sqref="F8"/>
    </sheetView>
  </sheetViews>
  <sheetFormatPr defaultRowHeight="15" x14ac:dyDescent="0.25"/>
  <cols>
    <col min="1" max="1" width="18.85546875" style="3" customWidth="1"/>
    <col min="2" max="2" width="10.140625" style="14" bestFit="1" customWidth="1"/>
    <col min="3" max="3" width="10.140625" style="3" bestFit="1" customWidth="1"/>
    <col min="4" max="4" width="18" style="3" customWidth="1"/>
    <col min="5" max="5" width="30.140625" style="3" bestFit="1" customWidth="1"/>
    <col min="6" max="6" width="80.7109375" style="2" customWidth="1"/>
    <col min="7" max="16384" width="9.140625" style="3"/>
  </cols>
  <sheetData>
    <row r="1" spans="1:6" x14ac:dyDescent="0.25">
      <c r="A1" s="3" t="s">
        <v>218</v>
      </c>
      <c r="B1" s="3" t="s">
        <v>219</v>
      </c>
      <c r="C1" s="3" t="s">
        <v>174</v>
      </c>
      <c r="D1" s="3" t="s">
        <v>360</v>
      </c>
      <c r="E1" s="3" t="s">
        <v>348</v>
      </c>
      <c r="F1" s="2" t="s">
        <v>349</v>
      </c>
    </row>
    <row r="2" spans="1:6" ht="120" x14ac:dyDescent="0.25">
      <c r="A2" s="7">
        <v>44169.671168981484</v>
      </c>
      <c r="B2" s="8" t="s">
        <v>106</v>
      </c>
      <c r="C2" s="8">
        <v>44169</v>
      </c>
      <c r="D2" s="1" t="s">
        <v>442</v>
      </c>
      <c r="E2" s="1" t="str">
        <f>INDEX(projects[Project_Name],MATCH(TimeEntry8[[#This Row],[Project_ID]], projects[Project_ID],0))</f>
        <v>MC VBB WP1: DO-nota West</v>
      </c>
      <c r="F2" s="16" t="s">
        <v>684</v>
      </c>
    </row>
    <row r="3" spans="1:6" ht="90" x14ac:dyDescent="0.25">
      <c r="A3" s="7">
        <v>44162.677812499998</v>
      </c>
      <c r="B3" s="8" t="s">
        <v>106</v>
      </c>
      <c r="C3" s="8">
        <v>44162</v>
      </c>
      <c r="D3" s="1" t="s">
        <v>442</v>
      </c>
      <c r="E3" s="1" t="str">
        <f>INDEX(projects[Project_Name],MATCH(TimeEntry8[[#This Row],[Project_ID]], projects[Project_ID],0))</f>
        <v>MC VBB WP1: DO-nota West</v>
      </c>
      <c r="F3" s="16" t="s">
        <v>669</v>
      </c>
    </row>
    <row r="4" spans="1:6" ht="60" x14ac:dyDescent="0.25">
      <c r="A4" s="7">
        <v>44155.584467592591</v>
      </c>
      <c r="B4" s="8" t="s">
        <v>106</v>
      </c>
      <c r="C4" s="8">
        <v>44155</v>
      </c>
      <c r="D4" s="1" t="s">
        <v>442</v>
      </c>
      <c r="E4" s="1" t="str">
        <f>INDEX(projects[Project_Name],MATCH(TimeEntry8[[#This Row],[Project_ID]], projects[Project_ID],0))</f>
        <v>MC VBB WP1: DO-nota West</v>
      </c>
      <c r="F4" s="16" t="s">
        <v>655</v>
      </c>
    </row>
    <row r="5" spans="1:6" ht="75" x14ac:dyDescent="0.25">
      <c r="A5" s="7">
        <v>44134.669259259259</v>
      </c>
      <c r="B5" s="8" t="s">
        <v>106</v>
      </c>
      <c r="C5" s="8">
        <v>44134</v>
      </c>
      <c r="D5" s="1" t="s">
        <v>442</v>
      </c>
      <c r="E5" s="1" t="str">
        <f>INDEX(projects[Project_Name],MATCH(TimeEntry8[[#This Row],[Project_ID]], projects[Project_ID],0))</f>
        <v>MC VBB WP1: DO-nota West</v>
      </c>
      <c r="F5" s="16" t="s">
        <v>624</v>
      </c>
    </row>
    <row r="6" spans="1:6" ht="45" x14ac:dyDescent="0.25">
      <c r="A6" s="7">
        <v>44125.671481481484</v>
      </c>
      <c r="B6" s="8" t="s">
        <v>100</v>
      </c>
      <c r="C6" s="8">
        <v>44125</v>
      </c>
      <c r="D6" s="1" t="s">
        <v>442</v>
      </c>
      <c r="E6" s="1" t="str">
        <f>INDEX(projects[Project_Name],MATCH(TimeEntry8[[#This Row],[Project_ID]], projects[Project_ID],0))</f>
        <v>MC VBB WP1: DO-nota West</v>
      </c>
      <c r="F6" s="16" t="s">
        <v>603</v>
      </c>
    </row>
    <row r="7" spans="1:6" ht="60" x14ac:dyDescent="0.25">
      <c r="A7" s="7">
        <v>44123.667881944442</v>
      </c>
      <c r="B7" s="8" t="s">
        <v>104</v>
      </c>
      <c r="C7" s="8">
        <v>44123</v>
      </c>
      <c r="D7" s="1" t="s">
        <v>442</v>
      </c>
      <c r="E7" s="1" t="str">
        <f>INDEX(projects[Project_Name],MATCH(TimeEntry8[[#This Row],[Project_ID]], projects[Project_ID],0))</f>
        <v>MC VBB WP1: DO-nota West</v>
      </c>
      <c r="F7" s="16" t="s">
        <v>502</v>
      </c>
    </row>
    <row r="8" spans="1:6" ht="30" x14ac:dyDescent="0.25">
      <c r="A8" s="7">
        <v>44120.669525462959</v>
      </c>
      <c r="B8" s="8" t="s">
        <v>106</v>
      </c>
      <c r="C8" s="8">
        <v>44120</v>
      </c>
      <c r="D8" s="1" t="s">
        <v>442</v>
      </c>
      <c r="E8" s="1" t="str">
        <f>INDEX(projects[Project_Name],MATCH(TimeEntry8[[#This Row],[Project_ID]], projects[Project_ID],0))</f>
        <v>MC VBB WP1: DO-nota West</v>
      </c>
      <c r="F8" s="16" t="s">
        <v>499</v>
      </c>
    </row>
    <row r="9" spans="1:6" ht="60" x14ac:dyDescent="0.25">
      <c r="A9" s="7">
        <v>44095.503888888888</v>
      </c>
      <c r="B9" s="8" t="s">
        <v>104</v>
      </c>
      <c r="C9" s="8">
        <v>44095</v>
      </c>
      <c r="D9" s="1" t="s">
        <v>350</v>
      </c>
      <c r="E9" s="1" t="str">
        <f>INDEX(projects[Project_Name],MATCH(TimeEntry8[[#This Row],[Project_ID]], projects[Project_ID],0))</f>
        <v>MC VBB WP1: DO-nota West</v>
      </c>
      <c r="F9" s="16" t="s">
        <v>323</v>
      </c>
    </row>
    <row r="10" spans="1:6" ht="45" x14ac:dyDescent="0.25">
      <c r="A10" s="7">
        <v>44091.670578703706</v>
      </c>
      <c r="B10" s="8" t="s">
        <v>102</v>
      </c>
      <c r="C10" s="8">
        <v>44091</v>
      </c>
      <c r="D10" s="1" t="s">
        <v>350</v>
      </c>
      <c r="E10" s="1" t="str">
        <f>INDEX(projects[Project_Name],MATCH(TimeEntry8[[#This Row],[Project_ID]], projects[Project_ID],0))</f>
        <v>MC VBB WP1: DO-nota West</v>
      </c>
      <c r="F10" s="16" t="s">
        <v>329</v>
      </c>
    </row>
    <row r="11" spans="1:6" ht="45" x14ac:dyDescent="0.25">
      <c r="A11" s="7">
        <v>44090.678622685184</v>
      </c>
      <c r="B11" s="8" t="s">
        <v>100</v>
      </c>
      <c r="C11" s="8">
        <v>44090</v>
      </c>
      <c r="D11" s="1" t="s">
        <v>350</v>
      </c>
      <c r="E11" s="1" t="str">
        <f>INDEX(projects[Project_Name],MATCH(TimeEntry8[[#This Row],[Project_ID]], projects[Project_ID],0))</f>
        <v>MC VBB WP1: DO-nota West</v>
      </c>
      <c r="F11" s="16" t="s">
        <v>318</v>
      </c>
    </row>
    <row r="12" spans="1:6" ht="45" x14ac:dyDescent="0.25">
      <c r="A12" s="7">
        <v>44089.50104166667</v>
      </c>
      <c r="B12" s="8" t="s">
        <v>101</v>
      </c>
      <c r="C12" s="8">
        <v>44089</v>
      </c>
      <c r="D12" s="1" t="s">
        <v>350</v>
      </c>
      <c r="E12" s="1" t="str">
        <f>INDEX(projects[Project_Name],MATCH(TimeEntry8[[#This Row],[Project_ID]], projects[Project_ID],0))</f>
        <v>MC VBB WP1: DO-nota West</v>
      </c>
      <c r="F12" s="16" t="s">
        <v>315</v>
      </c>
    </row>
    <row r="13" spans="1:6" ht="90" x14ac:dyDescent="0.25">
      <c r="A13" s="7">
        <v>44088.540810185186</v>
      </c>
      <c r="B13" s="8" t="s">
        <v>104</v>
      </c>
      <c r="C13" s="8">
        <v>44088</v>
      </c>
      <c r="D13" s="1" t="s">
        <v>350</v>
      </c>
      <c r="E13" s="1" t="str">
        <f>INDEX(projects[Project_Name],MATCH(TimeEntry8[[#This Row],[Project_ID]], projects[Project_ID],0))</f>
        <v>MC VBB WP1: DO-nota West</v>
      </c>
      <c r="F13" s="16" t="s">
        <v>313</v>
      </c>
    </row>
    <row r="14" spans="1:6" ht="45" x14ac:dyDescent="0.25">
      <c r="A14" s="7">
        <v>44083.504374999997</v>
      </c>
      <c r="B14" s="8" t="s">
        <v>100</v>
      </c>
      <c r="C14" s="8">
        <v>44083</v>
      </c>
      <c r="D14" s="1" t="s">
        <v>350</v>
      </c>
      <c r="E14" s="1" t="str">
        <f>INDEX(projects[Project_Name],MATCH(TimeEntry8[[#This Row],[Project_ID]], projects[Project_ID],0))</f>
        <v>MC VBB WP1: DO-nota West</v>
      </c>
      <c r="F14" s="16" t="s">
        <v>306</v>
      </c>
    </row>
    <row r="15" spans="1:6" ht="45" x14ac:dyDescent="0.25">
      <c r="A15" s="7">
        <v>44081.501886574071</v>
      </c>
      <c r="B15" s="8" t="s">
        <v>104</v>
      </c>
      <c r="C15" s="8">
        <v>44081</v>
      </c>
      <c r="D15" s="1" t="s">
        <v>350</v>
      </c>
      <c r="E15" s="1" t="str">
        <f>INDEX(projects[Project_Name],MATCH(TimeEntry8[[#This Row],[Project_ID]], projects[Project_ID],0))</f>
        <v>MC VBB WP1: DO-nota West</v>
      </c>
      <c r="F15" s="16" t="s">
        <v>302</v>
      </c>
    </row>
    <row r="16" spans="1:6" ht="45" x14ac:dyDescent="0.25">
      <c r="A16" s="7">
        <v>44081.681134259263</v>
      </c>
      <c r="B16" s="8" t="s">
        <v>104</v>
      </c>
      <c r="C16" s="8">
        <v>44081</v>
      </c>
      <c r="D16" s="1" t="s">
        <v>350</v>
      </c>
      <c r="E16" s="1" t="str">
        <f>INDEX(projects[Project_Name],MATCH(TimeEntry8[[#This Row],[Project_ID]], projects[Project_ID],0))</f>
        <v>MC VBB WP1: DO-nota West</v>
      </c>
      <c r="F16" s="16" t="s">
        <v>303</v>
      </c>
    </row>
    <row r="17" spans="1:6" ht="45" x14ac:dyDescent="0.25">
      <c r="A17" s="7">
        <v>44069.675509259258</v>
      </c>
      <c r="B17" s="8" t="s">
        <v>100</v>
      </c>
      <c r="C17" s="8">
        <v>44069</v>
      </c>
      <c r="D17" s="1" t="s">
        <v>350</v>
      </c>
      <c r="E17" s="1" t="str">
        <f>INDEX(projects[Project_Name],MATCH(TimeEntry8[[#This Row],[Project_ID]], projects[Project_ID],0))</f>
        <v>MC VBB WP1: DO-nota West</v>
      </c>
      <c r="F17" s="16" t="s">
        <v>287</v>
      </c>
    </row>
    <row r="18" spans="1:6" ht="30" x14ac:dyDescent="0.25">
      <c r="A18" s="7">
        <v>44067.501076388886</v>
      </c>
      <c r="B18" s="8" t="s">
        <v>104</v>
      </c>
      <c r="C18" s="8">
        <v>44067</v>
      </c>
      <c r="D18" s="1" t="s">
        <v>350</v>
      </c>
      <c r="E18" s="1" t="str">
        <f>INDEX(projects[Project_Name],MATCH(TimeEntry8[[#This Row],[Project_ID]], projects[Project_ID],0))</f>
        <v>MC VBB WP1: DO-nota West</v>
      </c>
      <c r="F18" s="16" t="s">
        <v>286</v>
      </c>
    </row>
    <row r="19" spans="1:6" ht="60" x14ac:dyDescent="0.25">
      <c r="A19" s="7">
        <v>44048.670601851853</v>
      </c>
      <c r="B19" s="8" t="s">
        <v>100</v>
      </c>
      <c r="C19" s="8">
        <v>44048</v>
      </c>
      <c r="D19" s="1" t="s">
        <v>350</v>
      </c>
      <c r="E19" s="1" t="str">
        <f>INDEX(projects[Project_Name],MATCH(TimeEntry8[[#This Row],[Project_ID]], projects[Project_ID],0))</f>
        <v>MC VBB WP1: DO-nota West</v>
      </c>
      <c r="F19" s="16" t="s">
        <v>269</v>
      </c>
    </row>
    <row r="20" spans="1:6" ht="45" x14ac:dyDescent="0.25">
      <c r="A20" s="7">
        <v>44035.668495370373</v>
      </c>
      <c r="B20" s="8" t="s">
        <v>102</v>
      </c>
      <c r="C20" s="8">
        <v>44035</v>
      </c>
      <c r="D20" s="1" t="s">
        <v>350</v>
      </c>
      <c r="E20" s="1" t="str">
        <f>INDEX(projects[Project_Name],MATCH(TimeEntry8[[#This Row],[Project_ID]], projects[Project_ID],0))</f>
        <v>MC VBB WP1: DO-nota West</v>
      </c>
      <c r="F20" s="16" t="s">
        <v>252</v>
      </c>
    </row>
    <row r="21" spans="1:6" ht="30" x14ac:dyDescent="0.25">
      <c r="A21" s="7">
        <v>44034.500914351855</v>
      </c>
      <c r="B21" s="8" t="s">
        <v>100</v>
      </c>
      <c r="C21" s="8">
        <v>44034</v>
      </c>
      <c r="D21" s="1" t="s">
        <v>350</v>
      </c>
      <c r="E21" s="1" t="str">
        <f>INDEX(projects[Project_Name],MATCH(TimeEntry8[[#This Row],[Project_ID]], projects[Project_ID],0))</f>
        <v>MC VBB WP1: DO-nota West</v>
      </c>
      <c r="F21" s="16" t="s">
        <v>257</v>
      </c>
    </row>
    <row r="22" spans="1:6" ht="45" x14ac:dyDescent="0.25">
      <c r="A22" s="7">
        <v>44029.500648148147</v>
      </c>
      <c r="B22" s="8" t="s">
        <v>106</v>
      </c>
      <c r="C22" s="8">
        <v>44029</v>
      </c>
      <c r="D22" s="1" t="s">
        <v>350</v>
      </c>
      <c r="E22" s="1" t="str">
        <f>INDEX(projects[Project_Name],MATCH(TimeEntry8[[#This Row],[Project_ID]], projects[Project_ID],0))</f>
        <v>MC VBB WP1: DO-nota West</v>
      </c>
      <c r="F22" s="16" t="s">
        <v>243</v>
      </c>
    </row>
    <row r="23" spans="1:6" ht="45" x14ac:dyDescent="0.25">
      <c r="A23" s="7">
        <v>44026.502349537041</v>
      </c>
      <c r="B23" s="8" t="s">
        <v>101</v>
      </c>
      <c r="C23" s="8">
        <v>44026</v>
      </c>
      <c r="D23" s="1" t="s">
        <v>350</v>
      </c>
      <c r="E23" s="1" t="str">
        <f>INDEX(projects[Project_Name],MATCH(TimeEntry8[[#This Row],[Project_ID]], projects[Project_ID],0))</f>
        <v>MC VBB WP1: DO-nota West</v>
      </c>
      <c r="F23" s="16" t="s">
        <v>241</v>
      </c>
    </row>
    <row r="24" spans="1:6" ht="60" x14ac:dyDescent="0.25">
      <c r="A24" s="7">
        <v>44015.439502314817</v>
      </c>
      <c r="B24" s="8" t="s">
        <v>106</v>
      </c>
      <c r="C24" s="8">
        <v>44015</v>
      </c>
      <c r="D24" s="1" t="s">
        <v>350</v>
      </c>
      <c r="E24" s="1" t="str">
        <f>INDEX(projects[Project_Name],MATCH(TimeEntry8[[#This Row],[Project_ID]], projects[Project_ID],0))</f>
        <v>MC VBB WP1: DO-nota West</v>
      </c>
      <c r="F24" s="16" t="s">
        <v>223</v>
      </c>
    </row>
    <row r="25" spans="1:6" ht="45" x14ac:dyDescent="0.25">
      <c r="A25" s="7">
        <v>44014.687638888892</v>
      </c>
      <c r="B25" s="8" t="s">
        <v>102</v>
      </c>
      <c r="C25" s="8">
        <v>44014</v>
      </c>
      <c r="D25" s="1" t="s">
        <v>350</v>
      </c>
      <c r="E25" s="1" t="str">
        <f>INDEX(projects[Project_Name],MATCH(TimeEntry8[[#This Row],[Project_ID]], projects[Project_ID],0))</f>
        <v>MC VBB WP1: DO-nota West</v>
      </c>
      <c r="F25" s="16" t="s">
        <v>222</v>
      </c>
    </row>
    <row r="26" spans="1:6" ht="30" x14ac:dyDescent="0.25">
      <c r="A26" s="7">
        <v>44014.56355324074</v>
      </c>
      <c r="B26" s="8" t="s">
        <v>102</v>
      </c>
      <c r="C26" s="8">
        <v>44014</v>
      </c>
      <c r="D26" s="1" t="s">
        <v>350</v>
      </c>
      <c r="E26" s="1" t="str">
        <f>INDEX(projects[Project_Name],MATCH(TimeEntry8[[#This Row],[Project_ID]], projects[Project_ID],0))</f>
        <v>MC VBB WP1: DO-nota West</v>
      </c>
      <c r="F26" s="16" t="s">
        <v>221</v>
      </c>
    </row>
    <row r="27" spans="1:6" ht="75" x14ac:dyDescent="0.25">
      <c r="A27" s="7"/>
      <c r="B27" s="8"/>
      <c r="C27" s="8">
        <v>44013</v>
      </c>
      <c r="D27" s="1" t="s">
        <v>350</v>
      </c>
      <c r="E27" s="1" t="str">
        <f>INDEX(projects[Project_Name],MATCH(TimeEntry8[[#This Row],[Project_ID]], projects[Project_ID],0))</f>
        <v>MC VBB WP1: DO-nota West</v>
      </c>
      <c r="F27" s="16" t="s">
        <v>220</v>
      </c>
    </row>
    <row r="28" spans="1:6" ht="60" x14ac:dyDescent="0.25">
      <c r="A28" s="7"/>
      <c r="B28" s="8"/>
      <c r="C28" s="8">
        <v>44012</v>
      </c>
      <c r="D28" s="1" t="s">
        <v>350</v>
      </c>
      <c r="E28" s="1" t="str">
        <f>INDEX(projects[Project_Name],MATCH(TimeEntry8[[#This Row],[Project_ID]], projects[Project_ID],0))</f>
        <v>MC VBB WP1: DO-nota West</v>
      </c>
      <c r="F28" s="16" t="s">
        <v>217</v>
      </c>
    </row>
    <row r="29" spans="1:6" ht="75" x14ac:dyDescent="0.25">
      <c r="A29" s="7"/>
      <c r="B29" s="8"/>
      <c r="C29" s="8">
        <v>44011</v>
      </c>
      <c r="D29" s="1" t="s">
        <v>350</v>
      </c>
      <c r="E29" s="1" t="str">
        <f>INDEX(projects[Project_Name],MATCH(TimeEntry8[[#This Row],[Project_ID]], projects[Project_ID],0))</f>
        <v>MC VBB WP1: DO-nota West</v>
      </c>
      <c r="F29" s="16" t="s">
        <v>213</v>
      </c>
    </row>
    <row r="30" spans="1:6" ht="60" x14ac:dyDescent="0.25">
      <c r="A30" s="7"/>
      <c r="B30" s="8"/>
      <c r="C30" s="8">
        <v>43993</v>
      </c>
      <c r="D30" s="1" t="s">
        <v>350</v>
      </c>
      <c r="E30" s="1" t="str">
        <f>INDEX(projects[Project_Name],MATCH(TimeEntry8[[#This Row],[Project_ID]], projects[Project_ID],0))</f>
        <v>MC VBB WP1: DO-nota West</v>
      </c>
      <c r="F30" s="16" t="s">
        <v>199</v>
      </c>
    </row>
    <row r="31" spans="1:6" ht="30" x14ac:dyDescent="0.25">
      <c r="A31" s="7"/>
      <c r="B31" s="8"/>
      <c r="C31" s="8">
        <v>43992</v>
      </c>
      <c r="D31" s="1" t="s">
        <v>350</v>
      </c>
      <c r="E31" s="1" t="str">
        <f>INDEX(projects[Project_Name],MATCH(TimeEntry8[[#This Row],[Project_ID]], projects[Project_ID],0))</f>
        <v>MC VBB WP1: DO-nota West</v>
      </c>
      <c r="F31" s="16" t="s">
        <v>202</v>
      </c>
    </row>
    <row r="32" spans="1:6" ht="60" x14ac:dyDescent="0.25">
      <c r="A32" s="7"/>
      <c r="B32" s="8"/>
      <c r="C32" s="8">
        <v>43990</v>
      </c>
      <c r="D32" s="1" t="s">
        <v>37</v>
      </c>
      <c r="E32" s="1" t="str">
        <f>INDEX(projects[Project_Name],MATCH(TimeEntry8[[#This Row],[Project_ID]], projects[Project_ID],0))</f>
        <v>LOWER KINGS ROAD ASSESSMENT</v>
      </c>
      <c r="F32" s="16" t="s">
        <v>206</v>
      </c>
    </row>
    <row r="33" spans="1:6" ht="90" x14ac:dyDescent="0.25">
      <c r="A33" s="7"/>
      <c r="B33" s="8"/>
      <c r="C33" s="8">
        <v>43990</v>
      </c>
      <c r="D33" s="1" t="s">
        <v>350</v>
      </c>
      <c r="E33" s="1" t="str">
        <f>INDEX(projects[Project_Name],MATCH(TimeEntry8[[#This Row],[Project_ID]], projects[Project_ID],0))</f>
        <v>MC VBB WP1: DO-nota West</v>
      </c>
      <c r="F33" s="16" t="s">
        <v>198</v>
      </c>
    </row>
    <row r="34" spans="1:6" ht="30" x14ac:dyDescent="0.25">
      <c r="A34" s="7"/>
      <c r="B34" s="8"/>
      <c r="C34" s="8">
        <v>43986</v>
      </c>
      <c r="D34" s="1" t="s">
        <v>350</v>
      </c>
      <c r="E34" s="1" t="str">
        <f>INDEX(projects[Project_Name],MATCH(TimeEntry8[[#This Row],[Project_ID]], projects[Project_ID],0))</f>
        <v>MC VBB WP1: DO-nota West</v>
      </c>
      <c r="F34" s="16" t="s">
        <v>195</v>
      </c>
    </row>
    <row r="35" spans="1:6" ht="60" x14ac:dyDescent="0.25">
      <c r="A35" s="7"/>
      <c r="B35" s="8"/>
      <c r="C35" s="8">
        <v>43984</v>
      </c>
      <c r="D35" s="1" t="s">
        <v>350</v>
      </c>
      <c r="E35" s="1" t="str">
        <f>INDEX(projects[Project_Name],MATCH(TimeEntry8[[#This Row],[Project_ID]], projects[Project_ID],0))</f>
        <v>MC VBB WP1: DO-nota West</v>
      </c>
      <c r="F35" s="16" t="s">
        <v>193</v>
      </c>
    </row>
    <row r="36" spans="1:6" ht="30" x14ac:dyDescent="0.25">
      <c r="A36" s="7"/>
      <c r="B36" s="8"/>
      <c r="C36" s="8">
        <v>43980</v>
      </c>
      <c r="D36" s="1" t="s">
        <v>350</v>
      </c>
      <c r="E36" s="1" t="str">
        <f>INDEX(projects[Project_Name],MATCH(TimeEntry8[[#This Row],[Project_ID]], projects[Project_ID],0))</f>
        <v>MC VBB WP1: DO-nota West</v>
      </c>
      <c r="F36" s="16" t="s">
        <v>189</v>
      </c>
    </row>
    <row r="37" spans="1:6" ht="60" x14ac:dyDescent="0.25">
      <c r="A37" s="7"/>
      <c r="B37" s="8"/>
      <c r="C37" s="8">
        <v>43979</v>
      </c>
      <c r="D37" s="1" t="s">
        <v>37</v>
      </c>
      <c r="E37" s="1" t="str">
        <f>INDEX(projects[Project_Name],MATCH(TimeEntry8[[#This Row],[Project_ID]], projects[Project_ID],0))</f>
        <v>LOWER KINGS ROAD ASSESSMENT</v>
      </c>
      <c r="F37" s="16" t="s">
        <v>185</v>
      </c>
    </row>
    <row r="38" spans="1:6" ht="45" x14ac:dyDescent="0.25">
      <c r="A38" s="7"/>
      <c r="B38" s="8"/>
      <c r="C38" s="8">
        <v>43979</v>
      </c>
      <c r="D38" s="1" t="s">
        <v>165</v>
      </c>
      <c r="E38" s="1" t="str">
        <f>INDEX(projects[Project_Name],MATCH(TimeEntry8[[#This Row],[Project_ID]], projects[Project_ID],0))</f>
        <v>Melbourne Metro - Latrobe</v>
      </c>
      <c r="F38" s="16" t="s">
        <v>183</v>
      </c>
    </row>
    <row r="39" spans="1:6" ht="45" x14ac:dyDescent="0.25">
      <c r="A39" s="7"/>
      <c r="B39" s="8"/>
      <c r="C39" s="8">
        <v>43978</v>
      </c>
      <c r="D39" s="1" t="s">
        <v>165</v>
      </c>
      <c r="E39" s="1" t="str">
        <f>INDEX(projects[Project_Name],MATCH(TimeEntry8[[#This Row],[Project_ID]], projects[Project_ID],0))</f>
        <v>Melbourne Metro - Latrobe</v>
      </c>
      <c r="F39" s="16" t="s">
        <v>182</v>
      </c>
    </row>
    <row r="40" spans="1:6" ht="45" x14ac:dyDescent="0.25">
      <c r="A40" s="7"/>
      <c r="B40" s="8"/>
      <c r="C40" s="8">
        <v>43978</v>
      </c>
      <c r="D40" s="1" t="s">
        <v>350</v>
      </c>
      <c r="E40" s="1" t="str">
        <f>INDEX(projects[Project_Name],MATCH(TimeEntry8[[#This Row],[Project_ID]], projects[Project_ID],0))</f>
        <v>MC VBB WP1: DO-nota West</v>
      </c>
      <c r="F40" s="16" t="s">
        <v>184</v>
      </c>
    </row>
    <row r="41" spans="1:6" ht="45" x14ac:dyDescent="0.25">
      <c r="A41" s="7"/>
      <c r="B41" s="8"/>
      <c r="C41" s="8">
        <v>43977</v>
      </c>
      <c r="D41" s="1" t="s">
        <v>165</v>
      </c>
      <c r="E41" s="1" t="str">
        <f>INDEX(projects[Project_Name],MATCH(TimeEntry8[[#This Row],[Project_ID]], projects[Project_ID],0))</f>
        <v>Melbourne Metro - Latrobe</v>
      </c>
      <c r="F41" s="16" t="s">
        <v>181</v>
      </c>
    </row>
    <row r="42" spans="1:6" ht="45" x14ac:dyDescent="0.25">
      <c r="A42" s="7"/>
      <c r="B42" s="8"/>
      <c r="C42" s="8">
        <v>43973</v>
      </c>
      <c r="D42" s="1" t="s">
        <v>165</v>
      </c>
      <c r="E42" s="1" t="str">
        <f>INDEX(projects[Project_Name],MATCH(TimeEntry8[[#This Row],[Project_ID]], projects[Project_ID],0))</f>
        <v>Melbourne Metro - Latrobe</v>
      </c>
      <c r="F42" s="16" t="s">
        <v>178</v>
      </c>
    </row>
    <row r="43" spans="1:6" ht="60" x14ac:dyDescent="0.25">
      <c r="A43" s="7"/>
      <c r="B43" s="8"/>
      <c r="C43" s="8">
        <v>43973</v>
      </c>
      <c r="D43" s="1" t="s">
        <v>350</v>
      </c>
      <c r="E43" s="1" t="str">
        <f>INDEX(projects[Project_Name],MATCH(TimeEntry8[[#This Row],[Project_ID]], projects[Project_ID],0))</f>
        <v>MC VBB WP1: DO-nota West</v>
      </c>
      <c r="F43" s="16" t="s">
        <v>179</v>
      </c>
    </row>
    <row r="44" spans="1:6" ht="60" x14ac:dyDescent="0.25">
      <c r="A44" s="7"/>
      <c r="B44" s="8"/>
      <c r="C44" s="8">
        <v>43972</v>
      </c>
      <c r="D44" s="1" t="s">
        <v>45</v>
      </c>
      <c r="E44" s="1" t="str">
        <f>INDEX(projects[Project_Name],MATCH(TimeEntry8[[#This Row],[Project_ID]], projects[Project_ID],0))</f>
        <v>HCC - Paul Cully</v>
      </c>
      <c r="F44" s="16" t="s">
        <v>175</v>
      </c>
    </row>
    <row r="45" spans="1:6" ht="45" x14ac:dyDescent="0.25">
      <c r="A45" s="7"/>
      <c r="B45" s="8"/>
      <c r="C45" s="8">
        <v>43972</v>
      </c>
      <c r="D45" s="1" t="s">
        <v>165</v>
      </c>
      <c r="E45" s="1" t="str">
        <f>INDEX(projects[Project_Name],MATCH(TimeEntry8[[#This Row],[Project_ID]], projects[Project_ID],0))</f>
        <v>Melbourne Metro - Latrobe</v>
      </c>
      <c r="F45" s="16" t="s">
        <v>176</v>
      </c>
    </row>
    <row r="46" spans="1:6" ht="75" x14ac:dyDescent="0.25">
      <c r="A46" s="7"/>
      <c r="B46" s="8"/>
      <c r="C46" s="8">
        <v>43972</v>
      </c>
      <c r="D46" s="1" t="s">
        <v>350</v>
      </c>
      <c r="E46" s="1" t="str">
        <f>INDEX(projects[Project_Name],MATCH(TimeEntry8[[#This Row],[Project_ID]], projects[Project_ID],0))</f>
        <v>MC VBB WP1: DO-nota West</v>
      </c>
      <c r="F46" s="16" t="s">
        <v>177</v>
      </c>
    </row>
  </sheetData>
  <phoneticPr fontId="2" type="noConversion"/>
  <conditionalFormatting sqref="A1:F1010">
    <cfRule type="expression" dxfId="162" priority="14">
      <formula>#REF!=1.1</formula>
    </cfRule>
  </conditionalFormatting>
  <conditionalFormatting sqref="D1:D46">
    <cfRule type="expression" dxfId="161" priority="4">
      <formula>#REF!=1.1</formula>
    </cfRule>
  </conditionalFormatting>
  <dataValidations count="1">
    <dataValidation type="list" allowBlank="1" showInputMessage="1" showErrorMessage="1" sqref="D1:D46" xr:uid="{EA46E5B4-50AA-4B7C-9FF7-9C0B6B98374F}">
      <formula1>INDIRECT("projects[Project_ID]")</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3B19-588B-4340-BA5F-E3833352DDB9}">
  <sheetPr codeName="Sheet1"/>
  <dimension ref="A1:V880"/>
  <sheetViews>
    <sheetView tabSelected="1" topLeftCell="D1" zoomScaleNormal="100" workbookViewId="0">
      <selection activeCell="G3" sqref="G3:N10"/>
    </sheetView>
  </sheetViews>
  <sheetFormatPr defaultRowHeight="15" x14ac:dyDescent="0.25"/>
  <cols>
    <col min="1" max="1" width="4" style="3" customWidth="1"/>
    <col min="2" max="2" width="18.7109375" style="3" bestFit="1" customWidth="1"/>
    <col min="3" max="3" width="10.140625" style="14" bestFit="1" customWidth="1"/>
    <col min="4" max="4" width="6.5703125" style="3" bestFit="1" customWidth="1"/>
    <col min="5" max="5" width="12.7109375" style="3" bestFit="1" customWidth="1"/>
    <col min="6" max="6" width="10.140625" style="3" bestFit="1" customWidth="1"/>
    <col min="7" max="7" width="24.28515625" style="3" customWidth="1"/>
    <col min="8" max="8" width="12.42578125" style="3" bestFit="1" customWidth="1"/>
    <col min="9" max="9" width="36" style="3" customWidth="1"/>
    <col min="10" max="10" width="9" style="3" bestFit="1" customWidth="1"/>
    <col min="11" max="11" width="8" style="3" bestFit="1" customWidth="1"/>
    <col min="12" max="12" width="8.85546875" style="3" bestFit="1" customWidth="1"/>
    <col min="13" max="13" width="8" style="3" bestFit="1" customWidth="1"/>
    <col min="14" max="14" width="7.5703125" style="3" bestFit="1" customWidth="1"/>
    <col min="15" max="15" width="10" style="3" bestFit="1" customWidth="1"/>
    <col min="16" max="17" width="10" style="3" customWidth="1"/>
    <col min="18" max="18" width="8.85546875" style="3" bestFit="1" customWidth="1"/>
    <col min="19" max="19" width="9.28515625" style="3" bestFit="1" customWidth="1"/>
    <col min="20" max="20" width="25.140625" style="3" customWidth="1"/>
    <col min="21" max="21" width="7.85546875" style="3" customWidth="1"/>
    <col min="22" max="22" width="29.85546875" style="3" customWidth="1"/>
    <col min="23" max="23" width="33" style="3" customWidth="1"/>
    <col min="24" max="24" width="35.5703125" style="3" bestFit="1" customWidth="1"/>
    <col min="25" max="25" width="8.7109375" style="3" bestFit="1" customWidth="1"/>
    <col min="26" max="16384" width="9.140625" style="3"/>
  </cols>
  <sheetData>
    <row r="1" spans="1:20" x14ac:dyDescent="0.25">
      <c r="A1" s="3" t="s">
        <v>96</v>
      </c>
      <c r="B1" s="27" t="s">
        <v>218</v>
      </c>
      <c r="C1" s="17" t="s">
        <v>174</v>
      </c>
      <c r="D1" s="17" t="s">
        <v>219</v>
      </c>
      <c r="E1" s="27" t="s">
        <v>360</v>
      </c>
      <c r="F1" s="24" t="s">
        <v>173</v>
      </c>
      <c r="G1" s="24" t="s">
        <v>364</v>
      </c>
      <c r="H1" s="24" t="s">
        <v>393</v>
      </c>
      <c r="I1" s="24" t="s">
        <v>97</v>
      </c>
      <c r="J1" s="23" t="s">
        <v>436</v>
      </c>
      <c r="K1" s="23" t="s">
        <v>437</v>
      </c>
      <c r="L1" s="23" t="s">
        <v>438</v>
      </c>
      <c r="M1" s="23" t="s">
        <v>439</v>
      </c>
      <c r="N1" s="23" t="s">
        <v>440</v>
      </c>
      <c r="O1" s="18" t="s">
        <v>371</v>
      </c>
      <c r="P1" s="18" t="s">
        <v>372</v>
      </c>
      <c r="Q1" s="4" t="s">
        <v>169</v>
      </c>
      <c r="R1" s="5" t="s">
        <v>170</v>
      </c>
      <c r="S1" s="4" t="s">
        <v>171</v>
      </c>
      <c r="T1" s="4" t="s">
        <v>172</v>
      </c>
    </row>
    <row r="2" spans="1:20" x14ac:dyDescent="0.25">
      <c r="A2" s="29">
        <f>MOD(IF(ROW()=2,0.1,IF(INDEX(TimeEntry[WkEnd],ROW()-1)  =  INDEX(TimeEntry[WkEnd],ROW()-2),    INDEX(TimeEntry[format],ROW()-2),    INDEX(TimeEntry[format],ROW()-2)    +1)),2)</f>
        <v>0.1</v>
      </c>
      <c r="B2" s="30"/>
      <c r="C2" s="31"/>
      <c r="D2" s="31"/>
      <c r="E2" s="32"/>
      <c r="F2" s="31" t="str">
        <f>IF(TimeEntry[[#This Row],[Date]]=0,F1,C2+(7-Q2))</f>
        <v>WkEnd</v>
      </c>
      <c r="G2" s="32" t="e">
        <f>INDEX(projects[Charge_Code],MATCH(TimeEntry[[#This Row],[Project_ID]],projects[Project_ID],0))</f>
        <v>#N/A</v>
      </c>
      <c r="H2" s="1" t="str">
        <f t="shared" ref="H2:H135" si="0">"Normal Time"</f>
        <v>Normal Time</v>
      </c>
      <c r="I2" s="32"/>
      <c r="J2" s="33"/>
      <c r="K2" s="33"/>
      <c r="L2" s="33"/>
      <c r="M2" s="33"/>
      <c r="N2" s="33"/>
      <c r="O2" s="33" t="e">
        <f>INDEX(projects[job number],MATCH(TimeEntry[[#This Row],[Project_ID]], projects[Project_ID],0))</f>
        <v>#N/A</v>
      </c>
      <c r="P2" s="33" t="e">
        <f>INDEX(projects[Project_Name],MATCH(TimeEntry[[#This Row],[Project_ID]], projects[Project_ID],0))</f>
        <v>#N/A</v>
      </c>
      <c r="Q2" s="29" t="str">
        <f>IF(TimeEntry[[#This Row],[Date]]=0,"",WEEKDAY(C2,2))</f>
        <v/>
      </c>
      <c r="R2" s="34" t="e">
        <f>YEAR(TimeEntry[[#This Row],[WkEnd]])</f>
        <v>#VALUE!</v>
      </c>
      <c r="S2" s="34" t="e">
        <f>WEEKNUM(TimeEntry[[#This Row],[WkEnd]])</f>
        <v>#VALUE!</v>
      </c>
      <c r="T2" s="34" t="e">
        <f>TimeEntry[[#This Row],[Year]]&amp;"-"&amp;TimeEntry[[#This Row],[WkNo]]</f>
        <v>#VALUE!</v>
      </c>
    </row>
    <row r="3" spans="1:20" x14ac:dyDescent="0.25">
      <c r="A3" s="6">
        <f>MOD(IF(ROW()=2,0.1,IF(INDEX(TimeEntry[WkEnd],ROW()-1)  =  INDEX(TimeEntry[WkEnd],ROW()-2),    INDEX(TimeEntry[format],ROW()-2),    INDEX(TimeEntry[format],ROW()-2)    +1)),2)</f>
        <v>1.1000000000000001</v>
      </c>
      <c r="B3" s="7">
        <v>44183.667013888888</v>
      </c>
      <c r="C3" s="8">
        <v>44183</v>
      </c>
      <c r="D3" s="8" t="s">
        <v>106</v>
      </c>
      <c r="E3" s="1" t="s">
        <v>442</v>
      </c>
      <c r="F3" s="8">
        <f>IF(TimeEntry[[#This Row],[Date]]=0,F2,C3+(7-Q3))</f>
        <v>44185</v>
      </c>
      <c r="G3" s="35" t="str">
        <f>INDEX(projects[Charge_Code],MATCH(TimeEntry[[#This Row],[Project_ID]],projects[Project_ID],0))</f>
        <v>210035-65 MC VBB WP1: DO-nota West (25-050)</v>
      </c>
      <c r="H3" s="1" t="str">
        <f t="shared" ref="H3:H8" si="1">"Normal Time"</f>
        <v>Normal Time</v>
      </c>
      <c r="I3" s="1" t="s">
        <v>701</v>
      </c>
      <c r="J3" s="15"/>
      <c r="K3" s="15"/>
      <c r="L3" s="15">
        <v>2.5</v>
      </c>
      <c r="M3" s="15"/>
      <c r="N3" s="15">
        <v>4.5</v>
      </c>
      <c r="O3" s="15" t="str">
        <f>INDEX(projects[job number],MATCH(TimeEntry[[#This Row],[Project_ID]], projects[Project_ID],0))</f>
        <v>210035-65</v>
      </c>
      <c r="P3" s="15" t="str">
        <f>INDEX(projects[Project_Name],MATCH(TimeEntry[[#This Row],[Project_ID]], projects[Project_ID],0))</f>
        <v>MC VBB WP1: DO-nota West</v>
      </c>
      <c r="Q3" s="6">
        <f>IF(TimeEntry[[#This Row],[Date]]=0,"",WEEKDAY(C3,2))</f>
        <v>5</v>
      </c>
      <c r="R3" s="9">
        <f>YEAR(TimeEntry[[#This Row],[WkEnd]])</f>
        <v>2020</v>
      </c>
      <c r="S3" s="9">
        <f>WEEKNUM(TimeEntry[[#This Row],[WkEnd]])</f>
        <v>52</v>
      </c>
      <c r="T3" s="9" t="str">
        <f>TimeEntry[[#This Row],[Year]]&amp;"-"&amp;TimeEntry[[#This Row],[WkNo]]</f>
        <v>2020-52</v>
      </c>
    </row>
    <row r="4" spans="1:20" x14ac:dyDescent="0.25">
      <c r="A4" s="6">
        <f>MOD(IF(ROW()=2,0.1,IF(INDEX(TimeEntry[WkEnd],ROW()-1)  =  INDEX(TimeEntry[WkEnd],ROW()-2),    INDEX(TimeEntry[format],ROW()-2),    INDEX(TimeEntry[format],ROW()-2)    +1)),2)</f>
        <v>1.1000000000000001</v>
      </c>
      <c r="B4" s="7">
        <v>44183.500879629632</v>
      </c>
      <c r="C4" s="8">
        <v>44183</v>
      </c>
      <c r="D4" s="8" t="s">
        <v>106</v>
      </c>
      <c r="E4" s="1" t="s">
        <v>442</v>
      </c>
      <c r="F4" s="8">
        <f>IF(TimeEntry[[#This Row],[Date]]=0,F2,C4+(7-Q4))</f>
        <v>44185</v>
      </c>
      <c r="G4" s="35" t="str">
        <f>INDEX(projects[Charge_Code],MATCH(TimeEntry[[#This Row],[Project_ID]],projects[Project_ID],0))</f>
        <v>210035-65 MC VBB WP1: DO-nota West (25-050)</v>
      </c>
      <c r="H4" s="1" t="str">
        <f t="shared" si="1"/>
        <v>Normal Time</v>
      </c>
      <c r="I4" s="1" t="s">
        <v>700</v>
      </c>
      <c r="J4" s="15"/>
      <c r="K4" s="15"/>
      <c r="L4" s="15"/>
      <c r="M4" s="15"/>
      <c r="N4" s="15">
        <v>3</v>
      </c>
      <c r="O4" s="15" t="str">
        <f>INDEX(projects[job number],MATCH(TimeEntry[[#This Row],[Project_ID]], projects[Project_ID],0))</f>
        <v>210035-65</v>
      </c>
      <c r="P4" s="15" t="str">
        <f>INDEX(projects[Project_Name],MATCH(TimeEntry[[#This Row],[Project_ID]], projects[Project_ID],0))</f>
        <v>MC VBB WP1: DO-nota West</v>
      </c>
      <c r="Q4" s="6">
        <f>IF(TimeEntry[[#This Row],[Date]]=0,"",WEEKDAY(C4,2))</f>
        <v>5</v>
      </c>
      <c r="R4" s="9">
        <f>YEAR(TimeEntry[[#This Row],[WkEnd]])</f>
        <v>2020</v>
      </c>
      <c r="S4" s="9">
        <f>WEEKNUM(TimeEntry[[#This Row],[WkEnd]])</f>
        <v>52</v>
      </c>
      <c r="T4" s="9" t="str">
        <f>TimeEntry[[#This Row],[Year]]&amp;"-"&amp;TimeEntry[[#This Row],[WkNo]]</f>
        <v>2020-52</v>
      </c>
    </row>
    <row r="5" spans="1:20" x14ac:dyDescent="0.25">
      <c r="A5" s="6">
        <f>MOD(IF(ROW()=2,0.1,IF(INDEX(TimeEntry[WkEnd],ROW()-1)  =  INDEX(TimeEntry[WkEnd],ROW()-2),    INDEX(TimeEntry[format],ROW()-2),    INDEX(TimeEntry[format],ROW()-2)    +1)),2)</f>
        <v>1.1000000000000001</v>
      </c>
      <c r="B5" s="7">
        <v>44182.399259259262</v>
      </c>
      <c r="C5" s="8">
        <v>44182</v>
      </c>
      <c r="D5" s="8" t="s">
        <v>102</v>
      </c>
      <c r="E5" s="1" t="s">
        <v>441</v>
      </c>
      <c r="F5" s="8">
        <f>IF(TimeEntry[[#This Row],[Date]]=0,F2,C5+(7-Q5))</f>
        <v>44185</v>
      </c>
      <c r="G5" s="35" t="str">
        <f>INDEX(projects[Charge_Code],MATCH(TimeEntry[[#This Row],[Project_ID]],projects[Project_ID],0))</f>
        <v>TRAINING (In-house training)</v>
      </c>
      <c r="H5" s="1" t="str">
        <f t="shared" si="1"/>
        <v>Normal Time</v>
      </c>
      <c r="I5" s="1" t="s">
        <v>693</v>
      </c>
      <c r="J5" s="15"/>
      <c r="K5" s="15"/>
      <c r="L5" s="15"/>
      <c r="M5" s="15">
        <v>7.5</v>
      </c>
      <c r="N5" s="15"/>
      <c r="O5" s="15">
        <f>INDEX(projects[job number],MATCH(TimeEntry[[#This Row],[Project_ID]], projects[Project_ID],0))</f>
        <v>0</v>
      </c>
      <c r="P5" s="15" t="str">
        <f>INDEX(projects[Project_Name],MATCH(TimeEntry[[#This Row],[Project_ID]], projects[Project_ID],0))</f>
        <v>TRAINING (In-house training)</v>
      </c>
      <c r="Q5" s="6">
        <f>IF(TimeEntry[[#This Row],[Date]]=0,"",WEEKDAY(C5,2))</f>
        <v>4</v>
      </c>
      <c r="R5" s="9">
        <f>YEAR(TimeEntry[[#This Row],[WkEnd]])</f>
        <v>2020</v>
      </c>
      <c r="S5" s="9">
        <f>WEEKNUM(TimeEntry[[#This Row],[WkEnd]])</f>
        <v>52</v>
      </c>
      <c r="T5" s="9" t="str">
        <f>TimeEntry[[#This Row],[Year]]&amp;"-"&amp;TimeEntry[[#This Row],[WkNo]]</f>
        <v>2020-52</v>
      </c>
    </row>
    <row r="6" spans="1:20" x14ac:dyDescent="0.25">
      <c r="A6" s="6">
        <f>MOD(IF(ROW()=2,0.1,IF(INDEX(TimeEntry[WkEnd],ROW()-1)  =  INDEX(TimeEntry[WkEnd],ROW()-2),    INDEX(TimeEntry[format],ROW()-2),    INDEX(TimeEntry[format],ROW()-2)    +1)),2)</f>
        <v>1.1000000000000001</v>
      </c>
      <c r="B6" s="7">
        <v>44181.501435185186</v>
      </c>
      <c r="C6" s="8">
        <v>44181</v>
      </c>
      <c r="D6" s="8" t="s">
        <v>100</v>
      </c>
      <c r="E6" s="1" t="s">
        <v>442</v>
      </c>
      <c r="F6" s="8">
        <f>IF(TimeEntry[[#This Row],[Date]]=0,F2,C6+(7-Q6))</f>
        <v>44185</v>
      </c>
      <c r="G6" s="35" t="str">
        <f>INDEX(projects[Charge_Code],MATCH(TimeEntry[[#This Row],[Project_ID]],projects[Project_ID],0))</f>
        <v>210035-65 MC VBB WP1: DO-nota West (25-050)</v>
      </c>
      <c r="H6" s="1" t="str">
        <f t="shared" si="1"/>
        <v>Normal Time</v>
      </c>
      <c r="I6" s="1" t="s">
        <v>699</v>
      </c>
      <c r="J6" s="15"/>
      <c r="K6" s="15"/>
      <c r="L6" s="15">
        <v>5</v>
      </c>
      <c r="M6" s="15"/>
      <c r="N6" s="15"/>
      <c r="O6" s="15" t="str">
        <f>INDEX(projects[job number],MATCH(TimeEntry[[#This Row],[Project_ID]], projects[Project_ID],0))</f>
        <v>210035-65</v>
      </c>
      <c r="P6" s="15" t="str">
        <f>INDEX(projects[Project_Name],MATCH(TimeEntry[[#This Row],[Project_ID]], projects[Project_ID],0))</f>
        <v>MC VBB WP1: DO-nota West</v>
      </c>
      <c r="Q6" s="6">
        <f>IF(TimeEntry[[#This Row],[Date]]=0,"",WEEKDAY(C6,2))</f>
        <v>3</v>
      </c>
      <c r="R6" s="9">
        <f>YEAR(TimeEntry[[#This Row],[WkEnd]])</f>
        <v>2020</v>
      </c>
      <c r="S6" s="9">
        <f>WEEKNUM(TimeEntry[[#This Row],[WkEnd]])</f>
        <v>52</v>
      </c>
      <c r="T6" s="9" t="str">
        <f>TimeEntry[[#This Row],[Year]]&amp;"-"&amp;TimeEntry[[#This Row],[WkNo]]</f>
        <v>2020-52</v>
      </c>
    </row>
    <row r="7" spans="1:20" x14ac:dyDescent="0.25">
      <c r="A7" s="6">
        <f>MOD(IF(ROW()=2,0.1,IF(INDEX(TimeEntry[WkEnd],ROW()-1)  =  INDEX(TimeEntry[WkEnd],ROW()-2),    INDEX(TimeEntry[format],ROW()-2),    INDEX(TimeEntry[format],ROW()-2)    +1)),2)</f>
        <v>1.1000000000000001</v>
      </c>
      <c r="B7" s="7">
        <v>44180.511122685188</v>
      </c>
      <c r="C7" s="8">
        <v>44180</v>
      </c>
      <c r="D7" s="8" t="s">
        <v>101</v>
      </c>
      <c r="E7" s="1" t="s">
        <v>441</v>
      </c>
      <c r="F7" s="8">
        <f>IF(TimeEntry[[#This Row],[Date]]=0,F2,C7+(7-Q7))</f>
        <v>44185</v>
      </c>
      <c r="G7" s="35" t="str">
        <f>INDEX(projects[Charge_Code],MATCH(TimeEntry[[#This Row],[Project_ID]],projects[Project_ID],0))</f>
        <v>TRAINING (In-house training)</v>
      </c>
      <c r="H7" s="1" t="str">
        <f t="shared" si="1"/>
        <v>Normal Time</v>
      </c>
      <c r="I7" s="1" t="s">
        <v>693</v>
      </c>
      <c r="J7" s="15"/>
      <c r="K7" s="15">
        <v>7.5</v>
      </c>
      <c r="L7" s="15"/>
      <c r="M7" s="15"/>
      <c r="N7" s="15"/>
      <c r="O7" s="15">
        <f>INDEX(projects[job number],MATCH(TimeEntry[[#This Row],[Project_ID]], projects[Project_ID],0))</f>
        <v>0</v>
      </c>
      <c r="P7" s="15" t="str">
        <f>INDEX(projects[Project_Name],MATCH(TimeEntry[[#This Row],[Project_ID]], projects[Project_ID],0))</f>
        <v>TRAINING (In-house training)</v>
      </c>
      <c r="Q7" s="6">
        <f>IF(TimeEntry[[#This Row],[Date]]=0,"",WEEKDAY(C7,2))</f>
        <v>2</v>
      </c>
      <c r="R7" s="9">
        <f>YEAR(TimeEntry[[#This Row],[WkEnd]])</f>
        <v>2020</v>
      </c>
      <c r="S7" s="9">
        <f>WEEKNUM(TimeEntry[[#This Row],[WkEnd]])</f>
        <v>52</v>
      </c>
      <c r="T7" s="9" t="str">
        <f>TimeEntry[[#This Row],[Year]]&amp;"-"&amp;TimeEntry[[#This Row],[WkNo]]</f>
        <v>2020-52</v>
      </c>
    </row>
    <row r="8" spans="1:20" x14ac:dyDescent="0.25">
      <c r="A8" s="6">
        <f>MOD(IF(ROW()=2,0.1,IF(INDEX(TimeEntry[WkEnd],ROW()-1)  =  INDEX(TimeEntry[WkEnd],ROW()-2),    INDEX(TimeEntry[format],ROW()-2),    INDEX(TimeEntry[format],ROW()-2)    +1)),2)</f>
        <v>1.1000000000000001</v>
      </c>
      <c r="B8" s="7">
        <v>44179.666990740741</v>
      </c>
      <c r="C8" s="8">
        <v>44179</v>
      </c>
      <c r="D8" s="8" t="s">
        <v>104</v>
      </c>
      <c r="E8" s="1" t="s">
        <v>442</v>
      </c>
      <c r="F8" s="8">
        <f>IF(TimeEntry[[#This Row],[Date]]=0,F2,C8+(7-Q8))</f>
        <v>44185</v>
      </c>
      <c r="G8" s="35" t="str">
        <f>INDEX(projects[Charge_Code],MATCH(TimeEntry[[#This Row],[Project_ID]],projects[Project_ID],0))</f>
        <v>210035-65 MC VBB WP1: DO-nota West (25-050)</v>
      </c>
      <c r="H8" s="1" t="str">
        <f t="shared" si="1"/>
        <v>Normal Time</v>
      </c>
      <c r="I8" s="1" t="s">
        <v>698</v>
      </c>
      <c r="J8" s="15">
        <v>4</v>
      </c>
      <c r="K8" s="15"/>
      <c r="L8" s="15"/>
      <c r="M8" s="15"/>
      <c r="N8" s="15"/>
      <c r="O8" s="15" t="str">
        <f>INDEX(projects[job number],MATCH(TimeEntry[[#This Row],[Project_ID]], projects[Project_ID],0))</f>
        <v>210035-65</v>
      </c>
      <c r="P8" s="15" t="str">
        <f>INDEX(projects[Project_Name],MATCH(TimeEntry[[#This Row],[Project_ID]], projects[Project_ID],0))</f>
        <v>MC VBB WP1: DO-nota West</v>
      </c>
      <c r="Q8" s="6">
        <f>IF(TimeEntry[[#This Row],[Date]]=0,"",WEEKDAY(C8,2))</f>
        <v>1</v>
      </c>
      <c r="R8" s="9">
        <f>YEAR(TimeEntry[[#This Row],[WkEnd]])</f>
        <v>2020</v>
      </c>
      <c r="S8" s="9">
        <f>WEEKNUM(TimeEntry[[#This Row],[WkEnd]])</f>
        <v>52</v>
      </c>
      <c r="T8" s="9" t="str">
        <f>TimeEntry[[#This Row],[Year]]&amp;"-"&amp;TimeEntry[[#This Row],[WkNo]]</f>
        <v>2020-52</v>
      </c>
    </row>
    <row r="9" spans="1:20" x14ac:dyDescent="0.25">
      <c r="A9" s="6">
        <f>MOD(IF(ROW()=2,0.1,IF(INDEX(TimeEntry[WkEnd],ROW()-1)  =  INDEX(TimeEntry[WkEnd],ROW()-2),    INDEX(TimeEntry[format],ROW()-2),    INDEX(TimeEntry[format],ROW()-2)    +1)),2)</f>
        <v>1.1000000000000001</v>
      </c>
      <c r="B9" s="7">
        <v>44179.511481481481</v>
      </c>
      <c r="C9" s="8">
        <v>44179</v>
      </c>
      <c r="D9" s="8" t="s">
        <v>104</v>
      </c>
      <c r="E9" s="1" t="s">
        <v>442</v>
      </c>
      <c r="F9" s="8">
        <f>IF(TimeEntry[[#This Row],[Date]]=0,F2,C9+(7-Q9))</f>
        <v>44185</v>
      </c>
      <c r="G9" s="35" t="str">
        <f>INDEX(projects[Charge_Code],MATCH(TimeEntry[[#This Row],[Project_ID]],projects[Project_ID],0))</f>
        <v>210035-65 MC VBB WP1: DO-nota West (25-050)</v>
      </c>
      <c r="H9" s="1" t="str">
        <f t="shared" ref="H9:H14" si="2">"Normal Time"</f>
        <v>Normal Time</v>
      </c>
      <c r="I9" s="1" t="s">
        <v>697</v>
      </c>
      <c r="J9" s="15">
        <v>2.5</v>
      </c>
      <c r="K9" s="15"/>
      <c r="L9" s="15"/>
      <c r="M9" s="15"/>
      <c r="N9" s="15"/>
      <c r="O9" s="15" t="str">
        <f>INDEX(projects[job number],MATCH(TimeEntry[[#This Row],[Project_ID]], projects[Project_ID],0))</f>
        <v>210035-65</v>
      </c>
      <c r="P9" s="15" t="str">
        <f>INDEX(projects[Project_Name],MATCH(TimeEntry[[#This Row],[Project_ID]], projects[Project_ID],0))</f>
        <v>MC VBB WP1: DO-nota West</v>
      </c>
      <c r="Q9" s="6">
        <f>IF(TimeEntry[[#This Row],[Date]]=0,"",WEEKDAY(C9,2))</f>
        <v>1</v>
      </c>
      <c r="R9" s="9">
        <f>YEAR(TimeEntry[[#This Row],[WkEnd]])</f>
        <v>2020</v>
      </c>
      <c r="S9" s="9">
        <f>WEEKNUM(TimeEntry[[#This Row],[WkEnd]])</f>
        <v>52</v>
      </c>
      <c r="T9" s="9" t="str">
        <f>TimeEntry[[#This Row],[Year]]&amp;"-"&amp;TimeEntry[[#This Row],[WkNo]]</f>
        <v>2020-52</v>
      </c>
    </row>
    <row r="10" spans="1:20" x14ac:dyDescent="0.25">
      <c r="A10" s="6">
        <f>MOD(IF(ROW()=2,0.1,IF(INDEX(TimeEntry[WkEnd],ROW()-1)  =  INDEX(TimeEntry[WkEnd],ROW()-2),    INDEX(TimeEntry[format],ROW()-2),    INDEX(TimeEntry[format],ROW()-2)    +1)),2)</f>
        <v>1.1000000000000001</v>
      </c>
      <c r="B10" s="7">
        <v>44179.511481481481</v>
      </c>
      <c r="C10" s="8">
        <v>44179</v>
      </c>
      <c r="D10" s="8" t="s">
        <v>104</v>
      </c>
      <c r="E10" s="1" t="s">
        <v>442</v>
      </c>
      <c r="F10" s="8">
        <f>IF(TimeEntry[[#This Row],[Date]]=0,F2,C10+(7-Q10))</f>
        <v>44185</v>
      </c>
      <c r="G10" s="35" t="str">
        <f>INDEX(projects[Charge_Code],MATCH(TimeEntry[[#This Row],[Project_ID]],projects[Project_ID],0))</f>
        <v>210035-65 MC VBB WP1: DO-nota West (25-050)</v>
      </c>
      <c r="H10" s="1" t="str">
        <f t="shared" si="2"/>
        <v>Normal Time</v>
      </c>
      <c r="I10" s="1" t="s">
        <v>696</v>
      </c>
      <c r="J10" s="15">
        <v>1</v>
      </c>
      <c r="K10" s="15"/>
      <c r="L10" s="15"/>
      <c r="M10" s="15"/>
      <c r="N10" s="15"/>
      <c r="O10" s="15" t="str">
        <f>INDEX(projects[job number],MATCH(TimeEntry[[#This Row],[Project_ID]], projects[Project_ID],0))</f>
        <v>210035-65</v>
      </c>
      <c r="P10" s="15" t="str">
        <f>INDEX(projects[Project_Name],MATCH(TimeEntry[[#This Row],[Project_ID]], projects[Project_ID],0))</f>
        <v>MC VBB WP1: DO-nota West</v>
      </c>
      <c r="Q10" s="6">
        <f>IF(TimeEntry[[#This Row],[Date]]=0,"",WEEKDAY(C10,2))</f>
        <v>1</v>
      </c>
      <c r="R10" s="9">
        <f>YEAR(TimeEntry[[#This Row],[WkEnd]])</f>
        <v>2020</v>
      </c>
      <c r="S10" s="9">
        <f>WEEKNUM(TimeEntry[[#This Row],[WkEnd]])</f>
        <v>52</v>
      </c>
      <c r="T10" s="9" t="str">
        <f>TimeEntry[[#This Row],[Year]]&amp;"-"&amp;TimeEntry[[#This Row],[WkNo]]</f>
        <v>2020-52</v>
      </c>
    </row>
    <row r="11" spans="1:20" x14ac:dyDescent="0.25">
      <c r="A11" s="6">
        <f>MOD(IF(ROW()=2,0.1,IF(INDEX(TimeEntry[WkEnd],ROW()-1)  =  INDEX(TimeEntry[WkEnd],ROW()-2),    INDEX(TimeEntry[format],ROW()-2),    INDEX(TimeEntry[format],ROW()-2)    +1)),2)</f>
        <v>0.10000000000000009</v>
      </c>
      <c r="B11" s="7">
        <v>44176.666979166665</v>
      </c>
      <c r="C11" s="8">
        <v>44176</v>
      </c>
      <c r="D11" s="8" t="s">
        <v>106</v>
      </c>
      <c r="E11" s="1" t="s">
        <v>442</v>
      </c>
      <c r="F11" s="8">
        <f>IF(TimeEntry[[#This Row],[Date]]=0,F2,C11+(7-Q11))</f>
        <v>44178</v>
      </c>
      <c r="G11" s="35" t="str">
        <f>INDEX(projects[Charge_Code],MATCH(TimeEntry[[#This Row],[Project_ID]],projects[Project_ID],0))</f>
        <v>210035-65 MC VBB WP1: DO-nota West (25-050)</v>
      </c>
      <c r="H11" s="1" t="str">
        <f t="shared" si="2"/>
        <v>Normal Time</v>
      </c>
      <c r="I11" s="1" t="s">
        <v>695</v>
      </c>
      <c r="J11" s="15"/>
      <c r="K11" s="15"/>
      <c r="L11" s="15"/>
      <c r="M11" s="15"/>
      <c r="N11" s="15">
        <v>4</v>
      </c>
      <c r="O11" s="15" t="str">
        <f>INDEX(projects[job number],MATCH(TimeEntry[[#This Row],[Project_ID]], projects[Project_ID],0))</f>
        <v>210035-65</v>
      </c>
      <c r="P11" s="15" t="str">
        <f>INDEX(projects[Project_Name],MATCH(TimeEntry[[#This Row],[Project_ID]], projects[Project_ID],0))</f>
        <v>MC VBB WP1: DO-nota West</v>
      </c>
      <c r="Q11" s="6">
        <f>IF(TimeEntry[[#This Row],[Date]]=0,"",WEEKDAY(C11,2))</f>
        <v>5</v>
      </c>
      <c r="R11" s="9">
        <f>YEAR(TimeEntry[[#This Row],[WkEnd]])</f>
        <v>2020</v>
      </c>
      <c r="S11" s="9">
        <f>WEEKNUM(TimeEntry[[#This Row],[WkEnd]])</f>
        <v>51</v>
      </c>
      <c r="T11" s="9" t="str">
        <f>TimeEntry[[#This Row],[Year]]&amp;"-"&amp;TimeEntry[[#This Row],[WkNo]]</f>
        <v>2020-51</v>
      </c>
    </row>
    <row r="12" spans="1:20" x14ac:dyDescent="0.25">
      <c r="A12" s="6">
        <f>MOD(IF(ROW()=2,0.1,IF(INDEX(TimeEntry[WkEnd],ROW()-1)  =  INDEX(TimeEntry[WkEnd],ROW()-2),    INDEX(TimeEntry[format],ROW()-2),    INDEX(TimeEntry[format],ROW()-2)    +1)),2)</f>
        <v>0.10000000000000009</v>
      </c>
      <c r="B12" s="7">
        <v>44176.500983796293</v>
      </c>
      <c r="C12" s="8">
        <v>44176</v>
      </c>
      <c r="D12" s="8" t="s">
        <v>106</v>
      </c>
      <c r="E12" s="1" t="s">
        <v>442</v>
      </c>
      <c r="F12" s="8">
        <f>IF(TimeEntry[[#This Row],[Date]]=0,F2,C12+(7-Q12))</f>
        <v>44178</v>
      </c>
      <c r="G12" s="35" t="str">
        <f>INDEX(projects[Charge_Code],MATCH(TimeEntry[[#This Row],[Project_ID]],projects[Project_ID],0))</f>
        <v>210035-65 MC VBB WP1: DO-nota West (25-050)</v>
      </c>
      <c r="H12" s="1" t="str">
        <f t="shared" si="2"/>
        <v>Normal Time</v>
      </c>
      <c r="I12" s="1" t="s">
        <v>694</v>
      </c>
      <c r="J12" s="15"/>
      <c r="K12" s="15"/>
      <c r="L12" s="15"/>
      <c r="M12" s="15"/>
      <c r="N12" s="15">
        <v>2.5</v>
      </c>
      <c r="O12" s="15" t="str">
        <f>INDEX(projects[job number],MATCH(TimeEntry[[#This Row],[Project_ID]], projects[Project_ID],0))</f>
        <v>210035-65</v>
      </c>
      <c r="P12" s="15" t="str">
        <f>INDEX(projects[Project_Name],MATCH(TimeEntry[[#This Row],[Project_ID]], projects[Project_ID],0))</f>
        <v>MC VBB WP1: DO-nota West</v>
      </c>
      <c r="Q12" s="6">
        <f>IF(TimeEntry[[#This Row],[Date]]=0,"",WEEKDAY(C12,2))</f>
        <v>5</v>
      </c>
      <c r="R12" s="9">
        <f>YEAR(TimeEntry[[#This Row],[WkEnd]])</f>
        <v>2020</v>
      </c>
      <c r="S12" s="9">
        <f>WEEKNUM(TimeEntry[[#This Row],[WkEnd]])</f>
        <v>51</v>
      </c>
      <c r="T12" s="9" t="str">
        <f>TimeEntry[[#This Row],[Year]]&amp;"-"&amp;TimeEntry[[#This Row],[WkNo]]</f>
        <v>2020-51</v>
      </c>
    </row>
    <row r="13" spans="1:20" x14ac:dyDescent="0.25">
      <c r="A13" s="6">
        <f>MOD(IF(ROW()=2,0.1,IF(INDEX(TimeEntry[WkEnd],ROW()-1)  =  INDEX(TimeEntry[WkEnd],ROW()-2),    INDEX(TimeEntry[format],ROW()-2),    INDEX(TimeEntry[format],ROW()-2)    +1)),2)</f>
        <v>0.10000000000000009</v>
      </c>
      <c r="B13" s="7">
        <v>44176.500983796293</v>
      </c>
      <c r="C13" s="8">
        <v>44176</v>
      </c>
      <c r="D13" s="8" t="s">
        <v>106</v>
      </c>
      <c r="E13" s="1" t="s">
        <v>442</v>
      </c>
      <c r="F13" s="8">
        <f>IF(TimeEntry[[#This Row],[Date]]=0,F2,C13+(7-Q13))</f>
        <v>44178</v>
      </c>
      <c r="G13" s="35" t="str">
        <f>INDEX(projects[Charge_Code],MATCH(TimeEntry[[#This Row],[Project_ID]],projects[Project_ID],0))</f>
        <v>210035-65 MC VBB WP1: DO-nota West (25-050)</v>
      </c>
      <c r="H13" s="1" t="str">
        <f t="shared" si="2"/>
        <v>Normal Time</v>
      </c>
      <c r="I13" s="1" t="s">
        <v>192</v>
      </c>
      <c r="J13" s="15"/>
      <c r="K13" s="15"/>
      <c r="L13" s="15"/>
      <c r="M13" s="15"/>
      <c r="N13" s="15">
        <v>1</v>
      </c>
      <c r="O13" s="15" t="str">
        <f>INDEX(projects[job number],MATCH(TimeEntry[[#This Row],[Project_ID]], projects[Project_ID],0))</f>
        <v>210035-65</v>
      </c>
      <c r="P13" s="15" t="str">
        <f>INDEX(projects[Project_Name],MATCH(TimeEntry[[#This Row],[Project_ID]], projects[Project_ID],0))</f>
        <v>MC VBB WP1: DO-nota West</v>
      </c>
      <c r="Q13" s="6">
        <f>IF(TimeEntry[[#This Row],[Date]]=0,"",WEEKDAY(C13,2))</f>
        <v>5</v>
      </c>
      <c r="R13" s="9">
        <f>YEAR(TimeEntry[[#This Row],[WkEnd]])</f>
        <v>2020</v>
      </c>
      <c r="S13" s="9">
        <f>WEEKNUM(TimeEntry[[#This Row],[WkEnd]])</f>
        <v>51</v>
      </c>
      <c r="T13" s="9" t="str">
        <f>TimeEntry[[#This Row],[Year]]&amp;"-"&amp;TimeEntry[[#This Row],[WkNo]]</f>
        <v>2020-51</v>
      </c>
    </row>
    <row r="14" spans="1:20" x14ac:dyDescent="0.25">
      <c r="A14" s="6">
        <f>MOD(IF(ROW()=2,0.1,IF(INDEX(TimeEntry[WkEnd],ROW()-1)  =  INDEX(TimeEntry[WkEnd],ROW()-2),    INDEX(TimeEntry[format],ROW()-2),    INDEX(TimeEntry[format],ROW()-2)    +1)),2)</f>
        <v>0.10000000000000009</v>
      </c>
      <c r="B14" s="7">
        <v>44175.500416666669</v>
      </c>
      <c r="C14" s="8">
        <v>44175</v>
      </c>
      <c r="D14" s="8" t="s">
        <v>102</v>
      </c>
      <c r="E14" s="1" t="s">
        <v>441</v>
      </c>
      <c r="F14" s="8">
        <f>IF(TimeEntry[[#This Row],[Date]]=0,F2,C14+(7-Q14))</f>
        <v>44178</v>
      </c>
      <c r="G14" s="35" t="str">
        <f>INDEX(projects[Charge_Code],MATCH(TimeEntry[[#This Row],[Project_ID]],projects[Project_ID],0))</f>
        <v>TRAINING (In-house training)</v>
      </c>
      <c r="H14" s="1" t="str">
        <f t="shared" si="2"/>
        <v>Normal Time</v>
      </c>
      <c r="I14" s="1" t="s">
        <v>693</v>
      </c>
      <c r="J14" s="15"/>
      <c r="K14" s="15"/>
      <c r="L14" s="15"/>
      <c r="M14" s="15">
        <v>7.5</v>
      </c>
      <c r="N14" s="15"/>
      <c r="O14" s="15">
        <f>INDEX(projects[job number],MATCH(TimeEntry[[#This Row],[Project_ID]], projects[Project_ID],0))</f>
        <v>0</v>
      </c>
      <c r="P14" s="15" t="str">
        <f>INDEX(projects[Project_Name],MATCH(TimeEntry[[#This Row],[Project_ID]], projects[Project_ID],0))</f>
        <v>TRAINING (In-house training)</v>
      </c>
      <c r="Q14" s="6">
        <f>IF(TimeEntry[[#This Row],[Date]]=0,"",WEEKDAY(C14,2))</f>
        <v>4</v>
      </c>
      <c r="R14" s="9">
        <f>YEAR(TimeEntry[[#This Row],[WkEnd]])</f>
        <v>2020</v>
      </c>
      <c r="S14" s="9">
        <f>WEEKNUM(TimeEntry[[#This Row],[WkEnd]])</f>
        <v>51</v>
      </c>
      <c r="T14" s="9" t="str">
        <f>TimeEntry[[#This Row],[Year]]&amp;"-"&amp;TimeEntry[[#This Row],[WkNo]]</f>
        <v>2020-51</v>
      </c>
    </row>
    <row r="15" spans="1:20" x14ac:dyDescent="0.25">
      <c r="A15" s="6">
        <f>MOD(IF(ROW()=2,0.1,IF(INDEX(TimeEntry[WkEnd],ROW()-1)  =  INDEX(TimeEntry[WkEnd],ROW()-2),    INDEX(TimeEntry[format],ROW()-2),    INDEX(TimeEntry[format],ROW()-2)    +1)),2)</f>
        <v>0.10000000000000009</v>
      </c>
      <c r="B15" s="7">
        <v>44174.668692129628</v>
      </c>
      <c r="C15" s="8">
        <v>44174</v>
      </c>
      <c r="D15" s="8" t="s">
        <v>100</v>
      </c>
      <c r="E15" s="1" t="s">
        <v>442</v>
      </c>
      <c r="F15" s="8">
        <f>IF(TimeEntry[[#This Row],[Date]]=0,F2,C15+(7-Q15))</f>
        <v>44178</v>
      </c>
      <c r="G15" s="35" t="str">
        <f>INDEX(projects[Charge_Code],MATCH(TimeEntry[[#This Row],[Project_ID]],projects[Project_ID],0))</f>
        <v>210035-65 MC VBB WP1: DO-nota West (25-050)</v>
      </c>
      <c r="H15" s="1" t="str">
        <f t="shared" ref="H15:H20" si="3">"Normal Time"</f>
        <v>Normal Time</v>
      </c>
      <c r="I15" s="1" t="s">
        <v>692</v>
      </c>
      <c r="J15" s="15"/>
      <c r="K15" s="15"/>
      <c r="L15" s="15">
        <v>4</v>
      </c>
      <c r="M15" s="15"/>
      <c r="N15" s="15"/>
      <c r="O15" s="15" t="str">
        <f>INDEX(projects[job number],MATCH(TimeEntry[[#This Row],[Project_ID]], projects[Project_ID],0))</f>
        <v>210035-65</v>
      </c>
      <c r="P15" s="15" t="str">
        <f>INDEX(projects[Project_Name],MATCH(TimeEntry[[#This Row],[Project_ID]], projects[Project_ID],0))</f>
        <v>MC VBB WP1: DO-nota West</v>
      </c>
      <c r="Q15" s="6">
        <f>IF(TimeEntry[[#This Row],[Date]]=0,"",WEEKDAY(C15,2))</f>
        <v>3</v>
      </c>
      <c r="R15" s="9">
        <f>YEAR(TimeEntry[[#This Row],[WkEnd]])</f>
        <v>2020</v>
      </c>
      <c r="S15" s="9">
        <f>WEEKNUM(TimeEntry[[#This Row],[WkEnd]])</f>
        <v>51</v>
      </c>
      <c r="T15" s="9" t="str">
        <f>TimeEntry[[#This Row],[Year]]&amp;"-"&amp;TimeEntry[[#This Row],[WkNo]]</f>
        <v>2020-51</v>
      </c>
    </row>
    <row r="16" spans="1:20" x14ac:dyDescent="0.25">
      <c r="A16" s="6">
        <f>MOD(IF(ROW()=2,0.1,IF(INDEX(TimeEntry[WkEnd],ROW()-1)  =  INDEX(TimeEntry[WkEnd],ROW()-2),    INDEX(TimeEntry[format],ROW()-2),    INDEX(TimeEntry[format],ROW()-2)    +1)),2)</f>
        <v>0.10000000000000009</v>
      </c>
      <c r="B16" s="7">
        <v>44174.500486111108</v>
      </c>
      <c r="C16" s="8">
        <v>44174</v>
      </c>
      <c r="D16" s="8" t="s">
        <v>100</v>
      </c>
      <c r="E16" s="1" t="s">
        <v>442</v>
      </c>
      <c r="F16" s="8">
        <f>IF(TimeEntry[[#This Row],[Date]]=0,F2,C16+(7-Q16))</f>
        <v>44178</v>
      </c>
      <c r="G16" s="35" t="str">
        <f>INDEX(projects[Charge_Code],MATCH(TimeEntry[[#This Row],[Project_ID]],projects[Project_ID],0))</f>
        <v>210035-65 MC VBB WP1: DO-nota West (25-050)</v>
      </c>
      <c r="H16" s="1" t="str">
        <f t="shared" si="3"/>
        <v>Normal Time</v>
      </c>
      <c r="I16" s="1" t="s">
        <v>691</v>
      </c>
      <c r="J16" s="15"/>
      <c r="K16" s="15"/>
      <c r="L16" s="15">
        <v>1.5</v>
      </c>
      <c r="M16" s="15"/>
      <c r="N16" s="15"/>
      <c r="O16" s="15" t="str">
        <f>INDEX(projects[job number],MATCH(TimeEntry[[#This Row],[Project_ID]], projects[Project_ID],0))</f>
        <v>210035-65</v>
      </c>
      <c r="P16" s="15" t="str">
        <f>INDEX(projects[Project_Name],MATCH(TimeEntry[[#This Row],[Project_ID]], projects[Project_ID],0))</f>
        <v>MC VBB WP1: DO-nota West</v>
      </c>
      <c r="Q16" s="6">
        <f>IF(TimeEntry[[#This Row],[Date]]=0,"",WEEKDAY(C16,2))</f>
        <v>3</v>
      </c>
      <c r="R16" s="9">
        <f>YEAR(TimeEntry[[#This Row],[WkEnd]])</f>
        <v>2020</v>
      </c>
      <c r="S16" s="9">
        <f>WEEKNUM(TimeEntry[[#This Row],[WkEnd]])</f>
        <v>51</v>
      </c>
      <c r="T16" s="9" t="str">
        <f>TimeEntry[[#This Row],[Year]]&amp;"-"&amp;TimeEntry[[#This Row],[WkNo]]</f>
        <v>2020-51</v>
      </c>
    </row>
    <row r="17" spans="1:22" x14ac:dyDescent="0.25">
      <c r="A17" s="6">
        <f>MOD(IF(ROW()=2,0.1,IF(INDEX(TimeEntry[WkEnd],ROW()-1)  =  INDEX(TimeEntry[WkEnd],ROW()-2),    INDEX(TimeEntry[format],ROW()-2),    INDEX(TimeEntry[format],ROW()-2)    +1)),2)</f>
        <v>0.10000000000000009</v>
      </c>
      <c r="B17" s="7">
        <v>44174.500486111108</v>
      </c>
      <c r="C17" s="8">
        <v>44174</v>
      </c>
      <c r="D17" s="8" t="s">
        <v>100</v>
      </c>
      <c r="E17" s="1" t="s">
        <v>442</v>
      </c>
      <c r="F17" s="8">
        <f>IF(TimeEntry[[#This Row],[Date]]=0,F2,C17+(7-Q17))</f>
        <v>44178</v>
      </c>
      <c r="G17" s="35" t="str">
        <f>INDEX(projects[Charge_Code],MATCH(TimeEntry[[#This Row],[Project_ID]],projects[Project_ID],0))</f>
        <v>210035-65 MC VBB WP1: DO-nota West (25-050)</v>
      </c>
      <c r="H17" s="1" t="str">
        <f t="shared" si="3"/>
        <v>Normal Time</v>
      </c>
      <c r="I17" s="1" t="s">
        <v>690</v>
      </c>
      <c r="J17" s="15"/>
      <c r="K17" s="15"/>
      <c r="L17" s="15">
        <v>2</v>
      </c>
      <c r="M17" s="15"/>
      <c r="N17" s="15"/>
      <c r="O17" s="15" t="str">
        <f>INDEX(projects[job number],MATCH(TimeEntry[[#This Row],[Project_ID]], projects[Project_ID],0))</f>
        <v>210035-65</v>
      </c>
      <c r="P17" s="15" t="str">
        <f>INDEX(projects[Project_Name],MATCH(TimeEntry[[#This Row],[Project_ID]], projects[Project_ID],0))</f>
        <v>MC VBB WP1: DO-nota West</v>
      </c>
      <c r="Q17" s="6">
        <f>IF(TimeEntry[[#This Row],[Date]]=0,"",WEEKDAY(C17,2))</f>
        <v>3</v>
      </c>
      <c r="R17" s="9">
        <f>YEAR(TimeEntry[[#This Row],[WkEnd]])</f>
        <v>2020</v>
      </c>
      <c r="S17" s="9">
        <f>WEEKNUM(TimeEntry[[#This Row],[WkEnd]])</f>
        <v>51</v>
      </c>
      <c r="T17" s="9" t="str">
        <f>TimeEntry[[#This Row],[Year]]&amp;"-"&amp;TimeEntry[[#This Row],[WkNo]]</f>
        <v>2020-51</v>
      </c>
    </row>
    <row r="18" spans="1:22" x14ac:dyDescent="0.25">
      <c r="A18" s="6">
        <f>MOD(IF(ROW()=2,0.1,IF(INDEX(TimeEntry[WkEnd],ROW()-1)  =  INDEX(TimeEntry[WkEnd],ROW()-2),    INDEX(TimeEntry[format],ROW()-2),    INDEX(TimeEntry[format],ROW()-2)    +1)),2)</f>
        <v>0.10000000000000009</v>
      </c>
      <c r="B18" s="7">
        <v>44173.500451388885</v>
      </c>
      <c r="C18" s="8">
        <v>44173</v>
      </c>
      <c r="D18" s="8" t="s">
        <v>101</v>
      </c>
      <c r="E18" s="1" t="s">
        <v>441</v>
      </c>
      <c r="F18" s="8">
        <f>IF(TimeEntry[[#This Row],[Date]]=0,F2,C18+(7-Q18))</f>
        <v>44178</v>
      </c>
      <c r="G18" s="35" t="str">
        <f>INDEX(projects[Charge_Code],MATCH(TimeEntry[[#This Row],[Project_ID]],projects[Project_ID],0))</f>
        <v>TRAINING (In-house training)</v>
      </c>
      <c r="H18" s="1" t="str">
        <f t="shared" si="3"/>
        <v>Normal Time</v>
      </c>
      <c r="I18" s="1" t="s">
        <v>689</v>
      </c>
      <c r="J18" s="15"/>
      <c r="K18" s="15">
        <v>7.5</v>
      </c>
      <c r="L18" s="15"/>
      <c r="M18" s="15"/>
      <c r="N18" s="15"/>
      <c r="O18" s="15">
        <f>INDEX(projects[job number],MATCH(TimeEntry[[#This Row],[Project_ID]], projects[Project_ID],0))</f>
        <v>0</v>
      </c>
      <c r="P18" s="15" t="str">
        <f>INDEX(projects[Project_Name],MATCH(TimeEntry[[#This Row],[Project_ID]], projects[Project_ID],0))</f>
        <v>TRAINING (In-house training)</v>
      </c>
      <c r="Q18" s="6">
        <f>IF(TimeEntry[[#This Row],[Date]]=0,"",WEEKDAY(C18,2))</f>
        <v>2</v>
      </c>
      <c r="R18" s="9">
        <f>YEAR(TimeEntry[[#This Row],[WkEnd]])</f>
        <v>2020</v>
      </c>
      <c r="S18" s="9">
        <f>WEEKNUM(TimeEntry[[#This Row],[WkEnd]])</f>
        <v>51</v>
      </c>
      <c r="T18" s="9" t="str">
        <f>TimeEntry[[#This Row],[Year]]&amp;"-"&amp;TimeEntry[[#This Row],[WkNo]]</f>
        <v>2020-51</v>
      </c>
    </row>
    <row r="19" spans="1:22" x14ac:dyDescent="0.25">
      <c r="A19" s="6">
        <f>MOD(IF(ROW()=2,0.1,IF(INDEX(TimeEntry[WkEnd],ROW()-1)  =  INDEX(TimeEntry[WkEnd],ROW()-2),    INDEX(TimeEntry[format],ROW()-2),    INDEX(TimeEntry[format],ROW()-2)    +1)),2)</f>
        <v>0.10000000000000009</v>
      </c>
      <c r="B19" s="7">
        <v>44172.667997685188</v>
      </c>
      <c r="C19" s="8">
        <v>44172</v>
      </c>
      <c r="D19" s="8" t="s">
        <v>104</v>
      </c>
      <c r="E19" s="1" t="s">
        <v>442</v>
      </c>
      <c r="F19" s="8">
        <f>IF(TimeEntry[[#This Row],[Date]]=0,F2,C19+(7-Q19))</f>
        <v>44178</v>
      </c>
      <c r="G19" s="35" t="str">
        <f>INDEX(projects[Charge_Code],MATCH(TimeEntry[[#This Row],[Project_ID]],projects[Project_ID],0))</f>
        <v>210035-65 MC VBB WP1: DO-nota West (25-050)</v>
      </c>
      <c r="H19" s="1" t="str">
        <f t="shared" si="3"/>
        <v>Normal Time</v>
      </c>
      <c r="I19" s="1" t="s">
        <v>688</v>
      </c>
      <c r="J19" s="15">
        <v>5.5</v>
      </c>
      <c r="K19" s="15"/>
      <c r="L19" s="15"/>
      <c r="M19" s="15"/>
      <c r="N19" s="15"/>
      <c r="O19" s="15" t="str">
        <f>INDEX(projects[job number],MATCH(TimeEntry[[#This Row],[Project_ID]], projects[Project_ID],0))</f>
        <v>210035-65</v>
      </c>
      <c r="P19" s="15" t="str">
        <f>INDEX(projects[Project_Name],MATCH(TimeEntry[[#This Row],[Project_ID]], projects[Project_ID],0))</f>
        <v>MC VBB WP1: DO-nota West</v>
      </c>
      <c r="Q19" s="6">
        <f>IF(TimeEntry[[#This Row],[Date]]=0,"",WEEKDAY(C19,2))</f>
        <v>1</v>
      </c>
      <c r="R19" s="9">
        <f>YEAR(TimeEntry[[#This Row],[WkEnd]])</f>
        <v>2020</v>
      </c>
      <c r="S19" s="9">
        <f>WEEKNUM(TimeEntry[[#This Row],[WkEnd]])</f>
        <v>51</v>
      </c>
      <c r="T19" s="9" t="str">
        <f>TimeEntry[[#This Row],[Year]]&amp;"-"&amp;TimeEntry[[#This Row],[WkNo]]</f>
        <v>2020-51</v>
      </c>
    </row>
    <row r="20" spans="1:22" x14ac:dyDescent="0.25">
      <c r="A20" s="6">
        <f>MOD(IF(ROW()=2,0.1,IF(INDEX(TimeEntry[WkEnd],ROW()-1)  =  INDEX(TimeEntry[WkEnd],ROW()-2),    INDEX(TimeEntry[format],ROW()-2),    INDEX(TimeEntry[format],ROW()-2)    +1)),2)</f>
        <v>0.10000000000000009</v>
      </c>
      <c r="B20" s="7">
        <v>44172.667997685188</v>
      </c>
      <c r="C20" s="8">
        <v>44172</v>
      </c>
      <c r="D20" s="8" t="s">
        <v>104</v>
      </c>
      <c r="E20" s="1" t="s">
        <v>676</v>
      </c>
      <c r="F20" s="8">
        <f>IF(TimeEntry[[#This Row],[Date]]=0,F2,C20+(7-Q20))</f>
        <v>44178</v>
      </c>
      <c r="G20" s="35" t="str">
        <f>INDEX(projects[Charge_Code],MATCH(TimeEntry[[#This Row],[Project_ID]],projects[Project_ID],0))</f>
        <v>074097-29 BCST Appraisal (01-124)</v>
      </c>
      <c r="H20" s="1" t="str">
        <f t="shared" si="3"/>
        <v>Normal Time</v>
      </c>
      <c r="I20" s="1" t="s">
        <v>687</v>
      </c>
      <c r="J20" s="15">
        <v>2</v>
      </c>
      <c r="K20" s="15"/>
      <c r="L20" s="15"/>
      <c r="M20" s="15"/>
      <c r="N20" s="15"/>
      <c r="O20" s="15" t="str">
        <f>INDEX(projects[job number],MATCH(TimeEntry[[#This Row],[Project_ID]], projects[Project_ID],0))</f>
        <v>074097-29</v>
      </c>
      <c r="P20" s="15" t="str">
        <f>INDEX(projects[Project_Name],MATCH(TimeEntry[[#This Row],[Project_ID]], projects[Project_ID],0))</f>
        <v>BCST Appraisal</v>
      </c>
      <c r="Q20" s="6">
        <f>IF(TimeEntry[[#This Row],[Date]]=0,"",WEEKDAY(C20,2))</f>
        <v>1</v>
      </c>
      <c r="R20" s="9">
        <f>YEAR(TimeEntry[[#This Row],[WkEnd]])</f>
        <v>2020</v>
      </c>
      <c r="S20" s="9">
        <f>WEEKNUM(TimeEntry[[#This Row],[WkEnd]])</f>
        <v>51</v>
      </c>
      <c r="T20" s="9" t="str">
        <f>TimeEntry[[#This Row],[Year]]&amp;"-"&amp;TimeEntry[[#This Row],[WkNo]]</f>
        <v>2020-51</v>
      </c>
      <c r="V20" s="28"/>
    </row>
    <row r="21" spans="1:22" x14ac:dyDescent="0.25">
      <c r="A21" s="6">
        <f>MOD(IF(ROW()=2,0.1,IF(INDEX(TimeEntry[WkEnd],ROW()-1)  =  INDEX(TimeEntry[WkEnd],ROW()-2),    INDEX(TimeEntry[format],ROW()-2),    INDEX(TimeEntry[format],ROW()-2)    +1)),2)</f>
        <v>1.1000000000000001</v>
      </c>
      <c r="B21" s="7">
        <v>44169.671168981484</v>
      </c>
      <c r="C21" s="8">
        <v>44169</v>
      </c>
      <c r="D21" s="8" t="s">
        <v>106</v>
      </c>
      <c r="E21" s="1" t="s">
        <v>442</v>
      </c>
      <c r="F21" s="8">
        <f>IF(TimeEntry[[#This Row],[Date]]=0,F2,C21+(7-Q21))</f>
        <v>44171</v>
      </c>
      <c r="G21" s="35" t="str">
        <f>INDEX(projects[Charge_Code],MATCH(TimeEntry[[#This Row],[Project_ID]],projects[Project_ID],0))</f>
        <v>210035-65 MC VBB WP1: DO-nota West (25-050)</v>
      </c>
      <c r="H21" s="1" t="str">
        <f t="shared" ref="H21:H26" si="4">"Normal Time"</f>
        <v>Normal Time</v>
      </c>
      <c r="I21" s="1" t="s">
        <v>686</v>
      </c>
      <c r="J21" s="15"/>
      <c r="K21" s="15"/>
      <c r="L21" s="15"/>
      <c r="M21" s="15"/>
      <c r="N21" s="15">
        <v>4.5</v>
      </c>
      <c r="O21" s="15" t="str">
        <f>INDEX(projects[job number],MATCH(TimeEntry[[#This Row],[Project_ID]], projects[Project_ID],0))</f>
        <v>210035-65</v>
      </c>
      <c r="P21" s="15" t="str">
        <f>INDEX(projects[Project_Name],MATCH(TimeEntry[[#This Row],[Project_ID]], projects[Project_ID],0))</f>
        <v>MC VBB WP1: DO-nota West</v>
      </c>
      <c r="Q21" s="6">
        <f>IF(TimeEntry[[#This Row],[Date]]=0,"",WEEKDAY(C21,2))</f>
        <v>5</v>
      </c>
      <c r="R21" s="9">
        <f>YEAR(TimeEntry[[#This Row],[WkEnd]])</f>
        <v>2020</v>
      </c>
      <c r="S21" s="9">
        <f>WEEKNUM(TimeEntry[[#This Row],[WkEnd]])</f>
        <v>50</v>
      </c>
      <c r="T21" s="9" t="str">
        <f>TimeEntry[[#This Row],[Year]]&amp;"-"&amp;TimeEntry[[#This Row],[WkNo]]</f>
        <v>2020-50</v>
      </c>
    </row>
    <row r="22" spans="1:22" x14ac:dyDescent="0.25">
      <c r="A22" s="6">
        <f>MOD(IF(ROW()=2,0.1,IF(INDEX(TimeEntry[WkEnd],ROW()-1)  =  INDEX(TimeEntry[WkEnd],ROW()-2),    INDEX(TimeEntry[format],ROW()-2),    INDEX(TimeEntry[format],ROW()-2)    +1)),2)</f>
        <v>1.1000000000000001</v>
      </c>
      <c r="B22" s="7">
        <v>44169.501307870371</v>
      </c>
      <c r="C22" s="8">
        <v>44169</v>
      </c>
      <c r="D22" s="8" t="s">
        <v>106</v>
      </c>
      <c r="E22" s="1" t="s">
        <v>442</v>
      </c>
      <c r="F22" s="8">
        <f>IF(TimeEntry[[#This Row],[Date]]=0,F2,C22+(7-Q22))</f>
        <v>44171</v>
      </c>
      <c r="G22" s="35" t="str">
        <f>INDEX(projects[Charge_Code],MATCH(TimeEntry[[#This Row],[Project_ID]],projects[Project_ID],0))</f>
        <v>210035-65 MC VBB WP1: DO-nota West (25-050)</v>
      </c>
      <c r="H22" s="1" t="str">
        <f t="shared" si="4"/>
        <v>Normal Time</v>
      </c>
      <c r="I22" s="1" t="s">
        <v>683</v>
      </c>
      <c r="J22" s="15"/>
      <c r="K22" s="15"/>
      <c r="L22" s="15"/>
      <c r="M22" s="15"/>
      <c r="N22" s="15">
        <v>3</v>
      </c>
      <c r="O22" s="15" t="str">
        <f>INDEX(projects[job number],MATCH(TimeEntry[[#This Row],[Project_ID]], projects[Project_ID],0))</f>
        <v>210035-65</v>
      </c>
      <c r="P22" s="15" t="str">
        <f>INDEX(projects[Project_Name],MATCH(TimeEntry[[#This Row],[Project_ID]], projects[Project_ID],0))</f>
        <v>MC VBB WP1: DO-nota West</v>
      </c>
      <c r="Q22" s="6">
        <f>IF(TimeEntry[[#This Row],[Date]]=0,"",WEEKDAY(C22,2))</f>
        <v>5</v>
      </c>
      <c r="R22" s="9">
        <f>YEAR(TimeEntry[[#This Row],[WkEnd]])</f>
        <v>2020</v>
      </c>
      <c r="S22" s="9">
        <f>WEEKNUM(TimeEntry[[#This Row],[WkEnd]])</f>
        <v>50</v>
      </c>
      <c r="T22" s="9" t="str">
        <f>TimeEntry[[#This Row],[Year]]&amp;"-"&amp;TimeEntry[[#This Row],[WkNo]]</f>
        <v>2020-50</v>
      </c>
    </row>
    <row r="23" spans="1:22" x14ac:dyDescent="0.25">
      <c r="A23" s="6">
        <f>MOD(IF(ROW()=2,0.1,IF(INDEX(TimeEntry[WkEnd],ROW()-1)  =  INDEX(TimeEntry[WkEnd],ROW()-2),    INDEX(TimeEntry[format],ROW()-2),    INDEX(TimeEntry[format],ROW()-2)    +1)),2)</f>
        <v>1.1000000000000001</v>
      </c>
      <c r="B23" s="7">
        <v>44168.668043981481</v>
      </c>
      <c r="C23" s="8">
        <v>44168</v>
      </c>
      <c r="D23" s="8" t="s">
        <v>102</v>
      </c>
      <c r="E23" s="1" t="s">
        <v>442</v>
      </c>
      <c r="F23" s="8">
        <f>IF(TimeEntry[[#This Row],[Date]]=0,F2,C23+(7-Q23))</f>
        <v>44171</v>
      </c>
      <c r="G23" s="35" t="str">
        <f>INDEX(projects[Charge_Code],MATCH(TimeEntry[[#This Row],[Project_ID]],projects[Project_ID],0))</f>
        <v>210035-65 MC VBB WP1: DO-nota West (25-050)</v>
      </c>
      <c r="H23" s="1" t="str">
        <f t="shared" si="4"/>
        <v>Normal Time</v>
      </c>
      <c r="I23" s="1" t="s">
        <v>682</v>
      </c>
      <c r="J23" s="15"/>
      <c r="K23" s="15"/>
      <c r="L23" s="15"/>
      <c r="M23" s="15">
        <v>3</v>
      </c>
      <c r="N23" s="15"/>
      <c r="O23" s="15" t="str">
        <f>INDEX(projects[job number],MATCH(TimeEntry[[#This Row],[Project_ID]], projects[Project_ID],0))</f>
        <v>210035-65</v>
      </c>
      <c r="P23" s="15" t="str">
        <f>INDEX(projects[Project_Name],MATCH(TimeEntry[[#This Row],[Project_ID]], projects[Project_ID],0))</f>
        <v>MC VBB WP1: DO-nota West</v>
      </c>
      <c r="Q23" s="6">
        <f>IF(TimeEntry[[#This Row],[Date]]=0,"",WEEKDAY(C23,2))</f>
        <v>4</v>
      </c>
      <c r="R23" s="9">
        <f>YEAR(TimeEntry[[#This Row],[WkEnd]])</f>
        <v>2020</v>
      </c>
      <c r="S23" s="9">
        <f>WEEKNUM(TimeEntry[[#This Row],[WkEnd]])</f>
        <v>50</v>
      </c>
      <c r="T23" s="9" t="str">
        <f>TimeEntry[[#This Row],[Year]]&amp;"-"&amp;TimeEntry[[#This Row],[WkNo]]</f>
        <v>2020-50</v>
      </c>
    </row>
    <row r="24" spans="1:22" x14ac:dyDescent="0.25">
      <c r="A24" s="6">
        <f>MOD(IF(ROW()=2,0.1,IF(INDEX(TimeEntry[WkEnd],ROW()-1)  =  INDEX(TimeEntry[WkEnd],ROW()-2),    INDEX(TimeEntry[format],ROW()-2),    INDEX(TimeEntry[format],ROW()-2)    +1)),2)</f>
        <v>1.1000000000000001</v>
      </c>
      <c r="B24" s="7">
        <v>44168.501828703702</v>
      </c>
      <c r="C24" s="8">
        <v>44168</v>
      </c>
      <c r="D24" s="8" t="s">
        <v>102</v>
      </c>
      <c r="E24" s="1" t="s">
        <v>676</v>
      </c>
      <c r="F24" s="8">
        <f>IF(TimeEntry[[#This Row],[Date]]=0,F2,C24+(7-Q24))</f>
        <v>44171</v>
      </c>
      <c r="G24" s="35" t="str">
        <f>INDEX(projects[Charge_Code],MATCH(TimeEntry[[#This Row],[Project_ID]],projects[Project_ID],0))</f>
        <v>074097-29 BCST Appraisal (01-124)</v>
      </c>
      <c r="H24" s="1" t="str">
        <f t="shared" si="4"/>
        <v>Normal Time</v>
      </c>
      <c r="I24" s="1" t="s">
        <v>685</v>
      </c>
      <c r="J24" s="15"/>
      <c r="K24" s="15"/>
      <c r="L24" s="15"/>
      <c r="M24" s="15">
        <v>1.5</v>
      </c>
      <c r="N24" s="15"/>
      <c r="O24" s="15" t="str">
        <f>INDEX(projects[job number],MATCH(TimeEntry[[#This Row],[Project_ID]], projects[Project_ID],0))</f>
        <v>074097-29</v>
      </c>
      <c r="P24" s="15" t="str">
        <f>INDEX(projects[Project_Name],MATCH(TimeEntry[[#This Row],[Project_ID]], projects[Project_ID],0))</f>
        <v>BCST Appraisal</v>
      </c>
      <c r="Q24" s="6">
        <f>IF(TimeEntry[[#This Row],[Date]]=0,"",WEEKDAY(C24,2))</f>
        <v>4</v>
      </c>
      <c r="R24" s="9">
        <f>YEAR(TimeEntry[[#This Row],[WkEnd]])</f>
        <v>2020</v>
      </c>
      <c r="S24" s="9">
        <f>WEEKNUM(TimeEntry[[#This Row],[WkEnd]])</f>
        <v>50</v>
      </c>
      <c r="T24" s="9" t="str">
        <f>TimeEntry[[#This Row],[Year]]&amp;"-"&amp;TimeEntry[[#This Row],[WkNo]]</f>
        <v>2020-50</v>
      </c>
    </row>
    <row r="25" spans="1:22" x14ac:dyDescent="0.25">
      <c r="A25" s="6">
        <f>MOD(IF(ROW()=2,0.1,IF(INDEX(TimeEntry[WkEnd],ROW()-1)  =  INDEX(TimeEntry[WkEnd],ROW()-2),    INDEX(TimeEntry[format],ROW()-2),    INDEX(TimeEntry[format],ROW()-2)    +1)),2)</f>
        <v>1.1000000000000001</v>
      </c>
      <c r="B25" s="7">
        <v>44168.501828703702</v>
      </c>
      <c r="C25" s="8">
        <v>44168</v>
      </c>
      <c r="D25" s="8" t="s">
        <v>102</v>
      </c>
      <c r="E25" s="1" t="s">
        <v>442</v>
      </c>
      <c r="F25" s="8">
        <f>IF(TimeEntry[[#This Row],[Date]]=0,F2,C25+(7-Q25))</f>
        <v>44171</v>
      </c>
      <c r="G25" s="35" t="str">
        <f>INDEX(projects[Charge_Code],MATCH(TimeEntry[[#This Row],[Project_ID]],projects[Project_ID],0))</f>
        <v>210035-65 MC VBB WP1: DO-nota West (25-050)</v>
      </c>
      <c r="H25" s="1" t="str">
        <f t="shared" si="4"/>
        <v>Normal Time</v>
      </c>
      <c r="I25" s="1" t="s">
        <v>681</v>
      </c>
      <c r="J25" s="15"/>
      <c r="K25" s="15"/>
      <c r="L25" s="15"/>
      <c r="M25" s="15">
        <v>3</v>
      </c>
      <c r="N25" s="15"/>
      <c r="O25" s="15" t="str">
        <f>INDEX(projects[job number],MATCH(TimeEntry[[#This Row],[Project_ID]], projects[Project_ID],0))</f>
        <v>210035-65</v>
      </c>
      <c r="P25" s="15" t="str">
        <f>INDEX(projects[Project_Name],MATCH(TimeEntry[[#This Row],[Project_ID]], projects[Project_ID],0))</f>
        <v>MC VBB WP1: DO-nota West</v>
      </c>
      <c r="Q25" s="6">
        <f>IF(TimeEntry[[#This Row],[Date]]=0,"",WEEKDAY(C25,2))</f>
        <v>4</v>
      </c>
      <c r="R25" s="9">
        <f>YEAR(TimeEntry[[#This Row],[WkEnd]])</f>
        <v>2020</v>
      </c>
      <c r="S25" s="9">
        <f>WEEKNUM(TimeEntry[[#This Row],[WkEnd]])</f>
        <v>50</v>
      </c>
      <c r="T25" s="9" t="str">
        <f>TimeEntry[[#This Row],[Year]]&amp;"-"&amp;TimeEntry[[#This Row],[WkNo]]</f>
        <v>2020-50</v>
      </c>
    </row>
    <row r="26" spans="1:22" x14ac:dyDescent="0.25">
      <c r="A26" s="6">
        <f>MOD(IF(ROW()=2,0.1,IF(INDEX(TimeEntry[WkEnd],ROW()-1)  =  INDEX(TimeEntry[WkEnd],ROW()-2),    INDEX(TimeEntry[format],ROW()-2),    INDEX(TimeEntry[format],ROW()-2)    +1)),2)</f>
        <v>1.1000000000000001</v>
      </c>
      <c r="B26" s="7">
        <v>44167.667048611111</v>
      </c>
      <c r="C26" s="8">
        <v>44167</v>
      </c>
      <c r="D26" s="8" t="s">
        <v>100</v>
      </c>
      <c r="E26" s="1" t="s">
        <v>442</v>
      </c>
      <c r="F26" s="8">
        <f>IF(TimeEntry[[#This Row],[Date]]=0,F2,C26+(7-Q26))</f>
        <v>44171</v>
      </c>
      <c r="G26" s="35" t="str">
        <f>INDEX(projects[Charge_Code],MATCH(TimeEntry[[#This Row],[Project_ID]],projects[Project_ID],0))</f>
        <v>210035-65 MC VBB WP1: DO-nota West (25-050)</v>
      </c>
      <c r="H26" s="1" t="str">
        <f t="shared" si="4"/>
        <v>Normal Time</v>
      </c>
      <c r="I26" s="1" t="s">
        <v>680</v>
      </c>
      <c r="J26" s="15"/>
      <c r="K26" s="15"/>
      <c r="L26" s="15">
        <v>3</v>
      </c>
      <c r="M26" s="15"/>
      <c r="N26" s="15"/>
      <c r="O26" s="15" t="str">
        <f>INDEX(projects[job number],MATCH(TimeEntry[[#This Row],[Project_ID]], projects[Project_ID],0))</f>
        <v>210035-65</v>
      </c>
      <c r="P26" s="15" t="str">
        <f>INDEX(projects[Project_Name],MATCH(TimeEntry[[#This Row],[Project_ID]], projects[Project_ID],0))</f>
        <v>MC VBB WP1: DO-nota West</v>
      </c>
      <c r="Q26" s="6">
        <f>IF(TimeEntry[[#This Row],[Date]]=0,"",WEEKDAY(C26,2))</f>
        <v>3</v>
      </c>
      <c r="R26" s="9">
        <f>YEAR(TimeEntry[[#This Row],[WkEnd]])</f>
        <v>2020</v>
      </c>
      <c r="S26" s="9">
        <f>WEEKNUM(TimeEntry[[#This Row],[WkEnd]])</f>
        <v>50</v>
      </c>
      <c r="T26" s="9" t="str">
        <f>TimeEntry[[#This Row],[Year]]&amp;"-"&amp;TimeEntry[[#This Row],[WkNo]]</f>
        <v>2020-50</v>
      </c>
    </row>
    <row r="27" spans="1:22" x14ac:dyDescent="0.25">
      <c r="A27" s="6">
        <f>MOD(IF(ROW()=2,0.1,IF(INDEX(TimeEntry[WkEnd],ROW()-1)  =  INDEX(TimeEntry[WkEnd],ROW()-2),    INDEX(TimeEntry[format],ROW()-2),    INDEX(TimeEntry[format],ROW()-2)    +1)),2)</f>
        <v>1.1000000000000001</v>
      </c>
      <c r="B27" s="7">
        <v>44167.500636574077</v>
      </c>
      <c r="C27" s="8">
        <v>44167</v>
      </c>
      <c r="D27" s="8" t="s">
        <v>100</v>
      </c>
      <c r="E27" s="1" t="s">
        <v>442</v>
      </c>
      <c r="F27" s="8">
        <f>IF(TimeEntry[[#This Row],[Date]]=0,F2,C27+(7-Q27))</f>
        <v>44171</v>
      </c>
      <c r="G27" s="35" t="str">
        <f>INDEX(projects[Charge_Code],MATCH(TimeEntry[[#This Row],[Project_ID]],projects[Project_ID],0))</f>
        <v>210035-65 MC VBB WP1: DO-nota West (25-050)</v>
      </c>
      <c r="H27" s="1" t="str">
        <f t="shared" ref="H27:H32" si="5">"Normal Time"</f>
        <v>Normal Time</v>
      </c>
      <c r="I27" s="1" t="s">
        <v>651</v>
      </c>
      <c r="J27" s="15"/>
      <c r="K27" s="15"/>
      <c r="L27" s="15">
        <v>1</v>
      </c>
      <c r="M27" s="15"/>
      <c r="N27" s="15"/>
      <c r="O27" s="15" t="str">
        <f>INDEX(projects[job number],MATCH(TimeEntry[[#This Row],[Project_ID]], projects[Project_ID],0))</f>
        <v>210035-65</v>
      </c>
      <c r="P27" s="15" t="str">
        <f>INDEX(projects[Project_Name],MATCH(TimeEntry[[#This Row],[Project_ID]], projects[Project_ID],0))</f>
        <v>MC VBB WP1: DO-nota West</v>
      </c>
      <c r="Q27" s="6">
        <f>IF(TimeEntry[[#This Row],[Date]]=0,"",WEEKDAY(C27,2))</f>
        <v>3</v>
      </c>
      <c r="R27" s="9">
        <f>YEAR(TimeEntry[[#This Row],[WkEnd]])</f>
        <v>2020</v>
      </c>
      <c r="S27" s="9">
        <f>WEEKNUM(TimeEntry[[#This Row],[WkEnd]])</f>
        <v>50</v>
      </c>
      <c r="T27" s="9" t="str">
        <f>TimeEntry[[#This Row],[Year]]&amp;"-"&amp;TimeEntry[[#This Row],[WkNo]]</f>
        <v>2020-50</v>
      </c>
    </row>
    <row r="28" spans="1:22" x14ac:dyDescent="0.25">
      <c r="A28" s="6">
        <f>MOD(IF(ROW()=2,0.1,IF(INDEX(TimeEntry[WkEnd],ROW()-1)  =  INDEX(TimeEntry[WkEnd],ROW()-2),    INDEX(TimeEntry[format],ROW()-2),    INDEX(TimeEntry[format],ROW()-2)    +1)),2)</f>
        <v>1.1000000000000001</v>
      </c>
      <c r="B28" s="7">
        <v>44167.500636574077</v>
      </c>
      <c r="C28" s="8">
        <v>44167</v>
      </c>
      <c r="D28" s="8" t="s">
        <v>100</v>
      </c>
      <c r="E28" s="1" t="s">
        <v>442</v>
      </c>
      <c r="F28" s="8">
        <f>IF(TimeEntry[[#This Row],[Date]]=0,F2,C28+(7-Q28))</f>
        <v>44171</v>
      </c>
      <c r="G28" s="35" t="str">
        <f>INDEX(projects[Charge_Code],MATCH(TimeEntry[[#This Row],[Project_ID]],projects[Project_ID],0))</f>
        <v>210035-65 MC VBB WP1: DO-nota West (25-050)</v>
      </c>
      <c r="H28" s="1" t="str">
        <f t="shared" si="5"/>
        <v>Normal Time</v>
      </c>
      <c r="I28" s="1" t="s">
        <v>679</v>
      </c>
      <c r="J28" s="15"/>
      <c r="K28" s="15"/>
      <c r="L28" s="15">
        <v>3.5</v>
      </c>
      <c r="M28" s="15"/>
      <c r="N28" s="15"/>
      <c r="O28" s="15" t="str">
        <f>INDEX(projects[job number],MATCH(TimeEntry[[#This Row],[Project_ID]], projects[Project_ID],0))</f>
        <v>210035-65</v>
      </c>
      <c r="P28" s="15" t="str">
        <f>INDEX(projects[Project_Name],MATCH(TimeEntry[[#This Row],[Project_ID]], projects[Project_ID],0))</f>
        <v>MC VBB WP1: DO-nota West</v>
      </c>
      <c r="Q28" s="6">
        <f>IF(TimeEntry[[#This Row],[Date]]=0,"",WEEKDAY(C28,2))</f>
        <v>3</v>
      </c>
      <c r="R28" s="9">
        <f>YEAR(TimeEntry[[#This Row],[WkEnd]])</f>
        <v>2020</v>
      </c>
      <c r="S28" s="9">
        <f>WEEKNUM(TimeEntry[[#This Row],[WkEnd]])</f>
        <v>50</v>
      </c>
      <c r="T28" s="9" t="str">
        <f>TimeEntry[[#This Row],[Year]]&amp;"-"&amp;TimeEntry[[#This Row],[WkNo]]</f>
        <v>2020-50</v>
      </c>
    </row>
    <row r="29" spans="1:22" x14ac:dyDescent="0.25">
      <c r="A29" s="6">
        <f>MOD(IF(ROW()=2,0.1,IF(INDEX(TimeEntry[WkEnd],ROW()-1)  =  INDEX(TimeEntry[WkEnd],ROW()-2),    INDEX(TimeEntry[format],ROW()-2),    INDEX(TimeEntry[format],ROW()-2)    +1)),2)</f>
        <v>1.1000000000000001</v>
      </c>
      <c r="B29" s="7">
        <v>44166.667581018519</v>
      </c>
      <c r="C29" s="8">
        <v>44166</v>
      </c>
      <c r="D29" s="8" t="s">
        <v>101</v>
      </c>
      <c r="E29" s="1" t="s">
        <v>678</v>
      </c>
      <c r="F29" s="8">
        <f>IF(TimeEntry[[#This Row],[Date]]=0,F2,C29+(7-Q29))</f>
        <v>44171</v>
      </c>
      <c r="G29" s="35" t="str">
        <f>INDEX(projects[Charge_Code],MATCH(TimeEntry[[#This Row],[Project_ID]],projects[Project_ID],0))</f>
        <v>000000-00 bcst</v>
      </c>
      <c r="H29" s="1" t="str">
        <f t="shared" si="5"/>
        <v>Normal Time</v>
      </c>
      <c r="I29" s="1" t="s">
        <v>673</v>
      </c>
      <c r="J29" s="15"/>
      <c r="K29" s="15"/>
      <c r="L29" s="15"/>
      <c r="M29" s="15"/>
      <c r="N29" s="15"/>
      <c r="O29" s="15" t="str">
        <f>INDEX(projects[job number],MATCH(TimeEntry[[#This Row],[Project_ID]], projects[Project_ID],0))</f>
        <v>000000-00</v>
      </c>
      <c r="P29" s="15" t="str">
        <f>INDEX(projects[Project_Name],MATCH(TimeEntry[[#This Row],[Project_ID]], projects[Project_ID],0))</f>
        <v>bcst</v>
      </c>
      <c r="Q29" s="6">
        <f>IF(TimeEntry[[#This Row],[Date]]=0,"",WEEKDAY(C29,2))</f>
        <v>2</v>
      </c>
      <c r="R29" s="9">
        <f>YEAR(TimeEntry[[#This Row],[WkEnd]])</f>
        <v>2020</v>
      </c>
      <c r="S29" s="9">
        <f>WEEKNUM(TimeEntry[[#This Row],[WkEnd]])</f>
        <v>50</v>
      </c>
      <c r="T29" s="9" t="str">
        <f>TimeEntry[[#This Row],[Year]]&amp;"-"&amp;TimeEntry[[#This Row],[WkNo]]</f>
        <v>2020-50</v>
      </c>
    </row>
    <row r="30" spans="1:22" x14ac:dyDescent="0.25">
      <c r="A30" s="6">
        <f>MOD(IF(ROW()=2,0.1,IF(INDEX(TimeEntry[WkEnd],ROW()-1)  =  INDEX(TimeEntry[WkEnd],ROW()-2),    INDEX(TimeEntry[format],ROW()-2),    INDEX(TimeEntry[format],ROW()-2)    +1)),2)</f>
        <v>1.1000000000000001</v>
      </c>
      <c r="B30" s="7">
        <v>44166.667581018519</v>
      </c>
      <c r="C30" s="8">
        <v>44166</v>
      </c>
      <c r="D30" s="8" t="s">
        <v>101</v>
      </c>
      <c r="E30" s="1" t="s">
        <v>442</v>
      </c>
      <c r="F30" s="8">
        <f>IF(TimeEntry[[#This Row],[Date]]=0,F2,C30+(7-Q30))</f>
        <v>44171</v>
      </c>
      <c r="G30" s="35" t="str">
        <f>INDEX(projects[Charge_Code],MATCH(TimeEntry[[#This Row],[Project_ID]],projects[Project_ID],0))</f>
        <v>210035-65 MC VBB WP1: DO-nota West (25-050)</v>
      </c>
      <c r="H30" s="1" t="str">
        <f t="shared" si="5"/>
        <v>Normal Time</v>
      </c>
      <c r="I30" s="1" t="s">
        <v>672</v>
      </c>
      <c r="J30" s="15"/>
      <c r="K30" s="15">
        <v>7.5</v>
      </c>
      <c r="L30" s="15"/>
      <c r="M30" s="15"/>
      <c r="N30" s="15"/>
      <c r="O30" s="15" t="str">
        <f>INDEX(projects[job number],MATCH(TimeEntry[[#This Row],[Project_ID]], projects[Project_ID],0))</f>
        <v>210035-65</v>
      </c>
      <c r="P30" s="15" t="str">
        <f>INDEX(projects[Project_Name],MATCH(TimeEntry[[#This Row],[Project_ID]], projects[Project_ID],0))</f>
        <v>MC VBB WP1: DO-nota West</v>
      </c>
      <c r="Q30" s="6">
        <f>IF(TimeEntry[[#This Row],[Date]]=0,"",WEEKDAY(C30,2))</f>
        <v>2</v>
      </c>
      <c r="R30" s="9">
        <f>YEAR(TimeEntry[[#This Row],[WkEnd]])</f>
        <v>2020</v>
      </c>
      <c r="S30" s="9">
        <f>WEEKNUM(TimeEntry[[#This Row],[WkEnd]])</f>
        <v>50</v>
      </c>
      <c r="T30" s="9" t="str">
        <f>TimeEntry[[#This Row],[Year]]&amp;"-"&amp;TimeEntry[[#This Row],[WkNo]]</f>
        <v>2020-50</v>
      </c>
    </row>
    <row r="31" spans="1:22" x14ac:dyDescent="0.25">
      <c r="A31" s="6">
        <f>MOD(IF(ROW()=2,0.1,IF(INDEX(TimeEntry[WkEnd],ROW()-1)  =  INDEX(TimeEntry[WkEnd],ROW()-2),    INDEX(TimeEntry[format],ROW()-2),    INDEX(TimeEntry[format],ROW()-2)    +1)),2)</f>
        <v>1.1000000000000001</v>
      </c>
      <c r="B31" s="7">
        <v>44165.57576388889</v>
      </c>
      <c r="C31" s="8">
        <v>44165</v>
      </c>
      <c r="D31" s="8" t="s">
        <v>104</v>
      </c>
      <c r="E31" s="1" t="s">
        <v>442</v>
      </c>
      <c r="F31" s="8">
        <f>IF(TimeEntry[[#This Row],[Date]]=0,F2,C31+(7-Q31))</f>
        <v>44171</v>
      </c>
      <c r="G31" s="35" t="str">
        <f>INDEX(projects[Charge_Code],MATCH(TimeEntry[[#This Row],[Project_ID]],projects[Project_ID],0))</f>
        <v>210035-65 MC VBB WP1: DO-nota West (25-050)</v>
      </c>
      <c r="H31" s="1" t="str">
        <f t="shared" si="5"/>
        <v>Normal Time</v>
      </c>
      <c r="I31" s="1" t="s">
        <v>671</v>
      </c>
      <c r="J31" s="15">
        <v>5.5</v>
      </c>
      <c r="K31" s="15"/>
      <c r="L31" s="15"/>
      <c r="M31" s="15"/>
      <c r="N31" s="15"/>
      <c r="O31" s="15" t="str">
        <f>INDEX(projects[job number],MATCH(TimeEntry[[#This Row],[Project_ID]], projects[Project_ID],0))</f>
        <v>210035-65</v>
      </c>
      <c r="P31" s="15" t="str">
        <f>INDEX(projects[Project_Name],MATCH(TimeEntry[[#This Row],[Project_ID]], projects[Project_ID],0))</f>
        <v>MC VBB WP1: DO-nota West</v>
      </c>
      <c r="Q31" s="6">
        <f>IF(TimeEntry[[#This Row],[Date]]=0,"",WEEKDAY(C31,2))</f>
        <v>1</v>
      </c>
      <c r="R31" s="9">
        <f>YEAR(TimeEntry[[#This Row],[WkEnd]])</f>
        <v>2020</v>
      </c>
      <c r="S31" s="9">
        <f>WEEKNUM(TimeEntry[[#This Row],[WkEnd]])</f>
        <v>50</v>
      </c>
      <c r="T31" s="9" t="str">
        <f>TimeEntry[[#This Row],[Year]]&amp;"-"&amp;TimeEntry[[#This Row],[WkNo]]</f>
        <v>2020-50</v>
      </c>
    </row>
    <row r="32" spans="1:22" x14ac:dyDescent="0.25">
      <c r="A32" s="6">
        <f>MOD(IF(ROW()=2,0.1,IF(INDEX(TimeEntry[WkEnd],ROW()-1)  =  INDEX(TimeEntry[WkEnd],ROW()-2),    INDEX(TimeEntry[format],ROW()-2),    INDEX(TimeEntry[format],ROW()-2)    +1)),2)</f>
        <v>1.1000000000000001</v>
      </c>
      <c r="B32" s="7">
        <v>44165.57576388889</v>
      </c>
      <c r="C32" s="8">
        <v>44165</v>
      </c>
      <c r="D32" s="8" t="s">
        <v>104</v>
      </c>
      <c r="E32" s="1" t="s">
        <v>442</v>
      </c>
      <c r="F32" s="8">
        <f>IF(TimeEntry[[#This Row],[Date]]=0,F2,C32+(7-Q32))</f>
        <v>44171</v>
      </c>
      <c r="G32" s="35" t="str">
        <f>INDEX(projects[Charge_Code],MATCH(TimeEntry[[#This Row],[Project_ID]],projects[Project_ID],0))</f>
        <v>210035-65 MC VBB WP1: DO-nota West (25-050)</v>
      </c>
      <c r="H32" s="1" t="str">
        <f t="shared" si="5"/>
        <v>Normal Time</v>
      </c>
      <c r="I32" s="1" t="s">
        <v>670</v>
      </c>
      <c r="J32" s="15">
        <v>2</v>
      </c>
      <c r="K32" s="15"/>
      <c r="L32" s="15"/>
      <c r="M32" s="15"/>
      <c r="N32" s="15"/>
      <c r="O32" s="15" t="str">
        <f>INDEX(projects[job number],MATCH(TimeEntry[[#This Row],[Project_ID]], projects[Project_ID],0))</f>
        <v>210035-65</v>
      </c>
      <c r="P32" s="15" t="str">
        <f>INDEX(projects[Project_Name],MATCH(TimeEntry[[#This Row],[Project_ID]], projects[Project_ID],0))</f>
        <v>MC VBB WP1: DO-nota West</v>
      </c>
      <c r="Q32" s="6">
        <f>IF(TimeEntry[[#This Row],[Date]]=0,"",WEEKDAY(C32,2))</f>
        <v>1</v>
      </c>
      <c r="R32" s="9">
        <f>YEAR(TimeEntry[[#This Row],[WkEnd]])</f>
        <v>2020</v>
      </c>
      <c r="S32" s="9">
        <f>WEEKNUM(TimeEntry[[#This Row],[WkEnd]])</f>
        <v>50</v>
      </c>
      <c r="T32" s="9" t="str">
        <f>TimeEntry[[#This Row],[Year]]&amp;"-"&amp;TimeEntry[[#This Row],[WkNo]]</f>
        <v>2020-50</v>
      </c>
    </row>
    <row r="33" spans="1:20" x14ac:dyDescent="0.25">
      <c r="A33" s="6">
        <f>MOD(IF(ROW()=2,0.1,IF(INDEX(TimeEntry[WkEnd],ROW()-1)  =  INDEX(TimeEntry[WkEnd],ROW()-2),    INDEX(TimeEntry[format],ROW()-2),    INDEX(TimeEntry[format],ROW()-2)    +1)),2)</f>
        <v>0.10000000000000009</v>
      </c>
      <c r="B33" s="7">
        <v>44162.677812499998</v>
      </c>
      <c r="C33" s="8">
        <v>44162</v>
      </c>
      <c r="D33" s="8" t="s">
        <v>106</v>
      </c>
      <c r="E33" s="1" t="s">
        <v>442</v>
      </c>
      <c r="F33" s="8">
        <f>IF(TimeEntry[[#This Row],[Date]]=0,F2,C33+(7-Q33))</f>
        <v>44164</v>
      </c>
      <c r="G33" s="35" t="str">
        <f>INDEX(projects[Charge_Code],MATCH(TimeEntry[[#This Row],[Project_ID]],projects[Project_ID],0))</f>
        <v>210035-65 MC VBB WP1: DO-nota West (25-050)</v>
      </c>
      <c r="H33" s="1" t="str">
        <f t="shared" ref="H33:H38" si="6">"Normal Time"</f>
        <v>Normal Time</v>
      </c>
      <c r="I33" s="1" t="s">
        <v>668</v>
      </c>
      <c r="J33" s="15"/>
      <c r="K33" s="15"/>
      <c r="L33" s="15"/>
      <c r="M33" s="15"/>
      <c r="N33" s="15">
        <v>2</v>
      </c>
      <c r="O33" s="15" t="str">
        <f>INDEX(projects[job number],MATCH(TimeEntry[[#This Row],[Project_ID]], projects[Project_ID],0))</f>
        <v>210035-65</v>
      </c>
      <c r="P33" s="15" t="str">
        <f>INDEX(projects[Project_Name],MATCH(TimeEntry[[#This Row],[Project_ID]], projects[Project_ID],0))</f>
        <v>MC VBB WP1: DO-nota West</v>
      </c>
      <c r="Q33" s="6">
        <f>IF(TimeEntry[[#This Row],[Date]]=0,"",WEEKDAY(C33,2))</f>
        <v>5</v>
      </c>
      <c r="R33" s="9">
        <f>YEAR(TimeEntry[[#This Row],[WkEnd]])</f>
        <v>2020</v>
      </c>
      <c r="S33" s="9">
        <f>WEEKNUM(TimeEntry[[#This Row],[WkEnd]])</f>
        <v>49</v>
      </c>
      <c r="T33" s="9" t="str">
        <f>TimeEntry[[#This Row],[Year]]&amp;"-"&amp;TimeEntry[[#This Row],[WkNo]]</f>
        <v>2020-49</v>
      </c>
    </row>
    <row r="34" spans="1:20" x14ac:dyDescent="0.25">
      <c r="A34" s="6">
        <f>MOD(IF(ROW()=2,0.1,IF(INDEX(TimeEntry[WkEnd],ROW()-1)  =  INDEX(TimeEntry[WkEnd],ROW()-2),    INDEX(TimeEntry[format],ROW()-2),    INDEX(TimeEntry[format],ROW()-2)    +1)),2)</f>
        <v>0.10000000000000009</v>
      </c>
      <c r="B34" s="7">
        <v>44162.501597222225</v>
      </c>
      <c r="C34" s="8">
        <v>44162</v>
      </c>
      <c r="D34" s="8" t="s">
        <v>106</v>
      </c>
      <c r="E34" s="1" t="s">
        <v>442</v>
      </c>
      <c r="F34" s="8">
        <f>IF(TimeEntry[[#This Row],[Date]]=0,F2,C34+(7-Q34))</f>
        <v>44164</v>
      </c>
      <c r="G34" s="35" t="str">
        <f>INDEX(projects[Charge_Code],MATCH(TimeEntry[[#This Row],[Project_ID]],projects[Project_ID],0))</f>
        <v>210035-65 MC VBB WP1: DO-nota West (25-050)</v>
      </c>
      <c r="H34" s="1" t="str">
        <f t="shared" si="6"/>
        <v>Normal Time</v>
      </c>
      <c r="I34" s="1" t="s">
        <v>667</v>
      </c>
      <c r="J34" s="15"/>
      <c r="K34" s="15"/>
      <c r="L34" s="15"/>
      <c r="M34" s="15"/>
      <c r="N34" s="15">
        <v>1</v>
      </c>
      <c r="O34" s="15" t="str">
        <f>INDEX(projects[job number],MATCH(TimeEntry[[#This Row],[Project_ID]], projects[Project_ID],0))</f>
        <v>210035-65</v>
      </c>
      <c r="P34" s="15" t="str">
        <f>INDEX(projects[Project_Name],MATCH(TimeEntry[[#This Row],[Project_ID]], projects[Project_ID],0))</f>
        <v>MC VBB WP1: DO-nota West</v>
      </c>
      <c r="Q34" s="6">
        <f>IF(TimeEntry[[#This Row],[Date]]=0,"",WEEKDAY(C34,2))</f>
        <v>5</v>
      </c>
      <c r="R34" s="9">
        <f>YEAR(TimeEntry[[#This Row],[WkEnd]])</f>
        <v>2020</v>
      </c>
      <c r="S34" s="9">
        <f>WEEKNUM(TimeEntry[[#This Row],[WkEnd]])</f>
        <v>49</v>
      </c>
      <c r="T34" s="9" t="str">
        <f>TimeEntry[[#This Row],[Year]]&amp;"-"&amp;TimeEntry[[#This Row],[WkNo]]</f>
        <v>2020-49</v>
      </c>
    </row>
    <row r="35" spans="1:20" x14ac:dyDescent="0.25">
      <c r="A35" s="6">
        <f>MOD(IF(ROW()=2,0.1,IF(INDEX(TimeEntry[WkEnd],ROW()-1)  =  INDEX(TimeEntry[WkEnd],ROW()-2),    INDEX(TimeEntry[format],ROW()-2),    INDEX(TimeEntry[format],ROW()-2)    +1)),2)</f>
        <v>0.10000000000000009</v>
      </c>
      <c r="B35" s="7">
        <v>44162.501597222225</v>
      </c>
      <c r="C35" s="8">
        <v>44162</v>
      </c>
      <c r="D35" s="8" t="s">
        <v>106</v>
      </c>
      <c r="E35" s="1" t="s">
        <v>442</v>
      </c>
      <c r="F35" s="8">
        <f>IF(TimeEntry[[#This Row],[Date]]=0,F2,C35+(7-Q35))</f>
        <v>44164</v>
      </c>
      <c r="G35" s="35" t="str">
        <f>INDEX(projects[Charge_Code],MATCH(TimeEntry[[#This Row],[Project_ID]],projects[Project_ID],0))</f>
        <v>210035-65 MC VBB WP1: DO-nota West (25-050)</v>
      </c>
      <c r="H35" s="1" t="str">
        <f t="shared" si="6"/>
        <v>Normal Time</v>
      </c>
      <c r="I35" s="1" t="s">
        <v>666</v>
      </c>
      <c r="J35" s="15"/>
      <c r="K35" s="15"/>
      <c r="L35" s="15"/>
      <c r="M35" s="15"/>
      <c r="N35" s="15">
        <v>2.5</v>
      </c>
      <c r="O35" s="15" t="str">
        <f>INDEX(projects[job number],MATCH(TimeEntry[[#This Row],[Project_ID]], projects[Project_ID],0))</f>
        <v>210035-65</v>
      </c>
      <c r="P35" s="15" t="str">
        <f>INDEX(projects[Project_Name],MATCH(TimeEntry[[#This Row],[Project_ID]], projects[Project_ID],0))</f>
        <v>MC VBB WP1: DO-nota West</v>
      </c>
      <c r="Q35" s="6">
        <f>IF(TimeEntry[[#This Row],[Date]]=0,"",WEEKDAY(C35,2))</f>
        <v>5</v>
      </c>
      <c r="R35" s="9">
        <f>YEAR(TimeEntry[[#This Row],[WkEnd]])</f>
        <v>2020</v>
      </c>
      <c r="S35" s="9">
        <f>WEEKNUM(TimeEntry[[#This Row],[WkEnd]])</f>
        <v>49</v>
      </c>
      <c r="T35" s="9" t="str">
        <f>TimeEntry[[#This Row],[Year]]&amp;"-"&amp;TimeEntry[[#This Row],[WkNo]]</f>
        <v>2020-49</v>
      </c>
    </row>
    <row r="36" spans="1:20" x14ac:dyDescent="0.25">
      <c r="A36" s="6">
        <f>MOD(IF(ROW()=2,0.1,IF(INDEX(TimeEntry[WkEnd],ROW()-1)  =  INDEX(TimeEntry[WkEnd],ROW()-2),    INDEX(TimeEntry[format],ROW()-2),    INDEX(TimeEntry[format],ROW()-2)    +1)),2)</f>
        <v>0.10000000000000009</v>
      </c>
      <c r="B36" s="7">
        <v>44161.677627314813</v>
      </c>
      <c r="C36" s="8">
        <v>44161</v>
      </c>
      <c r="D36" s="8" t="s">
        <v>102</v>
      </c>
      <c r="E36" s="1" t="s">
        <v>442</v>
      </c>
      <c r="F36" s="8">
        <f>IF(TimeEntry[[#This Row],[Date]]=0,F2,C36+(7-Q36))</f>
        <v>44164</v>
      </c>
      <c r="G36" s="35" t="str">
        <f>INDEX(projects[Charge_Code],MATCH(TimeEntry[[#This Row],[Project_ID]],projects[Project_ID],0))</f>
        <v>210035-65 MC VBB WP1: DO-nota West (25-050)</v>
      </c>
      <c r="H36" s="1" t="str">
        <f t="shared" si="6"/>
        <v>Normal Time</v>
      </c>
      <c r="I36" s="1" t="s">
        <v>665</v>
      </c>
      <c r="J36" s="15"/>
      <c r="K36" s="15"/>
      <c r="L36" s="15"/>
      <c r="M36" s="15">
        <v>3.5</v>
      </c>
      <c r="N36" s="15">
        <v>2</v>
      </c>
      <c r="O36" s="15" t="str">
        <f>INDEX(projects[job number],MATCH(TimeEntry[[#This Row],[Project_ID]], projects[Project_ID],0))</f>
        <v>210035-65</v>
      </c>
      <c r="P36" s="15" t="str">
        <f>INDEX(projects[Project_Name],MATCH(TimeEntry[[#This Row],[Project_ID]], projects[Project_ID],0))</f>
        <v>MC VBB WP1: DO-nota West</v>
      </c>
      <c r="Q36" s="6">
        <f>IF(TimeEntry[[#This Row],[Date]]=0,"",WEEKDAY(C36,2))</f>
        <v>4</v>
      </c>
      <c r="R36" s="9">
        <f>YEAR(TimeEntry[[#This Row],[WkEnd]])</f>
        <v>2020</v>
      </c>
      <c r="S36" s="9">
        <f>WEEKNUM(TimeEntry[[#This Row],[WkEnd]])</f>
        <v>49</v>
      </c>
      <c r="T36" s="9" t="str">
        <f>TimeEntry[[#This Row],[Year]]&amp;"-"&amp;TimeEntry[[#This Row],[WkNo]]</f>
        <v>2020-49</v>
      </c>
    </row>
    <row r="37" spans="1:20" x14ac:dyDescent="0.25">
      <c r="A37" s="6">
        <f>MOD(IF(ROW()=2,0.1,IF(INDEX(TimeEntry[WkEnd],ROW()-1)  =  INDEX(TimeEntry[WkEnd],ROW()-2),    INDEX(TimeEntry[format],ROW()-2),    INDEX(TimeEntry[format],ROW()-2)    +1)),2)</f>
        <v>0.10000000000000009</v>
      </c>
      <c r="B37" s="7">
        <v>44161.502488425926</v>
      </c>
      <c r="C37" s="8">
        <v>44161</v>
      </c>
      <c r="D37" s="8" t="s">
        <v>102</v>
      </c>
      <c r="E37" s="1" t="s">
        <v>442</v>
      </c>
      <c r="F37" s="8">
        <f>IF(TimeEntry[[#This Row],[Date]]=0,F2,C37+(7-Q37))</f>
        <v>44164</v>
      </c>
      <c r="G37" s="35" t="str">
        <f>INDEX(projects[Charge_Code],MATCH(TimeEntry[[#This Row],[Project_ID]],projects[Project_ID],0))</f>
        <v>210035-65 MC VBB WP1: DO-nota West (25-050)</v>
      </c>
      <c r="H37" s="1" t="str">
        <f t="shared" si="6"/>
        <v>Normal Time</v>
      </c>
      <c r="I37" s="1" t="s">
        <v>664</v>
      </c>
      <c r="J37" s="15"/>
      <c r="K37" s="15"/>
      <c r="L37" s="15"/>
      <c r="M37" s="15">
        <v>4</v>
      </c>
      <c r="N37" s="15"/>
      <c r="O37" s="15" t="str">
        <f>INDEX(projects[job number],MATCH(TimeEntry[[#This Row],[Project_ID]], projects[Project_ID],0))</f>
        <v>210035-65</v>
      </c>
      <c r="P37" s="15" t="str">
        <f>INDEX(projects[Project_Name],MATCH(TimeEntry[[#This Row],[Project_ID]], projects[Project_ID],0))</f>
        <v>MC VBB WP1: DO-nota West</v>
      </c>
      <c r="Q37" s="6">
        <f>IF(TimeEntry[[#This Row],[Date]]=0,"",WEEKDAY(C37,2))</f>
        <v>4</v>
      </c>
      <c r="R37" s="9">
        <f>YEAR(TimeEntry[[#This Row],[WkEnd]])</f>
        <v>2020</v>
      </c>
      <c r="S37" s="9">
        <f>WEEKNUM(TimeEntry[[#This Row],[WkEnd]])</f>
        <v>49</v>
      </c>
      <c r="T37" s="9" t="str">
        <f>TimeEntry[[#This Row],[Year]]&amp;"-"&amp;TimeEntry[[#This Row],[WkNo]]</f>
        <v>2020-49</v>
      </c>
    </row>
    <row r="38" spans="1:20" x14ac:dyDescent="0.25">
      <c r="A38" s="6">
        <f>MOD(IF(ROW()=2,0.1,IF(INDEX(TimeEntry[WkEnd],ROW()-1)  =  INDEX(TimeEntry[WkEnd],ROW()-2),    INDEX(TimeEntry[format],ROW()-2),    INDEX(TimeEntry[format],ROW()-2)    +1)),2)</f>
        <v>0.10000000000000009</v>
      </c>
      <c r="B38" s="7">
        <v>44160.667662037034</v>
      </c>
      <c r="C38" s="8">
        <v>44160</v>
      </c>
      <c r="D38" s="8" t="s">
        <v>100</v>
      </c>
      <c r="E38" s="1" t="s">
        <v>442</v>
      </c>
      <c r="F38" s="8">
        <f>IF(TimeEntry[[#This Row],[Date]]=0,F2,C38+(7-Q38))</f>
        <v>44164</v>
      </c>
      <c r="G38" s="35" t="str">
        <f>INDEX(projects[Charge_Code],MATCH(TimeEntry[[#This Row],[Project_ID]],projects[Project_ID],0))</f>
        <v>210035-65 MC VBB WP1: DO-nota West (25-050)</v>
      </c>
      <c r="H38" s="1" t="str">
        <f t="shared" si="6"/>
        <v>Normal Time</v>
      </c>
      <c r="I38" s="1" t="s">
        <v>663</v>
      </c>
      <c r="J38" s="15"/>
      <c r="K38" s="15"/>
      <c r="L38" s="15">
        <v>4</v>
      </c>
      <c r="M38" s="15"/>
      <c r="N38" s="15"/>
      <c r="O38" s="15" t="str">
        <f>INDEX(projects[job number],MATCH(TimeEntry[[#This Row],[Project_ID]], projects[Project_ID],0))</f>
        <v>210035-65</v>
      </c>
      <c r="P38" s="15" t="str">
        <f>INDEX(projects[Project_Name],MATCH(TimeEntry[[#This Row],[Project_ID]], projects[Project_ID],0))</f>
        <v>MC VBB WP1: DO-nota West</v>
      </c>
      <c r="Q38" s="6">
        <f>IF(TimeEntry[[#This Row],[Date]]=0,"",WEEKDAY(C38,2))</f>
        <v>3</v>
      </c>
      <c r="R38" s="9">
        <f>YEAR(TimeEntry[[#This Row],[WkEnd]])</f>
        <v>2020</v>
      </c>
      <c r="S38" s="9">
        <f>WEEKNUM(TimeEntry[[#This Row],[WkEnd]])</f>
        <v>49</v>
      </c>
      <c r="T38" s="9" t="str">
        <f>TimeEntry[[#This Row],[Year]]&amp;"-"&amp;TimeEntry[[#This Row],[WkNo]]</f>
        <v>2020-49</v>
      </c>
    </row>
    <row r="39" spans="1:20" x14ac:dyDescent="0.25">
      <c r="A39" s="6">
        <f>MOD(IF(ROW()=2,0.1,IF(INDEX(TimeEntry[WkEnd],ROW()-1)  =  INDEX(TimeEntry[WkEnd],ROW()-2),    INDEX(TimeEntry[format],ROW()-2),    INDEX(TimeEntry[format],ROW()-2)    +1)),2)</f>
        <v>0.10000000000000009</v>
      </c>
      <c r="B39" s="7">
        <v>44160.500474537039</v>
      </c>
      <c r="C39" s="8">
        <v>44160</v>
      </c>
      <c r="D39" s="8" t="s">
        <v>100</v>
      </c>
      <c r="E39" s="1" t="s">
        <v>442</v>
      </c>
      <c r="F39" s="8">
        <f>IF(TimeEntry[[#This Row],[Date]]=0,F2,C39+(7-Q39))</f>
        <v>44164</v>
      </c>
      <c r="G39" s="35" t="str">
        <f>INDEX(projects[Charge_Code],MATCH(TimeEntry[[#This Row],[Project_ID]],projects[Project_ID],0))</f>
        <v>210035-65 MC VBB WP1: DO-nota West (25-050)</v>
      </c>
      <c r="H39" s="1" t="str">
        <f t="shared" ref="H39:H45" si="7">"Normal Time"</f>
        <v>Normal Time</v>
      </c>
      <c r="I39" s="1" t="s">
        <v>662</v>
      </c>
      <c r="J39" s="15"/>
      <c r="K39" s="15"/>
      <c r="L39" s="15">
        <v>2.5</v>
      </c>
      <c r="M39" s="15"/>
      <c r="N39" s="15"/>
      <c r="O39" s="15" t="str">
        <f>INDEX(projects[job number],MATCH(TimeEntry[[#This Row],[Project_ID]], projects[Project_ID],0))</f>
        <v>210035-65</v>
      </c>
      <c r="P39" s="15" t="str">
        <f>INDEX(projects[Project_Name],MATCH(TimeEntry[[#This Row],[Project_ID]], projects[Project_ID],0))</f>
        <v>MC VBB WP1: DO-nota West</v>
      </c>
      <c r="Q39" s="6">
        <f>IF(TimeEntry[[#This Row],[Date]]=0,"",WEEKDAY(C39,2))</f>
        <v>3</v>
      </c>
      <c r="R39" s="9">
        <f>YEAR(TimeEntry[[#This Row],[WkEnd]])</f>
        <v>2020</v>
      </c>
      <c r="S39" s="9">
        <f>WEEKNUM(TimeEntry[[#This Row],[WkEnd]])</f>
        <v>49</v>
      </c>
      <c r="T39" s="9" t="str">
        <f>TimeEntry[[#This Row],[Year]]&amp;"-"&amp;TimeEntry[[#This Row],[WkNo]]</f>
        <v>2020-49</v>
      </c>
    </row>
    <row r="40" spans="1:20" x14ac:dyDescent="0.25">
      <c r="A40" s="6">
        <f>MOD(IF(ROW()=2,0.1,IF(INDEX(TimeEntry[WkEnd],ROW()-1)  =  INDEX(TimeEntry[WkEnd],ROW()-2),    INDEX(TimeEntry[format],ROW()-2),    INDEX(TimeEntry[format],ROW()-2)    +1)),2)</f>
        <v>0.10000000000000009</v>
      </c>
      <c r="B40" s="7">
        <v>44160.500474537039</v>
      </c>
      <c r="C40" s="8">
        <v>44160</v>
      </c>
      <c r="D40" s="8" t="s">
        <v>100</v>
      </c>
      <c r="E40" s="1" t="s">
        <v>442</v>
      </c>
      <c r="F40" s="8">
        <f>IF(TimeEntry[[#This Row],[Date]]=0,F2,C40+(7-Q40))</f>
        <v>44164</v>
      </c>
      <c r="G40" s="35" t="str">
        <f>INDEX(projects[Charge_Code],MATCH(TimeEntry[[#This Row],[Project_ID]],projects[Project_ID],0))</f>
        <v>210035-65 MC VBB WP1: DO-nota West (25-050)</v>
      </c>
      <c r="H40" s="1" t="str">
        <f t="shared" si="7"/>
        <v>Normal Time</v>
      </c>
      <c r="I40" s="1" t="s">
        <v>651</v>
      </c>
      <c r="J40" s="15"/>
      <c r="K40" s="15"/>
      <c r="L40" s="15">
        <v>1</v>
      </c>
      <c r="M40" s="15"/>
      <c r="N40" s="15"/>
      <c r="O40" s="15" t="str">
        <f>INDEX(projects[job number],MATCH(TimeEntry[[#This Row],[Project_ID]], projects[Project_ID],0))</f>
        <v>210035-65</v>
      </c>
      <c r="P40" s="15" t="str">
        <f>INDEX(projects[Project_Name],MATCH(TimeEntry[[#This Row],[Project_ID]], projects[Project_ID],0))</f>
        <v>MC VBB WP1: DO-nota West</v>
      </c>
      <c r="Q40" s="6">
        <f>IF(TimeEntry[[#This Row],[Date]]=0,"",WEEKDAY(C40,2))</f>
        <v>3</v>
      </c>
      <c r="R40" s="9">
        <f>YEAR(TimeEntry[[#This Row],[WkEnd]])</f>
        <v>2020</v>
      </c>
      <c r="S40" s="9">
        <f>WEEKNUM(TimeEntry[[#This Row],[WkEnd]])</f>
        <v>49</v>
      </c>
      <c r="T40" s="9" t="str">
        <f>TimeEntry[[#This Row],[Year]]&amp;"-"&amp;TimeEntry[[#This Row],[WkNo]]</f>
        <v>2020-49</v>
      </c>
    </row>
    <row r="41" spans="1:20" x14ac:dyDescent="0.25">
      <c r="A41" s="6">
        <f>MOD(IF(ROW()=2,0.1,IF(INDEX(TimeEntry[WkEnd],ROW()-1)  =  INDEX(TimeEntry[WkEnd],ROW()-2),    INDEX(TimeEntry[format],ROW()-2),    INDEX(TimeEntry[format],ROW()-2)    +1)),2)</f>
        <v>0.10000000000000009</v>
      </c>
      <c r="B41" s="7">
        <v>44159.683495370373</v>
      </c>
      <c r="C41" s="8">
        <v>44159</v>
      </c>
      <c r="D41" s="8" t="s">
        <v>101</v>
      </c>
      <c r="E41" s="1" t="s">
        <v>442</v>
      </c>
      <c r="F41" s="8">
        <f>IF(TimeEntry[[#This Row],[Date]]=0,F2,C41+(7-Q41))</f>
        <v>44164</v>
      </c>
      <c r="G41" s="35" t="str">
        <f>INDEX(projects[Charge_Code],MATCH(TimeEntry[[#This Row],[Project_ID]],projects[Project_ID],0))</f>
        <v>210035-65 MC VBB WP1: DO-nota West (25-050)</v>
      </c>
      <c r="H41" s="1" t="str">
        <f t="shared" si="7"/>
        <v>Normal Time</v>
      </c>
      <c r="I41" s="1" t="s">
        <v>661</v>
      </c>
      <c r="J41" s="15"/>
      <c r="K41" s="15">
        <v>4</v>
      </c>
      <c r="L41" s="15"/>
      <c r="M41" s="15"/>
      <c r="N41" s="15"/>
      <c r="O41" s="15" t="str">
        <f>INDEX(projects[job number],MATCH(TimeEntry[[#This Row],[Project_ID]], projects[Project_ID],0))</f>
        <v>210035-65</v>
      </c>
      <c r="P41" s="15" t="str">
        <f>INDEX(projects[Project_Name],MATCH(TimeEntry[[#This Row],[Project_ID]], projects[Project_ID],0))</f>
        <v>MC VBB WP1: DO-nota West</v>
      </c>
      <c r="Q41" s="6">
        <f>IF(TimeEntry[[#This Row],[Date]]=0,"",WEEKDAY(C41,2))</f>
        <v>2</v>
      </c>
      <c r="R41" s="9">
        <f>YEAR(TimeEntry[[#This Row],[WkEnd]])</f>
        <v>2020</v>
      </c>
      <c r="S41" s="9">
        <f>WEEKNUM(TimeEntry[[#This Row],[WkEnd]])</f>
        <v>49</v>
      </c>
      <c r="T41" s="9" t="str">
        <f>TimeEntry[[#This Row],[Year]]&amp;"-"&amp;TimeEntry[[#This Row],[WkNo]]</f>
        <v>2020-49</v>
      </c>
    </row>
    <row r="42" spans="1:20" x14ac:dyDescent="0.25">
      <c r="A42" s="6">
        <f>MOD(IF(ROW()=2,0.1,IF(INDEX(TimeEntry[WkEnd],ROW()-1)  =  INDEX(TimeEntry[WkEnd],ROW()-2),    INDEX(TimeEntry[format],ROW()-2),    INDEX(TimeEntry[format],ROW()-2)    +1)),2)</f>
        <v>0.10000000000000009</v>
      </c>
      <c r="B42" s="7">
        <v>44159.50476851852</v>
      </c>
      <c r="C42" s="8">
        <v>44159</v>
      </c>
      <c r="D42" s="8" t="s">
        <v>101</v>
      </c>
      <c r="E42" s="1" t="s">
        <v>442</v>
      </c>
      <c r="F42" s="8">
        <f>IF(TimeEntry[[#This Row],[Date]]=0,F2,C42+(7-Q42))</f>
        <v>44164</v>
      </c>
      <c r="G42" s="35" t="str">
        <f>INDEX(projects[Charge_Code],MATCH(TimeEntry[[#This Row],[Project_ID]],projects[Project_ID],0))</f>
        <v>210035-65 MC VBB WP1: DO-nota West (25-050)</v>
      </c>
      <c r="H42" s="1" t="str">
        <f t="shared" si="7"/>
        <v>Normal Time</v>
      </c>
      <c r="I42" s="1" t="s">
        <v>660</v>
      </c>
      <c r="J42" s="15"/>
      <c r="K42" s="15">
        <v>3.5</v>
      </c>
      <c r="L42" s="15"/>
      <c r="M42" s="15"/>
      <c r="N42" s="15"/>
      <c r="O42" s="15" t="str">
        <f>INDEX(projects[job number],MATCH(TimeEntry[[#This Row],[Project_ID]], projects[Project_ID],0))</f>
        <v>210035-65</v>
      </c>
      <c r="P42" s="15" t="str">
        <f>INDEX(projects[Project_Name],MATCH(TimeEntry[[#This Row],[Project_ID]], projects[Project_ID],0))</f>
        <v>MC VBB WP1: DO-nota West</v>
      </c>
      <c r="Q42" s="6">
        <f>IF(TimeEntry[[#This Row],[Date]]=0,"",WEEKDAY(C42,2))</f>
        <v>2</v>
      </c>
      <c r="R42" s="9">
        <f>YEAR(TimeEntry[[#This Row],[WkEnd]])</f>
        <v>2020</v>
      </c>
      <c r="S42" s="9">
        <f>WEEKNUM(TimeEntry[[#This Row],[WkEnd]])</f>
        <v>49</v>
      </c>
      <c r="T42" s="9" t="str">
        <f>TimeEntry[[#This Row],[Year]]&amp;"-"&amp;TimeEntry[[#This Row],[WkNo]]</f>
        <v>2020-49</v>
      </c>
    </row>
    <row r="43" spans="1:20" x14ac:dyDescent="0.25">
      <c r="A43" s="6">
        <f>MOD(IF(ROW()=2,0.1,IF(INDEX(TimeEntry[WkEnd],ROW()-1)  =  INDEX(TimeEntry[WkEnd],ROW()-2),    INDEX(TimeEntry[format],ROW()-2),    INDEX(TimeEntry[format],ROW()-2)    +1)),2)</f>
        <v>0.10000000000000009</v>
      </c>
      <c r="B43" s="7">
        <v>44158.670567129629</v>
      </c>
      <c r="C43" s="8">
        <v>44158</v>
      </c>
      <c r="D43" s="8" t="s">
        <v>104</v>
      </c>
      <c r="E43" s="1" t="s">
        <v>442</v>
      </c>
      <c r="F43" s="8">
        <f>IF(TimeEntry[[#This Row],[Date]]=0,F2,C43+(7-Q43))</f>
        <v>44164</v>
      </c>
      <c r="G43" s="35" t="str">
        <f>INDEX(projects[Charge_Code],MATCH(TimeEntry[[#This Row],[Project_ID]],projects[Project_ID],0))</f>
        <v>210035-65 MC VBB WP1: DO-nota West (25-050)</v>
      </c>
      <c r="H43" s="1" t="str">
        <f t="shared" si="7"/>
        <v>Normal Time</v>
      </c>
      <c r="I43" s="1" t="s">
        <v>658</v>
      </c>
      <c r="J43" s="15">
        <v>3</v>
      </c>
      <c r="K43" s="15"/>
      <c r="L43" s="15"/>
      <c r="M43" s="15"/>
      <c r="N43" s="15"/>
      <c r="O43" s="15" t="str">
        <f>INDEX(projects[job number],MATCH(TimeEntry[[#This Row],[Project_ID]], projects[Project_ID],0))</f>
        <v>210035-65</v>
      </c>
      <c r="P43" s="15" t="str">
        <f>INDEX(projects[Project_Name],MATCH(TimeEntry[[#This Row],[Project_ID]], projects[Project_ID],0))</f>
        <v>MC VBB WP1: DO-nota West</v>
      </c>
      <c r="Q43" s="6">
        <f>IF(TimeEntry[[#This Row],[Date]]=0,"",WEEKDAY(C43,2))</f>
        <v>1</v>
      </c>
      <c r="R43" s="9">
        <f>YEAR(TimeEntry[[#This Row],[WkEnd]])</f>
        <v>2020</v>
      </c>
      <c r="S43" s="9">
        <f>WEEKNUM(TimeEntry[[#This Row],[WkEnd]])</f>
        <v>49</v>
      </c>
      <c r="T43" s="9" t="str">
        <f>TimeEntry[[#This Row],[Year]]&amp;"-"&amp;TimeEntry[[#This Row],[WkNo]]</f>
        <v>2020-49</v>
      </c>
    </row>
    <row r="44" spans="1:20" x14ac:dyDescent="0.25">
      <c r="A44" s="6">
        <f>MOD(IF(ROW()=2,0.1,IF(INDEX(TimeEntry[WkEnd],ROW()-1)  =  INDEX(TimeEntry[WkEnd],ROW()-2),    INDEX(TimeEntry[format],ROW()-2),    INDEX(TimeEntry[format],ROW()-2)    +1)),2)</f>
        <v>0.10000000000000009</v>
      </c>
      <c r="B44" s="7">
        <v>44158.528217592589</v>
      </c>
      <c r="C44" s="8">
        <v>44158</v>
      </c>
      <c r="D44" s="8" t="s">
        <v>104</v>
      </c>
      <c r="E44" s="1" t="s">
        <v>441</v>
      </c>
      <c r="F44" s="8">
        <f>IF(TimeEntry[[#This Row],[Date]]=0,F2,C44+(7-Q44))</f>
        <v>44164</v>
      </c>
      <c r="G44" s="35" t="str">
        <f>INDEX(projects[Charge_Code],MATCH(TimeEntry[[#This Row],[Project_ID]],projects[Project_ID],0))</f>
        <v>TRAINING (In-house training)</v>
      </c>
      <c r="H44" s="1" t="str">
        <f t="shared" si="7"/>
        <v>Normal Time</v>
      </c>
      <c r="I44" s="1" t="s">
        <v>659</v>
      </c>
      <c r="J44" s="15">
        <v>1</v>
      </c>
      <c r="K44" s="15"/>
      <c r="L44" s="15"/>
      <c r="M44" s="15"/>
      <c r="N44" s="15"/>
      <c r="O44" s="15">
        <f>INDEX(projects[job number],MATCH(TimeEntry[[#This Row],[Project_ID]], projects[Project_ID],0))</f>
        <v>0</v>
      </c>
      <c r="P44" s="15" t="str">
        <f>INDEX(projects[Project_Name],MATCH(TimeEntry[[#This Row],[Project_ID]], projects[Project_ID],0))</f>
        <v>TRAINING (In-house training)</v>
      </c>
      <c r="Q44" s="6">
        <f>IF(TimeEntry[[#This Row],[Date]]=0,"",WEEKDAY(C44,2))</f>
        <v>1</v>
      </c>
      <c r="R44" s="9">
        <f>YEAR(TimeEntry[[#This Row],[WkEnd]])</f>
        <v>2020</v>
      </c>
      <c r="S44" s="9">
        <f>WEEKNUM(TimeEntry[[#This Row],[WkEnd]])</f>
        <v>49</v>
      </c>
      <c r="T44" s="9" t="str">
        <f>TimeEntry[[#This Row],[Year]]&amp;"-"&amp;TimeEntry[[#This Row],[WkNo]]</f>
        <v>2020-49</v>
      </c>
    </row>
    <row r="45" spans="1:20" x14ac:dyDescent="0.25">
      <c r="A45" s="6">
        <f>MOD(IF(ROW()=2,0.1,IF(INDEX(TimeEntry[WkEnd],ROW()-1)  =  INDEX(TimeEntry[WkEnd],ROW()-2),    INDEX(TimeEntry[format],ROW()-2),    INDEX(TimeEntry[format],ROW()-2)    +1)),2)</f>
        <v>0.10000000000000009</v>
      </c>
      <c r="B45" s="7">
        <v>44158.528217592589</v>
      </c>
      <c r="C45" s="8">
        <v>44158</v>
      </c>
      <c r="D45" s="8" t="s">
        <v>104</v>
      </c>
      <c r="E45" s="1" t="s">
        <v>442</v>
      </c>
      <c r="F45" s="8">
        <f>IF(TimeEntry[[#This Row],[Date]]=0,F2,C45+(7-Q45))</f>
        <v>44164</v>
      </c>
      <c r="G45" s="35" t="str">
        <f>INDEX(projects[Charge_Code],MATCH(TimeEntry[[#This Row],[Project_ID]],projects[Project_ID],0))</f>
        <v>210035-65 MC VBB WP1: DO-nota West (25-050)</v>
      </c>
      <c r="H45" s="1" t="str">
        <f t="shared" si="7"/>
        <v>Normal Time</v>
      </c>
      <c r="I45" s="1" t="s">
        <v>657</v>
      </c>
      <c r="J45" s="15">
        <v>3.5</v>
      </c>
      <c r="K45" s="15"/>
      <c r="L45" s="15"/>
      <c r="M45" s="15"/>
      <c r="N45" s="15"/>
      <c r="O45" s="15" t="str">
        <f>INDEX(projects[job number],MATCH(TimeEntry[[#This Row],[Project_ID]], projects[Project_ID],0))</f>
        <v>210035-65</v>
      </c>
      <c r="P45" s="15" t="str">
        <f>INDEX(projects[Project_Name],MATCH(TimeEntry[[#This Row],[Project_ID]], projects[Project_ID],0))</f>
        <v>MC VBB WP1: DO-nota West</v>
      </c>
      <c r="Q45" s="6">
        <f>IF(TimeEntry[[#This Row],[Date]]=0,"",WEEKDAY(C45,2))</f>
        <v>1</v>
      </c>
      <c r="R45" s="9">
        <f>YEAR(TimeEntry[[#This Row],[WkEnd]])</f>
        <v>2020</v>
      </c>
      <c r="S45" s="9">
        <f>WEEKNUM(TimeEntry[[#This Row],[WkEnd]])</f>
        <v>49</v>
      </c>
      <c r="T45" s="9" t="str">
        <f>TimeEntry[[#This Row],[Year]]&amp;"-"&amp;TimeEntry[[#This Row],[WkNo]]</f>
        <v>2020-49</v>
      </c>
    </row>
    <row r="46" spans="1:20" x14ac:dyDescent="0.25">
      <c r="A46" s="6">
        <f>MOD(IF(ROW()=2,0.1,IF(INDEX(TimeEntry[WkEnd],ROW()-1)  =  INDEX(TimeEntry[WkEnd],ROW()-2),    INDEX(TimeEntry[format],ROW()-2),    INDEX(TimeEntry[format],ROW()-2)    +1)),2)</f>
        <v>1.1000000000000001</v>
      </c>
      <c r="B46" s="7">
        <v>44155.584467592591</v>
      </c>
      <c r="C46" s="8">
        <v>44155</v>
      </c>
      <c r="D46" s="8" t="s">
        <v>106</v>
      </c>
      <c r="E46" s="1" t="s">
        <v>442</v>
      </c>
      <c r="F46" s="8">
        <f>IF(TimeEntry[[#This Row],[Date]]=0,F2,C46+(7-Q46))</f>
        <v>44157</v>
      </c>
      <c r="G46" s="35" t="str">
        <f>INDEX(projects[Charge_Code],MATCH(TimeEntry[[#This Row],[Project_ID]],projects[Project_ID],0))</f>
        <v>210035-65 MC VBB WP1: DO-nota West (25-050)</v>
      </c>
      <c r="H46" s="1" t="str">
        <f t="shared" ref="H46:H52" si="8">"Normal Time"</f>
        <v>Normal Time</v>
      </c>
      <c r="I46" s="1" t="s">
        <v>656</v>
      </c>
      <c r="J46" s="15"/>
      <c r="K46" s="15"/>
      <c r="L46" s="15"/>
      <c r="M46" s="15"/>
      <c r="N46" s="15">
        <v>6.5</v>
      </c>
      <c r="O46" s="15" t="str">
        <f>INDEX(projects[job number],MATCH(TimeEntry[[#This Row],[Project_ID]], projects[Project_ID],0))</f>
        <v>210035-65</v>
      </c>
      <c r="P46" s="15" t="str">
        <f>INDEX(projects[Project_Name],MATCH(TimeEntry[[#This Row],[Project_ID]], projects[Project_ID],0))</f>
        <v>MC VBB WP1: DO-nota West</v>
      </c>
      <c r="Q46" s="6">
        <f>IF(TimeEntry[[#This Row],[Date]]=0,"",WEEKDAY(C46,2))</f>
        <v>5</v>
      </c>
      <c r="R46" s="9">
        <f>YEAR(TimeEntry[[#This Row],[WkEnd]])</f>
        <v>2020</v>
      </c>
      <c r="S46" s="9">
        <f>WEEKNUM(TimeEntry[[#This Row],[WkEnd]])</f>
        <v>48</v>
      </c>
      <c r="T46" s="9" t="str">
        <f>TimeEntry[[#This Row],[Year]]&amp;"-"&amp;TimeEntry[[#This Row],[WkNo]]</f>
        <v>2020-48</v>
      </c>
    </row>
    <row r="47" spans="1:20" x14ac:dyDescent="0.25">
      <c r="A47" s="6">
        <f>MOD(IF(ROW()=2,0.1,IF(INDEX(TimeEntry[WkEnd],ROW()-1)  =  INDEX(TimeEntry[WkEnd],ROW()-2),    INDEX(TimeEntry[format],ROW()-2),    INDEX(TimeEntry[format],ROW()-2)    +1)),2)</f>
        <v>1.1000000000000001</v>
      </c>
      <c r="B47" s="7">
        <v>44155.584467592591</v>
      </c>
      <c r="C47" s="8">
        <v>44155</v>
      </c>
      <c r="D47" s="8" t="s">
        <v>106</v>
      </c>
      <c r="E47" s="1" t="s">
        <v>677</v>
      </c>
      <c r="F47" s="8">
        <f>IF(TimeEntry[[#This Row],[Date]]=0,F2,C47+(7-Q47))</f>
        <v>44157</v>
      </c>
      <c r="G47" s="35" t="str">
        <f>INDEX(projects[Charge_Code],MATCH(TimeEntry[[#This Row],[Project_ID]],projects[Project_ID],0))</f>
        <v>074097-30 LEADERSHIP &amp; MANAGEMENT CC124 (01-124)</v>
      </c>
      <c r="H47" s="1" t="str">
        <f t="shared" si="8"/>
        <v>Normal Time</v>
      </c>
      <c r="I47" s="1" t="s">
        <v>203</v>
      </c>
      <c r="J47" s="15"/>
      <c r="K47" s="15"/>
      <c r="L47" s="15"/>
      <c r="M47" s="15"/>
      <c r="N47" s="15">
        <v>1</v>
      </c>
      <c r="O47" s="15" t="str">
        <f>INDEX(projects[job number],MATCH(TimeEntry[[#This Row],[Project_ID]], projects[Project_ID],0))</f>
        <v>074097-30</v>
      </c>
      <c r="P47" s="15" t="str">
        <f>INDEX(projects[Project_Name],MATCH(TimeEntry[[#This Row],[Project_ID]], projects[Project_ID],0))</f>
        <v>LEADERSHIP &amp; MANAGEMENT CC124</v>
      </c>
      <c r="Q47" s="6">
        <f>IF(TimeEntry[[#This Row],[Date]]=0,"",WEEKDAY(C47,2))</f>
        <v>5</v>
      </c>
      <c r="R47" s="9">
        <f>YEAR(TimeEntry[[#This Row],[WkEnd]])</f>
        <v>2020</v>
      </c>
      <c r="S47" s="9">
        <f>WEEKNUM(TimeEntry[[#This Row],[WkEnd]])</f>
        <v>48</v>
      </c>
      <c r="T47" s="9" t="str">
        <f>TimeEntry[[#This Row],[Year]]&amp;"-"&amp;TimeEntry[[#This Row],[WkNo]]</f>
        <v>2020-48</v>
      </c>
    </row>
    <row r="48" spans="1:20" x14ac:dyDescent="0.25">
      <c r="A48" s="6">
        <f>MOD(IF(ROW()=2,0.1,IF(INDEX(TimeEntry[WkEnd],ROW()-1)  =  INDEX(TimeEntry[WkEnd],ROW()-2),    INDEX(TimeEntry[format],ROW()-2),    INDEX(TimeEntry[format],ROW()-2)    +1)),2)</f>
        <v>1.1000000000000001</v>
      </c>
      <c r="B48" s="7">
        <v>44154.667118055557</v>
      </c>
      <c r="C48" s="8">
        <v>44154</v>
      </c>
      <c r="D48" s="8" t="s">
        <v>102</v>
      </c>
      <c r="E48" s="1" t="s">
        <v>442</v>
      </c>
      <c r="F48" s="8">
        <f>IF(TimeEntry[[#This Row],[Date]]=0,F2,C48+(7-Q48))</f>
        <v>44157</v>
      </c>
      <c r="G48" s="35" t="str">
        <f>INDEX(projects[Charge_Code],MATCH(TimeEntry[[#This Row],[Project_ID]],projects[Project_ID],0))</f>
        <v>210035-65 MC VBB WP1: DO-nota West (25-050)</v>
      </c>
      <c r="H48" s="1" t="str">
        <f t="shared" si="8"/>
        <v>Normal Time</v>
      </c>
      <c r="I48" s="1" t="s">
        <v>654</v>
      </c>
      <c r="J48" s="15"/>
      <c r="K48" s="15"/>
      <c r="L48" s="15"/>
      <c r="M48" s="15">
        <v>3</v>
      </c>
      <c r="N48" s="15"/>
      <c r="O48" s="15" t="str">
        <f>INDEX(projects[job number],MATCH(TimeEntry[[#This Row],[Project_ID]], projects[Project_ID],0))</f>
        <v>210035-65</v>
      </c>
      <c r="P48" s="15" t="str">
        <f>INDEX(projects[Project_Name],MATCH(TimeEntry[[#This Row],[Project_ID]], projects[Project_ID],0))</f>
        <v>MC VBB WP1: DO-nota West</v>
      </c>
      <c r="Q48" s="6">
        <f>IF(TimeEntry[[#This Row],[Date]]=0,"",WEEKDAY(C48,2))</f>
        <v>4</v>
      </c>
      <c r="R48" s="9">
        <f>YEAR(TimeEntry[[#This Row],[WkEnd]])</f>
        <v>2020</v>
      </c>
      <c r="S48" s="9">
        <f>WEEKNUM(TimeEntry[[#This Row],[WkEnd]])</f>
        <v>48</v>
      </c>
      <c r="T48" s="9" t="str">
        <f>TimeEntry[[#This Row],[Year]]&amp;"-"&amp;TimeEntry[[#This Row],[WkNo]]</f>
        <v>2020-48</v>
      </c>
    </row>
    <row r="49" spans="1:20" x14ac:dyDescent="0.25">
      <c r="A49" s="6">
        <f>MOD(IF(ROW()=2,0.1,IF(INDEX(TimeEntry[WkEnd],ROW()-1)  =  INDEX(TimeEntry[WkEnd],ROW()-2),    INDEX(TimeEntry[format],ROW()-2),    INDEX(TimeEntry[format],ROW()-2)    +1)),2)</f>
        <v>1.1000000000000001</v>
      </c>
      <c r="B49" s="7">
        <v>44154.500555555554</v>
      </c>
      <c r="C49" s="8">
        <v>44154</v>
      </c>
      <c r="D49" s="8" t="s">
        <v>102</v>
      </c>
      <c r="E49" s="1" t="s">
        <v>442</v>
      </c>
      <c r="F49" s="8">
        <f>IF(TimeEntry[[#This Row],[Date]]=0,F2,C49+(7-Q49))</f>
        <v>44157</v>
      </c>
      <c r="G49" s="35" t="str">
        <f>INDEX(projects[Charge_Code],MATCH(TimeEntry[[#This Row],[Project_ID]],projects[Project_ID],0))</f>
        <v>210035-65 MC VBB WP1: DO-nota West (25-050)</v>
      </c>
      <c r="H49" s="1" t="str">
        <f t="shared" si="8"/>
        <v>Normal Time</v>
      </c>
      <c r="I49" s="1" t="s">
        <v>653</v>
      </c>
      <c r="J49" s="15"/>
      <c r="K49" s="15"/>
      <c r="L49" s="15"/>
      <c r="M49" s="15">
        <v>4.5</v>
      </c>
      <c r="N49" s="15"/>
      <c r="O49" s="15" t="str">
        <f>INDEX(projects[job number],MATCH(TimeEntry[[#This Row],[Project_ID]], projects[Project_ID],0))</f>
        <v>210035-65</v>
      </c>
      <c r="P49" s="15" t="str">
        <f>INDEX(projects[Project_Name],MATCH(TimeEntry[[#This Row],[Project_ID]], projects[Project_ID],0))</f>
        <v>MC VBB WP1: DO-nota West</v>
      </c>
      <c r="Q49" s="6">
        <f>IF(TimeEntry[[#This Row],[Date]]=0,"",WEEKDAY(C49,2))</f>
        <v>4</v>
      </c>
      <c r="R49" s="9">
        <f>YEAR(TimeEntry[[#This Row],[WkEnd]])</f>
        <v>2020</v>
      </c>
      <c r="S49" s="9">
        <f>WEEKNUM(TimeEntry[[#This Row],[WkEnd]])</f>
        <v>48</v>
      </c>
      <c r="T49" s="9" t="str">
        <f>TimeEntry[[#This Row],[Year]]&amp;"-"&amp;TimeEntry[[#This Row],[WkNo]]</f>
        <v>2020-48</v>
      </c>
    </row>
    <row r="50" spans="1:20" x14ac:dyDescent="0.25">
      <c r="A50" s="6">
        <f>MOD(IF(ROW()=2,0.1,IF(INDEX(TimeEntry[WkEnd],ROW()-1)  =  INDEX(TimeEntry[WkEnd],ROW()-2),    INDEX(TimeEntry[format],ROW()-2),    INDEX(TimeEntry[format],ROW()-2)    +1)),2)</f>
        <v>1.1000000000000001</v>
      </c>
      <c r="B50" s="7">
        <v>44153.51421296296</v>
      </c>
      <c r="C50" s="8">
        <v>44153</v>
      </c>
      <c r="D50" s="8" t="s">
        <v>100</v>
      </c>
      <c r="E50" s="1" t="s">
        <v>442</v>
      </c>
      <c r="F50" s="8">
        <f>IF(TimeEntry[[#This Row],[Date]]=0,F2,C50+(7-Q50))</f>
        <v>44157</v>
      </c>
      <c r="G50" s="35" t="str">
        <f>INDEX(projects[Charge_Code],MATCH(TimeEntry[[#This Row],[Project_ID]],projects[Project_ID],0))</f>
        <v>210035-65 MC VBB WP1: DO-nota West (25-050)</v>
      </c>
      <c r="H50" s="1" t="str">
        <f t="shared" si="8"/>
        <v>Normal Time</v>
      </c>
      <c r="I50" s="1" t="s">
        <v>652</v>
      </c>
      <c r="J50" s="15"/>
      <c r="K50" s="15">
        <v>3.5</v>
      </c>
      <c r="L50" s="15">
        <v>6.5</v>
      </c>
      <c r="M50" s="15"/>
      <c r="N50" s="15"/>
      <c r="O50" s="15" t="str">
        <f>INDEX(projects[job number],MATCH(TimeEntry[[#This Row],[Project_ID]], projects[Project_ID],0))</f>
        <v>210035-65</v>
      </c>
      <c r="P50" s="15" t="str">
        <f>INDEX(projects[Project_Name],MATCH(TimeEntry[[#This Row],[Project_ID]], projects[Project_ID],0))</f>
        <v>MC VBB WP1: DO-nota West</v>
      </c>
      <c r="Q50" s="6">
        <f>IF(TimeEntry[[#This Row],[Date]]=0,"",WEEKDAY(C50,2))</f>
        <v>3</v>
      </c>
      <c r="R50" s="9">
        <f>YEAR(TimeEntry[[#This Row],[WkEnd]])</f>
        <v>2020</v>
      </c>
      <c r="S50" s="9">
        <f>WEEKNUM(TimeEntry[[#This Row],[WkEnd]])</f>
        <v>48</v>
      </c>
      <c r="T50" s="9" t="str">
        <f>TimeEntry[[#This Row],[Year]]&amp;"-"&amp;TimeEntry[[#This Row],[WkNo]]</f>
        <v>2020-48</v>
      </c>
    </row>
    <row r="51" spans="1:20" x14ac:dyDescent="0.25">
      <c r="A51" s="6">
        <f>MOD(IF(ROW()=2,0.1,IF(INDEX(TimeEntry[WkEnd],ROW()-1)  =  INDEX(TimeEntry[WkEnd],ROW()-2),    INDEX(TimeEntry[format],ROW()-2),    INDEX(TimeEntry[format],ROW()-2)    +1)),2)</f>
        <v>1.1000000000000001</v>
      </c>
      <c r="B51" s="7">
        <v>44153.51421296296</v>
      </c>
      <c r="C51" s="8">
        <v>44153</v>
      </c>
      <c r="D51" s="8" t="s">
        <v>100</v>
      </c>
      <c r="E51" s="1" t="s">
        <v>442</v>
      </c>
      <c r="F51" s="8">
        <f>IF(TimeEntry[[#This Row],[Date]]=0,F2,C51+(7-Q51))</f>
        <v>44157</v>
      </c>
      <c r="G51" s="35" t="str">
        <f>INDEX(projects[Charge_Code],MATCH(TimeEntry[[#This Row],[Project_ID]],projects[Project_ID],0))</f>
        <v>210035-65 MC VBB WP1: DO-nota West (25-050)</v>
      </c>
      <c r="H51" s="1" t="str">
        <f t="shared" si="8"/>
        <v>Normal Time</v>
      </c>
      <c r="I51" s="1" t="s">
        <v>651</v>
      </c>
      <c r="J51" s="15"/>
      <c r="K51" s="15"/>
      <c r="L51" s="15">
        <v>1</v>
      </c>
      <c r="M51" s="15"/>
      <c r="N51" s="15"/>
      <c r="O51" s="15" t="str">
        <f>INDEX(projects[job number],MATCH(TimeEntry[[#This Row],[Project_ID]], projects[Project_ID],0))</f>
        <v>210035-65</v>
      </c>
      <c r="P51" s="15" t="str">
        <f>INDEX(projects[Project_Name],MATCH(TimeEntry[[#This Row],[Project_ID]], projects[Project_ID],0))</f>
        <v>MC VBB WP1: DO-nota West</v>
      </c>
      <c r="Q51" s="6">
        <f>IF(TimeEntry[[#This Row],[Date]]=0,"",WEEKDAY(C51,2))</f>
        <v>3</v>
      </c>
      <c r="R51" s="9">
        <f>YEAR(TimeEntry[[#This Row],[WkEnd]])</f>
        <v>2020</v>
      </c>
      <c r="S51" s="9">
        <f>WEEKNUM(TimeEntry[[#This Row],[WkEnd]])</f>
        <v>48</v>
      </c>
      <c r="T51" s="9" t="str">
        <f>TimeEntry[[#This Row],[Year]]&amp;"-"&amp;TimeEntry[[#This Row],[WkNo]]</f>
        <v>2020-48</v>
      </c>
    </row>
    <row r="52" spans="1:20" x14ac:dyDescent="0.25">
      <c r="A52" s="6">
        <f>MOD(IF(ROW()=2,0.1,IF(INDEX(TimeEntry[WkEnd],ROW()-1)  =  INDEX(TimeEntry[WkEnd],ROW()-2),    INDEX(TimeEntry[format],ROW()-2),    INDEX(TimeEntry[format],ROW()-2)    +1)),2)</f>
        <v>1.1000000000000001</v>
      </c>
      <c r="B52" s="7">
        <v>44151.671620370369</v>
      </c>
      <c r="C52" s="8">
        <v>44151</v>
      </c>
      <c r="D52" s="8" t="s">
        <v>104</v>
      </c>
      <c r="E52" s="1" t="s">
        <v>442</v>
      </c>
      <c r="F52" s="8">
        <f>IF(TimeEntry[[#This Row],[Date]]=0,F2,C52+(7-Q52))</f>
        <v>44157</v>
      </c>
      <c r="G52" s="35" t="str">
        <f>INDEX(projects[Charge_Code],MATCH(TimeEntry[[#This Row],[Project_ID]],projects[Project_ID],0))</f>
        <v>210035-65 MC VBB WP1: DO-nota West (25-050)</v>
      </c>
      <c r="H52" s="1" t="str">
        <f t="shared" si="8"/>
        <v>Normal Time</v>
      </c>
      <c r="I52" s="1" t="s">
        <v>650</v>
      </c>
      <c r="J52" s="15">
        <v>1.5</v>
      </c>
      <c r="K52" s="15">
        <v>2</v>
      </c>
      <c r="L52" s="15"/>
      <c r="M52" s="15"/>
      <c r="N52" s="15"/>
      <c r="O52" s="15" t="str">
        <f>INDEX(projects[job number],MATCH(TimeEntry[[#This Row],[Project_ID]], projects[Project_ID],0))</f>
        <v>210035-65</v>
      </c>
      <c r="P52" s="15" t="str">
        <f>INDEX(projects[Project_Name],MATCH(TimeEntry[[#This Row],[Project_ID]], projects[Project_ID],0))</f>
        <v>MC VBB WP1: DO-nota West</v>
      </c>
      <c r="Q52" s="6">
        <f>IF(TimeEntry[[#This Row],[Date]]=0,"",WEEKDAY(C52,2))</f>
        <v>1</v>
      </c>
      <c r="R52" s="9">
        <f>YEAR(TimeEntry[[#This Row],[WkEnd]])</f>
        <v>2020</v>
      </c>
      <c r="S52" s="9">
        <f>WEEKNUM(TimeEntry[[#This Row],[WkEnd]])</f>
        <v>48</v>
      </c>
      <c r="T52" s="9" t="str">
        <f>TimeEntry[[#This Row],[Year]]&amp;"-"&amp;TimeEntry[[#This Row],[WkNo]]</f>
        <v>2020-48</v>
      </c>
    </row>
    <row r="53" spans="1:20" x14ac:dyDescent="0.25">
      <c r="A53" s="6">
        <f>MOD(IF(ROW()=2,0.1,IF(INDEX(TimeEntry[WkEnd],ROW()-1)  =  INDEX(TimeEntry[WkEnd],ROW()-2),    INDEX(TimeEntry[format],ROW()-2),    INDEX(TimeEntry[format],ROW()-2)    +1)),2)</f>
        <v>1.1000000000000001</v>
      </c>
      <c r="B53" s="7">
        <v>44151.500555555554</v>
      </c>
      <c r="C53" s="8">
        <v>44151</v>
      </c>
      <c r="D53" s="8" t="s">
        <v>104</v>
      </c>
      <c r="E53" s="1" t="s">
        <v>442</v>
      </c>
      <c r="F53" s="8">
        <f>IF(TimeEntry[[#This Row],[Date]]=0,F2,C53+(7-Q53))</f>
        <v>44157</v>
      </c>
      <c r="G53" s="35" t="str">
        <f>INDEX(projects[Charge_Code],MATCH(TimeEntry[[#This Row],[Project_ID]],projects[Project_ID],0))</f>
        <v>210035-65 MC VBB WP1: DO-nota West (25-050)</v>
      </c>
      <c r="H53" s="1" t="str">
        <f t="shared" ref="H53:H59" si="9">"Normal Time"</f>
        <v>Normal Time</v>
      </c>
      <c r="I53" s="1" t="s">
        <v>649</v>
      </c>
      <c r="J53" s="15">
        <v>4</v>
      </c>
      <c r="K53" s="15">
        <v>2</v>
      </c>
      <c r="L53" s="15"/>
      <c r="M53" s="15"/>
      <c r="N53" s="15"/>
      <c r="O53" s="15" t="str">
        <f>INDEX(projects[job number],MATCH(TimeEntry[[#This Row],[Project_ID]], projects[Project_ID],0))</f>
        <v>210035-65</v>
      </c>
      <c r="P53" s="15" t="str">
        <f>INDEX(projects[Project_Name],MATCH(TimeEntry[[#This Row],[Project_ID]], projects[Project_ID],0))</f>
        <v>MC VBB WP1: DO-nota West</v>
      </c>
      <c r="Q53" s="6">
        <f>IF(TimeEntry[[#This Row],[Date]]=0,"",WEEKDAY(C53,2))</f>
        <v>1</v>
      </c>
      <c r="R53" s="9">
        <f>YEAR(TimeEntry[[#This Row],[WkEnd]])</f>
        <v>2020</v>
      </c>
      <c r="S53" s="9">
        <f>WEEKNUM(TimeEntry[[#This Row],[WkEnd]])</f>
        <v>48</v>
      </c>
      <c r="T53" s="9" t="str">
        <f>TimeEntry[[#This Row],[Year]]&amp;"-"&amp;TimeEntry[[#This Row],[WkNo]]</f>
        <v>2020-48</v>
      </c>
    </row>
    <row r="54" spans="1:20" x14ac:dyDescent="0.25">
      <c r="A54" s="6">
        <f>MOD(IF(ROW()=2,0.1,IF(INDEX(TimeEntry[WkEnd],ROW()-1)  =  INDEX(TimeEntry[WkEnd],ROW()-2),    INDEX(TimeEntry[format],ROW()-2),    INDEX(TimeEntry[format],ROW()-2)    +1)),2)</f>
        <v>1.1000000000000001</v>
      </c>
      <c r="B54" s="7">
        <v>44151.500555555554</v>
      </c>
      <c r="C54" s="8">
        <v>44151</v>
      </c>
      <c r="D54" s="8" t="s">
        <v>104</v>
      </c>
      <c r="E54" s="1" t="s">
        <v>442</v>
      </c>
      <c r="F54" s="8">
        <f>IF(TimeEntry[[#This Row],[Date]]=0,F2,C54+(7-Q54))</f>
        <v>44157</v>
      </c>
      <c r="G54" s="35" t="str">
        <f>INDEX(projects[Charge_Code],MATCH(TimeEntry[[#This Row],[Project_ID]],projects[Project_ID],0))</f>
        <v>210035-65 MC VBB WP1: DO-nota West (25-050)</v>
      </c>
      <c r="H54" s="1" t="str">
        <f t="shared" si="9"/>
        <v>Normal Time</v>
      </c>
      <c r="I54" s="1" t="s">
        <v>648</v>
      </c>
      <c r="J54" s="15">
        <v>2</v>
      </c>
      <c r="K54" s="15"/>
      <c r="L54" s="15"/>
      <c r="M54" s="15"/>
      <c r="N54" s="15"/>
      <c r="O54" s="15" t="str">
        <f>INDEX(projects[job number],MATCH(TimeEntry[[#This Row],[Project_ID]], projects[Project_ID],0))</f>
        <v>210035-65</v>
      </c>
      <c r="P54" s="15" t="str">
        <f>INDEX(projects[Project_Name],MATCH(TimeEntry[[#This Row],[Project_ID]], projects[Project_ID],0))</f>
        <v>MC VBB WP1: DO-nota West</v>
      </c>
      <c r="Q54" s="6">
        <f>IF(TimeEntry[[#This Row],[Date]]=0,"",WEEKDAY(C54,2))</f>
        <v>1</v>
      </c>
      <c r="R54" s="9">
        <f>YEAR(TimeEntry[[#This Row],[WkEnd]])</f>
        <v>2020</v>
      </c>
      <c r="S54" s="9">
        <f>WEEKNUM(TimeEntry[[#This Row],[WkEnd]])</f>
        <v>48</v>
      </c>
      <c r="T54" s="9" t="str">
        <f>TimeEntry[[#This Row],[Year]]&amp;"-"&amp;TimeEntry[[#This Row],[WkNo]]</f>
        <v>2020-48</v>
      </c>
    </row>
    <row r="55" spans="1:20" x14ac:dyDescent="0.25">
      <c r="A55" s="6">
        <f>MOD(IF(ROW()=2,0.1,IF(INDEX(TimeEntry[WkEnd],ROW()-1)  =  INDEX(TimeEntry[WkEnd],ROW()-2),    INDEX(TimeEntry[format],ROW()-2),    INDEX(TimeEntry[format],ROW()-2)    +1)),2)</f>
        <v>0.10000000000000009</v>
      </c>
      <c r="B55" s="7">
        <v>44148.669131944444</v>
      </c>
      <c r="C55" s="8">
        <v>44148</v>
      </c>
      <c r="D55" s="8" t="s">
        <v>106</v>
      </c>
      <c r="E55" s="1" t="s">
        <v>442</v>
      </c>
      <c r="F55" s="8">
        <f>IF(TimeEntry[[#This Row],[Date]]=0,F2,C55+(7-Q55))</f>
        <v>44150</v>
      </c>
      <c r="G55" s="35" t="str">
        <f>INDEX(projects[Charge_Code],MATCH(TimeEntry[[#This Row],[Project_ID]],projects[Project_ID],0))</f>
        <v>210035-65 MC VBB WP1: DO-nota West (25-050)</v>
      </c>
      <c r="H55" s="1" t="str">
        <f t="shared" si="9"/>
        <v>Normal Time</v>
      </c>
      <c r="I55" s="1" t="s">
        <v>647</v>
      </c>
      <c r="J55" s="15"/>
      <c r="K55" s="15"/>
      <c r="L55" s="15"/>
      <c r="M55" s="15"/>
      <c r="N55" s="15">
        <v>3.5</v>
      </c>
      <c r="O55" s="15" t="str">
        <f>INDEX(projects[job number],MATCH(TimeEntry[[#This Row],[Project_ID]], projects[Project_ID],0))</f>
        <v>210035-65</v>
      </c>
      <c r="P55" s="15" t="str">
        <f>INDEX(projects[Project_Name],MATCH(TimeEntry[[#This Row],[Project_ID]], projects[Project_ID],0))</f>
        <v>MC VBB WP1: DO-nota West</v>
      </c>
      <c r="Q55" s="6">
        <f>IF(TimeEntry[[#This Row],[Date]]=0,"",WEEKDAY(C55,2))</f>
        <v>5</v>
      </c>
      <c r="R55" s="9">
        <f>YEAR(TimeEntry[[#This Row],[WkEnd]])</f>
        <v>2020</v>
      </c>
      <c r="S55" s="9">
        <f>WEEKNUM(TimeEntry[[#This Row],[WkEnd]])</f>
        <v>47</v>
      </c>
      <c r="T55" s="9" t="str">
        <f>TimeEntry[[#This Row],[Year]]&amp;"-"&amp;TimeEntry[[#This Row],[WkNo]]</f>
        <v>2020-47</v>
      </c>
    </row>
    <row r="56" spans="1:20" x14ac:dyDescent="0.25">
      <c r="A56" s="6">
        <f>MOD(IF(ROW()=2,0.1,IF(INDEX(TimeEntry[WkEnd],ROW()-1)  =  INDEX(TimeEntry[WkEnd],ROW()-2),    INDEX(TimeEntry[format],ROW()-2),    INDEX(TimeEntry[format],ROW()-2)    +1)),2)</f>
        <v>0.10000000000000009</v>
      </c>
      <c r="B56" s="7">
        <v>44148.500810185185</v>
      </c>
      <c r="C56" s="8">
        <v>44148</v>
      </c>
      <c r="D56" s="8" t="s">
        <v>106</v>
      </c>
      <c r="E56" s="1" t="s">
        <v>442</v>
      </c>
      <c r="F56" s="8">
        <f>IF(TimeEntry[[#This Row],[Date]]=0,F2,C56+(7-Q56))</f>
        <v>44150</v>
      </c>
      <c r="G56" s="35" t="str">
        <f>INDEX(projects[Charge_Code],MATCH(TimeEntry[[#This Row],[Project_ID]],projects[Project_ID],0))</f>
        <v>210035-65 MC VBB WP1: DO-nota West (25-050)</v>
      </c>
      <c r="H56" s="1" t="str">
        <f t="shared" si="9"/>
        <v>Normal Time</v>
      </c>
      <c r="I56" s="1" t="s">
        <v>646</v>
      </c>
      <c r="J56" s="15"/>
      <c r="K56" s="15"/>
      <c r="L56" s="15"/>
      <c r="M56" s="15"/>
      <c r="N56" s="15">
        <v>3</v>
      </c>
      <c r="O56" s="15" t="str">
        <f>INDEX(projects[job number],MATCH(TimeEntry[[#This Row],[Project_ID]], projects[Project_ID],0))</f>
        <v>210035-65</v>
      </c>
      <c r="P56" s="15" t="str">
        <f>INDEX(projects[Project_Name],MATCH(TimeEntry[[#This Row],[Project_ID]], projects[Project_ID],0))</f>
        <v>MC VBB WP1: DO-nota West</v>
      </c>
      <c r="Q56" s="6">
        <f>IF(TimeEntry[[#This Row],[Date]]=0,"",WEEKDAY(C56,2))</f>
        <v>5</v>
      </c>
      <c r="R56" s="9">
        <f>YEAR(TimeEntry[[#This Row],[WkEnd]])</f>
        <v>2020</v>
      </c>
      <c r="S56" s="9">
        <f>WEEKNUM(TimeEntry[[#This Row],[WkEnd]])</f>
        <v>47</v>
      </c>
      <c r="T56" s="9" t="str">
        <f>TimeEntry[[#This Row],[Year]]&amp;"-"&amp;TimeEntry[[#This Row],[WkNo]]</f>
        <v>2020-47</v>
      </c>
    </row>
    <row r="57" spans="1:20" x14ac:dyDescent="0.25">
      <c r="A57" s="6">
        <f>MOD(IF(ROW()=2,0.1,IF(INDEX(TimeEntry[WkEnd],ROW()-1)  =  INDEX(TimeEntry[WkEnd],ROW()-2),    INDEX(TimeEntry[format],ROW()-2),    INDEX(TimeEntry[format],ROW()-2)    +1)),2)</f>
        <v>0.10000000000000009</v>
      </c>
      <c r="B57" s="7">
        <v>44148.500810185185</v>
      </c>
      <c r="C57" s="8">
        <v>44148</v>
      </c>
      <c r="D57" s="8" t="s">
        <v>106</v>
      </c>
      <c r="E57" s="1" t="s">
        <v>677</v>
      </c>
      <c r="F57" s="8">
        <f>IF(TimeEntry[[#This Row],[Date]]=0,F2,C57+(7-Q57))</f>
        <v>44150</v>
      </c>
      <c r="G57" s="35" t="str">
        <f>INDEX(projects[Charge_Code],MATCH(TimeEntry[[#This Row],[Project_ID]],projects[Project_ID],0))</f>
        <v>074097-30 LEADERSHIP &amp; MANAGEMENT CC124 (01-124)</v>
      </c>
      <c r="H57" s="1" t="str">
        <f t="shared" si="9"/>
        <v>Normal Time</v>
      </c>
      <c r="I57" s="1" t="s">
        <v>645</v>
      </c>
      <c r="J57" s="15"/>
      <c r="K57" s="15"/>
      <c r="L57" s="15"/>
      <c r="M57" s="15"/>
      <c r="N57" s="15">
        <v>1</v>
      </c>
      <c r="O57" s="15" t="str">
        <f>INDEX(projects[job number],MATCH(TimeEntry[[#This Row],[Project_ID]], projects[Project_ID],0))</f>
        <v>074097-30</v>
      </c>
      <c r="P57" s="15" t="str">
        <f>INDEX(projects[Project_Name],MATCH(TimeEntry[[#This Row],[Project_ID]], projects[Project_ID],0))</f>
        <v>LEADERSHIP &amp; MANAGEMENT CC124</v>
      </c>
      <c r="Q57" s="6">
        <f>IF(TimeEntry[[#This Row],[Date]]=0,"",WEEKDAY(C57,2))</f>
        <v>5</v>
      </c>
      <c r="R57" s="9">
        <f>YEAR(TimeEntry[[#This Row],[WkEnd]])</f>
        <v>2020</v>
      </c>
      <c r="S57" s="9">
        <f>WEEKNUM(TimeEntry[[#This Row],[WkEnd]])</f>
        <v>47</v>
      </c>
      <c r="T57" s="9" t="str">
        <f>TimeEntry[[#This Row],[Year]]&amp;"-"&amp;TimeEntry[[#This Row],[WkNo]]</f>
        <v>2020-47</v>
      </c>
    </row>
    <row r="58" spans="1:20" x14ac:dyDescent="0.25">
      <c r="A58" s="6">
        <f>MOD(IF(ROW()=2,0.1,IF(INDEX(TimeEntry[WkEnd],ROW()-1)  =  INDEX(TimeEntry[WkEnd],ROW()-2),    INDEX(TimeEntry[format],ROW()-2),    INDEX(TimeEntry[format],ROW()-2)    +1)),2)</f>
        <v>0.10000000000000009</v>
      </c>
      <c r="B58" s="7">
        <v>44147.669722222221</v>
      </c>
      <c r="C58" s="8">
        <v>44147</v>
      </c>
      <c r="D58" s="8" t="s">
        <v>102</v>
      </c>
      <c r="E58" s="1" t="s">
        <v>442</v>
      </c>
      <c r="F58" s="8">
        <f>IF(TimeEntry[[#This Row],[Date]]=0,F2,C58+(7-Q58))</f>
        <v>44150</v>
      </c>
      <c r="G58" s="35" t="str">
        <f>INDEX(projects[Charge_Code],MATCH(TimeEntry[[#This Row],[Project_ID]],projects[Project_ID],0))</f>
        <v>210035-65 MC VBB WP1: DO-nota West (25-050)</v>
      </c>
      <c r="H58" s="1" t="str">
        <f t="shared" si="9"/>
        <v>Normal Time</v>
      </c>
      <c r="I58" s="1" t="s">
        <v>644</v>
      </c>
      <c r="J58" s="15"/>
      <c r="K58" s="15"/>
      <c r="L58" s="15"/>
      <c r="M58" s="15">
        <v>4.5</v>
      </c>
      <c r="N58" s="15"/>
      <c r="O58" s="15" t="str">
        <f>INDEX(projects[job number],MATCH(TimeEntry[[#This Row],[Project_ID]], projects[Project_ID],0))</f>
        <v>210035-65</v>
      </c>
      <c r="P58" s="15" t="str">
        <f>INDEX(projects[Project_Name],MATCH(TimeEntry[[#This Row],[Project_ID]], projects[Project_ID],0))</f>
        <v>MC VBB WP1: DO-nota West</v>
      </c>
      <c r="Q58" s="6">
        <f>IF(TimeEntry[[#This Row],[Date]]=0,"",WEEKDAY(C58,2))</f>
        <v>4</v>
      </c>
      <c r="R58" s="9">
        <f>YEAR(TimeEntry[[#This Row],[WkEnd]])</f>
        <v>2020</v>
      </c>
      <c r="S58" s="9">
        <f>WEEKNUM(TimeEntry[[#This Row],[WkEnd]])</f>
        <v>47</v>
      </c>
      <c r="T58" s="9" t="str">
        <f>TimeEntry[[#This Row],[Year]]&amp;"-"&amp;TimeEntry[[#This Row],[WkNo]]</f>
        <v>2020-47</v>
      </c>
    </row>
    <row r="59" spans="1:20" x14ac:dyDescent="0.25">
      <c r="A59" s="6">
        <f>MOD(IF(ROW()=2,0.1,IF(INDEX(TimeEntry[WkEnd],ROW()-1)  =  INDEX(TimeEntry[WkEnd],ROW()-2),    INDEX(TimeEntry[format],ROW()-2),    INDEX(TimeEntry[format],ROW()-2)    +1)),2)</f>
        <v>0.10000000000000009</v>
      </c>
      <c r="B59" s="7">
        <v>44147.522129629629</v>
      </c>
      <c r="C59" s="8">
        <v>44147</v>
      </c>
      <c r="D59" s="8" t="s">
        <v>102</v>
      </c>
      <c r="E59" s="1" t="s">
        <v>442</v>
      </c>
      <c r="F59" s="8">
        <f>IF(TimeEntry[[#This Row],[Date]]=0,F2,C59+(7-Q59))</f>
        <v>44150</v>
      </c>
      <c r="G59" s="35" t="str">
        <f>INDEX(projects[Charge_Code],MATCH(TimeEntry[[#This Row],[Project_ID]],projects[Project_ID],0))</f>
        <v>210035-65 MC VBB WP1: DO-nota West (25-050)</v>
      </c>
      <c r="H59" s="1" t="str">
        <f t="shared" si="9"/>
        <v>Normal Time</v>
      </c>
      <c r="I59" s="1" t="s">
        <v>643</v>
      </c>
      <c r="J59" s="15"/>
      <c r="K59" s="15"/>
      <c r="L59" s="15"/>
      <c r="M59" s="15">
        <v>3</v>
      </c>
      <c r="N59" s="15"/>
      <c r="O59" s="15" t="str">
        <f>INDEX(projects[job number],MATCH(TimeEntry[[#This Row],[Project_ID]], projects[Project_ID],0))</f>
        <v>210035-65</v>
      </c>
      <c r="P59" s="15" t="str">
        <f>INDEX(projects[Project_Name],MATCH(TimeEntry[[#This Row],[Project_ID]], projects[Project_ID],0))</f>
        <v>MC VBB WP1: DO-nota West</v>
      </c>
      <c r="Q59" s="6">
        <f>IF(TimeEntry[[#This Row],[Date]]=0,"",WEEKDAY(C59,2))</f>
        <v>4</v>
      </c>
      <c r="R59" s="9">
        <f>YEAR(TimeEntry[[#This Row],[WkEnd]])</f>
        <v>2020</v>
      </c>
      <c r="S59" s="9">
        <f>WEEKNUM(TimeEntry[[#This Row],[WkEnd]])</f>
        <v>47</v>
      </c>
      <c r="T59" s="9" t="str">
        <f>TimeEntry[[#This Row],[Year]]&amp;"-"&amp;TimeEntry[[#This Row],[WkNo]]</f>
        <v>2020-47</v>
      </c>
    </row>
    <row r="60" spans="1:20" x14ac:dyDescent="0.25">
      <c r="A60" s="6">
        <f>MOD(IF(ROW()=2,0.1,IF(INDEX(TimeEntry[WkEnd],ROW()-1)  =  INDEX(TimeEntry[WkEnd],ROW()-2),    INDEX(TimeEntry[format],ROW()-2),    INDEX(TimeEntry[format],ROW()-2)    +1)),2)</f>
        <v>0.10000000000000009</v>
      </c>
      <c r="B60" s="7">
        <v>44146.699548611112</v>
      </c>
      <c r="C60" s="8">
        <v>44146</v>
      </c>
      <c r="D60" s="8" t="s">
        <v>100</v>
      </c>
      <c r="E60" s="1" t="s">
        <v>677</v>
      </c>
      <c r="F60" s="8">
        <f>IF(TimeEntry[[#This Row],[Date]]=0,F2,C60+(7-Q60))</f>
        <v>44150</v>
      </c>
      <c r="G60" s="35" t="str">
        <f>INDEX(projects[Charge_Code],MATCH(TimeEntry[[#This Row],[Project_ID]],projects[Project_ID],0))</f>
        <v>074097-30 LEADERSHIP &amp; MANAGEMENT CC124 (01-124)</v>
      </c>
      <c r="H60" s="1" t="str">
        <f t="shared" ref="H60:H66" si="10">"Normal Time"</f>
        <v>Normal Time</v>
      </c>
      <c r="I60" s="1" t="s">
        <v>642</v>
      </c>
      <c r="J60" s="15"/>
      <c r="K60" s="15"/>
      <c r="L60" s="15">
        <v>1</v>
      </c>
      <c r="M60" s="15"/>
      <c r="N60" s="15"/>
      <c r="O60" s="15" t="str">
        <f>INDEX(projects[job number],MATCH(TimeEntry[[#This Row],[Project_ID]], projects[Project_ID],0))</f>
        <v>074097-30</v>
      </c>
      <c r="P60" s="15" t="str">
        <f>INDEX(projects[Project_Name],MATCH(TimeEntry[[#This Row],[Project_ID]], projects[Project_ID],0))</f>
        <v>LEADERSHIP &amp; MANAGEMENT CC124</v>
      </c>
      <c r="Q60" s="6">
        <f>IF(TimeEntry[[#This Row],[Date]]=0,"",WEEKDAY(C60,2))</f>
        <v>3</v>
      </c>
      <c r="R60" s="9">
        <f>YEAR(TimeEntry[[#This Row],[WkEnd]])</f>
        <v>2020</v>
      </c>
      <c r="S60" s="9">
        <f>WEEKNUM(TimeEntry[[#This Row],[WkEnd]])</f>
        <v>47</v>
      </c>
      <c r="T60" s="9" t="str">
        <f>TimeEntry[[#This Row],[Year]]&amp;"-"&amp;TimeEntry[[#This Row],[WkNo]]</f>
        <v>2020-47</v>
      </c>
    </row>
    <row r="61" spans="1:20" x14ac:dyDescent="0.25">
      <c r="A61" s="6">
        <f>MOD(IF(ROW()=2,0.1,IF(INDEX(TimeEntry[WkEnd],ROW()-1)  =  INDEX(TimeEntry[WkEnd],ROW()-2),    INDEX(TimeEntry[format],ROW()-2),    INDEX(TimeEntry[format],ROW()-2)    +1)),2)</f>
        <v>0.10000000000000009</v>
      </c>
      <c r="B61" s="7">
        <v>44146.699548611112</v>
      </c>
      <c r="C61" s="8">
        <v>44146</v>
      </c>
      <c r="D61" s="8" t="s">
        <v>100</v>
      </c>
      <c r="E61" s="1" t="s">
        <v>442</v>
      </c>
      <c r="F61" s="8">
        <f>IF(TimeEntry[[#This Row],[Date]]=0,F2,C61+(7-Q61))</f>
        <v>44150</v>
      </c>
      <c r="G61" s="35" t="str">
        <f>INDEX(projects[Charge_Code],MATCH(TimeEntry[[#This Row],[Project_ID]],projects[Project_ID],0))</f>
        <v>210035-65 MC VBB WP1: DO-nota West (25-050)</v>
      </c>
      <c r="H61" s="1" t="str">
        <f t="shared" si="10"/>
        <v>Normal Time</v>
      </c>
      <c r="I61" s="1" t="s">
        <v>641</v>
      </c>
      <c r="J61" s="15"/>
      <c r="K61" s="15"/>
      <c r="L61" s="15">
        <v>3.5</v>
      </c>
      <c r="M61" s="15"/>
      <c r="N61" s="15"/>
      <c r="O61" s="15" t="str">
        <f>INDEX(projects[job number],MATCH(TimeEntry[[#This Row],[Project_ID]], projects[Project_ID],0))</f>
        <v>210035-65</v>
      </c>
      <c r="P61" s="15" t="str">
        <f>INDEX(projects[Project_Name],MATCH(TimeEntry[[#This Row],[Project_ID]], projects[Project_ID],0))</f>
        <v>MC VBB WP1: DO-nota West</v>
      </c>
      <c r="Q61" s="6">
        <f>IF(TimeEntry[[#This Row],[Date]]=0,"",WEEKDAY(C61,2))</f>
        <v>3</v>
      </c>
      <c r="R61" s="9">
        <f>YEAR(TimeEntry[[#This Row],[WkEnd]])</f>
        <v>2020</v>
      </c>
      <c r="S61" s="9">
        <f>WEEKNUM(TimeEntry[[#This Row],[WkEnd]])</f>
        <v>47</v>
      </c>
      <c r="T61" s="9" t="str">
        <f>TimeEntry[[#This Row],[Year]]&amp;"-"&amp;TimeEntry[[#This Row],[WkNo]]</f>
        <v>2020-47</v>
      </c>
    </row>
    <row r="62" spans="1:20" x14ac:dyDescent="0.25">
      <c r="A62" s="6">
        <f>MOD(IF(ROW()=2,0.1,IF(INDEX(TimeEntry[WkEnd],ROW()-1)  =  INDEX(TimeEntry[WkEnd],ROW()-2),    INDEX(TimeEntry[format],ROW()-2),    INDEX(TimeEntry[format],ROW()-2)    +1)),2)</f>
        <v>0.10000000000000009</v>
      </c>
      <c r="B62" s="7">
        <v>44146.501342592594</v>
      </c>
      <c r="C62" s="8">
        <v>44146</v>
      </c>
      <c r="D62" s="8" t="s">
        <v>100</v>
      </c>
      <c r="E62" s="1" t="s">
        <v>442</v>
      </c>
      <c r="F62" s="8">
        <f>IF(TimeEntry[[#This Row],[Date]]=0,F2,C62+(7-Q62))</f>
        <v>44150</v>
      </c>
      <c r="G62" s="35" t="str">
        <f>INDEX(projects[Charge_Code],MATCH(TimeEntry[[#This Row],[Project_ID]],projects[Project_ID],0))</f>
        <v>210035-65 MC VBB WP1: DO-nota West (25-050)</v>
      </c>
      <c r="H62" s="1" t="str">
        <f t="shared" si="10"/>
        <v>Normal Time</v>
      </c>
      <c r="I62" s="1" t="s">
        <v>640</v>
      </c>
      <c r="J62" s="15"/>
      <c r="K62" s="15"/>
      <c r="L62" s="15">
        <v>3</v>
      </c>
      <c r="M62" s="15"/>
      <c r="N62" s="15"/>
      <c r="O62" s="15" t="str">
        <f>INDEX(projects[job number],MATCH(TimeEntry[[#This Row],[Project_ID]], projects[Project_ID],0))</f>
        <v>210035-65</v>
      </c>
      <c r="P62" s="15" t="str">
        <f>INDEX(projects[Project_Name],MATCH(TimeEntry[[#This Row],[Project_ID]], projects[Project_ID],0))</f>
        <v>MC VBB WP1: DO-nota West</v>
      </c>
      <c r="Q62" s="6">
        <f>IF(TimeEntry[[#This Row],[Date]]=0,"",WEEKDAY(C62,2))</f>
        <v>3</v>
      </c>
      <c r="R62" s="9">
        <f>YEAR(TimeEntry[[#This Row],[WkEnd]])</f>
        <v>2020</v>
      </c>
      <c r="S62" s="9">
        <f>WEEKNUM(TimeEntry[[#This Row],[WkEnd]])</f>
        <v>47</v>
      </c>
      <c r="T62" s="9" t="str">
        <f>TimeEntry[[#This Row],[Year]]&amp;"-"&amp;TimeEntry[[#This Row],[WkNo]]</f>
        <v>2020-47</v>
      </c>
    </row>
    <row r="63" spans="1:20" x14ac:dyDescent="0.25">
      <c r="A63" s="6">
        <f>MOD(IF(ROW()=2,0.1,IF(INDEX(TimeEntry[WkEnd],ROW()-1)  =  INDEX(TimeEntry[WkEnd],ROW()-2),    INDEX(TimeEntry[format],ROW()-2),    INDEX(TimeEntry[format],ROW()-2)    +1)),2)</f>
        <v>0.10000000000000009</v>
      </c>
      <c r="B63" s="7">
        <v>44145.669756944444</v>
      </c>
      <c r="C63" s="8">
        <v>44145</v>
      </c>
      <c r="D63" s="8" t="s">
        <v>101</v>
      </c>
      <c r="E63" s="1" t="s">
        <v>442</v>
      </c>
      <c r="F63" s="8">
        <f>IF(TimeEntry[[#This Row],[Date]]=0,F2,C63+(7-Q63))</f>
        <v>44150</v>
      </c>
      <c r="G63" s="35" t="str">
        <f>INDEX(projects[Charge_Code],MATCH(TimeEntry[[#This Row],[Project_ID]],projects[Project_ID],0))</f>
        <v>210035-65 MC VBB WP1: DO-nota West (25-050)</v>
      </c>
      <c r="H63" s="1" t="str">
        <f t="shared" si="10"/>
        <v>Normal Time</v>
      </c>
      <c r="I63" s="1" t="s">
        <v>639</v>
      </c>
      <c r="J63" s="15"/>
      <c r="K63" s="15">
        <v>3.5</v>
      </c>
      <c r="L63" s="15"/>
      <c r="M63" s="15"/>
      <c r="N63" s="15"/>
      <c r="O63" s="15" t="str">
        <f>INDEX(projects[job number],MATCH(TimeEntry[[#This Row],[Project_ID]], projects[Project_ID],0))</f>
        <v>210035-65</v>
      </c>
      <c r="P63" s="15" t="str">
        <f>INDEX(projects[Project_Name],MATCH(TimeEntry[[#This Row],[Project_ID]], projects[Project_ID],0))</f>
        <v>MC VBB WP1: DO-nota West</v>
      </c>
      <c r="Q63" s="6">
        <f>IF(TimeEntry[[#This Row],[Date]]=0,"",WEEKDAY(C63,2))</f>
        <v>2</v>
      </c>
      <c r="R63" s="9">
        <f>YEAR(TimeEntry[[#This Row],[WkEnd]])</f>
        <v>2020</v>
      </c>
      <c r="S63" s="9">
        <f>WEEKNUM(TimeEntry[[#This Row],[WkEnd]])</f>
        <v>47</v>
      </c>
      <c r="T63" s="9" t="str">
        <f>TimeEntry[[#This Row],[Year]]&amp;"-"&amp;TimeEntry[[#This Row],[WkNo]]</f>
        <v>2020-47</v>
      </c>
    </row>
    <row r="64" spans="1:20" x14ac:dyDescent="0.25">
      <c r="A64" s="6">
        <f>MOD(IF(ROW()=2,0.1,IF(INDEX(TimeEntry[WkEnd],ROW()-1)  =  INDEX(TimeEntry[WkEnd],ROW()-2),    INDEX(TimeEntry[format],ROW()-2),    INDEX(TimeEntry[format],ROW()-2)    +1)),2)</f>
        <v>0.10000000000000009</v>
      </c>
      <c r="B64" s="7">
        <v>44145.506365740737</v>
      </c>
      <c r="C64" s="8">
        <v>44145</v>
      </c>
      <c r="D64" s="8" t="s">
        <v>101</v>
      </c>
      <c r="E64" s="1" t="s">
        <v>442</v>
      </c>
      <c r="F64" s="8">
        <f>IF(TimeEntry[[#This Row],[Date]]=0,F2,C64+(7-Q64))</f>
        <v>44150</v>
      </c>
      <c r="G64" s="35" t="str">
        <f>INDEX(projects[Charge_Code],MATCH(TimeEntry[[#This Row],[Project_ID]],projects[Project_ID],0))</f>
        <v>210035-65 MC VBB WP1: DO-nota West (25-050)</v>
      </c>
      <c r="H64" s="1" t="str">
        <f t="shared" si="10"/>
        <v>Normal Time</v>
      </c>
      <c r="I64" s="1" t="s">
        <v>638</v>
      </c>
      <c r="J64" s="15"/>
      <c r="K64" s="15">
        <v>4</v>
      </c>
      <c r="L64" s="15"/>
      <c r="M64" s="15"/>
      <c r="N64" s="15"/>
      <c r="O64" s="15" t="str">
        <f>INDEX(projects[job number],MATCH(TimeEntry[[#This Row],[Project_ID]], projects[Project_ID],0))</f>
        <v>210035-65</v>
      </c>
      <c r="P64" s="15" t="str">
        <f>INDEX(projects[Project_Name],MATCH(TimeEntry[[#This Row],[Project_ID]], projects[Project_ID],0))</f>
        <v>MC VBB WP1: DO-nota West</v>
      </c>
      <c r="Q64" s="6">
        <f>IF(TimeEntry[[#This Row],[Date]]=0,"",WEEKDAY(C64,2))</f>
        <v>2</v>
      </c>
      <c r="R64" s="9">
        <f>YEAR(TimeEntry[[#This Row],[WkEnd]])</f>
        <v>2020</v>
      </c>
      <c r="S64" s="9">
        <f>WEEKNUM(TimeEntry[[#This Row],[WkEnd]])</f>
        <v>47</v>
      </c>
      <c r="T64" s="9" t="str">
        <f>TimeEntry[[#This Row],[Year]]&amp;"-"&amp;TimeEntry[[#This Row],[WkNo]]</f>
        <v>2020-47</v>
      </c>
    </row>
    <row r="65" spans="1:20" x14ac:dyDescent="0.25">
      <c r="A65" s="6">
        <f>MOD(IF(ROW()=2,0.1,IF(INDEX(TimeEntry[WkEnd],ROW()-1)  =  INDEX(TimeEntry[WkEnd],ROW()-2),    INDEX(TimeEntry[format],ROW()-2),    INDEX(TimeEntry[format],ROW()-2)    +1)),2)</f>
        <v>0.10000000000000009</v>
      </c>
      <c r="B65" s="7">
        <v>44144.500752314816</v>
      </c>
      <c r="C65" s="8">
        <v>44144</v>
      </c>
      <c r="D65" s="8" t="s">
        <v>104</v>
      </c>
      <c r="E65" s="1" t="s">
        <v>442</v>
      </c>
      <c r="F65" s="8">
        <f>IF(TimeEntry[[#This Row],[Date]]=0,F2,C65+(7-Q65))</f>
        <v>44150</v>
      </c>
      <c r="G65" s="35" t="str">
        <f>INDEX(projects[Charge_Code],MATCH(TimeEntry[[#This Row],[Project_ID]],projects[Project_ID],0))</f>
        <v>210035-65 MC VBB WP1: DO-nota West (25-050)</v>
      </c>
      <c r="H65" s="1" t="str">
        <f t="shared" si="10"/>
        <v>Normal Time</v>
      </c>
      <c r="I65" s="1" t="s">
        <v>637</v>
      </c>
      <c r="J65" s="15">
        <v>6.5</v>
      </c>
      <c r="K65" s="15"/>
      <c r="L65" s="15"/>
      <c r="M65" s="15"/>
      <c r="N65" s="15"/>
      <c r="O65" s="15" t="str">
        <f>INDEX(projects[job number],MATCH(TimeEntry[[#This Row],[Project_ID]], projects[Project_ID],0))</f>
        <v>210035-65</v>
      </c>
      <c r="P65" s="15" t="str">
        <f>INDEX(projects[Project_Name],MATCH(TimeEntry[[#This Row],[Project_ID]], projects[Project_ID],0))</f>
        <v>MC VBB WP1: DO-nota West</v>
      </c>
      <c r="Q65" s="6">
        <f>IF(TimeEntry[[#This Row],[Date]]=0,"",WEEKDAY(C65,2))</f>
        <v>1</v>
      </c>
      <c r="R65" s="9">
        <f>YEAR(TimeEntry[[#This Row],[WkEnd]])</f>
        <v>2020</v>
      </c>
      <c r="S65" s="9">
        <f>WEEKNUM(TimeEntry[[#This Row],[WkEnd]])</f>
        <v>47</v>
      </c>
      <c r="T65" s="9" t="str">
        <f>TimeEntry[[#This Row],[Year]]&amp;"-"&amp;TimeEntry[[#This Row],[WkNo]]</f>
        <v>2020-47</v>
      </c>
    </row>
    <row r="66" spans="1:20" x14ac:dyDescent="0.25">
      <c r="A66" s="6">
        <f>MOD(IF(ROW()=2,0.1,IF(INDEX(TimeEntry[WkEnd],ROW()-1)  =  INDEX(TimeEntry[WkEnd],ROW()-2),    INDEX(TimeEntry[format],ROW()-2),    INDEX(TimeEntry[format],ROW()-2)    +1)),2)</f>
        <v>0.10000000000000009</v>
      </c>
      <c r="B66" s="7">
        <v>44144.500752314816</v>
      </c>
      <c r="C66" s="8">
        <v>44144</v>
      </c>
      <c r="D66" s="8" t="s">
        <v>104</v>
      </c>
      <c r="E66" s="1" t="s">
        <v>442</v>
      </c>
      <c r="F66" s="8">
        <f>IF(TimeEntry[[#This Row],[Date]]=0,F2,C66+(7-Q66))</f>
        <v>44150</v>
      </c>
      <c r="G66" s="35" t="str">
        <f>INDEX(projects[Charge_Code],MATCH(TimeEntry[[#This Row],[Project_ID]],projects[Project_ID],0))</f>
        <v>210035-65 MC VBB WP1: DO-nota West (25-050)</v>
      </c>
      <c r="H66" s="1" t="str">
        <f t="shared" si="10"/>
        <v>Normal Time</v>
      </c>
      <c r="I66" s="1" t="s">
        <v>636</v>
      </c>
      <c r="J66" s="15">
        <v>1</v>
      </c>
      <c r="K66" s="15"/>
      <c r="L66" s="15"/>
      <c r="M66" s="15"/>
      <c r="N66" s="15"/>
      <c r="O66" s="15" t="str">
        <f>INDEX(projects[job number],MATCH(TimeEntry[[#This Row],[Project_ID]], projects[Project_ID],0))</f>
        <v>210035-65</v>
      </c>
      <c r="P66" s="15" t="str">
        <f>INDEX(projects[Project_Name],MATCH(TimeEntry[[#This Row],[Project_ID]], projects[Project_ID],0))</f>
        <v>MC VBB WP1: DO-nota West</v>
      </c>
      <c r="Q66" s="6">
        <f>IF(TimeEntry[[#This Row],[Date]]=0,"",WEEKDAY(C66,2))</f>
        <v>1</v>
      </c>
      <c r="R66" s="9">
        <f>YEAR(TimeEntry[[#This Row],[WkEnd]])</f>
        <v>2020</v>
      </c>
      <c r="S66" s="9">
        <f>WEEKNUM(TimeEntry[[#This Row],[WkEnd]])</f>
        <v>47</v>
      </c>
      <c r="T66" s="9" t="str">
        <f>TimeEntry[[#This Row],[Year]]&amp;"-"&amp;TimeEntry[[#This Row],[WkNo]]</f>
        <v>2020-47</v>
      </c>
    </row>
    <row r="67" spans="1:20" x14ac:dyDescent="0.25">
      <c r="A67" s="6">
        <f>MOD(IF(ROW()=2,0.1,IF(INDEX(TimeEntry[WkEnd],ROW()-1)  =  INDEX(TimeEntry[WkEnd],ROW()-2),    INDEX(TimeEntry[format],ROW()-2),    INDEX(TimeEntry[format],ROW()-2)    +1)),2)</f>
        <v>1.1000000000000001</v>
      </c>
      <c r="B67" s="7">
        <v>44141.667719907404</v>
      </c>
      <c r="C67" s="8">
        <v>44141</v>
      </c>
      <c r="D67" s="8" t="s">
        <v>106</v>
      </c>
      <c r="E67" s="1" t="s">
        <v>442</v>
      </c>
      <c r="F67" s="8">
        <f>IF(TimeEntry[[#This Row],[Date]]=0,F2,C67+(7-Q67))</f>
        <v>44143</v>
      </c>
      <c r="G67" s="35" t="str">
        <f>INDEX(projects[Charge_Code],MATCH(TimeEntry[[#This Row],[Project_ID]],projects[Project_ID],0))</f>
        <v>210035-65 MC VBB WP1: DO-nota West (25-050)</v>
      </c>
      <c r="H67" s="1" t="str">
        <f t="shared" ref="H67:H72" si="11">"Normal Time"</f>
        <v>Normal Time</v>
      </c>
      <c r="I67" s="1" t="s">
        <v>633</v>
      </c>
      <c r="J67" s="15"/>
      <c r="K67" s="15"/>
      <c r="L67" s="15"/>
      <c r="M67" s="15"/>
      <c r="N67" s="15">
        <v>3.5</v>
      </c>
      <c r="O67" s="15" t="str">
        <f>INDEX(projects[job number],MATCH(TimeEntry[[#This Row],[Project_ID]], projects[Project_ID],0))</f>
        <v>210035-65</v>
      </c>
      <c r="P67" s="15" t="str">
        <f>INDEX(projects[Project_Name],MATCH(TimeEntry[[#This Row],[Project_ID]], projects[Project_ID],0))</f>
        <v>MC VBB WP1: DO-nota West</v>
      </c>
      <c r="Q67" s="6">
        <f>IF(TimeEntry[[#This Row],[Date]]=0,"",WEEKDAY(C67,2))</f>
        <v>5</v>
      </c>
      <c r="R67" s="9">
        <f>YEAR(TimeEntry[[#This Row],[WkEnd]])</f>
        <v>2020</v>
      </c>
      <c r="S67" s="9">
        <f>WEEKNUM(TimeEntry[[#This Row],[WkEnd]])</f>
        <v>46</v>
      </c>
      <c r="T67" s="9" t="str">
        <f>TimeEntry[[#This Row],[Year]]&amp;"-"&amp;TimeEntry[[#This Row],[WkNo]]</f>
        <v>2020-46</v>
      </c>
    </row>
    <row r="68" spans="1:20" x14ac:dyDescent="0.25">
      <c r="A68" s="6">
        <f>MOD(IF(ROW()=2,0.1,IF(INDEX(TimeEntry[WkEnd],ROW()-1)  =  INDEX(TimeEntry[WkEnd],ROW()-2),    INDEX(TimeEntry[format],ROW()-2),    INDEX(TimeEntry[format],ROW()-2)    +1)),2)</f>
        <v>1.1000000000000001</v>
      </c>
      <c r="B68" s="7">
        <v>44141.667719907404</v>
      </c>
      <c r="C68" s="8">
        <v>44141</v>
      </c>
      <c r="D68" s="8" t="s">
        <v>106</v>
      </c>
      <c r="E68" s="1" t="s">
        <v>677</v>
      </c>
      <c r="F68" s="8">
        <f>IF(TimeEntry[[#This Row],[Date]]=0,F2,C68+(7-Q68))</f>
        <v>44143</v>
      </c>
      <c r="G68" s="35" t="str">
        <f>INDEX(projects[Charge_Code],MATCH(TimeEntry[[#This Row],[Project_ID]],projects[Project_ID],0))</f>
        <v>074097-30 LEADERSHIP &amp; MANAGEMENT CC124 (01-124)</v>
      </c>
      <c r="H68" s="1" t="str">
        <f t="shared" si="11"/>
        <v>Normal Time</v>
      </c>
      <c r="I68" s="1" t="s">
        <v>632</v>
      </c>
      <c r="J68" s="15"/>
      <c r="K68" s="15"/>
      <c r="L68" s="15"/>
      <c r="M68" s="15"/>
      <c r="N68" s="15">
        <v>1</v>
      </c>
      <c r="O68" s="15" t="str">
        <f>INDEX(projects[job number],MATCH(TimeEntry[[#This Row],[Project_ID]], projects[Project_ID],0))</f>
        <v>074097-30</v>
      </c>
      <c r="P68" s="15" t="str">
        <f>INDEX(projects[Project_Name],MATCH(TimeEntry[[#This Row],[Project_ID]], projects[Project_ID],0))</f>
        <v>LEADERSHIP &amp; MANAGEMENT CC124</v>
      </c>
      <c r="Q68" s="6">
        <f>IF(TimeEntry[[#This Row],[Date]]=0,"",WEEKDAY(C68,2))</f>
        <v>5</v>
      </c>
      <c r="R68" s="9">
        <f>YEAR(TimeEntry[[#This Row],[WkEnd]])</f>
        <v>2020</v>
      </c>
      <c r="S68" s="9">
        <f>WEEKNUM(TimeEntry[[#This Row],[WkEnd]])</f>
        <v>46</v>
      </c>
      <c r="T68" s="9" t="str">
        <f>TimeEntry[[#This Row],[Year]]&amp;"-"&amp;TimeEntry[[#This Row],[WkNo]]</f>
        <v>2020-46</v>
      </c>
    </row>
    <row r="69" spans="1:20" x14ac:dyDescent="0.25">
      <c r="A69" s="6">
        <f>MOD(IF(ROW()=2,0.1,IF(INDEX(TimeEntry[WkEnd],ROW()-1)  =  INDEX(TimeEntry[WkEnd],ROW()-2),    INDEX(TimeEntry[format],ROW()-2),    INDEX(TimeEntry[format],ROW()-2)    +1)),2)</f>
        <v>1.1000000000000001</v>
      </c>
      <c r="B69" s="7">
        <v>44141.50136574074</v>
      </c>
      <c r="C69" s="8">
        <v>44141</v>
      </c>
      <c r="D69" s="8" t="s">
        <v>106</v>
      </c>
      <c r="E69" s="1" t="s">
        <v>677</v>
      </c>
      <c r="F69" s="8">
        <f>IF(TimeEntry[[#This Row],[Date]]=0,F2,C69+(7-Q69))</f>
        <v>44143</v>
      </c>
      <c r="G69" s="35" t="str">
        <f>INDEX(projects[Charge_Code],MATCH(TimeEntry[[#This Row],[Project_ID]],projects[Project_ID],0))</f>
        <v>074097-30 LEADERSHIP &amp; MANAGEMENT CC124 (01-124)</v>
      </c>
      <c r="H69" s="1" t="str">
        <f t="shared" si="11"/>
        <v>Normal Time</v>
      </c>
      <c r="I69" s="1" t="s">
        <v>386</v>
      </c>
      <c r="J69" s="15"/>
      <c r="K69" s="15"/>
      <c r="L69" s="15"/>
      <c r="M69" s="15"/>
      <c r="N69" s="15">
        <v>1.5</v>
      </c>
      <c r="O69" s="15" t="str">
        <f>INDEX(projects[job number],MATCH(TimeEntry[[#This Row],[Project_ID]], projects[Project_ID],0))</f>
        <v>074097-30</v>
      </c>
      <c r="P69" s="15" t="str">
        <f>INDEX(projects[Project_Name],MATCH(TimeEntry[[#This Row],[Project_ID]], projects[Project_ID],0))</f>
        <v>LEADERSHIP &amp; MANAGEMENT CC124</v>
      </c>
      <c r="Q69" s="6">
        <f>IF(TimeEntry[[#This Row],[Date]]=0,"",WEEKDAY(C69,2))</f>
        <v>5</v>
      </c>
      <c r="R69" s="9">
        <f>YEAR(TimeEntry[[#This Row],[WkEnd]])</f>
        <v>2020</v>
      </c>
      <c r="S69" s="9">
        <f>WEEKNUM(TimeEntry[[#This Row],[WkEnd]])</f>
        <v>46</v>
      </c>
      <c r="T69" s="9" t="str">
        <f>TimeEntry[[#This Row],[Year]]&amp;"-"&amp;TimeEntry[[#This Row],[WkNo]]</f>
        <v>2020-46</v>
      </c>
    </row>
    <row r="70" spans="1:20" x14ac:dyDescent="0.25">
      <c r="A70" s="6">
        <f>MOD(IF(ROW()=2,0.1,IF(INDEX(TimeEntry[WkEnd],ROW()-1)  =  INDEX(TimeEntry[WkEnd],ROW()-2),    INDEX(TimeEntry[format],ROW()-2),    INDEX(TimeEntry[format],ROW()-2)    +1)),2)</f>
        <v>1.1000000000000001</v>
      </c>
      <c r="B70" s="7">
        <v>44141.50136574074</v>
      </c>
      <c r="C70" s="8">
        <v>44141</v>
      </c>
      <c r="D70" s="8" t="s">
        <v>106</v>
      </c>
      <c r="E70" s="1" t="s">
        <v>442</v>
      </c>
      <c r="F70" s="8">
        <f>IF(TimeEntry[[#This Row],[Date]]=0,F2,C70+(7-Q70))</f>
        <v>44143</v>
      </c>
      <c r="G70" s="35" t="str">
        <f>INDEX(projects[Charge_Code],MATCH(TimeEntry[[#This Row],[Project_ID]],projects[Project_ID],0))</f>
        <v>210035-65 MC VBB WP1: DO-nota West (25-050)</v>
      </c>
      <c r="H70" s="1" t="str">
        <f t="shared" si="11"/>
        <v>Normal Time</v>
      </c>
      <c r="I70" s="1" t="s">
        <v>631</v>
      </c>
      <c r="J70" s="15"/>
      <c r="K70" s="15"/>
      <c r="L70" s="15"/>
      <c r="M70" s="15"/>
      <c r="N70" s="15">
        <v>2</v>
      </c>
      <c r="O70" s="15" t="str">
        <f>INDEX(projects[job number],MATCH(TimeEntry[[#This Row],[Project_ID]], projects[Project_ID],0))</f>
        <v>210035-65</v>
      </c>
      <c r="P70" s="15" t="str">
        <f>INDEX(projects[Project_Name],MATCH(TimeEntry[[#This Row],[Project_ID]], projects[Project_ID],0))</f>
        <v>MC VBB WP1: DO-nota West</v>
      </c>
      <c r="Q70" s="6">
        <f>IF(TimeEntry[[#This Row],[Date]]=0,"",WEEKDAY(C70,2))</f>
        <v>5</v>
      </c>
      <c r="R70" s="9">
        <f>YEAR(TimeEntry[[#This Row],[WkEnd]])</f>
        <v>2020</v>
      </c>
      <c r="S70" s="9">
        <f>WEEKNUM(TimeEntry[[#This Row],[WkEnd]])</f>
        <v>46</v>
      </c>
      <c r="T70" s="9" t="str">
        <f>TimeEntry[[#This Row],[Year]]&amp;"-"&amp;TimeEntry[[#This Row],[WkNo]]</f>
        <v>2020-46</v>
      </c>
    </row>
    <row r="71" spans="1:20" x14ac:dyDescent="0.25">
      <c r="A71" s="6">
        <f>MOD(IF(ROW()=2,0.1,IF(INDEX(TimeEntry[WkEnd],ROW()-1)  =  INDEX(TimeEntry[WkEnd],ROW()-2),    INDEX(TimeEntry[format],ROW()-2),    INDEX(TimeEntry[format],ROW()-2)    +1)),2)</f>
        <v>1.1000000000000001</v>
      </c>
      <c r="B71" s="7">
        <v>44140.667268518519</v>
      </c>
      <c r="C71" s="8">
        <v>44140</v>
      </c>
      <c r="D71" s="8" t="s">
        <v>102</v>
      </c>
      <c r="E71" s="1" t="s">
        <v>442</v>
      </c>
      <c r="F71" s="8">
        <f>IF(TimeEntry[[#This Row],[Date]]=0,F2,C71+(7-Q71))</f>
        <v>44143</v>
      </c>
      <c r="G71" s="35" t="str">
        <f>INDEX(projects[Charge_Code],MATCH(TimeEntry[[#This Row],[Project_ID]],projects[Project_ID],0))</f>
        <v>210035-65 MC VBB WP1: DO-nota West (25-050)</v>
      </c>
      <c r="H71" s="1" t="str">
        <f t="shared" si="11"/>
        <v>Normal Time</v>
      </c>
      <c r="I71" s="1" t="s">
        <v>630</v>
      </c>
      <c r="J71" s="15"/>
      <c r="K71" s="15"/>
      <c r="L71" s="15"/>
      <c r="M71" s="15">
        <v>3.5</v>
      </c>
      <c r="N71" s="15"/>
      <c r="O71" s="15" t="str">
        <f>INDEX(projects[job number],MATCH(TimeEntry[[#This Row],[Project_ID]], projects[Project_ID],0))</f>
        <v>210035-65</v>
      </c>
      <c r="P71" s="15" t="str">
        <f>INDEX(projects[Project_Name],MATCH(TimeEntry[[#This Row],[Project_ID]], projects[Project_ID],0))</f>
        <v>MC VBB WP1: DO-nota West</v>
      </c>
      <c r="Q71" s="6">
        <f>IF(TimeEntry[[#This Row],[Date]]=0,"",WEEKDAY(C71,2))</f>
        <v>4</v>
      </c>
      <c r="R71" s="9">
        <f>YEAR(TimeEntry[[#This Row],[WkEnd]])</f>
        <v>2020</v>
      </c>
      <c r="S71" s="9">
        <f>WEEKNUM(TimeEntry[[#This Row],[WkEnd]])</f>
        <v>46</v>
      </c>
      <c r="T71" s="9" t="str">
        <f>TimeEntry[[#This Row],[Year]]&amp;"-"&amp;TimeEntry[[#This Row],[WkNo]]</f>
        <v>2020-46</v>
      </c>
    </row>
    <row r="72" spans="1:20" x14ac:dyDescent="0.25">
      <c r="A72" s="6">
        <f>MOD(IF(ROW()=2,0.1,IF(INDEX(TimeEntry[WkEnd],ROW()-1)  =  INDEX(TimeEntry[WkEnd],ROW()-2),    INDEX(TimeEntry[format],ROW()-2),    INDEX(TimeEntry[format],ROW()-2)    +1)),2)</f>
        <v>1.1000000000000001</v>
      </c>
      <c r="B72" s="7">
        <v>44140.500324074077</v>
      </c>
      <c r="C72" s="8">
        <v>44140</v>
      </c>
      <c r="D72" s="8" t="s">
        <v>102</v>
      </c>
      <c r="E72" s="1" t="s">
        <v>442</v>
      </c>
      <c r="F72" s="8">
        <f>IF(TimeEntry[[#This Row],[Date]]=0,F2,C72+(7-Q72))</f>
        <v>44143</v>
      </c>
      <c r="G72" s="35" t="str">
        <f>INDEX(projects[Charge_Code],MATCH(TimeEntry[[#This Row],[Project_ID]],projects[Project_ID],0))</f>
        <v>210035-65 MC VBB WP1: DO-nota West (25-050)</v>
      </c>
      <c r="H72" s="1" t="str">
        <f t="shared" si="11"/>
        <v>Normal Time</v>
      </c>
      <c r="I72" s="1" t="s">
        <v>629</v>
      </c>
      <c r="J72" s="15"/>
      <c r="K72" s="15"/>
      <c r="L72" s="15"/>
      <c r="M72" s="15">
        <v>4</v>
      </c>
      <c r="N72" s="15"/>
      <c r="O72" s="15" t="str">
        <f>INDEX(projects[job number],MATCH(TimeEntry[[#This Row],[Project_ID]], projects[Project_ID],0))</f>
        <v>210035-65</v>
      </c>
      <c r="P72" s="15" t="str">
        <f>INDEX(projects[Project_Name],MATCH(TimeEntry[[#This Row],[Project_ID]], projects[Project_ID],0))</f>
        <v>MC VBB WP1: DO-nota West</v>
      </c>
      <c r="Q72" s="6">
        <f>IF(TimeEntry[[#This Row],[Date]]=0,"",WEEKDAY(C72,2))</f>
        <v>4</v>
      </c>
      <c r="R72" s="9">
        <f>YEAR(TimeEntry[[#This Row],[WkEnd]])</f>
        <v>2020</v>
      </c>
      <c r="S72" s="9">
        <f>WEEKNUM(TimeEntry[[#This Row],[WkEnd]])</f>
        <v>46</v>
      </c>
      <c r="T72" s="9" t="str">
        <f>TimeEntry[[#This Row],[Year]]&amp;"-"&amp;TimeEntry[[#This Row],[WkNo]]</f>
        <v>2020-46</v>
      </c>
    </row>
    <row r="73" spans="1:20" x14ac:dyDescent="0.25">
      <c r="A73" s="6">
        <f>MOD(IF(ROW()=2,0.1,IF(INDEX(TimeEntry[WkEnd],ROW()-1)  =  INDEX(TimeEntry[WkEnd],ROW()-2),    INDEX(TimeEntry[format],ROW()-2),    INDEX(TimeEntry[format],ROW()-2)    +1)),2)</f>
        <v>1.1000000000000001</v>
      </c>
      <c r="B73" s="7">
        <v>44139.686331018522</v>
      </c>
      <c r="C73" s="8">
        <v>44139</v>
      </c>
      <c r="D73" s="8" t="s">
        <v>100</v>
      </c>
      <c r="E73" s="1" t="s">
        <v>442</v>
      </c>
      <c r="F73" s="8">
        <f>IF(TimeEntry[[#This Row],[Date]]=0,F1,C73+(7-Q73))</f>
        <v>44143</v>
      </c>
      <c r="G73" s="35" t="str">
        <f>INDEX(projects[Charge_Code],MATCH(TimeEntry[[#This Row],[Project_ID]],projects[Project_ID],0))</f>
        <v>210035-65 MC VBB WP1: DO-nota West (25-050)</v>
      </c>
      <c r="H73" s="1" t="str">
        <f t="shared" si="0"/>
        <v>Normal Time</v>
      </c>
      <c r="I73" s="1" t="s">
        <v>628</v>
      </c>
      <c r="J73" s="15"/>
      <c r="K73" s="15"/>
      <c r="L73" s="15">
        <v>7.5</v>
      </c>
      <c r="M73" s="15"/>
      <c r="N73" s="15"/>
      <c r="O73" s="15" t="str">
        <f>INDEX(projects[job number],MATCH(TimeEntry[[#This Row],[Project_ID]], projects[Project_ID],0))</f>
        <v>210035-65</v>
      </c>
      <c r="P73" s="15" t="str">
        <f>INDEX(projects[Project_Name],MATCH(TimeEntry[[#This Row],[Project_ID]], projects[Project_ID],0))</f>
        <v>MC VBB WP1: DO-nota West</v>
      </c>
      <c r="Q73" s="6">
        <f>IF(TimeEntry[[#This Row],[Date]]=0,"",WEEKDAY(C73,2))</f>
        <v>3</v>
      </c>
      <c r="R73" s="9">
        <f>YEAR(TimeEntry[[#This Row],[WkEnd]])</f>
        <v>2020</v>
      </c>
      <c r="S73" s="9">
        <f>WEEKNUM(TimeEntry[[#This Row],[WkEnd]])</f>
        <v>46</v>
      </c>
      <c r="T73" s="9" t="str">
        <f>TimeEntry[[#This Row],[Year]]&amp;"-"&amp;TimeEntry[[#This Row],[WkNo]]</f>
        <v>2020-46</v>
      </c>
    </row>
    <row r="74" spans="1:20" x14ac:dyDescent="0.25">
      <c r="A74" s="6">
        <f>MOD(IF(ROW()=2,0.1,IF(INDEX(TimeEntry[WkEnd],ROW()-1)  =  INDEX(TimeEntry[WkEnd],ROW()-2),    INDEX(TimeEntry[format],ROW()-2),    INDEX(TimeEntry[format],ROW()-2)    +1)),2)</f>
        <v>1.1000000000000001</v>
      </c>
      <c r="B74" s="7">
        <v>44138.686331018522</v>
      </c>
      <c r="C74" s="8">
        <v>44138</v>
      </c>
      <c r="D74" s="8" t="s">
        <v>101</v>
      </c>
      <c r="E74" s="1" t="s">
        <v>442</v>
      </c>
      <c r="F74" s="8">
        <f>IF(TimeEntry[[#This Row],[Date]]=0,F2,C74+(7-Q74))</f>
        <v>44143</v>
      </c>
      <c r="G74" s="35" t="str">
        <f>INDEX(projects[Charge_Code],MATCH(TimeEntry[[#This Row],[Project_ID]],projects[Project_ID],0))</f>
        <v>210035-65 MC VBB WP1: DO-nota West (25-050)</v>
      </c>
      <c r="H74" s="1" t="str">
        <f t="shared" si="0"/>
        <v>Normal Time</v>
      </c>
      <c r="I74" s="1" t="s">
        <v>627</v>
      </c>
      <c r="J74" s="15"/>
      <c r="K74" s="15">
        <v>2.5</v>
      </c>
      <c r="L74" s="15"/>
      <c r="M74" s="15"/>
      <c r="N74" s="15"/>
      <c r="O74" s="15" t="str">
        <f>INDEX(projects[job number],MATCH(TimeEntry[[#This Row],[Project_ID]], projects[Project_ID],0))</f>
        <v>210035-65</v>
      </c>
      <c r="P74" s="15" t="str">
        <f>INDEX(projects[Project_Name],MATCH(TimeEntry[[#This Row],[Project_ID]], projects[Project_ID],0))</f>
        <v>MC VBB WP1: DO-nota West</v>
      </c>
      <c r="Q74" s="6">
        <f>IF(TimeEntry[[#This Row],[Date]]=0,"",WEEKDAY(C74,2))</f>
        <v>2</v>
      </c>
      <c r="R74" s="9">
        <f>YEAR(TimeEntry[[#This Row],[WkEnd]])</f>
        <v>2020</v>
      </c>
      <c r="S74" s="9">
        <f>WEEKNUM(TimeEntry[[#This Row],[WkEnd]])</f>
        <v>46</v>
      </c>
      <c r="T74" s="9" t="str">
        <f>TimeEntry[[#This Row],[Year]]&amp;"-"&amp;TimeEntry[[#This Row],[WkNo]]</f>
        <v>2020-46</v>
      </c>
    </row>
    <row r="75" spans="1:20" x14ac:dyDescent="0.25">
      <c r="A75" s="6">
        <f>MOD(IF(ROW()=2,0.1,IF(INDEX(TimeEntry[WkEnd],ROW()-1)  =  INDEX(TimeEntry[WkEnd],ROW()-2),    INDEX(TimeEntry[format],ROW()-2),    INDEX(TimeEntry[format],ROW()-2)    +1)),2)</f>
        <v>1.1000000000000001</v>
      </c>
      <c r="B75" s="7">
        <v>44138.686331018522</v>
      </c>
      <c r="C75" s="8">
        <v>44138</v>
      </c>
      <c r="D75" s="8" t="s">
        <v>101</v>
      </c>
      <c r="E75" s="1" t="s">
        <v>442</v>
      </c>
      <c r="F75" s="8">
        <f>IF(TimeEntry[[#This Row],[Date]]=0,F2,C75+(7-Q75))</f>
        <v>44143</v>
      </c>
      <c r="G75" s="35" t="str">
        <f>INDEX(projects[Charge_Code],MATCH(TimeEntry[[#This Row],[Project_ID]],projects[Project_ID],0))</f>
        <v>210035-65 MC VBB WP1: DO-nota West (25-050)</v>
      </c>
      <c r="H75" s="1" t="str">
        <f t="shared" si="0"/>
        <v>Normal Time</v>
      </c>
      <c r="I75" s="1" t="s">
        <v>490</v>
      </c>
      <c r="J75" s="15"/>
      <c r="K75" s="15">
        <v>1</v>
      </c>
      <c r="L75" s="15"/>
      <c r="M75" s="15"/>
      <c r="N75" s="15"/>
      <c r="O75" s="15" t="str">
        <f>INDEX(projects[job number],MATCH(TimeEntry[[#This Row],[Project_ID]], projects[Project_ID],0))</f>
        <v>210035-65</v>
      </c>
      <c r="P75" s="15" t="str">
        <f>INDEX(projects[Project_Name],MATCH(TimeEntry[[#This Row],[Project_ID]], projects[Project_ID],0))</f>
        <v>MC VBB WP1: DO-nota West</v>
      </c>
      <c r="Q75" s="6">
        <f>IF(TimeEntry[[#This Row],[Date]]=0,"",WEEKDAY(C75,2))</f>
        <v>2</v>
      </c>
      <c r="R75" s="9">
        <f>YEAR(TimeEntry[[#This Row],[WkEnd]])</f>
        <v>2020</v>
      </c>
      <c r="S75" s="9">
        <f>WEEKNUM(TimeEntry[[#This Row],[WkEnd]])</f>
        <v>46</v>
      </c>
      <c r="T75" s="9" t="str">
        <f>TimeEntry[[#This Row],[Year]]&amp;"-"&amp;TimeEntry[[#This Row],[WkNo]]</f>
        <v>2020-46</v>
      </c>
    </row>
    <row r="76" spans="1:20" x14ac:dyDescent="0.25">
      <c r="A76" s="6">
        <f>MOD(IF(ROW()=2,0.1,IF(INDEX(TimeEntry[WkEnd],ROW()-1)  =  INDEX(TimeEntry[WkEnd],ROW()-2),    INDEX(TimeEntry[format],ROW()-2),    INDEX(TimeEntry[format],ROW()-2)    +1)),2)</f>
        <v>1.1000000000000001</v>
      </c>
      <c r="B76" s="7">
        <v>44138.541898148149</v>
      </c>
      <c r="C76" s="8">
        <v>44138</v>
      </c>
      <c r="D76" s="8" t="s">
        <v>101</v>
      </c>
      <c r="E76" s="1" t="s">
        <v>442</v>
      </c>
      <c r="F76" s="8">
        <f>IF(TimeEntry[[#This Row],[Date]]=0,F2,C76+(7-Q76))</f>
        <v>44143</v>
      </c>
      <c r="G76" s="35" t="str">
        <f>INDEX(projects[Charge_Code],MATCH(TimeEntry[[#This Row],[Project_ID]],projects[Project_ID],0))</f>
        <v>210035-65 MC VBB WP1: DO-nota West (25-050)</v>
      </c>
      <c r="H76" s="1" t="str">
        <f t="shared" si="0"/>
        <v>Normal Time</v>
      </c>
      <c r="I76" s="1" t="s">
        <v>626</v>
      </c>
      <c r="J76" s="15"/>
      <c r="K76" s="15">
        <v>4</v>
      </c>
      <c r="L76" s="15"/>
      <c r="M76" s="15"/>
      <c r="N76" s="15"/>
      <c r="O76" s="15" t="str">
        <f>INDEX(projects[job number],MATCH(TimeEntry[[#This Row],[Project_ID]], projects[Project_ID],0))</f>
        <v>210035-65</v>
      </c>
      <c r="P76" s="15" t="str">
        <f>INDEX(projects[Project_Name],MATCH(TimeEntry[[#This Row],[Project_ID]], projects[Project_ID],0))</f>
        <v>MC VBB WP1: DO-nota West</v>
      </c>
      <c r="Q76" s="6">
        <f>IF(TimeEntry[[#This Row],[Date]]=0,"",WEEKDAY(C76,2))</f>
        <v>2</v>
      </c>
      <c r="R76" s="9">
        <f>YEAR(TimeEntry[[#This Row],[WkEnd]])</f>
        <v>2020</v>
      </c>
      <c r="S76" s="9">
        <f>WEEKNUM(TimeEntry[[#This Row],[WkEnd]])</f>
        <v>46</v>
      </c>
      <c r="T76" s="9" t="str">
        <f>TimeEntry[[#This Row],[Year]]&amp;"-"&amp;TimeEntry[[#This Row],[WkNo]]</f>
        <v>2020-46</v>
      </c>
    </row>
    <row r="77" spans="1:20" x14ac:dyDescent="0.25">
      <c r="A77" s="6">
        <f>MOD(IF(ROW()=2,0.1,IF(INDEX(TimeEntry[WkEnd],ROW()-1)  =  INDEX(TimeEntry[WkEnd],ROW()-2),    INDEX(TimeEntry[format],ROW()-2),    INDEX(TimeEntry[format],ROW()-2)    +1)),2)</f>
        <v>1.1000000000000001</v>
      </c>
      <c r="B77" s="7">
        <v>44137.667233796295</v>
      </c>
      <c r="C77" s="8">
        <v>44137</v>
      </c>
      <c r="D77" s="8" t="s">
        <v>104</v>
      </c>
      <c r="E77" s="1" t="s">
        <v>444</v>
      </c>
      <c r="F77" s="8">
        <f>IF(TimeEntry[[#This Row],[Date]]=0,F2,C77+(7-Q77))</f>
        <v>44143</v>
      </c>
      <c r="G77" s="35" t="str">
        <f>INDEX(projects[Charge_Code],MATCH(TimeEntry[[#This Row],[Project_ID]],projects[Project_ID],0))</f>
        <v>LEAVE</v>
      </c>
      <c r="H77" s="1" t="str">
        <f t="shared" si="0"/>
        <v>Normal Time</v>
      </c>
      <c r="I77" s="1"/>
      <c r="J77" s="15">
        <v>3.75</v>
      </c>
      <c r="K77" s="15"/>
      <c r="L77" s="15"/>
      <c r="M77" s="15"/>
      <c r="N77" s="15"/>
      <c r="O77" s="15" t="str">
        <f>INDEX(projects[job number],MATCH(TimeEntry[[#This Row],[Project_ID]], projects[Project_ID],0))</f>
        <v>LEAVE</v>
      </c>
      <c r="P77" s="15">
        <f>INDEX(projects[Project_Name],MATCH(TimeEntry[[#This Row],[Project_ID]], projects[Project_ID],0))</f>
        <v>0</v>
      </c>
      <c r="Q77" s="6">
        <f>IF(TimeEntry[[#This Row],[Date]]=0,"",WEEKDAY(C77,2))</f>
        <v>1</v>
      </c>
      <c r="R77" s="9">
        <f>YEAR(TimeEntry[[#This Row],[WkEnd]])</f>
        <v>2020</v>
      </c>
      <c r="S77" s="9">
        <f>WEEKNUM(TimeEntry[[#This Row],[WkEnd]])</f>
        <v>46</v>
      </c>
      <c r="T77" s="9" t="str">
        <f>TimeEntry[[#This Row],[Year]]&amp;"-"&amp;TimeEntry[[#This Row],[WkNo]]</f>
        <v>2020-46</v>
      </c>
    </row>
    <row r="78" spans="1:20" x14ac:dyDescent="0.25">
      <c r="A78" s="6">
        <f>MOD(IF(ROW()=2,0.1,IF(INDEX(TimeEntry[WkEnd],ROW()-1)  =  INDEX(TimeEntry[WkEnd],ROW()-2),    INDEX(TimeEntry[format],ROW()-2),    INDEX(TimeEntry[format],ROW()-2)    +1)),2)</f>
        <v>1.1000000000000001</v>
      </c>
      <c r="B78" s="7">
        <v>44137.667233796295</v>
      </c>
      <c r="C78" s="8">
        <v>44137</v>
      </c>
      <c r="D78" s="8" t="s">
        <v>104</v>
      </c>
      <c r="E78" s="1" t="s">
        <v>442</v>
      </c>
      <c r="F78" s="8">
        <f>IF(TimeEntry[[#This Row],[Date]]=0,F2,C78+(7-Q78))</f>
        <v>44143</v>
      </c>
      <c r="G78" s="35" t="str">
        <f>INDEX(projects[Charge_Code],MATCH(TimeEntry[[#This Row],[Project_ID]],projects[Project_ID],0))</f>
        <v>210035-65 MC VBB WP1: DO-nota West (25-050)</v>
      </c>
      <c r="H78" s="1" t="str">
        <f t="shared" si="0"/>
        <v>Normal Time</v>
      </c>
      <c r="I78" s="1" t="s">
        <v>625</v>
      </c>
      <c r="J78" s="15">
        <v>3.75</v>
      </c>
      <c r="K78" s="15"/>
      <c r="L78" s="15"/>
      <c r="M78" s="15"/>
      <c r="N78" s="15"/>
      <c r="O78" s="15" t="str">
        <f>INDEX(projects[job number],MATCH(TimeEntry[[#This Row],[Project_ID]], projects[Project_ID],0))</f>
        <v>210035-65</v>
      </c>
      <c r="P78" s="15" t="str">
        <f>INDEX(projects[Project_Name],MATCH(TimeEntry[[#This Row],[Project_ID]], projects[Project_ID],0))</f>
        <v>MC VBB WP1: DO-nota West</v>
      </c>
      <c r="Q78" s="6">
        <f>IF(TimeEntry[[#This Row],[Date]]=0,"",WEEKDAY(C78,2))</f>
        <v>1</v>
      </c>
      <c r="R78" s="9">
        <f>YEAR(TimeEntry[[#This Row],[WkEnd]])</f>
        <v>2020</v>
      </c>
      <c r="S78" s="9">
        <f>WEEKNUM(TimeEntry[[#This Row],[WkEnd]])</f>
        <v>46</v>
      </c>
      <c r="T78" s="9" t="str">
        <f>TimeEntry[[#This Row],[Year]]&amp;"-"&amp;TimeEntry[[#This Row],[WkNo]]</f>
        <v>2020-46</v>
      </c>
    </row>
    <row r="79" spans="1:20" x14ac:dyDescent="0.25">
      <c r="A79" s="6">
        <f>MOD(IF(ROW()=2,0.1,IF(INDEX(TimeEntry[WkEnd],ROW()-1)  =  INDEX(TimeEntry[WkEnd],ROW()-2),    INDEX(TimeEntry[format],ROW()-2),    INDEX(TimeEntry[format],ROW()-2)    +1)),2)</f>
        <v>0.10000000000000009</v>
      </c>
      <c r="B79" s="7">
        <v>44134.669259259259</v>
      </c>
      <c r="C79" s="8">
        <v>44134</v>
      </c>
      <c r="D79" s="8" t="s">
        <v>106</v>
      </c>
      <c r="E79" s="1" t="s">
        <v>442</v>
      </c>
      <c r="F79" s="8">
        <f>IF(TimeEntry[[#This Row],[Date]]=0,F2,C79+(7-Q79))</f>
        <v>44136</v>
      </c>
      <c r="G79" s="35" t="str">
        <f>INDEX(projects[Charge_Code],MATCH(TimeEntry[[#This Row],[Project_ID]],projects[Project_ID],0))</f>
        <v>210035-65 MC VBB WP1: DO-nota West (25-050)</v>
      </c>
      <c r="H79" s="1" t="str">
        <f t="shared" si="0"/>
        <v>Normal Time</v>
      </c>
      <c r="I79" s="1" t="s">
        <v>623</v>
      </c>
      <c r="J79" s="15"/>
      <c r="K79" s="15"/>
      <c r="L79" s="15"/>
      <c r="M79" s="15"/>
      <c r="N79" s="15">
        <v>5.5</v>
      </c>
      <c r="O79" s="15" t="str">
        <f>INDEX(projects[job number],MATCH(TimeEntry[[#This Row],[Project_ID]], projects[Project_ID],0))</f>
        <v>210035-65</v>
      </c>
      <c r="P79" s="15" t="str">
        <f>INDEX(projects[Project_Name],MATCH(TimeEntry[[#This Row],[Project_ID]], projects[Project_ID],0))</f>
        <v>MC VBB WP1: DO-nota West</v>
      </c>
      <c r="Q79" s="6">
        <f>IF(TimeEntry[[#This Row],[Date]]=0,"",WEEKDAY(C79,2))</f>
        <v>5</v>
      </c>
      <c r="R79" s="9">
        <f>YEAR(TimeEntry[[#This Row],[WkEnd]])</f>
        <v>2020</v>
      </c>
      <c r="S79" s="9">
        <f>WEEKNUM(TimeEntry[[#This Row],[WkEnd]])</f>
        <v>45</v>
      </c>
      <c r="T79" s="9" t="str">
        <f>TimeEntry[[#This Row],[Year]]&amp;"-"&amp;TimeEntry[[#This Row],[WkNo]]</f>
        <v>2020-45</v>
      </c>
    </row>
    <row r="80" spans="1:20" x14ac:dyDescent="0.25">
      <c r="A80" s="6">
        <f>MOD(IF(ROW()=2,0.1,IF(INDEX(TimeEntry[WkEnd],ROW()-1)  =  INDEX(TimeEntry[WkEnd],ROW()-2),    INDEX(TimeEntry[format],ROW()-2),    INDEX(TimeEntry[format],ROW()-2)    +1)),2)</f>
        <v>0.10000000000000009</v>
      </c>
      <c r="B80" s="7">
        <v>44134.500706018516</v>
      </c>
      <c r="C80" s="8">
        <v>44134</v>
      </c>
      <c r="D80" s="8" t="s">
        <v>106</v>
      </c>
      <c r="E80" s="1" t="s">
        <v>677</v>
      </c>
      <c r="F80" s="8">
        <f>IF(TimeEntry[[#This Row],[Date]]=0,F2,C80+(7-Q80))</f>
        <v>44136</v>
      </c>
      <c r="G80" s="35" t="str">
        <f>INDEX(projects[Charge_Code],MATCH(TimeEntry[[#This Row],[Project_ID]],projects[Project_ID],0))</f>
        <v>074097-30 LEADERSHIP &amp; MANAGEMENT CC124 (01-124)</v>
      </c>
      <c r="H80" s="1" t="str">
        <f t="shared" si="0"/>
        <v>Normal Time</v>
      </c>
      <c r="I80" s="1" t="s">
        <v>203</v>
      </c>
      <c r="J80" s="15"/>
      <c r="K80" s="15"/>
      <c r="L80" s="15"/>
      <c r="M80" s="15"/>
      <c r="N80" s="15">
        <v>1</v>
      </c>
      <c r="O80" s="15" t="str">
        <f>INDEX(projects[job number],MATCH(TimeEntry[[#This Row],[Project_ID]], projects[Project_ID],0))</f>
        <v>074097-30</v>
      </c>
      <c r="P80" s="15" t="str">
        <f>INDEX(projects[Project_Name],MATCH(TimeEntry[[#This Row],[Project_ID]], projects[Project_ID],0))</f>
        <v>LEADERSHIP &amp; MANAGEMENT CC124</v>
      </c>
      <c r="Q80" s="6">
        <f>IF(TimeEntry[[#This Row],[Date]]=0,"",WEEKDAY(C80,2))</f>
        <v>5</v>
      </c>
      <c r="R80" s="9">
        <f>YEAR(TimeEntry[[#This Row],[WkEnd]])</f>
        <v>2020</v>
      </c>
      <c r="S80" s="9">
        <f>WEEKNUM(TimeEntry[[#This Row],[WkEnd]])</f>
        <v>45</v>
      </c>
      <c r="T80" s="9" t="str">
        <f>TimeEntry[[#This Row],[Year]]&amp;"-"&amp;TimeEntry[[#This Row],[WkNo]]</f>
        <v>2020-45</v>
      </c>
    </row>
    <row r="81" spans="1:20" x14ac:dyDescent="0.25">
      <c r="A81" s="6">
        <f>MOD(IF(ROW()=2,0.1,IF(INDEX(TimeEntry[WkEnd],ROW()-1)  =  INDEX(TimeEntry[WkEnd],ROW()-2),    INDEX(TimeEntry[format],ROW()-2),    INDEX(TimeEntry[format],ROW()-2)    +1)),2)</f>
        <v>0.10000000000000009</v>
      </c>
      <c r="B81" s="7">
        <v>44134.500706018516</v>
      </c>
      <c r="C81" s="8">
        <v>44134</v>
      </c>
      <c r="D81" s="8" t="s">
        <v>106</v>
      </c>
      <c r="E81" s="1" t="s">
        <v>442</v>
      </c>
      <c r="F81" s="8">
        <f>IF(TimeEntry[[#This Row],[Date]]=0,F2,C81+(7-Q81))</f>
        <v>44136</v>
      </c>
      <c r="G81" s="35" t="str">
        <f>INDEX(projects[Charge_Code],MATCH(TimeEntry[[#This Row],[Project_ID]],projects[Project_ID],0))</f>
        <v>210035-65 MC VBB WP1: DO-nota West (25-050)</v>
      </c>
      <c r="H81" s="1" t="str">
        <f t="shared" si="0"/>
        <v>Normal Time</v>
      </c>
      <c r="I81" s="1" t="s">
        <v>622</v>
      </c>
      <c r="J81" s="15"/>
      <c r="K81" s="15"/>
      <c r="L81" s="15"/>
      <c r="M81" s="15"/>
      <c r="N81" s="15">
        <v>1</v>
      </c>
      <c r="O81" s="15" t="str">
        <f>INDEX(projects[job number],MATCH(TimeEntry[[#This Row],[Project_ID]], projects[Project_ID],0))</f>
        <v>210035-65</v>
      </c>
      <c r="P81" s="15" t="str">
        <f>INDEX(projects[Project_Name],MATCH(TimeEntry[[#This Row],[Project_ID]], projects[Project_ID],0))</f>
        <v>MC VBB WP1: DO-nota West</v>
      </c>
      <c r="Q81" s="6">
        <f>IF(TimeEntry[[#This Row],[Date]]=0,"",WEEKDAY(C81,2))</f>
        <v>5</v>
      </c>
      <c r="R81" s="9">
        <f>YEAR(TimeEntry[[#This Row],[WkEnd]])</f>
        <v>2020</v>
      </c>
      <c r="S81" s="9">
        <f>WEEKNUM(TimeEntry[[#This Row],[WkEnd]])</f>
        <v>45</v>
      </c>
      <c r="T81" s="9" t="str">
        <f>TimeEntry[[#This Row],[Year]]&amp;"-"&amp;TimeEntry[[#This Row],[WkNo]]</f>
        <v>2020-45</v>
      </c>
    </row>
    <row r="82" spans="1:20" x14ac:dyDescent="0.25">
      <c r="A82" s="6">
        <f>MOD(IF(ROW()=2,0.1,IF(INDEX(TimeEntry[WkEnd],ROW()-1)  =  INDEX(TimeEntry[WkEnd],ROW()-2),    INDEX(TimeEntry[format],ROW()-2),    INDEX(TimeEntry[format],ROW()-2)    +1)),2)</f>
        <v>0.10000000000000009</v>
      </c>
      <c r="B82" s="7">
        <v>44133.667291666665</v>
      </c>
      <c r="C82" s="8">
        <v>44133</v>
      </c>
      <c r="D82" s="8" t="s">
        <v>102</v>
      </c>
      <c r="E82" s="1" t="s">
        <v>677</v>
      </c>
      <c r="F82" s="8">
        <f>IF(TimeEntry[[#This Row],[Date]]=0,F2,C82+(7-Q82))</f>
        <v>44136</v>
      </c>
      <c r="G82" s="35" t="str">
        <f>INDEX(projects[Charge_Code],MATCH(TimeEntry[[#This Row],[Project_ID]],projects[Project_ID],0))</f>
        <v>074097-30 LEADERSHIP &amp; MANAGEMENT CC124 (01-124)</v>
      </c>
      <c r="H82" s="1" t="str">
        <f t="shared" si="0"/>
        <v>Normal Time</v>
      </c>
      <c r="I82" s="1" t="s">
        <v>621</v>
      </c>
      <c r="J82" s="15"/>
      <c r="K82" s="15"/>
      <c r="L82" s="15"/>
      <c r="M82" s="15">
        <v>1</v>
      </c>
      <c r="N82" s="15"/>
      <c r="O82" s="15" t="str">
        <f>INDEX(projects[job number],MATCH(TimeEntry[[#This Row],[Project_ID]], projects[Project_ID],0))</f>
        <v>074097-30</v>
      </c>
      <c r="P82" s="15" t="str">
        <f>INDEX(projects[Project_Name],MATCH(TimeEntry[[#This Row],[Project_ID]], projects[Project_ID],0))</f>
        <v>LEADERSHIP &amp; MANAGEMENT CC124</v>
      </c>
      <c r="Q82" s="6">
        <f>IF(TimeEntry[[#This Row],[Date]]=0,"",WEEKDAY(C82,2))</f>
        <v>4</v>
      </c>
      <c r="R82" s="9">
        <f>YEAR(TimeEntry[[#This Row],[WkEnd]])</f>
        <v>2020</v>
      </c>
      <c r="S82" s="9">
        <f>WEEKNUM(TimeEntry[[#This Row],[WkEnd]])</f>
        <v>45</v>
      </c>
      <c r="T82" s="9" t="str">
        <f>TimeEntry[[#This Row],[Year]]&amp;"-"&amp;TimeEntry[[#This Row],[WkNo]]</f>
        <v>2020-45</v>
      </c>
    </row>
    <row r="83" spans="1:20" x14ac:dyDescent="0.25">
      <c r="A83" s="6">
        <f>MOD(IF(ROW()=2,0.1,IF(INDEX(TimeEntry[WkEnd],ROW()-1)  =  INDEX(TimeEntry[WkEnd],ROW()-2),    INDEX(TimeEntry[format],ROW()-2),    INDEX(TimeEntry[format],ROW()-2)    +1)),2)</f>
        <v>0.10000000000000009</v>
      </c>
      <c r="B83" s="7">
        <v>44133.667291666665</v>
      </c>
      <c r="C83" s="8">
        <v>44133</v>
      </c>
      <c r="D83" s="8" t="s">
        <v>102</v>
      </c>
      <c r="E83" s="1" t="s">
        <v>442</v>
      </c>
      <c r="F83" s="8">
        <f>IF(TimeEntry[[#This Row],[Date]]=0,F2,C83+(7-Q83))</f>
        <v>44136</v>
      </c>
      <c r="G83" s="35" t="str">
        <f>INDEX(projects[Charge_Code],MATCH(TimeEntry[[#This Row],[Project_ID]],projects[Project_ID],0))</f>
        <v>210035-65 MC VBB WP1: DO-nota West (25-050)</v>
      </c>
      <c r="H83" s="1" t="str">
        <f t="shared" si="0"/>
        <v>Normal Time</v>
      </c>
      <c r="I83" s="1" t="s">
        <v>620</v>
      </c>
      <c r="J83" s="15"/>
      <c r="K83" s="15"/>
      <c r="L83" s="15"/>
      <c r="M83" s="15">
        <v>2</v>
      </c>
      <c r="N83" s="15"/>
      <c r="O83" s="15" t="str">
        <f>INDEX(projects[job number],MATCH(TimeEntry[[#This Row],[Project_ID]], projects[Project_ID],0))</f>
        <v>210035-65</v>
      </c>
      <c r="P83" s="15" t="str">
        <f>INDEX(projects[Project_Name],MATCH(TimeEntry[[#This Row],[Project_ID]], projects[Project_ID],0))</f>
        <v>MC VBB WP1: DO-nota West</v>
      </c>
      <c r="Q83" s="6">
        <f>IF(TimeEntry[[#This Row],[Date]]=0,"",WEEKDAY(C83,2))</f>
        <v>4</v>
      </c>
      <c r="R83" s="9">
        <f>YEAR(TimeEntry[[#This Row],[WkEnd]])</f>
        <v>2020</v>
      </c>
      <c r="S83" s="9">
        <f>WEEKNUM(TimeEntry[[#This Row],[WkEnd]])</f>
        <v>45</v>
      </c>
      <c r="T83" s="9" t="str">
        <f>TimeEntry[[#This Row],[Year]]&amp;"-"&amp;TimeEntry[[#This Row],[WkNo]]</f>
        <v>2020-45</v>
      </c>
    </row>
    <row r="84" spans="1:20" x14ac:dyDescent="0.25">
      <c r="A84" s="6">
        <f>MOD(IF(ROW()=2,0.1,IF(INDEX(TimeEntry[WkEnd],ROW()-1)  =  INDEX(TimeEntry[WkEnd],ROW()-2),    INDEX(TimeEntry[format],ROW()-2),    INDEX(TimeEntry[format],ROW()-2)    +1)),2)</f>
        <v>0.10000000000000009</v>
      </c>
      <c r="B84" s="7">
        <v>44133.525277777779</v>
      </c>
      <c r="C84" s="8">
        <v>44133</v>
      </c>
      <c r="D84" s="8" t="s">
        <v>102</v>
      </c>
      <c r="E84" s="1" t="s">
        <v>442</v>
      </c>
      <c r="F84" s="8">
        <f>IF(TimeEntry[[#This Row],[Date]]=0,F2,C84+(7-Q84))</f>
        <v>44136</v>
      </c>
      <c r="G84" s="35" t="str">
        <f>INDEX(projects[Charge_Code],MATCH(TimeEntry[[#This Row],[Project_ID]],projects[Project_ID],0))</f>
        <v>210035-65 MC VBB WP1: DO-nota West (25-050)</v>
      </c>
      <c r="H84" s="1" t="str">
        <f t="shared" si="0"/>
        <v>Normal Time</v>
      </c>
      <c r="I84" s="1" t="s">
        <v>619</v>
      </c>
      <c r="J84" s="15"/>
      <c r="K84" s="15"/>
      <c r="L84" s="15"/>
      <c r="M84" s="15">
        <v>4.5</v>
      </c>
      <c r="N84" s="15"/>
      <c r="O84" s="15" t="str">
        <f>INDEX(projects[job number],MATCH(TimeEntry[[#This Row],[Project_ID]], projects[Project_ID],0))</f>
        <v>210035-65</v>
      </c>
      <c r="P84" s="15" t="str">
        <f>INDEX(projects[Project_Name],MATCH(TimeEntry[[#This Row],[Project_ID]], projects[Project_ID],0))</f>
        <v>MC VBB WP1: DO-nota West</v>
      </c>
      <c r="Q84" s="6">
        <f>IF(TimeEntry[[#This Row],[Date]]=0,"",WEEKDAY(C84,2))</f>
        <v>4</v>
      </c>
      <c r="R84" s="9">
        <f>YEAR(TimeEntry[[#This Row],[WkEnd]])</f>
        <v>2020</v>
      </c>
      <c r="S84" s="9">
        <f>WEEKNUM(TimeEntry[[#This Row],[WkEnd]])</f>
        <v>45</v>
      </c>
      <c r="T84" s="9" t="str">
        <f>TimeEntry[[#This Row],[Year]]&amp;"-"&amp;TimeEntry[[#This Row],[WkNo]]</f>
        <v>2020-45</v>
      </c>
    </row>
    <row r="85" spans="1:20" x14ac:dyDescent="0.25">
      <c r="A85" s="6">
        <f>MOD(IF(ROW()=2,0.1,IF(INDEX(TimeEntry[WkEnd],ROW()-1)  =  INDEX(TimeEntry[WkEnd],ROW()-2),    INDEX(TimeEntry[format],ROW()-2),    INDEX(TimeEntry[format],ROW()-2)    +1)),2)</f>
        <v>0.10000000000000009</v>
      </c>
      <c r="B85" s="7">
        <v>44132.5003125</v>
      </c>
      <c r="C85" s="8">
        <v>44132</v>
      </c>
      <c r="D85" s="8" t="s">
        <v>100</v>
      </c>
      <c r="E85" s="1" t="s">
        <v>442</v>
      </c>
      <c r="F85" s="8">
        <f>IF(TimeEntry[[#This Row],[Date]]=0,F2,C85+(7-Q85))</f>
        <v>44136</v>
      </c>
      <c r="G85" s="35" t="str">
        <f>INDEX(projects[Charge_Code],MATCH(TimeEntry[[#This Row],[Project_ID]],projects[Project_ID],0))</f>
        <v>210035-65 MC VBB WP1: DO-nota West (25-050)</v>
      </c>
      <c r="H85" s="1" t="str">
        <f t="shared" si="0"/>
        <v>Normal Time</v>
      </c>
      <c r="I85" s="1" t="s">
        <v>614</v>
      </c>
      <c r="J85" s="15"/>
      <c r="K85" s="15"/>
      <c r="L85" s="15">
        <v>7.5</v>
      </c>
      <c r="M85" s="15"/>
      <c r="N85" s="15"/>
      <c r="O85" s="15" t="str">
        <f>INDEX(projects[job number],MATCH(TimeEntry[[#This Row],[Project_ID]], projects[Project_ID],0))</f>
        <v>210035-65</v>
      </c>
      <c r="P85" s="15" t="str">
        <f>INDEX(projects[Project_Name],MATCH(TimeEntry[[#This Row],[Project_ID]], projects[Project_ID],0))</f>
        <v>MC VBB WP1: DO-nota West</v>
      </c>
      <c r="Q85" s="6">
        <f>IF(TimeEntry[[#This Row],[Date]]=0,"",WEEKDAY(C85,2))</f>
        <v>3</v>
      </c>
      <c r="R85" s="9">
        <f>YEAR(TimeEntry[[#This Row],[WkEnd]])</f>
        <v>2020</v>
      </c>
      <c r="S85" s="9">
        <f>WEEKNUM(TimeEntry[[#This Row],[WkEnd]])</f>
        <v>45</v>
      </c>
      <c r="T85" s="9" t="str">
        <f>TimeEntry[[#This Row],[Year]]&amp;"-"&amp;TimeEntry[[#This Row],[WkNo]]</f>
        <v>2020-45</v>
      </c>
    </row>
    <row r="86" spans="1:20" x14ac:dyDescent="0.25">
      <c r="A86" s="6">
        <f>MOD(IF(ROW()=2,0.1,IF(INDEX(TimeEntry[WkEnd],ROW()-1)  =  INDEX(TimeEntry[WkEnd],ROW()-2),    INDEX(TimeEntry[format],ROW()-2),    INDEX(TimeEntry[format],ROW()-2)    +1)),2)</f>
        <v>0.10000000000000009</v>
      </c>
      <c r="B86" s="7">
        <v>44131.667222222219</v>
      </c>
      <c r="C86" s="8">
        <v>44131</v>
      </c>
      <c r="D86" s="8" t="s">
        <v>101</v>
      </c>
      <c r="E86" s="1" t="s">
        <v>442</v>
      </c>
      <c r="F86" s="8">
        <f>IF(TimeEntry[[#This Row],[Date]]=0,F2,C86+(7-Q86))</f>
        <v>44136</v>
      </c>
      <c r="G86" s="35" t="str">
        <f>INDEX(projects[Charge_Code],MATCH(TimeEntry[[#This Row],[Project_ID]],projects[Project_ID],0))</f>
        <v>210035-65 MC VBB WP1: DO-nota West (25-050)</v>
      </c>
      <c r="H86" s="1" t="str">
        <f t="shared" si="0"/>
        <v>Normal Time</v>
      </c>
      <c r="I86" s="1" t="s">
        <v>617</v>
      </c>
      <c r="J86" s="15"/>
      <c r="K86" s="15">
        <v>2</v>
      </c>
      <c r="L86" s="15"/>
      <c r="M86" s="15"/>
      <c r="N86" s="15"/>
      <c r="O86" s="15" t="str">
        <f>INDEX(projects[job number],MATCH(TimeEntry[[#This Row],[Project_ID]], projects[Project_ID],0))</f>
        <v>210035-65</v>
      </c>
      <c r="P86" s="15" t="str">
        <f>INDEX(projects[Project_Name],MATCH(TimeEntry[[#This Row],[Project_ID]], projects[Project_ID],0))</f>
        <v>MC VBB WP1: DO-nota West</v>
      </c>
      <c r="Q86" s="6">
        <f>IF(TimeEntry[[#This Row],[Date]]=0,"",WEEKDAY(C86,2))</f>
        <v>2</v>
      </c>
      <c r="R86" s="9">
        <f>YEAR(TimeEntry[[#This Row],[WkEnd]])</f>
        <v>2020</v>
      </c>
      <c r="S86" s="9">
        <f>WEEKNUM(TimeEntry[[#This Row],[WkEnd]])</f>
        <v>45</v>
      </c>
      <c r="T86" s="9" t="str">
        <f>TimeEntry[[#This Row],[Year]]&amp;"-"&amp;TimeEntry[[#This Row],[WkNo]]</f>
        <v>2020-45</v>
      </c>
    </row>
    <row r="87" spans="1:20" x14ac:dyDescent="0.25">
      <c r="A87" s="6">
        <f>MOD(IF(ROW()=2,0.1,IF(INDEX(TimeEntry[WkEnd],ROW()-1)  =  INDEX(TimeEntry[WkEnd],ROW()-2),    INDEX(TimeEntry[format],ROW()-2),    INDEX(TimeEntry[format],ROW()-2)    +1)),2)</f>
        <v>0.10000000000000009</v>
      </c>
      <c r="B87" s="7">
        <v>44131.667222222219</v>
      </c>
      <c r="C87" s="8">
        <v>44131</v>
      </c>
      <c r="D87" s="8" t="s">
        <v>101</v>
      </c>
      <c r="E87" s="1" t="s">
        <v>442</v>
      </c>
      <c r="F87" s="8">
        <f>IF(TimeEntry[[#This Row],[Date]]=0,F2,C87+(7-Q87))</f>
        <v>44136</v>
      </c>
      <c r="G87" s="35" t="str">
        <f>INDEX(projects[Charge_Code],MATCH(TimeEntry[[#This Row],[Project_ID]],projects[Project_ID],0))</f>
        <v>210035-65 MC VBB WP1: DO-nota West (25-050)</v>
      </c>
      <c r="H87" s="1" t="str">
        <f t="shared" si="0"/>
        <v>Normal Time</v>
      </c>
      <c r="I87" s="1" t="s">
        <v>616</v>
      </c>
      <c r="J87" s="15"/>
      <c r="K87" s="15">
        <v>1</v>
      </c>
      <c r="L87" s="15"/>
      <c r="M87" s="15"/>
      <c r="N87" s="15"/>
      <c r="O87" s="15" t="str">
        <f>INDEX(projects[job number],MATCH(TimeEntry[[#This Row],[Project_ID]], projects[Project_ID],0))</f>
        <v>210035-65</v>
      </c>
      <c r="P87" s="15" t="str">
        <f>INDEX(projects[Project_Name],MATCH(TimeEntry[[#This Row],[Project_ID]], projects[Project_ID],0))</f>
        <v>MC VBB WP1: DO-nota West</v>
      </c>
      <c r="Q87" s="6">
        <f>IF(TimeEntry[[#This Row],[Date]]=0,"",WEEKDAY(C87,2))</f>
        <v>2</v>
      </c>
      <c r="R87" s="9">
        <f>YEAR(TimeEntry[[#This Row],[WkEnd]])</f>
        <v>2020</v>
      </c>
      <c r="S87" s="9">
        <f>WEEKNUM(TimeEntry[[#This Row],[WkEnd]])</f>
        <v>45</v>
      </c>
      <c r="T87" s="9" t="str">
        <f>TimeEntry[[#This Row],[Year]]&amp;"-"&amp;TimeEntry[[#This Row],[WkNo]]</f>
        <v>2020-45</v>
      </c>
    </row>
    <row r="88" spans="1:20" x14ac:dyDescent="0.25">
      <c r="A88" s="6">
        <f>MOD(IF(ROW()=2,0.1,IF(INDEX(TimeEntry[WkEnd],ROW()-1)  =  INDEX(TimeEntry[WkEnd],ROW()-2),    INDEX(TimeEntry[format],ROW()-2),    INDEX(TimeEntry[format],ROW()-2)    +1)),2)</f>
        <v>0.10000000000000009</v>
      </c>
      <c r="B88" s="7">
        <v>44131.500462962962</v>
      </c>
      <c r="C88" s="8">
        <v>44131</v>
      </c>
      <c r="D88" s="8" t="s">
        <v>101</v>
      </c>
      <c r="E88" s="1" t="s">
        <v>442</v>
      </c>
      <c r="F88" s="8">
        <f>IF(TimeEntry[[#This Row],[Date]]=0,F2,C88+(7-Q88))</f>
        <v>44136</v>
      </c>
      <c r="G88" s="35" t="str">
        <f>INDEX(projects[Charge_Code],MATCH(TimeEntry[[#This Row],[Project_ID]],projects[Project_ID],0))</f>
        <v>210035-65 MC VBB WP1: DO-nota West (25-050)</v>
      </c>
      <c r="H88" s="1" t="str">
        <f t="shared" si="0"/>
        <v>Normal Time</v>
      </c>
      <c r="I88" s="1" t="s">
        <v>615</v>
      </c>
      <c r="J88" s="15"/>
      <c r="K88" s="15">
        <v>1.5</v>
      </c>
      <c r="L88" s="15"/>
      <c r="M88" s="15"/>
      <c r="N88" s="15"/>
      <c r="O88" s="15" t="str">
        <f>INDEX(projects[job number],MATCH(TimeEntry[[#This Row],[Project_ID]], projects[Project_ID],0))</f>
        <v>210035-65</v>
      </c>
      <c r="P88" s="15" t="str">
        <f>INDEX(projects[Project_Name],MATCH(TimeEntry[[#This Row],[Project_ID]], projects[Project_ID],0))</f>
        <v>MC VBB WP1: DO-nota West</v>
      </c>
      <c r="Q88" s="6">
        <f>IF(TimeEntry[[#This Row],[Date]]=0,"",WEEKDAY(C88,2))</f>
        <v>2</v>
      </c>
      <c r="R88" s="9">
        <f>YEAR(TimeEntry[[#This Row],[WkEnd]])</f>
        <v>2020</v>
      </c>
      <c r="S88" s="9">
        <f>WEEKNUM(TimeEntry[[#This Row],[WkEnd]])</f>
        <v>45</v>
      </c>
      <c r="T88" s="9" t="str">
        <f>TimeEntry[[#This Row],[Year]]&amp;"-"&amp;TimeEntry[[#This Row],[WkNo]]</f>
        <v>2020-45</v>
      </c>
    </row>
    <row r="89" spans="1:20" x14ac:dyDescent="0.25">
      <c r="A89" s="6">
        <f>MOD(IF(ROW()=2,0.1,IF(INDEX(TimeEntry[WkEnd],ROW()-1)  =  INDEX(TimeEntry[WkEnd],ROW()-2),    INDEX(TimeEntry[format],ROW()-2),    INDEX(TimeEntry[format],ROW()-2)    +1)),2)</f>
        <v>0.10000000000000009</v>
      </c>
      <c r="B89" s="7">
        <v>44131.500462962962</v>
      </c>
      <c r="C89" s="8">
        <v>44131</v>
      </c>
      <c r="D89" s="8" t="s">
        <v>101</v>
      </c>
      <c r="E89" s="1" t="s">
        <v>442</v>
      </c>
      <c r="F89" s="8">
        <f>IF(TimeEntry[[#This Row],[Date]]=0,F2,C89+(7-Q89))</f>
        <v>44136</v>
      </c>
      <c r="G89" s="35" t="str">
        <f>INDEX(projects[Charge_Code],MATCH(TimeEntry[[#This Row],[Project_ID]],projects[Project_ID],0))</f>
        <v>210035-65 MC VBB WP1: DO-nota West (25-050)</v>
      </c>
      <c r="H89" s="1" t="str">
        <f t="shared" si="0"/>
        <v>Normal Time</v>
      </c>
      <c r="I89" s="1" t="s">
        <v>614</v>
      </c>
      <c r="J89" s="15"/>
      <c r="K89" s="15">
        <v>3</v>
      </c>
      <c r="L89" s="15"/>
      <c r="M89" s="15"/>
      <c r="N89" s="15"/>
      <c r="O89" s="15" t="str">
        <f>INDEX(projects[job number],MATCH(TimeEntry[[#This Row],[Project_ID]], projects[Project_ID],0))</f>
        <v>210035-65</v>
      </c>
      <c r="P89" s="15" t="str">
        <f>INDEX(projects[Project_Name],MATCH(TimeEntry[[#This Row],[Project_ID]], projects[Project_ID],0))</f>
        <v>MC VBB WP1: DO-nota West</v>
      </c>
      <c r="Q89" s="6">
        <f>IF(TimeEntry[[#This Row],[Date]]=0,"",WEEKDAY(C89,2))</f>
        <v>2</v>
      </c>
      <c r="R89" s="9">
        <f>YEAR(TimeEntry[[#This Row],[WkEnd]])</f>
        <v>2020</v>
      </c>
      <c r="S89" s="9">
        <f>WEEKNUM(TimeEntry[[#This Row],[WkEnd]])</f>
        <v>45</v>
      </c>
      <c r="T89" s="9" t="str">
        <f>TimeEntry[[#This Row],[Year]]&amp;"-"&amp;TimeEntry[[#This Row],[WkNo]]</f>
        <v>2020-45</v>
      </c>
    </row>
    <row r="90" spans="1:20" x14ac:dyDescent="0.25">
      <c r="A90" s="6">
        <f>MOD(IF(ROW()=2,0.1,IF(INDEX(TimeEntry[WkEnd],ROW()-1)  =  INDEX(TimeEntry[WkEnd],ROW()-2),    INDEX(TimeEntry[format],ROW()-2),    INDEX(TimeEntry[format],ROW()-2)    +1)),2)</f>
        <v>0.10000000000000009</v>
      </c>
      <c r="B90" s="7">
        <v>44130.667060185187</v>
      </c>
      <c r="C90" s="8">
        <v>44130</v>
      </c>
      <c r="D90" s="8" t="s">
        <v>104</v>
      </c>
      <c r="E90" s="1" t="s">
        <v>442</v>
      </c>
      <c r="F90" s="8">
        <f>IF(TimeEntry[[#This Row],[Date]]=0,F2,C90+(7-Q90))</f>
        <v>44136</v>
      </c>
      <c r="G90" s="35" t="str">
        <f>INDEX(projects[Charge_Code],MATCH(TimeEntry[[#This Row],[Project_ID]],projects[Project_ID],0))</f>
        <v>210035-65 MC VBB WP1: DO-nota West (25-050)</v>
      </c>
      <c r="H90" s="1" t="str">
        <f t="shared" si="0"/>
        <v>Normal Time</v>
      </c>
      <c r="I90" s="1" t="s">
        <v>504</v>
      </c>
      <c r="J90" s="15">
        <v>6.5</v>
      </c>
      <c r="K90" s="15"/>
      <c r="L90" s="15"/>
      <c r="M90" s="15"/>
      <c r="N90" s="15"/>
      <c r="O90" s="15" t="str">
        <f>INDEX(projects[job number],MATCH(TimeEntry[[#This Row],[Project_ID]], projects[Project_ID],0))</f>
        <v>210035-65</v>
      </c>
      <c r="P90" s="15" t="str">
        <f>INDEX(projects[Project_Name],MATCH(TimeEntry[[#This Row],[Project_ID]], projects[Project_ID],0))</f>
        <v>MC VBB WP1: DO-nota West</v>
      </c>
      <c r="Q90" s="6">
        <f>IF(TimeEntry[[#This Row],[Date]]=0,"",WEEKDAY(C90,2))</f>
        <v>1</v>
      </c>
      <c r="R90" s="9">
        <f>YEAR(TimeEntry[[#This Row],[WkEnd]])</f>
        <v>2020</v>
      </c>
      <c r="S90" s="9">
        <f>WEEKNUM(TimeEntry[[#This Row],[WkEnd]])</f>
        <v>45</v>
      </c>
      <c r="T90" s="9" t="str">
        <f>TimeEntry[[#This Row],[Year]]&amp;"-"&amp;TimeEntry[[#This Row],[WkNo]]</f>
        <v>2020-45</v>
      </c>
    </row>
    <row r="91" spans="1:20" x14ac:dyDescent="0.25">
      <c r="A91" s="6">
        <f>MOD(IF(ROW()=2,0.1,IF(INDEX(TimeEntry[WkEnd],ROW()-1)  =  INDEX(TimeEntry[WkEnd],ROW()-2),    INDEX(TimeEntry[format],ROW()-2),    INDEX(TimeEntry[format],ROW()-2)    +1)),2)</f>
        <v>0.10000000000000009</v>
      </c>
      <c r="B91" s="7">
        <v>44130.667060185187</v>
      </c>
      <c r="C91" s="8">
        <v>44130</v>
      </c>
      <c r="D91" s="8" t="s">
        <v>104</v>
      </c>
      <c r="E91" s="1" t="s">
        <v>442</v>
      </c>
      <c r="F91" s="8">
        <f>IF(TimeEntry[[#This Row],[Date]]=0,F2,C91+(7-Q91))</f>
        <v>44136</v>
      </c>
      <c r="G91" s="35" t="str">
        <f>INDEX(projects[Charge_Code],MATCH(TimeEntry[[#This Row],[Project_ID]],projects[Project_ID],0))</f>
        <v>210035-65 MC VBB WP1: DO-nota West (25-050)</v>
      </c>
      <c r="H91" s="1" t="str">
        <f t="shared" si="0"/>
        <v>Normal Time</v>
      </c>
      <c r="I91" s="1" t="s">
        <v>613</v>
      </c>
      <c r="J91" s="15">
        <v>1</v>
      </c>
      <c r="K91" s="15"/>
      <c r="L91" s="15"/>
      <c r="M91" s="15"/>
      <c r="N91" s="15"/>
      <c r="O91" s="15" t="str">
        <f>INDEX(projects[job number],MATCH(TimeEntry[[#This Row],[Project_ID]], projects[Project_ID],0))</f>
        <v>210035-65</v>
      </c>
      <c r="P91" s="15" t="str">
        <f>INDEX(projects[Project_Name],MATCH(TimeEntry[[#This Row],[Project_ID]], projects[Project_ID],0))</f>
        <v>MC VBB WP1: DO-nota West</v>
      </c>
      <c r="Q91" s="6">
        <f>IF(TimeEntry[[#This Row],[Date]]=0,"",WEEKDAY(C91,2))</f>
        <v>1</v>
      </c>
      <c r="R91" s="9">
        <f>YEAR(TimeEntry[[#This Row],[WkEnd]])</f>
        <v>2020</v>
      </c>
      <c r="S91" s="9">
        <f>WEEKNUM(TimeEntry[[#This Row],[WkEnd]])</f>
        <v>45</v>
      </c>
      <c r="T91" s="9" t="str">
        <f>TimeEntry[[#This Row],[Year]]&amp;"-"&amp;TimeEntry[[#This Row],[WkNo]]</f>
        <v>2020-45</v>
      </c>
    </row>
    <row r="92" spans="1:20" x14ac:dyDescent="0.25">
      <c r="A92" s="6">
        <f>MOD(IF(ROW()=2,0.1,IF(INDEX(TimeEntry[WkEnd],ROW()-1)  =  INDEX(TimeEntry[WkEnd],ROW()-2),    INDEX(TimeEntry[format],ROW()-2),    INDEX(TimeEntry[format],ROW()-2)    +1)),2)</f>
        <v>0.10000000000000009</v>
      </c>
      <c r="B92" s="7">
        <v>44130.500555555554</v>
      </c>
      <c r="C92" s="8">
        <v>44130</v>
      </c>
      <c r="D92" s="8" t="s">
        <v>104</v>
      </c>
      <c r="E92" s="1" t="s">
        <v>611</v>
      </c>
      <c r="F92" s="8">
        <f>IF(TimeEntry[[#This Row],[Date]]=0,F2,C92+(7-Q92))</f>
        <v>44136</v>
      </c>
      <c r="G92" s="35" t="str">
        <f>INDEX(projects[Charge_Code],MATCH(TimeEntry[[#This Row],[Project_ID]],projects[Project_ID],0))</f>
        <v>OTHERS</v>
      </c>
      <c r="H92" s="1" t="str">
        <f t="shared" si="0"/>
        <v>Normal Time</v>
      </c>
      <c r="I92" s="1" t="s">
        <v>612</v>
      </c>
      <c r="J92" s="15"/>
      <c r="K92" s="15"/>
      <c r="L92" s="15"/>
      <c r="M92" s="15"/>
      <c r="N92" s="15"/>
      <c r="O92" s="15" t="str">
        <f>INDEX(projects[job number],MATCH(TimeEntry[[#This Row],[Project_ID]], projects[Project_ID],0))</f>
        <v>OTHERS</v>
      </c>
      <c r="P92" s="15">
        <f>INDEX(projects[Project_Name],MATCH(TimeEntry[[#This Row],[Project_ID]], projects[Project_ID],0))</f>
        <v>0</v>
      </c>
      <c r="Q92" s="6">
        <f>IF(TimeEntry[[#This Row],[Date]]=0,"",WEEKDAY(C92,2))</f>
        <v>1</v>
      </c>
      <c r="R92" s="9">
        <f>YEAR(TimeEntry[[#This Row],[WkEnd]])</f>
        <v>2020</v>
      </c>
      <c r="S92" s="9">
        <f>WEEKNUM(TimeEntry[[#This Row],[WkEnd]])</f>
        <v>45</v>
      </c>
      <c r="T92" s="9" t="str">
        <f>TimeEntry[[#This Row],[Year]]&amp;"-"&amp;TimeEntry[[#This Row],[WkNo]]</f>
        <v>2020-45</v>
      </c>
    </row>
    <row r="93" spans="1:20" x14ac:dyDescent="0.25">
      <c r="A93" s="6">
        <f>MOD(IF(ROW()=2,0.1,IF(INDEX(TimeEntry[WkEnd],ROW()-1)  =  INDEX(TimeEntry[WkEnd],ROW()-2),    INDEX(TimeEntry[format],ROW()-2),    INDEX(TimeEntry[format],ROW()-2)    +1)),2)</f>
        <v>1.1000000000000001</v>
      </c>
      <c r="B93" s="7">
        <v>44127.500578703701</v>
      </c>
      <c r="C93" s="8">
        <v>44127</v>
      </c>
      <c r="D93" s="8" t="s">
        <v>106</v>
      </c>
      <c r="E93" s="1" t="s">
        <v>442</v>
      </c>
      <c r="F93" s="8">
        <f>IF(TimeEntry[[#This Row],[Date]]=0,F2,C93+(7-Q93))</f>
        <v>44129</v>
      </c>
      <c r="G93" s="35" t="str">
        <f>INDEX(projects[Charge_Code],MATCH(TimeEntry[[#This Row],[Project_ID]],projects[Project_ID],0))</f>
        <v>210035-65 MC VBB WP1: DO-nota West (25-050)</v>
      </c>
      <c r="H93" s="1" t="str">
        <f t="shared" si="0"/>
        <v>Normal Time</v>
      </c>
      <c r="I93" s="1" t="s">
        <v>610</v>
      </c>
      <c r="J93" s="15"/>
      <c r="K93" s="15"/>
      <c r="L93" s="15"/>
      <c r="M93" s="15"/>
      <c r="N93" s="15">
        <v>5.5</v>
      </c>
      <c r="O93" s="15" t="str">
        <f>INDEX(projects[job number],MATCH(TimeEntry[[#This Row],[Project_ID]], projects[Project_ID],0))</f>
        <v>210035-65</v>
      </c>
      <c r="P93" s="15" t="str">
        <f>INDEX(projects[Project_Name],MATCH(TimeEntry[[#This Row],[Project_ID]], projects[Project_ID],0))</f>
        <v>MC VBB WP1: DO-nota West</v>
      </c>
      <c r="Q93" s="6">
        <f>IF(TimeEntry[[#This Row],[Date]]=0,"",WEEKDAY(C93,2))</f>
        <v>5</v>
      </c>
      <c r="R93" s="9">
        <f>YEAR(TimeEntry[[#This Row],[WkEnd]])</f>
        <v>2020</v>
      </c>
      <c r="S93" s="9">
        <f>WEEKNUM(TimeEntry[[#This Row],[WkEnd]])</f>
        <v>44</v>
      </c>
      <c r="T93" s="9" t="str">
        <f>TimeEntry[[#This Row],[Year]]&amp;"-"&amp;TimeEntry[[#This Row],[WkNo]]</f>
        <v>2020-44</v>
      </c>
    </row>
    <row r="94" spans="1:20" x14ac:dyDescent="0.25">
      <c r="A94" s="6">
        <f>MOD(IF(ROW()=2,0.1,IF(INDEX(TimeEntry[WkEnd],ROW()-1)  =  INDEX(TimeEntry[WkEnd],ROW()-2),    INDEX(TimeEntry[format],ROW()-2),    INDEX(TimeEntry[format],ROW()-2)    +1)),2)</f>
        <v>1.1000000000000001</v>
      </c>
      <c r="B94" s="7">
        <v>44127.500578703701</v>
      </c>
      <c r="C94" s="8">
        <v>44127</v>
      </c>
      <c r="D94" s="8" t="s">
        <v>106</v>
      </c>
      <c r="E94" s="1" t="s">
        <v>447</v>
      </c>
      <c r="F94" s="8">
        <f>IF(TimeEntry[[#This Row],[Date]]=0,F93,C94+(7-Q94))</f>
        <v>44129</v>
      </c>
      <c r="G94" s="35" t="str">
        <f>INDEX(projects[Charge_Code],MATCH(TimeEntry[[#This Row],[Project_ID]],projects[Project_ID],0))</f>
        <v>255670-17 LOWER KINGS ROAD ASSESSMENT (01-382)</v>
      </c>
      <c r="H94" s="1" t="str">
        <f t="shared" si="0"/>
        <v>Normal Time</v>
      </c>
      <c r="I94" s="1" t="s">
        <v>607</v>
      </c>
      <c r="J94" s="15"/>
      <c r="K94" s="15"/>
      <c r="L94" s="15"/>
      <c r="M94" s="15"/>
      <c r="N94" s="15">
        <v>1</v>
      </c>
      <c r="O94" s="15" t="str">
        <f>INDEX(projects[job number],MATCH(TimeEntry[[#This Row],[Project_ID]], projects[Project_ID],0))</f>
        <v>255670-17</v>
      </c>
      <c r="P94" s="15" t="str">
        <f>INDEX(projects[Project_Name],MATCH(TimeEntry[[#This Row],[Project_ID]], projects[Project_ID],0))</f>
        <v>LOWER KINGS ROAD ASSESSMENT</v>
      </c>
      <c r="Q94" s="6">
        <f>IF(TimeEntry[[#This Row],[Date]]=0,"",WEEKDAY(C94,2))</f>
        <v>5</v>
      </c>
      <c r="R94" s="9">
        <f>YEAR(TimeEntry[[#This Row],[WkEnd]])</f>
        <v>2020</v>
      </c>
      <c r="S94" s="9">
        <f>WEEKNUM(TimeEntry[[#This Row],[WkEnd]])</f>
        <v>44</v>
      </c>
      <c r="T94" s="9" t="str">
        <f>TimeEntry[[#This Row],[Year]]&amp;"-"&amp;TimeEntry[[#This Row],[WkNo]]</f>
        <v>2020-44</v>
      </c>
    </row>
    <row r="95" spans="1:20" x14ac:dyDescent="0.25">
      <c r="A95" s="6">
        <f>MOD(IF(ROW()=2,0.1,IF(INDEX(TimeEntry[WkEnd],ROW()-1)  =  INDEX(TimeEntry[WkEnd],ROW()-2),    INDEX(TimeEntry[format],ROW()-2),    INDEX(TimeEntry[format],ROW()-2)    +1)),2)</f>
        <v>1.1000000000000001</v>
      </c>
      <c r="B95" s="7">
        <v>44127.500578703701</v>
      </c>
      <c r="C95" s="8">
        <v>44127</v>
      </c>
      <c r="D95" s="8" t="s">
        <v>106</v>
      </c>
      <c r="E95" s="1" t="s">
        <v>677</v>
      </c>
      <c r="F95" s="8">
        <f>IF(TimeEntry[[#This Row],[Date]]=0,F2,C95+(7-Q95))</f>
        <v>44129</v>
      </c>
      <c r="G95" s="35" t="str">
        <f>INDEX(projects[Charge_Code],MATCH(TimeEntry[[#This Row],[Project_ID]],projects[Project_ID],0))</f>
        <v>074097-30 LEADERSHIP &amp; MANAGEMENT CC124 (01-124)</v>
      </c>
      <c r="H95" s="1" t="str">
        <f t="shared" si="0"/>
        <v>Normal Time</v>
      </c>
      <c r="I95" s="1" t="s">
        <v>385</v>
      </c>
      <c r="J95" s="15"/>
      <c r="K95" s="15"/>
      <c r="L95" s="15"/>
      <c r="M95" s="15"/>
      <c r="N95" s="15">
        <v>1</v>
      </c>
      <c r="O95" s="15" t="str">
        <f>INDEX(projects[job number],MATCH(TimeEntry[[#This Row],[Project_ID]], projects[Project_ID],0))</f>
        <v>074097-30</v>
      </c>
      <c r="P95" s="15" t="str">
        <f>INDEX(projects[Project_Name],MATCH(TimeEntry[[#This Row],[Project_ID]], projects[Project_ID],0))</f>
        <v>LEADERSHIP &amp; MANAGEMENT CC124</v>
      </c>
      <c r="Q95" s="6">
        <f>IF(TimeEntry[[#This Row],[Date]]=0,"",WEEKDAY(C95,2))</f>
        <v>5</v>
      </c>
      <c r="R95" s="9">
        <f>YEAR(TimeEntry[[#This Row],[WkEnd]])</f>
        <v>2020</v>
      </c>
      <c r="S95" s="9">
        <f>WEEKNUM(TimeEntry[[#This Row],[WkEnd]])</f>
        <v>44</v>
      </c>
      <c r="T95" s="9" t="str">
        <f>TimeEntry[[#This Row],[Year]]&amp;"-"&amp;TimeEntry[[#This Row],[WkNo]]</f>
        <v>2020-44</v>
      </c>
    </row>
    <row r="96" spans="1:20" x14ac:dyDescent="0.25">
      <c r="A96" s="6">
        <f>MOD(IF(ROW()=2,0.1,IF(INDEX(TimeEntry[WkEnd],ROW()-1)  =  INDEX(TimeEntry[WkEnd],ROW()-2),    INDEX(TimeEntry[format],ROW()-2),    INDEX(TimeEntry[format],ROW()-2)    +1)),2)</f>
        <v>1.1000000000000001</v>
      </c>
      <c r="B96" s="7">
        <v>44126.668391203704</v>
      </c>
      <c r="C96" s="8">
        <v>44126</v>
      </c>
      <c r="D96" s="8" t="s">
        <v>102</v>
      </c>
      <c r="E96" s="1" t="s">
        <v>677</v>
      </c>
      <c r="F96" s="8">
        <f>IF(TimeEntry[[#This Row],[Date]]=0,F2,C96+(7-Q96))</f>
        <v>44129</v>
      </c>
      <c r="G96" s="35" t="str">
        <f>INDEX(projects[Charge_Code],MATCH(TimeEntry[[#This Row],[Project_ID]],projects[Project_ID],0))</f>
        <v>074097-30 LEADERSHIP &amp; MANAGEMENT CC124 (01-124)</v>
      </c>
      <c r="H96" s="1" t="str">
        <f t="shared" si="0"/>
        <v>Normal Time</v>
      </c>
      <c r="I96" s="1" t="s">
        <v>605</v>
      </c>
      <c r="J96" s="15"/>
      <c r="K96" s="15"/>
      <c r="L96" s="15"/>
      <c r="M96" s="15">
        <v>1</v>
      </c>
      <c r="N96" s="15"/>
      <c r="O96" s="15" t="str">
        <f>INDEX(projects[job number],MATCH(TimeEntry[[#This Row],[Project_ID]], projects[Project_ID],0))</f>
        <v>074097-30</v>
      </c>
      <c r="P96" s="15" t="str">
        <f>INDEX(projects[Project_Name],MATCH(TimeEntry[[#This Row],[Project_ID]], projects[Project_ID],0))</f>
        <v>LEADERSHIP &amp; MANAGEMENT CC124</v>
      </c>
      <c r="Q96" s="6">
        <f>IF(TimeEntry[[#This Row],[Date]]=0,"",WEEKDAY(C96,2))</f>
        <v>4</v>
      </c>
      <c r="R96" s="9">
        <f>YEAR(TimeEntry[[#This Row],[WkEnd]])</f>
        <v>2020</v>
      </c>
      <c r="S96" s="9">
        <f>WEEKNUM(TimeEntry[[#This Row],[WkEnd]])</f>
        <v>44</v>
      </c>
      <c r="T96" s="9" t="str">
        <f>TimeEntry[[#This Row],[Year]]&amp;"-"&amp;TimeEntry[[#This Row],[WkNo]]</f>
        <v>2020-44</v>
      </c>
    </row>
    <row r="97" spans="1:20" x14ac:dyDescent="0.25">
      <c r="A97" s="6">
        <f>MOD(IF(ROW()=2,0.1,IF(INDEX(TimeEntry[WkEnd],ROW()-1)  =  INDEX(TimeEntry[WkEnd],ROW()-2),    INDEX(TimeEntry[format],ROW()-2),    INDEX(TimeEntry[format],ROW()-2)    +1)),2)</f>
        <v>1.1000000000000001</v>
      </c>
      <c r="B97" s="7">
        <v>44126.500428240739</v>
      </c>
      <c r="C97" s="8">
        <v>44126</v>
      </c>
      <c r="D97" s="8" t="s">
        <v>102</v>
      </c>
      <c r="E97" s="1" t="s">
        <v>442</v>
      </c>
      <c r="F97" s="8">
        <f>IF(TimeEntry[[#This Row],[Date]]=0,F2,C97+(7-Q97))</f>
        <v>44129</v>
      </c>
      <c r="G97" s="35" t="str">
        <f>INDEX(projects[Charge_Code],MATCH(TimeEntry[[#This Row],[Project_ID]],projects[Project_ID],0))</f>
        <v>210035-65 MC VBB WP1: DO-nota West (25-050)</v>
      </c>
      <c r="H97" s="1" t="str">
        <f t="shared" si="0"/>
        <v>Normal Time</v>
      </c>
      <c r="I97" s="1" t="s">
        <v>604</v>
      </c>
      <c r="J97" s="15"/>
      <c r="K97" s="15"/>
      <c r="L97" s="15"/>
      <c r="M97" s="15">
        <v>5.5</v>
      </c>
      <c r="N97" s="15"/>
      <c r="O97" s="15" t="str">
        <f>INDEX(projects[job number],MATCH(TimeEntry[[#This Row],[Project_ID]], projects[Project_ID],0))</f>
        <v>210035-65</v>
      </c>
      <c r="P97" s="15" t="str">
        <f>INDEX(projects[Project_Name],MATCH(TimeEntry[[#This Row],[Project_ID]], projects[Project_ID],0))</f>
        <v>MC VBB WP1: DO-nota West</v>
      </c>
      <c r="Q97" s="6">
        <f>IF(TimeEntry[[#This Row],[Date]]=0,"",WEEKDAY(C97,2))</f>
        <v>4</v>
      </c>
      <c r="R97" s="9">
        <f>YEAR(TimeEntry[[#This Row],[WkEnd]])</f>
        <v>2020</v>
      </c>
      <c r="S97" s="9">
        <f>WEEKNUM(TimeEntry[[#This Row],[WkEnd]])</f>
        <v>44</v>
      </c>
      <c r="T97" s="9" t="str">
        <f>TimeEntry[[#This Row],[Year]]&amp;"-"&amp;TimeEntry[[#This Row],[WkNo]]</f>
        <v>2020-44</v>
      </c>
    </row>
    <row r="98" spans="1:20" x14ac:dyDescent="0.25">
      <c r="A98" s="6">
        <f>MOD(IF(ROW()=2,0.1,IF(INDEX(TimeEntry[WkEnd],ROW()-1)  =  INDEX(TimeEntry[WkEnd],ROW()-2),    INDEX(TimeEntry[format],ROW()-2),    INDEX(TimeEntry[format],ROW()-2)    +1)),2)</f>
        <v>1.1000000000000001</v>
      </c>
      <c r="B98" s="7">
        <v>44125.671481481484</v>
      </c>
      <c r="C98" s="8">
        <v>44125</v>
      </c>
      <c r="D98" s="8" t="s">
        <v>102</v>
      </c>
      <c r="E98" s="1" t="s">
        <v>442</v>
      </c>
      <c r="F98" s="8">
        <f>IF(TimeEntry[[#This Row],[Date]]=0,F2,C98+(7-Q98))</f>
        <v>44129</v>
      </c>
      <c r="G98" s="35" t="str">
        <f>INDEX(projects[Charge_Code],MATCH(TimeEntry[[#This Row],[Project_ID]],projects[Project_ID],0))</f>
        <v>210035-65 MC VBB WP1: DO-nota West (25-050)</v>
      </c>
      <c r="H98" s="1" t="str">
        <f t="shared" si="0"/>
        <v>Normal Time</v>
      </c>
      <c r="I98" s="1" t="s">
        <v>606</v>
      </c>
      <c r="J98" s="15"/>
      <c r="K98" s="15"/>
      <c r="L98" s="15"/>
      <c r="M98" s="15">
        <v>1</v>
      </c>
      <c r="N98" s="15"/>
      <c r="O98" s="15" t="str">
        <f>INDEX(projects[job number],MATCH(TimeEntry[[#This Row],[Project_ID]], projects[Project_ID],0))</f>
        <v>210035-65</v>
      </c>
      <c r="P98" s="15" t="str">
        <f>INDEX(projects[Project_Name],MATCH(TimeEntry[[#This Row],[Project_ID]], projects[Project_ID],0))</f>
        <v>MC VBB WP1: DO-nota West</v>
      </c>
      <c r="Q98" s="6">
        <f>IF(TimeEntry[[#This Row],[Date]]=0,"",WEEKDAY(C98,2))</f>
        <v>3</v>
      </c>
      <c r="R98" s="9">
        <f>YEAR(TimeEntry[[#This Row],[WkEnd]])</f>
        <v>2020</v>
      </c>
      <c r="S98" s="9">
        <f>WEEKNUM(TimeEntry[[#This Row],[WkEnd]])</f>
        <v>44</v>
      </c>
      <c r="T98" s="9" t="str">
        <f>TimeEntry[[#This Row],[Year]]&amp;"-"&amp;TimeEntry[[#This Row],[WkNo]]</f>
        <v>2020-44</v>
      </c>
    </row>
    <row r="99" spans="1:20" x14ac:dyDescent="0.25">
      <c r="A99" s="6">
        <f>MOD(IF(ROW()=2,0.1,IF(INDEX(TimeEntry[WkEnd],ROW()-1)  =  INDEX(TimeEntry[WkEnd],ROW()-2),    INDEX(TimeEntry[format],ROW()-2),    INDEX(TimeEntry[format],ROW()-2)    +1)),2)</f>
        <v>1.1000000000000001</v>
      </c>
      <c r="B99" s="7">
        <v>44125.500578703701</v>
      </c>
      <c r="C99" s="8">
        <v>44125</v>
      </c>
      <c r="D99" s="8" t="s">
        <v>100</v>
      </c>
      <c r="E99" s="1" t="s">
        <v>442</v>
      </c>
      <c r="F99" s="8">
        <f>IF(TimeEntry[[#This Row],[Date]]=0,F2,C99+(7-Q99))</f>
        <v>44129</v>
      </c>
      <c r="G99" s="35" t="str">
        <f>INDEX(projects[Charge_Code],MATCH(TimeEntry[[#This Row],[Project_ID]],projects[Project_ID],0))</f>
        <v>210035-65 MC VBB WP1: DO-nota West (25-050)</v>
      </c>
      <c r="H99" s="1" t="str">
        <f t="shared" si="0"/>
        <v>Normal Time</v>
      </c>
      <c r="I99" s="1" t="s">
        <v>503</v>
      </c>
      <c r="J99" s="15"/>
      <c r="K99" s="15"/>
      <c r="L99" s="15">
        <v>5.5</v>
      </c>
      <c r="M99" s="15"/>
      <c r="N99" s="15"/>
      <c r="O99" s="15" t="str">
        <f>INDEX(projects[job number],MATCH(TimeEntry[[#This Row],[Project_ID]], projects[Project_ID],0))</f>
        <v>210035-65</v>
      </c>
      <c r="P99" s="15" t="str">
        <f>INDEX(projects[Project_Name],MATCH(TimeEntry[[#This Row],[Project_ID]], projects[Project_ID],0))</f>
        <v>MC VBB WP1: DO-nota West</v>
      </c>
      <c r="Q99" s="6">
        <f>IF(TimeEntry[[#This Row],[Date]]=0,"",WEEKDAY(C99,2))</f>
        <v>3</v>
      </c>
      <c r="R99" s="9">
        <f>YEAR(TimeEntry[[#This Row],[WkEnd]])</f>
        <v>2020</v>
      </c>
      <c r="S99" s="9">
        <f>WEEKNUM(TimeEntry[[#This Row],[WkEnd]])</f>
        <v>44</v>
      </c>
      <c r="T99" s="9" t="str">
        <f>TimeEntry[[#This Row],[Year]]&amp;"-"&amp;TimeEntry[[#This Row],[WkNo]]</f>
        <v>2020-44</v>
      </c>
    </row>
    <row r="100" spans="1:20" x14ac:dyDescent="0.25">
      <c r="A100" s="6">
        <f>MOD(IF(ROW()=2,0.1,IF(INDEX(TimeEntry[WkEnd],ROW()-1)  =  INDEX(TimeEntry[WkEnd],ROW()-2),    INDEX(TimeEntry[format],ROW()-2),    INDEX(TimeEntry[format],ROW()-2)    +1)),2)</f>
        <v>1.1000000000000001</v>
      </c>
      <c r="B100" s="7">
        <v>44125.500578703701</v>
      </c>
      <c r="C100" s="8">
        <v>44125</v>
      </c>
      <c r="D100" s="8" t="s">
        <v>100</v>
      </c>
      <c r="E100" s="1" t="s">
        <v>442</v>
      </c>
      <c r="F100" s="8">
        <f>IF(TimeEntry[[#This Row],[Date]]=0,F2,C100+(7-Q100))</f>
        <v>44129</v>
      </c>
      <c r="G100" s="35" t="str">
        <f>INDEX(projects[Charge_Code],MATCH(TimeEntry[[#This Row],[Project_ID]],projects[Project_ID],0))</f>
        <v>210035-65 MC VBB WP1: DO-nota West (25-050)</v>
      </c>
      <c r="H100" s="1" t="str">
        <f t="shared" si="0"/>
        <v>Normal Time</v>
      </c>
      <c r="I100" s="1" t="s">
        <v>602</v>
      </c>
      <c r="J100" s="15"/>
      <c r="K100" s="15"/>
      <c r="L100" s="15">
        <v>2</v>
      </c>
      <c r="M100" s="15"/>
      <c r="N100" s="15"/>
      <c r="O100" s="15" t="str">
        <f>INDEX(projects[job number],MATCH(TimeEntry[[#This Row],[Project_ID]], projects[Project_ID],0))</f>
        <v>210035-65</v>
      </c>
      <c r="P100" s="15" t="str">
        <f>INDEX(projects[Project_Name],MATCH(TimeEntry[[#This Row],[Project_ID]], projects[Project_ID],0))</f>
        <v>MC VBB WP1: DO-nota West</v>
      </c>
      <c r="Q100" s="6">
        <f>IF(TimeEntry[[#This Row],[Date]]=0,"",WEEKDAY(C100,2))</f>
        <v>3</v>
      </c>
      <c r="R100" s="9">
        <f>YEAR(TimeEntry[[#This Row],[WkEnd]])</f>
        <v>2020</v>
      </c>
      <c r="S100" s="9">
        <f>WEEKNUM(TimeEntry[[#This Row],[WkEnd]])</f>
        <v>44</v>
      </c>
      <c r="T100" s="9" t="str">
        <f>TimeEntry[[#This Row],[Year]]&amp;"-"&amp;TimeEntry[[#This Row],[WkNo]]</f>
        <v>2020-44</v>
      </c>
    </row>
    <row r="101" spans="1:20" x14ac:dyDescent="0.25">
      <c r="A101" s="6">
        <f>MOD(IF(ROW()=2,0.1,IF(INDEX(TimeEntry[WkEnd],ROW()-1)  =  INDEX(TimeEntry[WkEnd],ROW()-2),    INDEX(TimeEntry[format],ROW()-2),    INDEX(TimeEntry[format],ROW()-2)    +1)),2)</f>
        <v>1.1000000000000001</v>
      </c>
      <c r="B101" s="7">
        <v>44124.508252314816</v>
      </c>
      <c r="C101" s="8">
        <v>44124</v>
      </c>
      <c r="D101" s="8" t="s">
        <v>101</v>
      </c>
      <c r="E101" s="1" t="s">
        <v>442</v>
      </c>
      <c r="F101" s="8">
        <f>IF(TimeEntry[[#This Row],[Date]]=0,F2,C101+(7-Q101))</f>
        <v>44129</v>
      </c>
      <c r="G101" s="35" t="str">
        <f>INDEX(projects[Charge_Code],MATCH(TimeEntry[[#This Row],[Project_ID]],projects[Project_ID],0))</f>
        <v>210035-65 MC VBB WP1: DO-nota West (25-050)</v>
      </c>
      <c r="H101" s="1" t="str">
        <f t="shared" si="0"/>
        <v>Normal Time</v>
      </c>
      <c r="I101" s="1" t="s">
        <v>504</v>
      </c>
      <c r="J101" s="15"/>
      <c r="K101" s="15">
        <v>2</v>
      </c>
      <c r="L101" s="15"/>
      <c r="M101" s="15"/>
      <c r="N101" s="15"/>
      <c r="O101" s="15" t="str">
        <f>INDEX(projects[job number],MATCH(TimeEntry[[#This Row],[Project_ID]], projects[Project_ID],0))</f>
        <v>210035-65</v>
      </c>
      <c r="P101" s="15" t="str">
        <f>INDEX(projects[Project_Name],MATCH(TimeEntry[[#This Row],[Project_ID]], projects[Project_ID],0))</f>
        <v>MC VBB WP1: DO-nota West</v>
      </c>
      <c r="Q101" s="6">
        <f>IF(TimeEntry[[#This Row],[Date]]=0,"",WEEKDAY(C101,2))</f>
        <v>2</v>
      </c>
      <c r="R101" s="9">
        <f>YEAR(TimeEntry[[#This Row],[WkEnd]])</f>
        <v>2020</v>
      </c>
      <c r="S101" s="9">
        <f>WEEKNUM(TimeEntry[[#This Row],[WkEnd]])</f>
        <v>44</v>
      </c>
      <c r="T101" s="9" t="str">
        <f>TimeEntry[[#This Row],[Year]]&amp;"-"&amp;TimeEntry[[#This Row],[WkNo]]</f>
        <v>2020-44</v>
      </c>
    </row>
    <row r="102" spans="1:20" x14ac:dyDescent="0.25">
      <c r="A102" s="6">
        <f>MOD(IF(ROW()=2,0.1,IF(INDEX(TimeEntry[WkEnd],ROW()-1)  =  INDEX(TimeEntry[WkEnd],ROW()-2),    INDEX(TimeEntry[format],ROW()-2),    INDEX(TimeEntry[format],ROW()-2)    +1)),2)</f>
        <v>1.1000000000000001</v>
      </c>
      <c r="B102" s="7">
        <v>44124.508252314816</v>
      </c>
      <c r="C102" s="8">
        <v>44124</v>
      </c>
      <c r="D102" s="8" t="s">
        <v>101</v>
      </c>
      <c r="E102" s="1" t="s">
        <v>442</v>
      </c>
      <c r="F102" s="8">
        <f>IF(TimeEntry[[#This Row],[Date]]=0,F2,C102+(7-Q102))</f>
        <v>44129</v>
      </c>
      <c r="G102" s="35" t="str">
        <f>INDEX(projects[Charge_Code],MATCH(TimeEntry[[#This Row],[Project_ID]],projects[Project_ID],0))</f>
        <v>210035-65 MC VBB WP1: DO-nota West (25-050)</v>
      </c>
      <c r="H102" s="1" t="str">
        <f t="shared" si="0"/>
        <v>Normal Time</v>
      </c>
      <c r="I102" s="1" t="s">
        <v>503</v>
      </c>
      <c r="J102" s="15"/>
      <c r="K102" s="15">
        <v>5.5</v>
      </c>
      <c r="L102" s="15"/>
      <c r="M102" s="15"/>
      <c r="N102" s="15"/>
      <c r="O102" s="15" t="str">
        <f>INDEX(projects[job number],MATCH(TimeEntry[[#This Row],[Project_ID]], projects[Project_ID],0))</f>
        <v>210035-65</v>
      </c>
      <c r="P102" s="15" t="str">
        <f>INDEX(projects[Project_Name],MATCH(TimeEntry[[#This Row],[Project_ID]], projects[Project_ID],0))</f>
        <v>MC VBB WP1: DO-nota West</v>
      </c>
      <c r="Q102" s="6">
        <f>IF(TimeEntry[[#This Row],[Date]]=0,"",WEEKDAY(C102,2))</f>
        <v>2</v>
      </c>
      <c r="R102" s="9">
        <f>YEAR(TimeEntry[[#This Row],[WkEnd]])</f>
        <v>2020</v>
      </c>
      <c r="S102" s="9">
        <f>WEEKNUM(TimeEntry[[#This Row],[WkEnd]])</f>
        <v>44</v>
      </c>
      <c r="T102" s="9" t="str">
        <f>TimeEntry[[#This Row],[Year]]&amp;"-"&amp;TimeEntry[[#This Row],[WkNo]]</f>
        <v>2020-44</v>
      </c>
    </row>
    <row r="103" spans="1:20" x14ac:dyDescent="0.25">
      <c r="A103" s="6">
        <f>MOD(IF(ROW()=2,0.1,IF(INDEX(TimeEntry[WkEnd],ROW()-1)  =  INDEX(TimeEntry[WkEnd],ROW()-2),    INDEX(TimeEntry[format],ROW()-2),    INDEX(TimeEntry[format],ROW()-2)    +1)),2)</f>
        <v>1.1000000000000001</v>
      </c>
      <c r="B103" s="7">
        <v>44123.501180555555</v>
      </c>
      <c r="C103" s="8">
        <v>44123</v>
      </c>
      <c r="D103" s="8" t="s">
        <v>104</v>
      </c>
      <c r="E103" s="1" t="s">
        <v>442</v>
      </c>
      <c r="F103" s="8">
        <f>IF(TimeEntry[[#This Row],[Date]]=0,F2,C103+(7-Q103))</f>
        <v>44129</v>
      </c>
      <c r="G103" s="35" t="str">
        <f>INDEX(projects[Charge_Code],MATCH(TimeEntry[[#This Row],[Project_ID]],projects[Project_ID],0))</f>
        <v>210035-65 MC VBB WP1: DO-nota West (25-050)</v>
      </c>
      <c r="H103" s="1" t="str">
        <f t="shared" si="0"/>
        <v>Normal Time</v>
      </c>
      <c r="I103" s="1" t="s">
        <v>501</v>
      </c>
      <c r="J103" s="15">
        <v>5</v>
      </c>
      <c r="K103" s="15"/>
      <c r="L103" s="15"/>
      <c r="M103" s="15"/>
      <c r="N103" s="15"/>
      <c r="O103" s="15" t="str">
        <f>INDEX(projects[job number],MATCH(TimeEntry[[#This Row],[Project_ID]], projects[Project_ID],0))</f>
        <v>210035-65</v>
      </c>
      <c r="P103" s="15" t="str">
        <f>INDEX(projects[Project_Name],MATCH(TimeEntry[[#This Row],[Project_ID]], projects[Project_ID],0))</f>
        <v>MC VBB WP1: DO-nota West</v>
      </c>
      <c r="Q103" s="6">
        <f>IF(TimeEntry[[#This Row],[Date]]=0,"",WEEKDAY(C103,2))</f>
        <v>1</v>
      </c>
      <c r="R103" s="9">
        <f>YEAR(TimeEntry[[#This Row],[WkEnd]])</f>
        <v>2020</v>
      </c>
      <c r="S103" s="9">
        <f>WEEKNUM(TimeEntry[[#This Row],[WkEnd]])</f>
        <v>44</v>
      </c>
      <c r="T103" s="9" t="str">
        <f>TimeEntry[[#This Row],[Year]]&amp;"-"&amp;TimeEntry[[#This Row],[WkNo]]</f>
        <v>2020-44</v>
      </c>
    </row>
    <row r="104" spans="1:20" x14ac:dyDescent="0.25">
      <c r="A104" s="6">
        <f>MOD(IF(ROW()=2,0.1,IF(INDEX(TimeEntry[WkEnd],ROW()-1)  =  INDEX(TimeEntry[WkEnd],ROW()-2),    INDEX(TimeEntry[format],ROW()-2),    INDEX(TimeEntry[format],ROW()-2)    +1)),2)</f>
        <v>1.1000000000000001</v>
      </c>
      <c r="B104" s="7">
        <v>44123.501180555555</v>
      </c>
      <c r="C104" s="8">
        <v>44123</v>
      </c>
      <c r="D104" s="8" t="s">
        <v>104</v>
      </c>
      <c r="E104" s="1" t="s">
        <v>442</v>
      </c>
      <c r="F104" s="8">
        <f>IF(TimeEntry[[#This Row],[Date]]=0,F2,C104+(7-Q104))</f>
        <v>44129</v>
      </c>
      <c r="G104" s="35" t="str">
        <f>INDEX(projects[Charge_Code],MATCH(TimeEntry[[#This Row],[Project_ID]],projects[Project_ID],0))</f>
        <v>210035-65 MC VBB WP1: DO-nota West (25-050)</v>
      </c>
      <c r="H104" s="1" t="str">
        <f t="shared" si="0"/>
        <v>Normal Time</v>
      </c>
      <c r="I104" s="1" t="s">
        <v>500</v>
      </c>
      <c r="J104" s="15">
        <v>2.5</v>
      </c>
      <c r="K104" s="15"/>
      <c r="L104" s="15"/>
      <c r="M104" s="15"/>
      <c r="N104" s="15"/>
      <c r="O104" s="15" t="str">
        <f>INDEX(projects[job number],MATCH(TimeEntry[[#This Row],[Project_ID]], projects[Project_ID],0))</f>
        <v>210035-65</v>
      </c>
      <c r="P104" s="15" t="str">
        <f>INDEX(projects[Project_Name],MATCH(TimeEntry[[#This Row],[Project_ID]], projects[Project_ID],0))</f>
        <v>MC VBB WP1: DO-nota West</v>
      </c>
      <c r="Q104" s="6">
        <f>IF(TimeEntry[[#This Row],[Date]]=0,"",WEEKDAY(C104,2))</f>
        <v>1</v>
      </c>
      <c r="R104" s="9">
        <f>YEAR(TimeEntry[[#This Row],[WkEnd]])</f>
        <v>2020</v>
      </c>
      <c r="S104" s="9">
        <f>WEEKNUM(TimeEntry[[#This Row],[WkEnd]])</f>
        <v>44</v>
      </c>
      <c r="T104" s="9" t="str">
        <f>TimeEntry[[#This Row],[Year]]&amp;"-"&amp;TimeEntry[[#This Row],[WkNo]]</f>
        <v>2020-44</v>
      </c>
    </row>
    <row r="105" spans="1:20" x14ac:dyDescent="0.25">
      <c r="A105" s="6">
        <f>MOD(IF(ROW()=2,0.1,IF(INDEX(TimeEntry[WkEnd],ROW()-1)  =  INDEX(TimeEntry[WkEnd],ROW()-2),    INDEX(TimeEntry[format],ROW()-2),    INDEX(TimeEntry[format],ROW()-2)    +1)),2)</f>
        <v>0.10000000000000009</v>
      </c>
      <c r="B105" s="7">
        <v>44120.669525462959</v>
      </c>
      <c r="C105" s="8">
        <v>44120</v>
      </c>
      <c r="D105" s="8" t="s">
        <v>106</v>
      </c>
      <c r="E105" s="1" t="s">
        <v>442</v>
      </c>
      <c r="F105" s="8">
        <f>IF(TimeEntry[[#This Row],[Date]]=0,F2,C105+(7-Q105))</f>
        <v>44122</v>
      </c>
      <c r="G105" s="35" t="str">
        <f>INDEX(projects[Charge_Code],MATCH(TimeEntry[[#This Row],[Project_ID]],projects[Project_ID],0))</f>
        <v>210035-65 MC VBB WP1: DO-nota West (25-050)</v>
      </c>
      <c r="H105" s="1" t="str">
        <f t="shared" si="0"/>
        <v>Normal Time</v>
      </c>
      <c r="I105" s="1" t="s">
        <v>498</v>
      </c>
      <c r="J105" s="15"/>
      <c r="K105" s="15"/>
      <c r="L105" s="15"/>
      <c r="M105" s="15"/>
      <c r="N105" s="15">
        <v>4</v>
      </c>
      <c r="O105" s="15" t="str">
        <f>INDEX(projects[job number],MATCH(TimeEntry[[#This Row],[Project_ID]], projects[Project_ID],0))</f>
        <v>210035-65</v>
      </c>
      <c r="P105" s="15" t="str">
        <f>INDEX(projects[Project_Name],MATCH(TimeEntry[[#This Row],[Project_ID]], projects[Project_ID],0))</f>
        <v>MC VBB WP1: DO-nota West</v>
      </c>
      <c r="Q105" s="6">
        <f>IF(TimeEntry[[#This Row],[Date]]=0,"",WEEKDAY(C105,2))</f>
        <v>5</v>
      </c>
      <c r="R105" s="9">
        <f>YEAR(TimeEntry[[#This Row],[WkEnd]])</f>
        <v>2020</v>
      </c>
      <c r="S105" s="9">
        <f>WEEKNUM(TimeEntry[[#This Row],[WkEnd]])</f>
        <v>43</v>
      </c>
      <c r="T105" s="9" t="str">
        <f>TimeEntry[[#This Row],[Year]]&amp;"-"&amp;TimeEntry[[#This Row],[WkNo]]</f>
        <v>2020-43</v>
      </c>
    </row>
    <row r="106" spans="1:20" x14ac:dyDescent="0.25">
      <c r="A106" s="6">
        <f>MOD(IF(ROW()=2,0.1,IF(INDEX(TimeEntry[WkEnd],ROW()-1)  =  INDEX(TimeEntry[WkEnd],ROW()-2),    INDEX(TimeEntry[format],ROW()-2),    INDEX(TimeEntry[format],ROW()-2)    +1)),2)</f>
        <v>0.10000000000000009</v>
      </c>
      <c r="B106" s="7">
        <v>44120.500648148147</v>
      </c>
      <c r="C106" s="8">
        <v>44120</v>
      </c>
      <c r="D106" s="8" t="s">
        <v>106</v>
      </c>
      <c r="E106" s="1" t="s">
        <v>677</v>
      </c>
      <c r="F106" s="8">
        <f>IF(TimeEntry[[#This Row],[Date]]=0,F2,C106+(7-Q106))</f>
        <v>44122</v>
      </c>
      <c r="G106" s="35" t="str">
        <f>INDEX(projects[Charge_Code],MATCH(TimeEntry[[#This Row],[Project_ID]],projects[Project_ID],0))</f>
        <v>074097-30 LEADERSHIP &amp; MANAGEMENT CC124 (01-124)</v>
      </c>
      <c r="H106" s="1" t="str">
        <f t="shared" si="0"/>
        <v>Normal Time</v>
      </c>
      <c r="I106" s="1" t="s">
        <v>497</v>
      </c>
      <c r="J106" s="15"/>
      <c r="K106" s="15"/>
      <c r="L106" s="15"/>
      <c r="M106" s="15"/>
      <c r="N106" s="15"/>
      <c r="O106" s="15" t="str">
        <f>INDEX(projects[job number],MATCH(TimeEntry[[#This Row],[Project_ID]], projects[Project_ID],0))</f>
        <v>074097-30</v>
      </c>
      <c r="P106" s="15" t="str">
        <f>INDEX(projects[Project_Name],MATCH(TimeEntry[[#This Row],[Project_ID]], projects[Project_ID],0))</f>
        <v>LEADERSHIP &amp; MANAGEMENT CC124</v>
      </c>
      <c r="Q106" s="6">
        <f>IF(TimeEntry[[#This Row],[Date]]=0,"",WEEKDAY(C106,2))</f>
        <v>5</v>
      </c>
      <c r="R106" s="9">
        <f>YEAR(TimeEntry[[#This Row],[WkEnd]])</f>
        <v>2020</v>
      </c>
      <c r="S106" s="9">
        <f>WEEKNUM(TimeEntry[[#This Row],[WkEnd]])</f>
        <v>43</v>
      </c>
      <c r="T106" s="9" t="str">
        <f>TimeEntry[[#This Row],[Year]]&amp;"-"&amp;TimeEntry[[#This Row],[WkNo]]</f>
        <v>2020-43</v>
      </c>
    </row>
    <row r="107" spans="1:20" x14ac:dyDescent="0.25">
      <c r="A107" s="6">
        <f>MOD(IF(ROW()=2,0.1,IF(INDEX(TimeEntry[WkEnd],ROW()-1)  =  INDEX(TimeEntry[WkEnd],ROW()-2),    INDEX(TimeEntry[format],ROW()-2),    INDEX(TimeEntry[format],ROW()-2)    +1)),2)</f>
        <v>0.10000000000000009</v>
      </c>
      <c r="B107" s="7">
        <v>44120.500648148147</v>
      </c>
      <c r="C107" s="8">
        <v>44120</v>
      </c>
      <c r="D107" s="8" t="s">
        <v>106</v>
      </c>
      <c r="E107" s="1" t="s">
        <v>442</v>
      </c>
      <c r="F107" s="8">
        <f>IF(TimeEntry[[#This Row],[Date]]=0,F2,C107+(7-Q107))</f>
        <v>44122</v>
      </c>
      <c r="G107" s="35" t="str">
        <f>INDEX(projects[Charge_Code],MATCH(TimeEntry[[#This Row],[Project_ID]],projects[Project_ID],0))</f>
        <v>210035-65 MC VBB WP1: DO-nota West (25-050)</v>
      </c>
      <c r="H107" s="1" t="str">
        <f t="shared" si="0"/>
        <v>Normal Time</v>
      </c>
      <c r="I107" s="1" t="s">
        <v>496</v>
      </c>
      <c r="J107" s="15"/>
      <c r="K107" s="15"/>
      <c r="L107" s="15"/>
      <c r="M107" s="15"/>
      <c r="N107" s="15">
        <v>3.5</v>
      </c>
      <c r="O107" s="15" t="str">
        <f>INDEX(projects[job number],MATCH(TimeEntry[[#This Row],[Project_ID]], projects[Project_ID],0))</f>
        <v>210035-65</v>
      </c>
      <c r="P107" s="15" t="str">
        <f>INDEX(projects[Project_Name],MATCH(TimeEntry[[#This Row],[Project_ID]], projects[Project_ID],0))</f>
        <v>MC VBB WP1: DO-nota West</v>
      </c>
      <c r="Q107" s="6">
        <f>IF(TimeEntry[[#This Row],[Date]]=0,"",WEEKDAY(C107,2))</f>
        <v>5</v>
      </c>
      <c r="R107" s="9">
        <f>YEAR(TimeEntry[[#This Row],[WkEnd]])</f>
        <v>2020</v>
      </c>
      <c r="S107" s="9">
        <f>WEEKNUM(TimeEntry[[#This Row],[WkEnd]])</f>
        <v>43</v>
      </c>
      <c r="T107" s="9" t="str">
        <f>TimeEntry[[#This Row],[Year]]&amp;"-"&amp;TimeEntry[[#This Row],[WkNo]]</f>
        <v>2020-43</v>
      </c>
    </row>
    <row r="108" spans="1:20" x14ac:dyDescent="0.25">
      <c r="A108" s="6">
        <f>MOD(IF(ROW()=2,0.1,IF(INDEX(TimeEntry[WkEnd],ROW()-1)  =  INDEX(TimeEntry[WkEnd],ROW()-2),    INDEX(TimeEntry[format],ROW()-2),    INDEX(TimeEntry[format],ROW()-2)    +1)),2)</f>
        <v>0.10000000000000009</v>
      </c>
      <c r="B108" s="7">
        <v>44119.667025462964</v>
      </c>
      <c r="C108" s="8">
        <v>44119</v>
      </c>
      <c r="D108" s="8" t="s">
        <v>102</v>
      </c>
      <c r="E108" s="1" t="s">
        <v>442</v>
      </c>
      <c r="F108" s="8">
        <f>IF(TimeEntry[[#This Row],[Date]]=0,F2,C108+(7-Q108))</f>
        <v>44122</v>
      </c>
      <c r="G108" s="35" t="str">
        <f>INDEX(projects[Charge_Code],MATCH(TimeEntry[[#This Row],[Project_ID]],projects[Project_ID],0))</f>
        <v>210035-65 MC VBB WP1: DO-nota West (25-050)</v>
      </c>
      <c r="H108" s="1" t="str">
        <f t="shared" si="0"/>
        <v>Normal Time</v>
      </c>
      <c r="I108" s="1" t="s">
        <v>495</v>
      </c>
      <c r="J108" s="15"/>
      <c r="K108" s="15"/>
      <c r="L108" s="15"/>
      <c r="M108" s="15">
        <v>4.5</v>
      </c>
      <c r="N108" s="15"/>
      <c r="O108" s="15" t="str">
        <f>INDEX(projects[job number],MATCH(TimeEntry[[#This Row],[Project_ID]], projects[Project_ID],0))</f>
        <v>210035-65</v>
      </c>
      <c r="P108" s="15" t="str">
        <f>INDEX(projects[Project_Name],MATCH(TimeEntry[[#This Row],[Project_ID]], projects[Project_ID],0))</f>
        <v>MC VBB WP1: DO-nota West</v>
      </c>
      <c r="Q108" s="6">
        <f>IF(TimeEntry[[#This Row],[Date]]=0,"",WEEKDAY(C108,2))</f>
        <v>4</v>
      </c>
      <c r="R108" s="9">
        <f>YEAR(TimeEntry[[#This Row],[WkEnd]])</f>
        <v>2020</v>
      </c>
      <c r="S108" s="9">
        <f>WEEKNUM(TimeEntry[[#This Row],[WkEnd]])</f>
        <v>43</v>
      </c>
      <c r="T108" s="9" t="str">
        <f>TimeEntry[[#This Row],[Year]]&amp;"-"&amp;TimeEntry[[#This Row],[WkNo]]</f>
        <v>2020-43</v>
      </c>
    </row>
    <row r="109" spans="1:20" x14ac:dyDescent="0.25">
      <c r="A109" s="6">
        <f>MOD(IF(ROW()=2,0.1,IF(INDEX(TimeEntry[WkEnd],ROW()-1)  =  INDEX(TimeEntry[WkEnd],ROW()-2),    INDEX(TimeEntry[format],ROW()-2),    INDEX(TimeEntry[format],ROW()-2)    +1)),2)</f>
        <v>0.10000000000000009</v>
      </c>
      <c r="B109" s="7">
        <v>44119.507719907408</v>
      </c>
      <c r="C109" s="8">
        <v>44119</v>
      </c>
      <c r="D109" s="8" t="s">
        <v>102</v>
      </c>
      <c r="E109" s="1" t="s">
        <v>442</v>
      </c>
      <c r="F109" s="8">
        <f>IF(TimeEntry[[#This Row],[Date]]=0,F2,C109+(7-Q109))</f>
        <v>44122</v>
      </c>
      <c r="G109" s="35" t="str">
        <f>INDEX(projects[Charge_Code],MATCH(TimeEntry[[#This Row],[Project_ID]],projects[Project_ID],0))</f>
        <v>210035-65 MC VBB WP1: DO-nota West (25-050)</v>
      </c>
      <c r="H109" s="1" t="str">
        <f t="shared" si="0"/>
        <v>Normal Time</v>
      </c>
      <c r="I109" s="1" t="s">
        <v>494</v>
      </c>
      <c r="J109" s="15"/>
      <c r="K109" s="15"/>
      <c r="L109" s="15"/>
      <c r="M109" s="15">
        <v>3</v>
      </c>
      <c r="N109" s="15"/>
      <c r="O109" s="15" t="str">
        <f>INDEX(projects[job number],MATCH(TimeEntry[[#This Row],[Project_ID]], projects[Project_ID],0))</f>
        <v>210035-65</v>
      </c>
      <c r="P109" s="15" t="str">
        <f>INDEX(projects[Project_Name],MATCH(TimeEntry[[#This Row],[Project_ID]], projects[Project_ID],0))</f>
        <v>MC VBB WP1: DO-nota West</v>
      </c>
      <c r="Q109" s="6">
        <f>IF(TimeEntry[[#This Row],[Date]]=0,"",WEEKDAY(C109,2))</f>
        <v>4</v>
      </c>
      <c r="R109" s="9">
        <f>YEAR(TimeEntry[[#This Row],[WkEnd]])</f>
        <v>2020</v>
      </c>
      <c r="S109" s="9">
        <f>WEEKNUM(TimeEntry[[#This Row],[WkEnd]])</f>
        <v>43</v>
      </c>
      <c r="T109" s="9" t="str">
        <f>TimeEntry[[#This Row],[Year]]&amp;"-"&amp;TimeEntry[[#This Row],[WkNo]]</f>
        <v>2020-43</v>
      </c>
    </row>
    <row r="110" spans="1:20" x14ac:dyDescent="0.25">
      <c r="A110" s="6">
        <f>MOD(IF(ROW()=2,0.1,IF(INDEX(TimeEntry[WkEnd],ROW()-1)  =  INDEX(TimeEntry[WkEnd],ROW()-2),    INDEX(TimeEntry[format],ROW()-2),    INDEX(TimeEntry[format],ROW()-2)    +1)),2)</f>
        <v>0.10000000000000009</v>
      </c>
      <c r="B110" s="7">
        <v>44119.507719907408</v>
      </c>
      <c r="C110" s="8">
        <v>44119</v>
      </c>
      <c r="D110" s="8" t="s">
        <v>102</v>
      </c>
      <c r="E110" s="1" t="s">
        <v>442</v>
      </c>
      <c r="F110" s="8">
        <f>IF(TimeEntry[[#This Row],[Date]]=0,F2,C110+(7-Q110))</f>
        <v>44122</v>
      </c>
      <c r="G110" s="35" t="str">
        <f>INDEX(projects[Charge_Code],MATCH(TimeEntry[[#This Row],[Project_ID]],projects[Project_ID],0))</f>
        <v>210035-65 MC VBB WP1: DO-nota West (25-050)</v>
      </c>
      <c r="H110" s="1" t="str">
        <f t="shared" si="0"/>
        <v>Normal Time</v>
      </c>
      <c r="I110" s="1" t="s">
        <v>493</v>
      </c>
      <c r="J110" s="15"/>
      <c r="K110" s="15"/>
      <c r="L110" s="15">
        <v>5.5</v>
      </c>
      <c r="M110" s="15"/>
      <c r="N110" s="15"/>
      <c r="O110" s="15" t="str">
        <f>INDEX(projects[job number],MATCH(TimeEntry[[#This Row],[Project_ID]], projects[Project_ID],0))</f>
        <v>210035-65</v>
      </c>
      <c r="P110" s="15" t="str">
        <f>INDEX(projects[Project_Name],MATCH(TimeEntry[[#This Row],[Project_ID]], projects[Project_ID],0))</f>
        <v>MC VBB WP1: DO-nota West</v>
      </c>
      <c r="Q110" s="6">
        <f>IF(TimeEntry[[#This Row],[Date]]=0,"",WEEKDAY(C110,2))</f>
        <v>4</v>
      </c>
      <c r="R110" s="9">
        <f>YEAR(TimeEntry[[#This Row],[WkEnd]])</f>
        <v>2020</v>
      </c>
      <c r="S110" s="9">
        <f>WEEKNUM(TimeEntry[[#This Row],[WkEnd]])</f>
        <v>43</v>
      </c>
      <c r="T110" s="9" t="str">
        <f>TimeEntry[[#This Row],[Year]]&amp;"-"&amp;TimeEntry[[#This Row],[WkNo]]</f>
        <v>2020-43</v>
      </c>
    </row>
    <row r="111" spans="1:20" x14ac:dyDescent="0.25">
      <c r="A111" s="6">
        <f>MOD(IF(ROW()=2,0.1,IF(INDEX(TimeEntry[WkEnd],ROW()-1)  =  INDEX(TimeEntry[WkEnd],ROW()-2),    INDEX(TimeEntry[format],ROW()-2),    INDEX(TimeEntry[format],ROW()-2)    +1)),2)</f>
        <v>0.10000000000000009</v>
      </c>
      <c r="B111" s="7">
        <v>44118.501157407409</v>
      </c>
      <c r="C111" s="8">
        <v>44118</v>
      </c>
      <c r="D111" s="8" t="s">
        <v>100</v>
      </c>
      <c r="E111" s="1" t="s">
        <v>442</v>
      </c>
      <c r="F111" s="8">
        <f>IF(TimeEntry[[#This Row],[Date]]=0,F2,C111+(7-Q111))</f>
        <v>44122</v>
      </c>
      <c r="G111" s="35" t="str">
        <f>INDEX(projects[Charge_Code],MATCH(TimeEntry[[#This Row],[Project_ID]],projects[Project_ID],0))</f>
        <v>210035-65 MC VBB WP1: DO-nota West (25-050)</v>
      </c>
      <c r="H111" s="1" t="str">
        <f t="shared" si="0"/>
        <v>Normal Time</v>
      </c>
      <c r="I111" s="1" t="s">
        <v>492</v>
      </c>
      <c r="J111" s="15"/>
      <c r="K111" s="15"/>
      <c r="L111" s="15">
        <v>2</v>
      </c>
      <c r="M111" s="15"/>
      <c r="N111" s="15"/>
      <c r="O111" s="15" t="str">
        <f>INDEX(projects[job number],MATCH(TimeEntry[[#This Row],[Project_ID]], projects[Project_ID],0))</f>
        <v>210035-65</v>
      </c>
      <c r="P111" s="15" t="str">
        <f>INDEX(projects[Project_Name],MATCH(TimeEntry[[#This Row],[Project_ID]], projects[Project_ID],0))</f>
        <v>MC VBB WP1: DO-nota West</v>
      </c>
      <c r="Q111" s="6">
        <f>IF(TimeEntry[[#This Row],[Date]]=0,"",WEEKDAY(C111,2))</f>
        <v>3</v>
      </c>
      <c r="R111" s="9">
        <f>YEAR(TimeEntry[[#This Row],[WkEnd]])</f>
        <v>2020</v>
      </c>
      <c r="S111" s="9">
        <f>WEEKNUM(TimeEntry[[#This Row],[WkEnd]])</f>
        <v>43</v>
      </c>
      <c r="T111" s="9" t="str">
        <f>TimeEntry[[#This Row],[Year]]&amp;"-"&amp;TimeEntry[[#This Row],[WkNo]]</f>
        <v>2020-43</v>
      </c>
    </row>
    <row r="112" spans="1:20" x14ac:dyDescent="0.25">
      <c r="A112" s="6">
        <f>MOD(IF(ROW()=2,0.1,IF(INDEX(TimeEntry[WkEnd],ROW()-1)  =  INDEX(TimeEntry[WkEnd],ROW()-2),    INDEX(TimeEntry[format],ROW()-2),    INDEX(TimeEntry[format],ROW()-2)    +1)),2)</f>
        <v>0.10000000000000009</v>
      </c>
      <c r="B112" s="7">
        <v>44118.501157407409</v>
      </c>
      <c r="C112" s="8">
        <v>44118</v>
      </c>
      <c r="D112" s="8" t="s">
        <v>100</v>
      </c>
      <c r="E112" s="1" t="s">
        <v>442</v>
      </c>
      <c r="F112" s="8">
        <f>IF(TimeEntry[[#This Row],[Date]]=0,F2,C112+(7-Q112))</f>
        <v>44122</v>
      </c>
      <c r="G112" s="35" t="str">
        <f>INDEX(projects[Charge_Code],MATCH(TimeEntry[[#This Row],[Project_ID]],projects[Project_ID],0))</f>
        <v>210035-65 MC VBB WP1: DO-nota West (25-050)</v>
      </c>
      <c r="H112" s="1" t="str">
        <f t="shared" si="0"/>
        <v>Normal Time</v>
      </c>
      <c r="I112" s="1" t="s">
        <v>491</v>
      </c>
      <c r="J112" s="15"/>
      <c r="K112" s="15">
        <v>3</v>
      </c>
      <c r="L112" s="15"/>
      <c r="M112" s="15"/>
      <c r="N112" s="15"/>
      <c r="O112" s="15" t="str">
        <f>INDEX(projects[job number],MATCH(TimeEntry[[#This Row],[Project_ID]], projects[Project_ID],0))</f>
        <v>210035-65</v>
      </c>
      <c r="P112" s="15" t="str">
        <f>INDEX(projects[Project_Name],MATCH(TimeEntry[[#This Row],[Project_ID]], projects[Project_ID],0))</f>
        <v>MC VBB WP1: DO-nota West</v>
      </c>
      <c r="Q112" s="6">
        <f>IF(TimeEntry[[#This Row],[Date]]=0,"",WEEKDAY(C112,2))</f>
        <v>3</v>
      </c>
      <c r="R112" s="9">
        <f>YEAR(TimeEntry[[#This Row],[WkEnd]])</f>
        <v>2020</v>
      </c>
      <c r="S112" s="9">
        <f>WEEKNUM(TimeEntry[[#This Row],[WkEnd]])</f>
        <v>43</v>
      </c>
      <c r="T112" s="9" t="str">
        <f>TimeEntry[[#This Row],[Year]]&amp;"-"&amp;TimeEntry[[#This Row],[WkNo]]</f>
        <v>2020-43</v>
      </c>
    </row>
    <row r="113" spans="1:20" x14ac:dyDescent="0.25">
      <c r="A113" s="6">
        <f>MOD(IF(ROW()=2,0.1,IF(INDEX(TimeEntry[WkEnd],ROW()-1)  =  INDEX(TimeEntry[WkEnd],ROW()-2),    INDEX(TimeEntry[format],ROW()-2),    INDEX(TimeEntry[format],ROW()-2)    +1)),2)</f>
        <v>0.10000000000000009</v>
      </c>
      <c r="B113" s="7">
        <v>44117.667199074072</v>
      </c>
      <c r="C113" s="8">
        <v>44117</v>
      </c>
      <c r="D113" s="8" t="s">
        <v>101</v>
      </c>
      <c r="E113" s="1" t="s">
        <v>442</v>
      </c>
      <c r="F113" s="8">
        <f>IF(TimeEntry[[#This Row],[Date]]=0,F2,C113+(7-Q113))</f>
        <v>44122</v>
      </c>
      <c r="G113" s="35" t="str">
        <f>INDEX(projects[Charge_Code],MATCH(TimeEntry[[#This Row],[Project_ID]],projects[Project_ID],0))</f>
        <v>210035-65 MC VBB WP1: DO-nota West (25-050)</v>
      </c>
      <c r="H113" s="1" t="str">
        <f t="shared" si="0"/>
        <v>Normal Time</v>
      </c>
      <c r="I113" s="1" t="s">
        <v>490</v>
      </c>
      <c r="J113" s="15"/>
      <c r="K113" s="15">
        <v>1</v>
      </c>
      <c r="L113" s="15"/>
      <c r="M113" s="15"/>
      <c r="N113" s="15"/>
      <c r="O113" s="15" t="str">
        <f>INDEX(projects[job number],MATCH(TimeEntry[[#This Row],[Project_ID]], projects[Project_ID],0))</f>
        <v>210035-65</v>
      </c>
      <c r="P113" s="15" t="str">
        <f>INDEX(projects[Project_Name],MATCH(TimeEntry[[#This Row],[Project_ID]], projects[Project_ID],0))</f>
        <v>MC VBB WP1: DO-nota West</v>
      </c>
      <c r="Q113" s="6">
        <f>IF(TimeEntry[[#This Row],[Date]]=0,"",WEEKDAY(C113,2))</f>
        <v>2</v>
      </c>
      <c r="R113" s="9">
        <f>YEAR(TimeEntry[[#This Row],[WkEnd]])</f>
        <v>2020</v>
      </c>
      <c r="S113" s="9">
        <f>WEEKNUM(TimeEntry[[#This Row],[WkEnd]])</f>
        <v>43</v>
      </c>
      <c r="T113" s="9" t="str">
        <f>TimeEntry[[#This Row],[Year]]&amp;"-"&amp;TimeEntry[[#This Row],[WkNo]]</f>
        <v>2020-43</v>
      </c>
    </row>
    <row r="114" spans="1:20" x14ac:dyDescent="0.25">
      <c r="A114" s="6">
        <f>MOD(IF(ROW()=2,0.1,IF(INDEX(TimeEntry[WkEnd],ROW()-1)  =  INDEX(TimeEntry[WkEnd],ROW()-2),    INDEX(TimeEntry[format],ROW()-2),    INDEX(TimeEntry[format],ROW()-2)    +1)),2)</f>
        <v>0.10000000000000009</v>
      </c>
      <c r="B114" s="7">
        <v>44117.667199074072</v>
      </c>
      <c r="C114" s="8">
        <v>44117</v>
      </c>
      <c r="D114" s="8" t="s">
        <v>101</v>
      </c>
      <c r="E114" s="1" t="s">
        <v>442</v>
      </c>
      <c r="F114" s="8">
        <f>IF(TimeEntry[[#This Row],[Date]]=0,F2,C114+(7-Q114))</f>
        <v>44122</v>
      </c>
      <c r="G114" s="35" t="str">
        <f>INDEX(projects[Charge_Code],MATCH(TimeEntry[[#This Row],[Project_ID]],projects[Project_ID],0))</f>
        <v>210035-65 MC VBB WP1: DO-nota West (25-050)</v>
      </c>
      <c r="H114" s="1" t="str">
        <f t="shared" si="0"/>
        <v>Normal Time</v>
      </c>
      <c r="I114" s="1" t="s">
        <v>489</v>
      </c>
      <c r="J114" s="15"/>
      <c r="K114" s="15">
        <v>3.5</v>
      </c>
      <c r="L114" s="15"/>
      <c r="M114" s="15"/>
      <c r="N114" s="15"/>
      <c r="O114" s="15" t="str">
        <f>INDEX(projects[job number],MATCH(TimeEntry[[#This Row],[Project_ID]], projects[Project_ID],0))</f>
        <v>210035-65</v>
      </c>
      <c r="P114" s="15" t="str">
        <f>INDEX(projects[Project_Name],MATCH(TimeEntry[[#This Row],[Project_ID]], projects[Project_ID],0))</f>
        <v>MC VBB WP1: DO-nota West</v>
      </c>
      <c r="Q114" s="6">
        <f>IF(TimeEntry[[#This Row],[Date]]=0,"",WEEKDAY(C114,2))</f>
        <v>2</v>
      </c>
      <c r="R114" s="9">
        <f>YEAR(TimeEntry[[#This Row],[WkEnd]])</f>
        <v>2020</v>
      </c>
      <c r="S114" s="9">
        <f>WEEKNUM(TimeEntry[[#This Row],[WkEnd]])</f>
        <v>43</v>
      </c>
      <c r="T114" s="9" t="str">
        <f>TimeEntry[[#This Row],[Year]]&amp;"-"&amp;TimeEntry[[#This Row],[WkNo]]</f>
        <v>2020-43</v>
      </c>
    </row>
    <row r="115" spans="1:20" x14ac:dyDescent="0.25">
      <c r="A115" s="6">
        <f>MOD(IF(ROW()=2,0.1,IF(INDEX(TimeEntry[WkEnd],ROW()-1)  =  INDEX(TimeEntry[WkEnd],ROW()-2),    INDEX(TimeEntry[format],ROW()-2),    INDEX(TimeEntry[format],ROW()-2)    +1)),2)</f>
        <v>0.10000000000000009</v>
      </c>
      <c r="B115" s="7">
        <v>44117.500590277778</v>
      </c>
      <c r="C115" s="8">
        <v>44117</v>
      </c>
      <c r="D115" s="8" t="s">
        <v>101</v>
      </c>
      <c r="E115" s="1" t="s">
        <v>442</v>
      </c>
      <c r="F115" s="8">
        <f>IF(TimeEntry[[#This Row],[Date]]=0,F2,C115+(7-Q115))</f>
        <v>44122</v>
      </c>
      <c r="G115" s="35" t="str">
        <f>INDEX(projects[Charge_Code],MATCH(TimeEntry[[#This Row],[Project_ID]],projects[Project_ID],0))</f>
        <v>210035-65 MC VBB WP1: DO-nota West (25-050)</v>
      </c>
      <c r="H115" s="1" t="str">
        <f t="shared" si="0"/>
        <v>Normal Time</v>
      </c>
      <c r="I115" s="1" t="s">
        <v>488</v>
      </c>
      <c r="J115" s="15">
        <v>3.5</v>
      </c>
      <c r="K115" s="15"/>
      <c r="L115" s="15"/>
      <c r="M115" s="15"/>
      <c r="N115" s="15"/>
      <c r="O115" s="15" t="str">
        <f>INDEX(projects[job number],MATCH(TimeEntry[[#This Row],[Project_ID]], projects[Project_ID],0))</f>
        <v>210035-65</v>
      </c>
      <c r="P115" s="15" t="str">
        <f>INDEX(projects[Project_Name],MATCH(TimeEntry[[#This Row],[Project_ID]], projects[Project_ID],0))</f>
        <v>MC VBB WP1: DO-nota West</v>
      </c>
      <c r="Q115" s="6">
        <f>IF(TimeEntry[[#This Row],[Date]]=0,"",WEEKDAY(C115,2))</f>
        <v>2</v>
      </c>
      <c r="R115" s="9">
        <f>YEAR(TimeEntry[[#This Row],[WkEnd]])</f>
        <v>2020</v>
      </c>
      <c r="S115" s="9">
        <f>WEEKNUM(TimeEntry[[#This Row],[WkEnd]])</f>
        <v>43</v>
      </c>
      <c r="T115" s="9" t="str">
        <f>TimeEntry[[#This Row],[Year]]&amp;"-"&amp;TimeEntry[[#This Row],[WkNo]]</f>
        <v>2020-43</v>
      </c>
    </row>
    <row r="116" spans="1:20" x14ac:dyDescent="0.25">
      <c r="A116" s="6">
        <f>MOD(IF(ROW()=2,0.1,IF(INDEX(TimeEntry[WkEnd],ROW()-1)  =  INDEX(TimeEntry[WkEnd],ROW()-2),    INDEX(TimeEntry[format],ROW()-2),    INDEX(TimeEntry[format],ROW()-2)    +1)),2)</f>
        <v>0.10000000000000009</v>
      </c>
      <c r="B116" s="7">
        <v>44116.681018518517</v>
      </c>
      <c r="C116" s="8">
        <v>44116</v>
      </c>
      <c r="D116" s="8" t="s">
        <v>104</v>
      </c>
      <c r="E116" s="1" t="s">
        <v>442</v>
      </c>
      <c r="F116" s="8">
        <f>IF(TimeEntry[[#This Row],[Date]]=0,F2,C116+(7-Q116))</f>
        <v>44122</v>
      </c>
      <c r="G116" s="35" t="str">
        <f>INDEX(projects[Charge_Code],MATCH(TimeEntry[[#This Row],[Project_ID]],projects[Project_ID],0))</f>
        <v>210035-65 MC VBB WP1: DO-nota West (25-050)</v>
      </c>
      <c r="H116" s="1" t="str">
        <f t="shared" si="0"/>
        <v>Normal Time</v>
      </c>
      <c r="I116" s="1" t="s">
        <v>487</v>
      </c>
      <c r="J116" s="15">
        <v>2</v>
      </c>
      <c r="K116" s="15"/>
      <c r="L116" s="15"/>
      <c r="M116" s="15"/>
      <c r="N116" s="15"/>
      <c r="O116" s="15" t="str">
        <f>INDEX(projects[job number],MATCH(TimeEntry[[#This Row],[Project_ID]], projects[Project_ID],0))</f>
        <v>210035-65</v>
      </c>
      <c r="P116" s="15" t="str">
        <f>INDEX(projects[Project_Name],MATCH(TimeEntry[[#This Row],[Project_ID]], projects[Project_ID],0))</f>
        <v>MC VBB WP1: DO-nota West</v>
      </c>
      <c r="Q116" s="6">
        <f>IF(TimeEntry[[#This Row],[Date]]=0,"",WEEKDAY(C116,2))</f>
        <v>1</v>
      </c>
      <c r="R116" s="9">
        <f>YEAR(TimeEntry[[#This Row],[WkEnd]])</f>
        <v>2020</v>
      </c>
      <c r="S116" s="9">
        <f>WEEKNUM(TimeEntry[[#This Row],[WkEnd]])</f>
        <v>43</v>
      </c>
      <c r="T116" s="9" t="str">
        <f>TimeEntry[[#This Row],[Year]]&amp;"-"&amp;TimeEntry[[#This Row],[WkNo]]</f>
        <v>2020-43</v>
      </c>
    </row>
    <row r="117" spans="1:20" x14ac:dyDescent="0.25">
      <c r="A117" s="6">
        <f>MOD(IF(ROW()=2,0.1,IF(INDEX(TimeEntry[WkEnd],ROW()-1)  =  INDEX(TimeEntry[WkEnd],ROW()-2),    INDEX(TimeEntry[format],ROW()-2),    INDEX(TimeEntry[format],ROW()-2)    +1)),2)</f>
        <v>0.10000000000000009</v>
      </c>
      <c r="B117" s="7">
        <v>44116.50199074074</v>
      </c>
      <c r="C117" s="8">
        <v>44116</v>
      </c>
      <c r="D117" s="8" t="s">
        <v>104</v>
      </c>
      <c r="E117" s="1" t="s">
        <v>442</v>
      </c>
      <c r="F117" s="8">
        <f>IF(TimeEntry[[#This Row],[Date]]=0,F2,C117+(7-Q117))</f>
        <v>44122</v>
      </c>
      <c r="G117" s="35" t="str">
        <f>INDEX(projects[Charge_Code],MATCH(TimeEntry[[#This Row],[Project_ID]],projects[Project_ID],0))</f>
        <v>210035-65 MC VBB WP1: DO-nota West (25-050)</v>
      </c>
      <c r="H117" s="1" t="str">
        <f t="shared" si="0"/>
        <v>Normal Time</v>
      </c>
      <c r="I117" s="1" t="s">
        <v>486</v>
      </c>
      <c r="J117" s="15">
        <v>2</v>
      </c>
      <c r="K117" s="15"/>
      <c r="L117" s="15"/>
      <c r="M117" s="15"/>
      <c r="N117" s="15"/>
      <c r="O117" s="15" t="str">
        <f>INDEX(projects[job number],MATCH(TimeEntry[[#This Row],[Project_ID]], projects[Project_ID],0))</f>
        <v>210035-65</v>
      </c>
      <c r="P117" s="15" t="str">
        <f>INDEX(projects[Project_Name],MATCH(TimeEntry[[#This Row],[Project_ID]], projects[Project_ID],0))</f>
        <v>MC VBB WP1: DO-nota West</v>
      </c>
      <c r="Q117" s="6">
        <f>IF(TimeEntry[[#This Row],[Date]]=0,"",WEEKDAY(C117,2))</f>
        <v>1</v>
      </c>
      <c r="R117" s="9">
        <f>YEAR(TimeEntry[[#This Row],[WkEnd]])</f>
        <v>2020</v>
      </c>
      <c r="S117" s="9">
        <f>WEEKNUM(TimeEntry[[#This Row],[WkEnd]])</f>
        <v>43</v>
      </c>
      <c r="T117" s="9" t="str">
        <f>TimeEntry[[#This Row],[Year]]&amp;"-"&amp;TimeEntry[[#This Row],[WkNo]]</f>
        <v>2020-43</v>
      </c>
    </row>
    <row r="118" spans="1:20" x14ac:dyDescent="0.25">
      <c r="A118" s="6">
        <f>MOD(IF(ROW()=2,0.1,IF(INDEX(TimeEntry[WkEnd],ROW()-1)  =  INDEX(TimeEntry[WkEnd],ROW()-2),    INDEX(TimeEntry[format],ROW()-2),    INDEX(TimeEntry[format],ROW()-2)    +1)),2)</f>
        <v>1.1000000000000001</v>
      </c>
      <c r="B118" s="7">
        <v>44113.667025462964</v>
      </c>
      <c r="C118" s="8">
        <v>44113</v>
      </c>
      <c r="D118" s="8" t="s">
        <v>106</v>
      </c>
      <c r="E118" s="1" t="s">
        <v>442</v>
      </c>
      <c r="F118" s="8">
        <f>IF(TimeEntry[[#This Row],[Date]]=0,F2,C118+(7-Q118))</f>
        <v>44115</v>
      </c>
      <c r="G118" s="35" t="str">
        <f>INDEX(projects[Charge_Code],MATCH(TimeEntry[[#This Row],[Project_ID]],projects[Project_ID],0))</f>
        <v>210035-65 MC VBB WP1: DO-nota West (25-050)</v>
      </c>
      <c r="H118" s="1" t="str">
        <f t="shared" si="0"/>
        <v>Normal Time</v>
      </c>
      <c r="I118" s="1" t="s">
        <v>387</v>
      </c>
      <c r="J118" s="15">
        <v>5</v>
      </c>
      <c r="K118" s="15"/>
      <c r="L118" s="15"/>
      <c r="M118" s="15"/>
      <c r="N118" s="15"/>
      <c r="O118" s="15" t="str">
        <f>INDEX(projects[job number],MATCH(TimeEntry[[#This Row],[Project_ID]], projects[Project_ID],0))</f>
        <v>210035-65</v>
      </c>
      <c r="P118" s="15" t="str">
        <f>INDEX(projects[Project_Name],MATCH(TimeEntry[[#This Row],[Project_ID]], projects[Project_ID],0))</f>
        <v>MC VBB WP1: DO-nota West</v>
      </c>
      <c r="Q118" s="6">
        <f>IF(TimeEntry[[#This Row],[Date]]=0,"",WEEKDAY(C118,2))</f>
        <v>5</v>
      </c>
      <c r="R118" s="9">
        <f>YEAR(TimeEntry[[#This Row],[WkEnd]])</f>
        <v>2020</v>
      </c>
      <c r="S118" s="9">
        <f>WEEKNUM(TimeEntry[[#This Row],[WkEnd]])</f>
        <v>42</v>
      </c>
      <c r="T118" s="9" t="str">
        <f>TimeEntry[[#This Row],[Year]]&amp;"-"&amp;TimeEntry[[#This Row],[WkNo]]</f>
        <v>2020-42</v>
      </c>
    </row>
    <row r="119" spans="1:20" x14ac:dyDescent="0.25">
      <c r="A119" s="6">
        <f>MOD(IF(ROW()=2,0.1,IF(INDEX(TimeEntry[WkEnd],ROW()-1)  =  INDEX(TimeEntry[WkEnd],ROW()-2),    INDEX(TimeEntry[format],ROW()-2),    INDEX(TimeEntry[format],ROW()-2)    +1)),2)</f>
        <v>1.1000000000000001</v>
      </c>
      <c r="B119" s="7">
        <v>44113.504895833335</v>
      </c>
      <c r="C119" s="8">
        <v>44113</v>
      </c>
      <c r="D119" s="8" t="s">
        <v>106</v>
      </c>
      <c r="E119" s="1" t="s">
        <v>677</v>
      </c>
      <c r="F119" s="8">
        <f>IF(TimeEntry[[#This Row],[Date]]=0,F118,C119+(7-Q119))</f>
        <v>44115</v>
      </c>
      <c r="G119" s="35" t="str">
        <f>INDEX(projects[Charge_Code],MATCH(TimeEntry[[#This Row],[Project_ID]],projects[Project_ID],0))</f>
        <v>074097-30 LEADERSHIP &amp; MANAGEMENT CC124 (01-124)</v>
      </c>
      <c r="H119" s="1" t="str">
        <f t="shared" si="0"/>
        <v>Normal Time</v>
      </c>
      <c r="I119" s="1" t="s">
        <v>385</v>
      </c>
      <c r="J119" s="15">
        <v>1</v>
      </c>
      <c r="K119" s="15"/>
      <c r="L119" s="15"/>
      <c r="M119" s="15"/>
      <c r="N119" s="15"/>
      <c r="O119" s="15" t="str">
        <f>INDEX(projects[job number],MATCH(TimeEntry[[#This Row],[Project_ID]], projects[Project_ID],0))</f>
        <v>074097-30</v>
      </c>
      <c r="P119" s="15" t="str">
        <f>INDEX(projects[Project_Name],MATCH(TimeEntry[[#This Row],[Project_ID]], projects[Project_ID],0))</f>
        <v>LEADERSHIP &amp; MANAGEMENT CC124</v>
      </c>
      <c r="Q119" s="6">
        <f>IF(TimeEntry[[#This Row],[Date]]=0,"",WEEKDAY(C119,2))</f>
        <v>5</v>
      </c>
      <c r="R119" s="9">
        <f>YEAR(TimeEntry[[#This Row],[WkEnd]])</f>
        <v>2020</v>
      </c>
      <c r="S119" s="9">
        <f>WEEKNUM(TimeEntry[[#This Row],[WkEnd]])</f>
        <v>42</v>
      </c>
      <c r="T119" s="9" t="str">
        <f>TimeEntry[[#This Row],[Year]]&amp;"-"&amp;TimeEntry[[#This Row],[WkNo]]</f>
        <v>2020-42</v>
      </c>
    </row>
    <row r="120" spans="1:20" x14ac:dyDescent="0.25">
      <c r="A120" s="6">
        <f>MOD(IF(ROW()=2,0.1,IF(INDEX(TimeEntry[WkEnd],ROW()-1)  =  INDEX(TimeEntry[WkEnd],ROW()-2),    INDEX(TimeEntry[format],ROW()-2),    INDEX(TimeEntry[format],ROW()-2)    +1)),2)</f>
        <v>1.1000000000000001</v>
      </c>
      <c r="B120" s="7">
        <v>44113.504895833335</v>
      </c>
      <c r="C120" s="8">
        <v>44113</v>
      </c>
      <c r="D120" s="8" t="s">
        <v>106</v>
      </c>
      <c r="E120" s="1" t="s">
        <v>677</v>
      </c>
      <c r="F120" s="8">
        <f>IF(TimeEntry[[#This Row],[Date]]=0,F119,C120+(7-Q120))</f>
        <v>44115</v>
      </c>
      <c r="G120" s="35" t="str">
        <f>INDEX(projects[Charge_Code],MATCH(TimeEntry[[#This Row],[Project_ID]],projects[Project_ID],0))</f>
        <v>074097-30 LEADERSHIP &amp; MANAGEMENT CC124 (01-124)</v>
      </c>
      <c r="H120" s="1" t="str">
        <f t="shared" si="0"/>
        <v>Normal Time</v>
      </c>
      <c r="I120" s="1" t="s">
        <v>386</v>
      </c>
      <c r="J120" s="15">
        <v>1.5</v>
      </c>
      <c r="K120" s="15"/>
      <c r="L120" s="15"/>
      <c r="M120" s="15"/>
      <c r="N120" s="15"/>
      <c r="O120" s="15" t="str">
        <f>INDEX(projects[job number],MATCH(TimeEntry[[#This Row],[Project_ID]], projects[Project_ID],0))</f>
        <v>074097-30</v>
      </c>
      <c r="P120" s="15" t="str">
        <f>INDEX(projects[Project_Name],MATCH(TimeEntry[[#This Row],[Project_ID]], projects[Project_ID],0))</f>
        <v>LEADERSHIP &amp; MANAGEMENT CC124</v>
      </c>
      <c r="Q120" s="6">
        <f>IF(TimeEntry[[#This Row],[Date]]=0,"",WEEKDAY(C120,2))</f>
        <v>5</v>
      </c>
      <c r="R120" s="9">
        <f>YEAR(TimeEntry[[#This Row],[WkEnd]])</f>
        <v>2020</v>
      </c>
      <c r="S120" s="9">
        <f>WEEKNUM(TimeEntry[[#This Row],[WkEnd]])</f>
        <v>42</v>
      </c>
      <c r="T120" s="9" t="str">
        <f>TimeEntry[[#This Row],[Year]]&amp;"-"&amp;TimeEntry[[#This Row],[WkNo]]</f>
        <v>2020-42</v>
      </c>
    </row>
    <row r="121" spans="1:20" x14ac:dyDescent="0.25">
      <c r="A121" s="6">
        <f>MOD(IF(ROW()=2,0.1,IF(INDEX(TimeEntry[WkEnd],ROW()-1)  =  INDEX(TimeEntry[WkEnd],ROW()-2),    INDEX(TimeEntry[format],ROW()-2),    INDEX(TimeEntry[format],ROW()-2)    +1)),2)</f>
        <v>1.1000000000000001</v>
      </c>
      <c r="B121" s="7">
        <v>44112.559513888889</v>
      </c>
      <c r="C121" s="8">
        <v>44112</v>
      </c>
      <c r="D121" s="8" t="s">
        <v>102</v>
      </c>
      <c r="E121" s="1" t="s">
        <v>442</v>
      </c>
      <c r="F121" s="8">
        <f>IF(TimeEntry[[#This Row],[Date]]=0,F120,C121+(7-Q121))</f>
        <v>44115</v>
      </c>
      <c r="G121" s="35" t="str">
        <f>INDEX(projects[Charge_Code],MATCH(TimeEntry[[#This Row],[Project_ID]],projects[Project_ID],0))</f>
        <v>210035-65 MC VBB WP1: DO-nota West (25-050)</v>
      </c>
      <c r="H121" s="1" t="str">
        <f t="shared" si="0"/>
        <v>Normal Time</v>
      </c>
      <c r="I121" s="1" t="s">
        <v>383</v>
      </c>
      <c r="J121" s="15">
        <v>2</v>
      </c>
      <c r="K121" s="15"/>
      <c r="L121" s="15"/>
      <c r="M121" s="15"/>
      <c r="N121" s="15"/>
      <c r="O121" s="15" t="str">
        <f>INDEX(projects[job number],MATCH(TimeEntry[[#This Row],[Project_ID]], projects[Project_ID],0))</f>
        <v>210035-65</v>
      </c>
      <c r="P121" s="15" t="str">
        <f>INDEX(projects[Project_Name],MATCH(TimeEntry[[#This Row],[Project_ID]], projects[Project_ID],0))</f>
        <v>MC VBB WP1: DO-nota West</v>
      </c>
      <c r="Q121" s="6">
        <f>IF(TimeEntry[[#This Row],[Date]]=0,"",WEEKDAY(C121,2))</f>
        <v>4</v>
      </c>
      <c r="R121" s="9">
        <f>YEAR(TimeEntry[[#This Row],[WkEnd]])</f>
        <v>2020</v>
      </c>
      <c r="S121" s="9">
        <f>WEEKNUM(TimeEntry[[#This Row],[WkEnd]])</f>
        <v>42</v>
      </c>
      <c r="T121" s="9" t="str">
        <f>TimeEntry[[#This Row],[Year]]&amp;"-"&amp;TimeEntry[[#This Row],[WkNo]]</f>
        <v>2020-42</v>
      </c>
    </row>
    <row r="122" spans="1:20" x14ac:dyDescent="0.25">
      <c r="A122" s="6">
        <f>MOD(IF(ROW()=2,0.1,IF(INDEX(TimeEntry[WkEnd],ROW()-1)  =  INDEX(TimeEntry[WkEnd],ROW()-2),    INDEX(TimeEntry[format],ROW()-2),    INDEX(TimeEntry[format],ROW()-2)    +1)),2)</f>
        <v>1.1000000000000001</v>
      </c>
      <c r="B122" s="7">
        <v>44112.559513888889</v>
      </c>
      <c r="C122" s="8">
        <v>44112</v>
      </c>
      <c r="D122" s="8" t="s">
        <v>102</v>
      </c>
      <c r="E122" s="1" t="s">
        <v>442</v>
      </c>
      <c r="F122" s="8">
        <f>IF(TimeEntry[[#This Row],[Date]]=0,F121,C122+(7-Q122))</f>
        <v>44115</v>
      </c>
      <c r="G122" s="35" t="str">
        <f>INDEX(projects[Charge_Code],MATCH(TimeEntry[[#This Row],[Project_ID]],projects[Project_ID],0))</f>
        <v>210035-65 MC VBB WP1: DO-nota West (25-050)</v>
      </c>
      <c r="H122" s="1" t="str">
        <f t="shared" si="0"/>
        <v>Normal Time</v>
      </c>
      <c r="I122" s="1" t="s">
        <v>384</v>
      </c>
      <c r="J122" s="15">
        <v>5.5</v>
      </c>
      <c r="K122" s="15"/>
      <c r="L122" s="15"/>
      <c r="M122" s="15"/>
      <c r="N122" s="15"/>
      <c r="O122" s="15" t="str">
        <f>INDEX(projects[job number],MATCH(TimeEntry[[#This Row],[Project_ID]], projects[Project_ID],0))</f>
        <v>210035-65</v>
      </c>
      <c r="P122" s="15" t="str">
        <f>INDEX(projects[Project_Name],MATCH(TimeEntry[[#This Row],[Project_ID]], projects[Project_ID],0))</f>
        <v>MC VBB WP1: DO-nota West</v>
      </c>
      <c r="Q122" s="6">
        <f>IF(TimeEntry[[#This Row],[Date]]=0,"",WEEKDAY(C122,2))</f>
        <v>4</v>
      </c>
      <c r="R122" s="9">
        <f>YEAR(TimeEntry[[#This Row],[WkEnd]])</f>
        <v>2020</v>
      </c>
      <c r="S122" s="9">
        <f>WEEKNUM(TimeEntry[[#This Row],[WkEnd]])</f>
        <v>42</v>
      </c>
      <c r="T122" s="9" t="str">
        <f>TimeEntry[[#This Row],[Year]]&amp;"-"&amp;TimeEntry[[#This Row],[WkNo]]</f>
        <v>2020-42</v>
      </c>
    </row>
    <row r="123" spans="1:20" x14ac:dyDescent="0.25">
      <c r="A123" s="6">
        <f>MOD(IF(ROW()=2,0.1,IF(INDEX(TimeEntry[WkEnd],ROW()-1)  =  INDEX(TimeEntry[WkEnd],ROW()-2),    INDEX(TimeEntry[format],ROW()-2),    INDEX(TimeEntry[format],ROW()-2)    +1)),2)</f>
        <v>1.1000000000000001</v>
      </c>
      <c r="B123" s="7">
        <v>44111.667094907411</v>
      </c>
      <c r="C123" s="8">
        <v>44111</v>
      </c>
      <c r="D123" s="8" t="s">
        <v>100</v>
      </c>
      <c r="E123" s="1" t="s">
        <v>442</v>
      </c>
      <c r="F123" s="8">
        <f>IF(TimeEntry[[#This Row],[Date]]=0,F122,C123+(7-Q123))</f>
        <v>44115</v>
      </c>
      <c r="G123" s="35" t="str">
        <f>INDEX(projects[Charge_Code],MATCH(TimeEntry[[#This Row],[Project_ID]],projects[Project_ID],0))</f>
        <v>210035-65 MC VBB WP1: DO-nota West (25-050)</v>
      </c>
      <c r="H123" s="1" t="str">
        <f t="shared" si="0"/>
        <v>Normal Time</v>
      </c>
      <c r="I123" s="1" t="s">
        <v>358</v>
      </c>
      <c r="J123" s="15">
        <v>4</v>
      </c>
      <c r="K123" s="15"/>
      <c r="L123" s="15"/>
      <c r="M123" s="15"/>
      <c r="N123" s="15"/>
      <c r="O123" s="15" t="str">
        <f>INDEX(projects[job number],MATCH(TimeEntry[[#This Row],[Project_ID]], projects[Project_ID],0))</f>
        <v>210035-65</v>
      </c>
      <c r="P123" s="15" t="str">
        <f>INDEX(projects[Project_Name],MATCH(TimeEntry[[#This Row],[Project_ID]], projects[Project_ID],0))</f>
        <v>MC VBB WP1: DO-nota West</v>
      </c>
      <c r="Q123" s="6">
        <f>IF(TimeEntry[[#This Row],[Date]]=0,"",WEEKDAY(C123,2))</f>
        <v>3</v>
      </c>
      <c r="R123" s="9">
        <f>YEAR(TimeEntry[[#This Row],[WkEnd]])</f>
        <v>2020</v>
      </c>
      <c r="S123" s="9">
        <f>WEEKNUM(TimeEntry[[#This Row],[WkEnd]])</f>
        <v>42</v>
      </c>
      <c r="T123" s="9" t="str">
        <f>TimeEntry[[#This Row],[Year]]&amp;"-"&amp;TimeEntry[[#This Row],[WkNo]]</f>
        <v>2020-42</v>
      </c>
    </row>
    <row r="124" spans="1:20" x14ac:dyDescent="0.25">
      <c r="A124" s="6">
        <f>MOD(IF(ROW()=2,0.1,IF(INDEX(TimeEntry[WkEnd],ROW()-1)  =  INDEX(TimeEntry[WkEnd],ROW()-2),    INDEX(TimeEntry[format],ROW()-2),    INDEX(TimeEntry[format],ROW()-2)    +1)),2)</f>
        <v>1.1000000000000001</v>
      </c>
      <c r="B124" s="7">
        <v>44111.51489583333</v>
      </c>
      <c r="C124" s="8">
        <v>44111</v>
      </c>
      <c r="D124" s="8" t="s">
        <v>100</v>
      </c>
      <c r="E124" s="1" t="s">
        <v>442</v>
      </c>
      <c r="F124" s="8">
        <f>IF(TimeEntry[[#This Row],[Date]]=0,F123,C124+(7-Q124))</f>
        <v>44115</v>
      </c>
      <c r="G124" s="35" t="str">
        <f>INDEX(projects[Charge_Code],MATCH(TimeEntry[[#This Row],[Project_ID]],projects[Project_ID],0))</f>
        <v>210035-65 MC VBB WP1: DO-nota West (25-050)</v>
      </c>
      <c r="H124" s="1" t="str">
        <f t="shared" si="0"/>
        <v>Normal Time</v>
      </c>
      <c r="I124" s="1" t="s">
        <v>358</v>
      </c>
      <c r="J124" s="15">
        <v>1.5</v>
      </c>
      <c r="K124" s="15"/>
      <c r="L124" s="15"/>
      <c r="M124" s="15"/>
      <c r="N124" s="15"/>
      <c r="O124" s="15" t="str">
        <f>INDEX(projects[job number],MATCH(TimeEntry[[#This Row],[Project_ID]], projects[Project_ID],0))</f>
        <v>210035-65</v>
      </c>
      <c r="P124" s="15" t="str">
        <f>INDEX(projects[Project_Name],MATCH(TimeEntry[[#This Row],[Project_ID]], projects[Project_ID],0))</f>
        <v>MC VBB WP1: DO-nota West</v>
      </c>
      <c r="Q124" s="6">
        <f>IF(TimeEntry[[#This Row],[Date]]=0,"",WEEKDAY(C124,2))</f>
        <v>3</v>
      </c>
      <c r="R124" s="9">
        <f>YEAR(TimeEntry[[#This Row],[WkEnd]])</f>
        <v>2020</v>
      </c>
      <c r="S124" s="9">
        <f>WEEKNUM(TimeEntry[[#This Row],[WkEnd]])</f>
        <v>42</v>
      </c>
      <c r="T124" s="9" t="str">
        <f>TimeEntry[[#This Row],[Year]]&amp;"-"&amp;TimeEntry[[#This Row],[WkNo]]</f>
        <v>2020-42</v>
      </c>
    </row>
    <row r="125" spans="1:20" x14ac:dyDescent="0.25">
      <c r="A125" s="6">
        <f>MOD(IF(ROW()=2,0.1,IF(INDEX(TimeEntry[WkEnd],ROW()-1)  =  INDEX(TimeEntry[WkEnd],ROW()-2),    INDEX(TimeEntry[format],ROW()-2),    INDEX(TimeEntry[format],ROW()-2)    +1)),2)</f>
        <v>1.1000000000000001</v>
      </c>
      <c r="B125" s="7">
        <v>44111.51489583333</v>
      </c>
      <c r="C125" s="8">
        <v>44111</v>
      </c>
      <c r="D125" s="8" t="s">
        <v>100</v>
      </c>
      <c r="E125" s="1" t="s">
        <v>442</v>
      </c>
      <c r="F125" s="8">
        <f>IF(TimeEntry[[#This Row],[Date]]=0,F124,C125+(7-Q125))</f>
        <v>44115</v>
      </c>
      <c r="G125" s="35" t="str">
        <f>INDEX(projects[Charge_Code],MATCH(TimeEntry[[#This Row],[Project_ID]],projects[Project_ID],0))</f>
        <v>210035-65 MC VBB WP1: DO-nota West (25-050)</v>
      </c>
      <c r="H125" s="1" t="str">
        <f t="shared" si="0"/>
        <v>Normal Time</v>
      </c>
      <c r="I125" s="1" t="s">
        <v>357</v>
      </c>
      <c r="J125" s="15">
        <v>2</v>
      </c>
      <c r="K125" s="15"/>
      <c r="L125" s="15"/>
      <c r="M125" s="15"/>
      <c r="N125" s="15"/>
      <c r="O125" s="15" t="str">
        <f>INDEX(projects[job number],MATCH(TimeEntry[[#This Row],[Project_ID]], projects[Project_ID],0))</f>
        <v>210035-65</v>
      </c>
      <c r="P125" s="15" t="str">
        <f>INDEX(projects[Project_Name],MATCH(TimeEntry[[#This Row],[Project_ID]], projects[Project_ID],0))</f>
        <v>MC VBB WP1: DO-nota West</v>
      </c>
      <c r="Q125" s="6">
        <f>IF(TimeEntry[[#This Row],[Date]]=0,"",WEEKDAY(C125,2))</f>
        <v>3</v>
      </c>
      <c r="R125" s="9">
        <f>YEAR(TimeEntry[[#This Row],[WkEnd]])</f>
        <v>2020</v>
      </c>
      <c r="S125" s="9">
        <f>WEEKNUM(TimeEntry[[#This Row],[WkEnd]])</f>
        <v>42</v>
      </c>
      <c r="T125" s="9" t="str">
        <f>TimeEntry[[#This Row],[Year]]&amp;"-"&amp;TimeEntry[[#This Row],[WkNo]]</f>
        <v>2020-42</v>
      </c>
    </row>
    <row r="126" spans="1:20" x14ac:dyDescent="0.25">
      <c r="A126" s="6">
        <f>MOD(IF(ROW()=2,0.1,IF(INDEX(TimeEntry[WkEnd],ROW()-1)  =  INDEX(TimeEntry[WkEnd],ROW()-2),    INDEX(TimeEntry[format],ROW()-2),    INDEX(TimeEntry[format],ROW()-2)    +1)),2)</f>
        <v>1.1000000000000001</v>
      </c>
      <c r="B126" s="7">
        <v>44110.688402777778</v>
      </c>
      <c r="C126" s="8">
        <v>44110</v>
      </c>
      <c r="D126" s="8" t="s">
        <v>101</v>
      </c>
      <c r="E126" s="1" t="s">
        <v>442</v>
      </c>
      <c r="F126" s="8">
        <f>IF(TimeEntry[[#This Row],[Date]]=0,F125,C126+(7-Q126))</f>
        <v>44115</v>
      </c>
      <c r="G126" s="35" t="str">
        <f>INDEX(projects[Charge_Code],MATCH(TimeEntry[[#This Row],[Project_ID]],projects[Project_ID],0))</f>
        <v>210035-65 MC VBB WP1: DO-nota West (25-050)</v>
      </c>
      <c r="H126" s="1" t="str">
        <f t="shared" si="0"/>
        <v>Normal Time</v>
      </c>
      <c r="I126" s="1" t="s">
        <v>356</v>
      </c>
      <c r="J126" s="15">
        <v>4</v>
      </c>
      <c r="K126" s="15"/>
      <c r="L126" s="15"/>
      <c r="M126" s="15"/>
      <c r="N126" s="15"/>
      <c r="O126" s="15" t="str">
        <f>INDEX(projects[job number],MATCH(TimeEntry[[#This Row],[Project_ID]], projects[Project_ID],0))</f>
        <v>210035-65</v>
      </c>
      <c r="P126" s="15" t="str">
        <f>INDEX(projects[Project_Name],MATCH(TimeEntry[[#This Row],[Project_ID]], projects[Project_ID],0))</f>
        <v>MC VBB WP1: DO-nota West</v>
      </c>
      <c r="Q126" s="6">
        <f>IF(TimeEntry[[#This Row],[Date]]=0,"",WEEKDAY(C126,2))</f>
        <v>2</v>
      </c>
      <c r="R126" s="9">
        <f>YEAR(TimeEntry[[#This Row],[WkEnd]])</f>
        <v>2020</v>
      </c>
      <c r="S126" s="9">
        <f>WEEKNUM(TimeEntry[[#This Row],[WkEnd]])</f>
        <v>42</v>
      </c>
      <c r="T126" s="9" t="str">
        <f>TimeEntry[[#This Row],[Year]]&amp;"-"&amp;TimeEntry[[#This Row],[WkNo]]</f>
        <v>2020-42</v>
      </c>
    </row>
    <row r="127" spans="1:20" x14ac:dyDescent="0.25">
      <c r="A127" s="6">
        <f>MOD(IF(ROW()=2,0.1,IF(INDEX(TimeEntry[WkEnd],ROW()-1)  =  INDEX(TimeEntry[WkEnd],ROW()-2),    INDEX(TimeEntry[format],ROW()-2),    INDEX(TimeEntry[format],ROW()-2)    +1)),2)</f>
        <v>1.1000000000000001</v>
      </c>
      <c r="B127" s="7">
        <v>44110.516932870371</v>
      </c>
      <c r="C127" s="8">
        <v>44110</v>
      </c>
      <c r="D127" s="8" t="s">
        <v>101</v>
      </c>
      <c r="E127" s="1" t="s">
        <v>442</v>
      </c>
      <c r="F127" s="8">
        <f>IF(TimeEntry[[#This Row],[Date]]=0,F126,C127+(7-Q127))</f>
        <v>44115</v>
      </c>
      <c r="G127" s="35" t="str">
        <f>INDEX(projects[Charge_Code],MATCH(TimeEntry[[#This Row],[Project_ID]],projects[Project_ID],0))</f>
        <v>210035-65 MC VBB WP1: DO-nota West (25-050)</v>
      </c>
      <c r="H127" s="1" t="str">
        <f t="shared" si="0"/>
        <v>Normal Time</v>
      </c>
      <c r="I127" s="1" t="s">
        <v>355</v>
      </c>
      <c r="J127" s="15">
        <v>1.5</v>
      </c>
      <c r="K127" s="15"/>
      <c r="L127" s="15"/>
      <c r="M127" s="15"/>
      <c r="N127" s="15"/>
      <c r="O127" s="15" t="str">
        <f>INDEX(projects[job number],MATCH(TimeEntry[[#This Row],[Project_ID]], projects[Project_ID],0))</f>
        <v>210035-65</v>
      </c>
      <c r="P127" s="15" t="str">
        <f>INDEX(projects[Project_Name],MATCH(TimeEntry[[#This Row],[Project_ID]], projects[Project_ID],0))</f>
        <v>MC VBB WP1: DO-nota West</v>
      </c>
      <c r="Q127" s="6">
        <f>IF(TimeEntry[[#This Row],[Date]]=0,"",WEEKDAY(C127,2))</f>
        <v>2</v>
      </c>
      <c r="R127" s="9">
        <f>YEAR(TimeEntry[[#This Row],[WkEnd]])</f>
        <v>2020</v>
      </c>
      <c r="S127" s="9">
        <f>WEEKNUM(TimeEntry[[#This Row],[WkEnd]])</f>
        <v>42</v>
      </c>
      <c r="T127" s="9" t="str">
        <f>TimeEntry[[#This Row],[Year]]&amp;"-"&amp;TimeEntry[[#This Row],[WkNo]]</f>
        <v>2020-42</v>
      </c>
    </row>
    <row r="128" spans="1:20" x14ac:dyDescent="0.25">
      <c r="A128" s="6">
        <f>MOD(IF(ROW()=2,0.1,IF(INDEX(TimeEntry[WkEnd],ROW()-1)  =  INDEX(TimeEntry[WkEnd],ROW()-2),    INDEX(TimeEntry[format],ROW()-2),    INDEX(TimeEntry[format],ROW()-2)    +1)),2)</f>
        <v>1.1000000000000001</v>
      </c>
      <c r="B128" s="7">
        <v>44110.516932870371</v>
      </c>
      <c r="C128" s="8">
        <v>44110</v>
      </c>
      <c r="D128" s="8" t="s">
        <v>101</v>
      </c>
      <c r="E128" s="1" t="s">
        <v>441</v>
      </c>
      <c r="F128" s="8">
        <f>IF(TimeEntry[[#This Row],[Date]]=0,F127,C128+(7-Q128))</f>
        <v>44115</v>
      </c>
      <c r="G128" s="35" t="str">
        <f>INDEX(projects[Charge_Code],MATCH(TimeEntry[[#This Row],[Project_ID]],projects[Project_ID],0))</f>
        <v>TRAINING (In-house training)</v>
      </c>
      <c r="H128" s="1" t="str">
        <f t="shared" si="0"/>
        <v>Normal Time</v>
      </c>
      <c r="I128" s="1" t="s">
        <v>354</v>
      </c>
      <c r="J128" s="15">
        <v>2</v>
      </c>
      <c r="K128" s="15"/>
      <c r="L128" s="15"/>
      <c r="M128" s="15"/>
      <c r="N128" s="15"/>
      <c r="O128" s="15">
        <f>INDEX(projects[job number],MATCH(TimeEntry[[#This Row],[Project_ID]], projects[Project_ID],0))</f>
        <v>0</v>
      </c>
      <c r="P128" s="15" t="str">
        <f>INDEX(projects[Project_Name],MATCH(TimeEntry[[#This Row],[Project_ID]], projects[Project_ID],0))</f>
        <v>TRAINING (In-house training)</v>
      </c>
      <c r="Q128" s="6">
        <f>IF(TimeEntry[[#This Row],[Date]]=0,"",WEEKDAY(C128,2))</f>
        <v>2</v>
      </c>
      <c r="R128" s="9">
        <f>YEAR(TimeEntry[[#This Row],[WkEnd]])</f>
        <v>2020</v>
      </c>
      <c r="S128" s="9">
        <f>WEEKNUM(TimeEntry[[#This Row],[WkEnd]])</f>
        <v>42</v>
      </c>
      <c r="T128" s="9" t="str">
        <f>TimeEntry[[#This Row],[Year]]&amp;"-"&amp;TimeEntry[[#This Row],[WkNo]]</f>
        <v>2020-42</v>
      </c>
    </row>
    <row r="129" spans="1:20" x14ac:dyDescent="0.25">
      <c r="A129" s="6">
        <f>MOD(IF(ROW()=2,0.1,IF(INDEX(TimeEntry[WkEnd],ROW()-1)  =  INDEX(TimeEntry[WkEnd],ROW()-2),    INDEX(TimeEntry[format],ROW()-2),    INDEX(TimeEntry[format],ROW()-2)    +1)),2)</f>
        <v>1.1000000000000001</v>
      </c>
      <c r="B129" s="7">
        <v>44109.676030092596</v>
      </c>
      <c r="C129" s="8">
        <v>44109</v>
      </c>
      <c r="D129" s="8" t="s">
        <v>104</v>
      </c>
      <c r="E129" s="1" t="s">
        <v>442</v>
      </c>
      <c r="F129" s="8">
        <f>IF(TimeEntry[[#This Row],[Date]]=0,F128,C129+(7-Q129))</f>
        <v>44115</v>
      </c>
      <c r="G129" s="35" t="str">
        <f>INDEX(projects[Charge_Code],MATCH(TimeEntry[[#This Row],[Project_ID]],projects[Project_ID],0))</f>
        <v>210035-65 MC VBB WP1: DO-nota West (25-050)</v>
      </c>
      <c r="H129" s="1" t="str">
        <f t="shared" si="0"/>
        <v>Normal Time</v>
      </c>
      <c r="I129" s="1" t="s">
        <v>352</v>
      </c>
      <c r="J129" s="15">
        <v>1.5</v>
      </c>
      <c r="K129" s="15"/>
      <c r="L129" s="15"/>
      <c r="M129" s="15"/>
      <c r="N129" s="15"/>
      <c r="O129" s="15" t="str">
        <f>INDEX(projects[job number],MATCH(TimeEntry[[#This Row],[Project_ID]], projects[Project_ID],0))</f>
        <v>210035-65</v>
      </c>
      <c r="P129" s="15" t="str">
        <f>INDEX(projects[Project_Name],MATCH(TimeEntry[[#This Row],[Project_ID]], projects[Project_ID],0))</f>
        <v>MC VBB WP1: DO-nota West</v>
      </c>
      <c r="Q129" s="6">
        <f>IF(TimeEntry[[#This Row],[Date]]=0,"",WEEKDAY(C129,2))</f>
        <v>1</v>
      </c>
      <c r="R129" s="9">
        <f>YEAR(TimeEntry[[#This Row],[WkEnd]])</f>
        <v>2020</v>
      </c>
      <c r="S129" s="9">
        <f>WEEKNUM(TimeEntry[[#This Row],[WkEnd]])</f>
        <v>42</v>
      </c>
      <c r="T129" s="9" t="str">
        <f>TimeEntry[[#This Row],[Year]]&amp;"-"&amp;TimeEntry[[#This Row],[WkNo]]</f>
        <v>2020-42</v>
      </c>
    </row>
    <row r="130" spans="1:20" x14ac:dyDescent="0.25">
      <c r="A130" s="6">
        <f>MOD(IF(ROW()=2,0.1,IF(INDEX(TimeEntry[WkEnd],ROW()-1)  =  INDEX(TimeEntry[WkEnd],ROW()-2),    INDEX(TimeEntry[format],ROW()-2),    INDEX(TimeEntry[format],ROW()-2)    +1)),2)</f>
        <v>1.1000000000000001</v>
      </c>
      <c r="B130" s="7">
        <v>44109.676030092596</v>
      </c>
      <c r="C130" s="8">
        <v>44109</v>
      </c>
      <c r="D130" s="8" t="s">
        <v>104</v>
      </c>
      <c r="E130" s="1" t="s">
        <v>442</v>
      </c>
      <c r="F130" s="8">
        <f>IF(TimeEntry[[#This Row],[Date]]=0,F129,C130+(7-Q130))</f>
        <v>44115</v>
      </c>
      <c r="G130" s="35" t="str">
        <f>INDEX(projects[Charge_Code],MATCH(TimeEntry[[#This Row],[Project_ID]],projects[Project_ID],0))</f>
        <v>210035-65 MC VBB WP1: DO-nota West (25-050)</v>
      </c>
      <c r="H130" s="1" t="str">
        <f t="shared" si="0"/>
        <v>Normal Time</v>
      </c>
      <c r="I130" s="1" t="s">
        <v>351</v>
      </c>
      <c r="J130" s="15">
        <v>6</v>
      </c>
      <c r="K130" s="15"/>
      <c r="L130" s="15"/>
      <c r="M130" s="15"/>
      <c r="N130" s="15"/>
      <c r="O130" s="15" t="str">
        <f>INDEX(projects[job number],MATCH(TimeEntry[[#This Row],[Project_ID]], projects[Project_ID],0))</f>
        <v>210035-65</v>
      </c>
      <c r="P130" s="15" t="str">
        <f>INDEX(projects[Project_Name],MATCH(TimeEntry[[#This Row],[Project_ID]], projects[Project_ID],0))</f>
        <v>MC VBB WP1: DO-nota West</v>
      </c>
      <c r="Q130" s="6">
        <f>IF(TimeEntry[[#This Row],[Date]]=0,"",WEEKDAY(C130,2))</f>
        <v>1</v>
      </c>
      <c r="R130" s="9">
        <f>YEAR(TimeEntry[[#This Row],[WkEnd]])</f>
        <v>2020</v>
      </c>
      <c r="S130" s="9">
        <f>WEEKNUM(TimeEntry[[#This Row],[WkEnd]])</f>
        <v>42</v>
      </c>
      <c r="T130" s="9" t="str">
        <f>TimeEntry[[#This Row],[Year]]&amp;"-"&amp;TimeEntry[[#This Row],[WkNo]]</f>
        <v>2020-42</v>
      </c>
    </row>
    <row r="131" spans="1:20" x14ac:dyDescent="0.25">
      <c r="A131" s="6">
        <f>MOD(IF(ROW()=2,0.1,IF(INDEX(TimeEntry[WkEnd],ROW()-1)  =  INDEX(TimeEntry[WkEnd],ROW()-2),    INDEX(TimeEntry[format],ROW()-2),    INDEX(TimeEntry[format],ROW()-2)    +1)),2)</f>
        <v>0.10000000000000009</v>
      </c>
      <c r="B131" s="7">
        <v>44106.667013888888</v>
      </c>
      <c r="C131" s="8">
        <v>44106</v>
      </c>
      <c r="D131" s="8" t="s">
        <v>106</v>
      </c>
      <c r="E131" s="1" t="s">
        <v>442</v>
      </c>
      <c r="F131" s="8">
        <f>IF(TimeEntry[[#This Row],[Date]]=0,F130,C131+(7-Q131))</f>
        <v>44108</v>
      </c>
      <c r="G131" s="35" t="str">
        <f>INDEX(projects[Charge_Code],MATCH(TimeEntry[[#This Row],[Project_ID]],projects[Project_ID],0))</f>
        <v>210035-65 MC VBB WP1: DO-nota West (25-050)</v>
      </c>
      <c r="H131" s="1" t="str">
        <f t="shared" si="0"/>
        <v>Normal Time</v>
      </c>
      <c r="I131" s="1" t="s">
        <v>347</v>
      </c>
      <c r="J131" s="15">
        <v>3</v>
      </c>
      <c r="K131" s="15"/>
      <c r="L131" s="15"/>
      <c r="M131" s="15"/>
      <c r="N131" s="15"/>
      <c r="O131" s="15" t="str">
        <f>INDEX(projects[job number],MATCH(TimeEntry[[#This Row],[Project_ID]], projects[Project_ID],0))</f>
        <v>210035-65</v>
      </c>
      <c r="P131" s="15" t="str">
        <f>INDEX(projects[Project_Name],MATCH(TimeEntry[[#This Row],[Project_ID]], projects[Project_ID],0))</f>
        <v>MC VBB WP1: DO-nota West</v>
      </c>
      <c r="Q131" s="6">
        <f>IF(TimeEntry[[#This Row],[Date]]=0,"",WEEKDAY(C131,2))</f>
        <v>5</v>
      </c>
      <c r="R131" s="9">
        <f>YEAR(TimeEntry[[#This Row],[WkEnd]])</f>
        <v>2020</v>
      </c>
      <c r="S131" s="9">
        <f>WEEKNUM(TimeEntry[[#This Row],[WkEnd]])</f>
        <v>41</v>
      </c>
      <c r="T131" s="9" t="str">
        <f>TimeEntry[[#This Row],[Year]]&amp;"-"&amp;TimeEntry[[#This Row],[WkNo]]</f>
        <v>2020-41</v>
      </c>
    </row>
    <row r="132" spans="1:20" x14ac:dyDescent="0.25">
      <c r="A132" s="6">
        <f>MOD(IF(ROW()=2,0.1,IF(INDEX(TimeEntry[WkEnd],ROW()-1)  =  INDEX(TimeEntry[WkEnd],ROW()-2),    INDEX(TimeEntry[format],ROW()-2),    INDEX(TimeEntry[format],ROW()-2)    +1)),2)</f>
        <v>0.10000000000000009</v>
      </c>
      <c r="B132" s="7">
        <v>44106.510613425926</v>
      </c>
      <c r="C132" s="8">
        <v>44106</v>
      </c>
      <c r="D132" s="8" t="s">
        <v>106</v>
      </c>
      <c r="E132" s="1" t="s">
        <v>442</v>
      </c>
      <c r="F132" s="8">
        <f>IF(TimeEntry[[#This Row],[Date]]=0,F131,C132+(7-Q132))</f>
        <v>44108</v>
      </c>
      <c r="G132" s="35" t="str">
        <f>INDEX(projects[Charge_Code],MATCH(TimeEntry[[#This Row],[Project_ID]],projects[Project_ID],0))</f>
        <v>210035-65 MC VBB WP1: DO-nota West (25-050)</v>
      </c>
      <c r="H132" s="1" t="str">
        <f t="shared" si="0"/>
        <v>Normal Time</v>
      </c>
      <c r="I132" s="1" t="s">
        <v>346</v>
      </c>
      <c r="J132" s="15">
        <v>4.5</v>
      </c>
      <c r="K132" s="15"/>
      <c r="L132" s="15"/>
      <c r="M132" s="15"/>
      <c r="N132" s="15"/>
      <c r="O132" s="15" t="str">
        <f>INDEX(projects[job number],MATCH(TimeEntry[[#This Row],[Project_ID]], projects[Project_ID],0))</f>
        <v>210035-65</v>
      </c>
      <c r="P132" s="15" t="str">
        <f>INDEX(projects[Project_Name],MATCH(TimeEntry[[#This Row],[Project_ID]], projects[Project_ID],0))</f>
        <v>MC VBB WP1: DO-nota West</v>
      </c>
      <c r="Q132" s="6">
        <f>IF(TimeEntry[[#This Row],[Date]]=0,"",WEEKDAY(C132,2))</f>
        <v>5</v>
      </c>
      <c r="R132" s="9">
        <f>YEAR(TimeEntry[[#This Row],[WkEnd]])</f>
        <v>2020</v>
      </c>
      <c r="S132" s="9">
        <f>WEEKNUM(TimeEntry[[#This Row],[WkEnd]])</f>
        <v>41</v>
      </c>
      <c r="T132" s="9" t="str">
        <f>TimeEntry[[#This Row],[Year]]&amp;"-"&amp;TimeEntry[[#This Row],[WkNo]]</f>
        <v>2020-41</v>
      </c>
    </row>
    <row r="133" spans="1:20" x14ac:dyDescent="0.25">
      <c r="A133" s="6">
        <f>MOD(IF(ROW()=2,0.1,IF(INDEX(TimeEntry[WkEnd],ROW()-1)  =  INDEX(TimeEntry[WkEnd],ROW()-2),    INDEX(TimeEntry[format],ROW()-2),    INDEX(TimeEntry[format],ROW()-2)    +1)),2)</f>
        <v>0.10000000000000009</v>
      </c>
      <c r="B133" s="7">
        <v>44105.667986111112</v>
      </c>
      <c r="C133" s="8">
        <v>44105</v>
      </c>
      <c r="D133" s="8" t="s">
        <v>102</v>
      </c>
      <c r="E133" s="1" t="s">
        <v>442</v>
      </c>
      <c r="F133" s="8">
        <f>IF(TimeEntry[[#This Row],[Date]]=0,F132,C133+(7-Q133))</f>
        <v>44108</v>
      </c>
      <c r="G133" s="35" t="str">
        <f>INDEX(projects[Charge_Code],MATCH(TimeEntry[[#This Row],[Project_ID]],projects[Project_ID],0))</f>
        <v>210035-65 MC VBB WP1: DO-nota West (25-050)</v>
      </c>
      <c r="H133" s="1" t="str">
        <f t="shared" si="0"/>
        <v>Normal Time</v>
      </c>
      <c r="I133" s="1" t="s">
        <v>345</v>
      </c>
      <c r="J133" s="15">
        <v>7.5</v>
      </c>
      <c r="K133" s="15"/>
      <c r="L133" s="15"/>
      <c r="M133" s="15"/>
      <c r="N133" s="15"/>
      <c r="O133" s="15" t="str">
        <f>INDEX(projects[job number],MATCH(TimeEntry[[#This Row],[Project_ID]], projects[Project_ID],0))</f>
        <v>210035-65</v>
      </c>
      <c r="P133" s="15" t="str">
        <f>INDEX(projects[Project_Name],MATCH(TimeEntry[[#This Row],[Project_ID]], projects[Project_ID],0))</f>
        <v>MC VBB WP1: DO-nota West</v>
      </c>
      <c r="Q133" s="6">
        <f>IF(TimeEntry[[#This Row],[Date]]=0,"",WEEKDAY(C133,2))</f>
        <v>4</v>
      </c>
      <c r="R133" s="9">
        <f>YEAR(TimeEntry[[#This Row],[WkEnd]])</f>
        <v>2020</v>
      </c>
      <c r="S133" s="9">
        <f>WEEKNUM(TimeEntry[[#This Row],[WkEnd]])</f>
        <v>41</v>
      </c>
      <c r="T133" s="9" t="str">
        <f>TimeEntry[[#This Row],[Year]]&amp;"-"&amp;TimeEntry[[#This Row],[WkNo]]</f>
        <v>2020-41</v>
      </c>
    </row>
    <row r="134" spans="1:20" x14ac:dyDescent="0.25">
      <c r="A134" s="6">
        <f>MOD(IF(ROW()=2,0.1,IF(INDEX(TimeEntry[WkEnd],ROW()-1)  =  INDEX(TimeEntry[WkEnd],ROW()-2),    INDEX(TimeEntry[format],ROW()-2),    INDEX(TimeEntry[format],ROW()-2)    +1)),2)</f>
        <v>0.10000000000000009</v>
      </c>
      <c r="B134" s="7">
        <v>44105.53943287037</v>
      </c>
      <c r="C134" s="8">
        <v>44105</v>
      </c>
      <c r="D134" s="8" t="s">
        <v>102</v>
      </c>
      <c r="E134" s="1" t="s">
        <v>442</v>
      </c>
      <c r="F134" s="8">
        <f>IF(TimeEntry[[#This Row],[Date]]=0,F133,C134+(7-Q134))</f>
        <v>44108</v>
      </c>
      <c r="G134" s="35" t="str">
        <f>INDEX(projects[Charge_Code],MATCH(TimeEntry[[#This Row],[Project_ID]],projects[Project_ID],0))</f>
        <v>210035-65 MC VBB WP1: DO-nota West (25-050)</v>
      </c>
      <c r="H134" s="1" t="str">
        <f t="shared" si="0"/>
        <v>Normal Time</v>
      </c>
      <c r="I134" s="1" t="s">
        <v>344</v>
      </c>
      <c r="J134" s="15"/>
      <c r="K134" s="15"/>
      <c r="L134" s="15"/>
      <c r="M134" s="15"/>
      <c r="N134" s="15"/>
      <c r="O134" s="15" t="str">
        <f>INDEX(projects[job number],MATCH(TimeEntry[[#This Row],[Project_ID]], projects[Project_ID],0))</f>
        <v>210035-65</v>
      </c>
      <c r="P134" s="15" t="str">
        <f>INDEX(projects[Project_Name],MATCH(TimeEntry[[#This Row],[Project_ID]], projects[Project_ID],0))</f>
        <v>MC VBB WP1: DO-nota West</v>
      </c>
      <c r="Q134" s="6">
        <f>IF(TimeEntry[[#This Row],[Date]]=0,"",WEEKDAY(C134,2))</f>
        <v>4</v>
      </c>
      <c r="R134" s="9">
        <f>YEAR(TimeEntry[[#This Row],[WkEnd]])</f>
        <v>2020</v>
      </c>
      <c r="S134" s="9">
        <f>WEEKNUM(TimeEntry[[#This Row],[WkEnd]])</f>
        <v>41</v>
      </c>
      <c r="T134" s="9" t="str">
        <f>TimeEntry[[#This Row],[Year]]&amp;"-"&amp;TimeEntry[[#This Row],[WkNo]]</f>
        <v>2020-41</v>
      </c>
    </row>
    <row r="135" spans="1:20" x14ac:dyDescent="0.25">
      <c r="A135" s="6">
        <f>MOD(IF(ROW()=2,0.1,IF(INDEX(TimeEntry[WkEnd],ROW()-1)  =  INDEX(TimeEntry[WkEnd],ROW()-2),    INDEX(TimeEntry[format],ROW()-2),    INDEX(TimeEntry[format],ROW()-2)    +1)),2)</f>
        <v>0.10000000000000009</v>
      </c>
      <c r="B135" s="7">
        <v>44104.667974537035</v>
      </c>
      <c r="C135" s="8">
        <v>44104</v>
      </c>
      <c r="D135" s="8" t="s">
        <v>100</v>
      </c>
      <c r="E135" s="1" t="s">
        <v>442</v>
      </c>
      <c r="F135" s="8">
        <f>IF(TimeEntry[[#This Row],[Date]]=0,F134,C135+(7-Q135))</f>
        <v>44108</v>
      </c>
      <c r="G135" s="35" t="str">
        <f>INDEX(projects[Charge_Code],MATCH(TimeEntry[[#This Row],[Project_ID]],projects[Project_ID],0))</f>
        <v>210035-65 MC VBB WP1: DO-nota West (25-050)</v>
      </c>
      <c r="H135" s="1" t="str">
        <f t="shared" si="0"/>
        <v>Normal Time</v>
      </c>
      <c r="I135" s="1" t="s">
        <v>343</v>
      </c>
      <c r="J135" s="15"/>
      <c r="K135" s="15"/>
      <c r="L135" s="15"/>
      <c r="M135" s="15"/>
      <c r="N135" s="15"/>
      <c r="O135" s="15" t="str">
        <f>INDEX(projects[job number],MATCH(TimeEntry[[#This Row],[Project_ID]], projects[Project_ID],0))</f>
        <v>210035-65</v>
      </c>
      <c r="P135" s="15" t="str">
        <f>INDEX(projects[Project_Name],MATCH(TimeEntry[[#This Row],[Project_ID]], projects[Project_ID],0))</f>
        <v>MC VBB WP1: DO-nota West</v>
      </c>
      <c r="Q135" s="6">
        <f>IF(TimeEntry[[#This Row],[Date]]=0,"",WEEKDAY(C135,2))</f>
        <v>3</v>
      </c>
      <c r="R135" s="9">
        <f>YEAR(TimeEntry[[#This Row],[WkEnd]])</f>
        <v>2020</v>
      </c>
      <c r="S135" s="9">
        <f>WEEKNUM(TimeEntry[[#This Row],[WkEnd]])</f>
        <v>41</v>
      </c>
      <c r="T135" s="9" t="str">
        <f>TimeEntry[[#This Row],[Year]]&amp;"-"&amp;TimeEntry[[#This Row],[WkNo]]</f>
        <v>2020-41</v>
      </c>
    </row>
    <row r="136" spans="1:20" x14ac:dyDescent="0.25">
      <c r="A136" s="6">
        <f>MOD(IF(ROW()=2,0.1,IF(INDEX(TimeEntry[WkEnd],ROW()-1)  =  INDEX(TimeEntry[WkEnd],ROW()-2),    INDEX(TimeEntry[format],ROW()-2),    INDEX(TimeEntry[format],ROW()-2)    +1)),2)</f>
        <v>0.10000000000000009</v>
      </c>
      <c r="B136" s="7">
        <v>44104.502071759256</v>
      </c>
      <c r="C136" s="8">
        <v>44104</v>
      </c>
      <c r="D136" s="8" t="s">
        <v>100</v>
      </c>
      <c r="E136" s="1" t="s">
        <v>442</v>
      </c>
      <c r="F136" s="8">
        <f>IF(TimeEntry[[#This Row],[Date]]=0,F135,C136+(7-Q136))</f>
        <v>44108</v>
      </c>
      <c r="G136" s="35" t="str">
        <f>INDEX(projects[Charge_Code],MATCH(TimeEntry[[#This Row],[Project_ID]],projects[Project_ID],0))</f>
        <v>210035-65 MC VBB WP1: DO-nota West (25-050)</v>
      </c>
      <c r="H136" s="1" t="str">
        <f t="shared" ref="H136:H199" si="12">"Normal Time"</f>
        <v>Normal Time</v>
      </c>
      <c r="I136" s="1" t="s">
        <v>342</v>
      </c>
      <c r="J136" s="15">
        <v>7.5</v>
      </c>
      <c r="K136" s="15"/>
      <c r="L136" s="15"/>
      <c r="M136" s="15"/>
      <c r="N136" s="15"/>
      <c r="O136" s="15" t="str">
        <f>INDEX(projects[job number],MATCH(TimeEntry[[#This Row],[Project_ID]], projects[Project_ID],0))</f>
        <v>210035-65</v>
      </c>
      <c r="P136" s="15" t="str">
        <f>INDEX(projects[Project_Name],MATCH(TimeEntry[[#This Row],[Project_ID]], projects[Project_ID],0))</f>
        <v>MC VBB WP1: DO-nota West</v>
      </c>
      <c r="Q136" s="6">
        <f>IF(TimeEntry[[#This Row],[Date]]=0,"",WEEKDAY(C136,2))</f>
        <v>3</v>
      </c>
      <c r="R136" s="9">
        <f>YEAR(TimeEntry[[#This Row],[WkEnd]])</f>
        <v>2020</v>
      </c>
      <c r="S136" s="9">
        <f>WEEKNUM(TimeEntry[[#This Row],[WkEnd]])</f>
        <v>41</v>
      </c>
      <c r="T136" s="9" t="str">
        <f>TimeEntry[[#This Row],[Year]]&amp;"-"&amp;TimeEntry[[#This Row],[WkNo]]</f>
        <v>2020-41</v>
      </c>
    </row>
    <row r="137" spans="1:20" x14ac:dyDescent="0.25">
      <c r="A137" s="6">
        <f>MOD(IF(ROW()=2,0.1,IF(INDEX(TimeEntry[WkEnd],ROW()-1)  =  INDEX(TimeEntry[WkEnd],ROW()-2),    INDEX(TimeEntry[format],ROW()-2),    INDEX(TimeEntry[format],ROW()-2)    +1)),2)</f>
        <v>0.10000000000000009</v>
      </c>
      <c r="B137" s="7">
        <v>44103.67359953704</v>
      </c>
      <c r="C137" s="8">
        <v>44103</v>
      </c>
      <c r="D137" s="8" t="s">
        <v>101</v>
      </c>
      <c r="E137" s="1" t="s">
        <v>442</v>
      </c>
      <c r="F137" s="8">
        <f>IF(TimeEntry[[#This Row],[Date]]=0,F136,C137+(7-Q137))</f>
        <v>44108</v>
      </c>
      <c r="G137" s="35" t="str">
        <f>INDEX(projects[Charge_Code],MATCH(TimeEntry[[#This Row],[Project_ID]],projects[Project_ID],0))</f>
        <v>210035-65 MC VBB WP1: DO-nota West (25-050)</v>
      </c>
      <c r="H137" s="1" t="str">
        <f t="shared" si="12"/>
        <v>Normal Time</v>
      </c>
      <c r="I137" s="1" t="s">
        <v>341</v>
      </c>
      <c r="J137" s="15">
        <v>7.5</v>
      </c>
      <c r="K137" s="15"/>
      <c r="L137" s="15"/>
      <c r="M137" s="15"/>
      <c r="N137" s="15"/>
      <c r="O137" s="15" t="str">
        <f>INDEX(projects[job number],MATCH(TimeEntry[[#This Row],[Project_ID]], projects[Project_ID],0))</f>
        <v>210035-65</v>
      </c>
      <c r="P137" s="15" t="str">
        <f>INDEX(projects[Project_Name],MATCH(TimeEntry[[#This Row],[Project_ID]], projects[Project_ID],0))</f>
        <v>MC VBB WP1: DO-nota West</v>
      </c>
      <c r="Q137" s="6">
        <f>IF(TimeEntry[[#This Row],[Date]]=0,"",WEEKDAY(C137,2))</f>
        <v>2</v>
      </c>
      <c r="R137" s="9">
        <f>YEAR(TimeEntry[[#This Row],[WkEnd]])</f>
        <v>2020</v>
      </c>
      <c r="S137" s="9">
        <f>WEEKNUM(TimeEntry[[#This Row],[WkEnd]])</f>
        <v>41</v>
      </c>
      <c r="T137" s="9" t="str">
        <f>TimeEntry[[#This Row],[Year]]&amp;"-"&amp;TimeEntry[[#This Row],[WkNo]]</f>
        <v>2020-41</v>
      </c>
    </row>
    <row r="138" spans="1:20" x14ac:dyDescent="0.25">
      <c r="A138" s="6">
        <f>MOD(IF(ROW()=2,0.1,IF(INDEX(TimeEntry[WkEnd],ROW()-1)  =  INDEX(TimeEntry[WkEnd],ROW()-2),    INDEX(TimeEntry[format],ROW()-2),    INDEX(TimeEntry[format],ROW()-2)    +1)),2)</f>
        <v>0.10000000000000009</v>
      </c>
      <c r="B138" s="7">
        <v>44103.503020833334</v>
      </c>
      <c r="C138" s="8">
        <v>44103</v>
      </c>
      <c r="D138" s="8" t="s">
        <v>101</v>
      </c>
      <c r="E138" s="1" t="s">
        <v>442</v>
      </c>
      <c r="F138" s="8">
        <f>IF(TimeEntry[[#This Row],[Date]]=0,F137,C138+(7-Q138))</f>
        <v>44108</v>
      </c>
      <c r="G138" s="35" t="str">
        <f>INDEX(projects[Charge_Code],MATCH(TimeEntry[[#This Row],[Project_ID]],projects[Project_ID],0))</f>
        <v>210035-65 MC VBB WP1: DO-nota West (25-050)</v>
      </c>
      <c r="H138" s="1" t="str">
        <f t="shared" si="12"/>
        <v>Normal Time</v>
      </c>
      <c r="I138" s="1" t="s">
        <v>340</v>
      </c>
      <c r="J138" s="15"/>
      <c r="K138" s="15"/>
      <c r="L138" s="15"/>
      <c r="M138" s="15"/>
      <c r="N138" s="15"/>
      <c r="O138" s="15" t="str">
        <f>INDEX(projects[job number],MATCH(TimeEntry[[#This Row],[Project_ID]], projects[Project_ID],0))</f>
        <v>210035-65</v>
      </c>
      <c r="P138" s="15" t="str">
        <f>INDEX(projects[Project_Name],MATCH(TimeEntry[[#This Row],[Project_ID]], projects[Project_ID],0))</f>
        <v>MC VBB WP1: DO-nota West</v>
      </c>
      <c r="Q138" s="6">
        <f>IF(TimeEntry[[#This Row],[Date]]=0,"",WEEKDAY(C138,2))</f>
        <v>2</v>
      </c>
      <c r="R138" s="9">
        <f>YEAR(TimeEntry[[#This Row],[WkEnd]])</f>
        <v>2020</v>
      </c>
      <c r="S138" s="9">
        <f>WEEKNUM(TimeEntry[[#This Row],[WkEnd]])</f>
        <v>41</v>
      </c>
      <c r="T138" s="9" t="str">
        <f>TimeEntry[[#This Row],[Year]]&amp;"-"&amp;TimeEntry[[#This Row],[WkNo]]</f>
        <v>2020-41</v>
      </c>
    </row>
    <row r="139" spans="1:20" x14ac:dyDescent="0.25">
      <c r="A139" s="6">
        <f>MOD(IF(ROW()=2,0.1,IF(INDEX(TimeEntry[WkEnd],ROW()-1)  =  INDEX(TimeEntry[WkEnd],ROW()-2),    INDEX(TimeEntry[format],ROW()-2),    INDEX(TimeEntry[format],ROW()-2)    +1)),2)</f>
        <v>0.10000000000000009</v>
      </c>
      <c r="B139" s="7">
        <v>44102.667546296296</v>
      </c>
      <c r="C139" s="8">
        <v>44102</v>
      </c>
      <c r="D139" s="8" t="s">
        <v>104</v>
      </c>
      <c r="E139" s="1" t="s">
        <v>442</v>
      </c>
      <c r="F139" s="8">
        <f>IF(TimeEntry[[#This Row],[Date]]=0,F138,C139+(7-Q139))</f>
        <v>44108</v>
      </c>
      <c r="G139" s="35" t="str">
        <f>INDEX(projects[Charge_Code],MATCH(TimeEntry[[#This Row],[Project_ID]],projects[Project_ID],0))</f>
        <v>210035-65 MC VBB WP1: DO-nota West (25-050)</v>
      </c>
      <c r="H139" s="1" t="str">
        <f t="shared" si="12"/>
        <v>Normal Time</v>
      </c>
      <c r="I139" s="1" t="s">
        <v>332</v>
      </c>
      <c r="J139" s="15">
        <v>3</v>
      </c>
      <c r="K139" s="15"/>
      <c r="L139" s="15"/>
      <c r="M139" s="15"/>
      <c r="N139" s="15"/>
      <c r="O139" s="15" t="str">
        <f>INDEX(projects[job number],MATCH(TimeEntry[[#This Row],[Project_ID]], projects[Project_ID],0))</f>
        <v>210035-65</v>
      </c>
      <c r="P139" s="15" t="str">
        <f>INDEX(projects[Project_Name],MATCH(TimeEntry[[#This Row],[Project_ID]], projects[Project_ID],0))</f>
        <v>MC VBB WP1: DO-nota West</v>
      </c>
      <c r="Q139" s="6">
        <f>IF(TimeEntry[[#This Row],[Date]]=0,"",WEEKDAY(C139,2))</f>
        <v>1</v>
      </c>
      <c r="R139" s="9">
        <f>YEAR(TimeEntry[[#This Row],[WkEnd]])</f>
        <v>2020</v>
      </c>
      <c r="S139" s="9">
        <f>WEEKNUM(TimeEntry[[#This Row],[WkEnd]])</f>
        <v>41</v>
      </c>
      <c r="T139" s="9" t="str">
        <f>TimeEntry[[#This Row],[Year]]&amp;"-"&amp;TimeEntry[[#This Row],[WkNo]]</f>
        <v>2020-41</v>
      </c>
    </row>
    <row r="140" spans="1:20" x14ac:dyDescent="0.25">
      <c r="A140" s="6">
        <f>MOD(IF(ROW()=2,0.1,IF(INDEX(TimeEntry[WkEnd],ROW()-1)  =  INDEX(TimeEntry[WkEnd],ROW()-2),    INDEX(TimeEntry[format],ROW()-2),    INDEX(TimeEntry[format],ROW()-2)    +1)),2)</f>
        <v>0.10000000000000009</v>
      </c>
      <c r="B140" s="7">
        <v>44102.500347222223</v>
      </c>
      <c r="C140" s="8">
        <v>44102</v>
      </c>
      <c r="D140" s="8" t="s">
        <v>104</v>
      </c>
      <c r="E140" s="1" t="s">
        <v>442</v>
      </c>
      <c r="F140" s="8">
        <f>IF(TimeEntry[[#This Row],[Date]]=0,F139,C140+(7-Q140))</f>
        <v>44108</v>
      </c>
      <c r="G140" s="35" t="str">
        <f>INDEX(projects[Charge_Code],MATCH(TimeEntry[[#This Row],[Project_ID]],projects[Project_ID],0))</f>
        <v>210035-65 MC VBB WP1: DO-nota West (25-050)</v>
      </c>
      <c r="H140" s="1" t="str">
        <f t="shared" si="12"/>
        <v>Normal Time</v>
      </c>
      <c r="I140" s="1" t="s">
        <v>331</v>
      </c>
      <c r="J140" s="15">
        <v>4.5</v>
      </c>
      <c r="K140" s="15"/>
      <c r="L140" s="15"/>
      <c r="M140" s="15"/>
      <c r="N140" s="15"/>
      <c r="O140" s="15" t="str">
        <f>INDEX(projects[job number],MATCH(TimeEntry[[#This Row],[Project_ID]], projects[Project_ID],0))</f>
        <v>210035-65</v>
      </c>
      <c r="P140" s="15" t="str">
        <f>INDEX(projects[Project_Name],MATCH(TimeEntry[[#This Row],[Project_ID]], projects[Project_ID],0))</f>
        <v>MC VBB WP1: DO-nota West</v>
      </c>
      <c r="Q140" s="6">
        <f>IF(TimeEntry[[#This Row],[Date]]=0,"",WEEKDAY(C140,2))</f>
        <v>1</v>
      </c>
      <c r="R140" s="9">
        <f>YEAR(TimeEntry[[#This Row],[WkEnd]])</f>
        <v>2020</v>
      </c>
      <c r="S140" s="9">
        <f>WEEKNUM(TimeEntry[[#This Row],[WkEnd]])</f>
        <v>41</v>
      </c>
      <c r="T140" s="9" t="str">
        <f>TimeEntry[[#This Row],[Year]]&amp;"-"&amp;TimeEntry[[#This Row],[WkNo]]</f>
        <v>2020-41</v>
      </c>
    </row>
    <row r="141" spans="1:20" x14ac:dyDescent="0.25">
      <c r="A141" s="6">
        <f>MOD(IF(ROW()=2,0.1,IF(INDEX(TimeEntry[WkEnd],ROW()-1)  =  INDEX(TimeEntry[WkEnd],ROW()-2),    INDEX(TimeEntry[format],ROW()-2),    INDEX(TimeEntry[format],ROW()-2)    +1)),2)</f>
        <v>1.1000000000000001</v>
      </c>
      <c r="B141" s="7">
        <v>44099.703553240739</v>
      </c>
      <c r="C141" s="8">
        <v>44099</v>
      </c>
      <c r="D141" s="8" t="s">
        <v>106</v>
      </c>
      <c r="E141" s="1" t="s">
        <v>442</v>
      </c>
      <c r="F141" s="8">
        <f>IF(TimeEntry[[#This Row],[Date]]=0,F140,C141+(7-Q141))</f>
        <v>44101</v>
      </c>
      <c r="G141" s="35" t="str">
        <f>INDEX(projects[Charge_Code],MATCH(TimeEntry[[#This Row],[Project_ID]],projects[Project_ID],0))</f>
        <v>210035-65 MC VBB WP1: DO-nota West (25-050)</v>
      </c>
      <c r="H141" s="1" t="str">
        <f t="shared" si="12"/>
        <v>Normal Time</v>
      </c>
      <c r="I141" s="1" t="s">
        <v>330</v>
      </c>
      <c r="J141" s="15">
        <v>7.5</v>
      </c>
      <c r="K141" s="15"/>
      <c r="L141" s="15"/>
      <c r="M141" s="15"/>
      <c r="N141" s="15"/>
      <c r="O141" s="15" t="str">
        <f>INDEX(projects[job number],MATCH(TimeEntry[[#This Row],[Project_ID]], projects[Project_ID],0))</f>
        <v>210035-65</v>
      </c>
      <c r="P141" s="15" t="str">
        <f>INDEX(projects[Project_Name],MATCH(TimeEntry[[#This Row],[Project_ID]], projects[Project_ID],0))</f>
        <v>MC VBB WP1: DO-nota West</v>
      </c>
      <c r="Q141" s="6">
        <f>IF(TimeEntry[[#This Row],[Date]]=0,"",WEEKDAY(C141,2))</f>
        <v>5</v>
      </c>
      <c r="R141" s="9">
        <f>YEAR(TimeEntry[[#This Row],[WkEnd]])</f>
        <v>2020</v>
      </c>
      <c r="S141" s="9">
        <f>WEEKNUM(TimeEntry[[#This Row],[WkEnd]])</f>
        <v>40</v>
      </c>
      <c r="T141" s="9" t="str">
        <f>TimeEntry[[#This Row],[Year]]&amp;"-"&amp;TimeEntry[[#This Row],[WkNo]]</f>
        <v>2020-40</v>
      </c>
    </row>
    <row r="142" spans="1:20" x14ac:dyDescent="0.25">
      <c r="A142" s="6">
        <f>MOD(IF(ROW()=2,0.1,IF(INDEX(TimeEntry[WkEnd],ROW()-1)  =  INDEX(TimeEntry[WkEnd],ROW()-2),    INDEX(TimeEntry[format],ROW()-2),    INDEX(TimeEntry[format],ROW()-2)    +1)),2)</f>
        <v>1.1000000000000001</v>
      </c>
      <c r="B142" s="7">
        <v>44099.551122685189</v>
      </c>
      <c r="C142" s="8">
        <v>44099</v>
      </c>
      <c r="D142" s="8" t="s">
        <v>106</v>
      </c>
      <c r="E142" s="1" t="s">
        <v>442</v>
      </c>
      <c r="F142" s="8">
        <f>IF(TimeEntry[[#This Row],[Date]]=0,F141,C142+(7-Q142))</f>
        <v>44101</v>
      </c>
      <c r="G142" s="35" t="str">
        <f>INDEX(projects[Charge_Code],MATCH(TimeEntry[[#This Row],[Project_ID]],projects[Project_ID],0))</f>
        <v>210035-65 MC VBB WP1: DO-nota West (25-050)</v>
      </c>
      <c r="H142" s="1" t="str">
        <f t="shared" si="12"/>
        <v>Normal Time</v>
      </c>
      <c r="I142" s="1" t="s">
        <v>336</v>
      </c>
      <c r="J142" s="15"/>
      <c r="K142" s="15"/>
      <c r="L142" s="15"/>
      <c r="M142" s="15"/>
      <c r="N142" s="15"/>
      <c r="O142" s="15" t="str">
        <f>INDEX(projects[job number],MATCH(TimeEntry[[#This Row],[Project_ID]], projects[Project_ID],0))</f>
        <v>210035-65</v>
      </c>
      <c r="P142" s="15" t="str">
        <f>INDEX(projects[Project_Name],MATCH(TimeEntry[[#This Row],[Project_ID]], projects[Project_ID],0))</f>
        <v>MC VBB WP1: DO-nota West</v>
      </c>
      <c r="Q142" s="6">
        <f>IF(TimeEntry[[#This Row],[Date]]=0,"",WEEKDAY(C142,2))</f>
        <v>5</v>
      </c>
      <c r="R142" s="9">
        <f>YEAR(TimeEntry[[#This Row],[WkEnd]])</f>
        <v>2020</v>
      </c>
      <c r="S142" s="9">
        <f>WEEKNUM(TimeEntry[[#This Row],[WkEnd]])</f>
        <v>40</v>
      </c>
      <c r="T142" s="9" t="str">
        <f>TimeEntry[[#This Row],[Year]]&amp;"-"&amp;TimeEntry[[#This Row],[WkNo]]</f>
        <v>2020-40</v>
      </c>
    </row>
    <row r="143" spans="1:20" x14ac:dyDescent="0.25">
      <c r="A143" s="6">
        <f>MOD(IF(ROW()=2,0.1,IF(INDEX(TimeEntry[WkEnd],ROW()-1)  =  INDEX(TimeEntry[WkEnd],ROW()-2),    INDEX(TimeEntry[format],ROW()-2),    INDEX(TimeEntry[format],ROW()-2)    +1)),2)</f>
        <v>1.1000000000000001</v>
      </c>
      <c r="B143" s="7">
        <v>44099.551122685189</v>
      </c>
      <c r="C143" s="8">
        <v>44099</v>
      </c>
      <c r="D143" s="8" t="s">
        <v>106</v>
      </c>
      <c r="E143" s="1" t="s">
        <v>442</v>
      </c>
      <c r="F143" s="8">
        <f>IF(TimeEntry[[#This Row],[Date]]=0,F142,C143+(7-Q143))</f>
        <v>44101</v>
      </c>
      <c r="G143" s="35" t="str">
        <f>INDEX(projects[Charge_Code],MATCH(TimeEntry[[#This Row],[Project_ID]],projects[Project_ID],0))</f>
        <v>210035-65 MC VBB WP1: DO-nota West (25-050)</v>
      </c>
      <c r="H143" s="1" t="str">
        <f t="shared" si="12"/>
        <v>Normal Time</v>
      </c>
      <c r="I143" s="1" t="s">
        <v>335</v>
      </c>
      <c r="J143" s="15"/>
      <c r="K143" s="15"/>
      <c r="L143" s="15"/>
      <c r="M143" s="15"/>
      <c r="N143" s="15"/>
      <c r="O143" s="15" t="str">
        <f>INDEX(projects[job number],MATCH(TimeEntry[[#This Row],[Project_ID]], projects[Project_ID],0))</f>
        <v>210035-65</v>
      </c>
      <c r="P143" s="15" t="str">
        <f>INDEX(projects[Project_Name],MATCH(TimeEntry[[#This Row],[Project_ID]], projects[Project_ID],0))</f>
        <v>MC VBB WP1: DO-nota West</v>
      </c>
      <c r="Q143" s="6">
        <f>IF(TimeEntry[[#This Row],[Date]]=0,"",WEEKDAY(C143,2))</f>
        <v>5</v>
      </c>
      <c r="R143" s="9">
        <f>YEAR(TimeEntry[[#This Row],[WkEnd]])</f>
        <v>2020</v>
      </c>
      <c r="S143" s="9">
        <f>WEEKNUM(TimeEntry[[#This Row],[WkEnd]])</f>
        <v>40</v>
      </c>
      <c r="T143" s="9" t="str">
        <f>TimeEntry[[#This Row],[Year]]&amp;"-"&amp;TimeEntry[[#This Row],[WkNo]]</f>
        <v>2020-40</v>
      </c>
    </row>
    <row r="144" spans="1:20" x14ac:dyDescent="0.25">
      <c r="A144" s="6">
        <f>MOD(IF(ROW()=2,0.1,IF(INDEX(TimeEntry[WkEnd],ROW()-1)  =  INDEX(TimeEntry[WkEnd],ROW()-2),    INDEX(TimeEntry[format],ROW()-2),    INDEX(TimeEntry[format],ROW()-2)    +1)),2)</f>
        <v>1.1000000000000001</v>
      </c>
      <c r="B144" s="7">
        <v>44098.667025462964</v>
      </c>
      <c r="C144" s="8">
        <v>44098</v>
      </c>
      <c r="D144" s="8" t="s">
        <v>102</v>
      </c>
      <c r="E144" s="1" t="s">
        <v>442</v>
      </c>
      <c r="F144" s="8">
        <f>IF(TimeEntry[[#This Row],[Date]]=0,F143,C144+(7-Q144))</f>
        <v>44101</v>
      </c>
      <c r="G144" s="35" t="str">
        <f>INDEX(projects[Charge_Code],MATCH(TimeEntry[[#This Row],[Project_ID]],projects[Project_ID],0))</f>
        <v>210035-65 MC VBB WP1: DO-nota West (25-050)</v>
      </c>
      <c r="H144" s="1" t="str">
        <f t="shared" si="12"/>
        <v>Normal Time</v>
      </c>
      <c r="I144" s="1" t="s">
        <v>328</v>
      </c>
      <c r="J144" s="15">
        <v>5.5</v>
      </c>
      <c r="K144" s="15"/>
      <c r="L144" s="15"/>
      <c r="M144" s="15"/>
      <c r="N144" s="15"/>
      <c r="O144" s="15" t="str">
        <f>INDEX(projects[job number],MATCH(TimeEntry[[#This Row],[Project_ID]], projects[Project_ID],0))</f>
        <v>210035-65</v>
      </c>
      <c r="P144" s="15" t="str">
        <f>INDEX(projects[Project_Name],MATCH(TimeEntry[[#This Row],[Project_ID]], projects[Project_ID],0))</f>
        <v>MC VBB WP1: DO-nota West</v>
      </c>
      <c r="Q144" s="6">
        <f>IF(TimeEntry[[#This Row],[Date]]=0,"",WEEKDAY(C144,2))</f>
        <v>4</v>
      </c>
      <c r="R144" s="9">
        <f>YEAR(TimeEntry[[#This Row],[WkEnd]])</f>
        <v>2020</v>
      </c>
      <c r="S144" s="9">
        <f>WEEKNUM(TimeEntry[[#This Row],[WkEnd]])</f>
        <v>40</v>
      </c>
      <c r="T144" s="9" t="str">
        <f>TimeEntry[[#This Row],[Year]]&amp;"-"&amp;TimeEntry[[#This Row],[WkNo]]</f>
        <v>2020-40</v>
      </c>
    </row>
    <row r="145" spans="1:20" x14ac:dyDescent="0.25">
      <c r="A145" s="6">
        <f>MOD(IF(ROW()=2,0.1,IF(INDEX(TimeEntry[WkEnd],ROW()-1)  =  INDEX(TimeEntry[WkEnd],ROW()-2),    INDEX(TimeEntry[format],ROW()-2),    INDEX(TimeEntry[format],ROW()-2)    +1)),2)</f>
        <v>1.1000000000000001</v>
      </c>
      <c r="B145" s="7">
        <v>44098.501018518517</v>
      </c>
      <c r="C145" s="8">
        <v>44098</v>
      </c>
      <c r="D145" s="8" t="s">
        <v>102</v>
      </c>
      <c r="E145" s="1" t="s">
        <v>441</v>
      </c>
      <c r="F145" s="8">
        <f>IF(TimeEntry[[#This Row],[Date]]=0,F144,C145+(7-Q145))</f>
        <v>44101</v>
      </c>
      <c r="G145" s="35" t="str">
        <f>INDEX(projects[Charge_Code],MATCH(TimeEntry[[#This Row],[Project_ID]],projects[Project_ID],0))</f>
        <v>TRAINING (In-house training)</v>
      </c>
      <c r="H145" s="1" t="str">
        <f t="shared" si="12"/>
        <v>Normal Time</v>
      </c>
      <c r="I145" s="1" t="s">
        <v>337</v>
      </c>
      <c r="J145" s="15">
        <v>2</v>
      </c>
      <c r="K145" s="15"/>
      <c r="L145" s="15"/>
      <c r="M145" s="15"/>
      <c r="N145" s="15"/>
      <c r="O145" s="15">
        <f>INDEX(projects[job number],MATCH(TimeEntry[[#This Row],[Project_ID]], projects[Project_ID],0))</f>
        <v>0</v>
      </c>
      <c r="P145" s="15" t="str">
        <f>INDEX(projects[Project_Name],MATCH(TimeEntry[[#This Row],[Project_ID]], projects[Project_ID],0))</f>
        <v>TRAINING (In-house training)</v>
      </c>
      <c r="Q145" s="6">
        <f>IF(TimeEntry[[#This Row],[Date]]=0,"",WEEKDAY(C145,2))</f>
        <v>4</v>
      </c>
      <c r="R145" s="9">
        <f>YEAR(TimeEntry[[#This Row],[WkEnd]])</f>
        <v>2020</v>
      </c>
      <c r="S145" s="9">
        <f>WEEKNUM(TimeEntry[[#This Row],[WkEnd]])</f>
        <v>40</v>
      </c>
      <c r="T145" s="9" t="str">
        <f>TimeEntry[[#This Row],[Year]]&amp;"-"&amp;TimeEntry[[#This Row],[WkNo]]</f>
        <v>2020-40</v>
      </c>
    </row>
    <row r="146" spans="1:20" x14ac:dyDescent="0.25">
      <c r="A146" s="6">
        <f>MOD(IF(ROW()=2,0.1,IF(INDEX(TimeEntry[WkEnd],ROW()-1)  =  INDEX(TimeEntry[WkEnd],ROW()-2),    INDEX(TimeEntry[format],ROW()-2),    INDEX(TimeEntry[format],ROW()-2)    +1)),2)</f>
        <v>1.1000000000000001</v>
      </c>
      <c r="B146" s="7">
        <v>44097.667326388888</v>
      </c>
      <c r="C146" s="8">
        <v>44097</v>
      </c>
      <c r="D146" s="8" t="s">
        <v>100</v>
      </c>
      <c r="E146" s="1" t="s">
        <v>442</v>
      </c>
      <c r="F146" s="8">
        <f>IF(TimeEntry[[#This Row],[Date]]=0,F145,C146+(7-Q146))</f>
        <v>44101</v>
      </c>
      <c r="G146" s="35" t="str">
        <f>INDEX(projects[Charge_Code],MATCH(TimeEntry[[#This Row],[Project_ID]],projects[Project_ID],0))</f>
        <v>210035-65 MC VBB WP1: DO-nota West (25-050)</v>
      </c>
      <c r="H146" s="1" t="str">
        <f t="shared" si="12"/>
        <v>Normal Time</v>
      </c>
      <c r="I146" s="1" t="s">
        <v>327</v>
      </c>
      <c r="J146" s="15">
        <v>3.5</v>
      </c>
      <c r="K146" s="15"/>
      <c r="L146" s="15"/>
      <c r="M146" s="15"/>
      <c r="N146" s="15"/>
      <c r="O146" s="15" t="str">
        <f>INDEX(projects[job number],MATCH(TimeEntry[[#This Row],[Project_ID]], projects[Project_ID],0))</f>
        <v>210035-65</v>
      </c>
      <c r="P146" s="15" t="str">
        <f>INDEX(projects[Project_Name],MATCH(TimeEntry[[#This Row],[Project_ID]], projects[Project_ID],0))</f>
        <v>MC VBB WP1: DO-nota West</v>
      </c>
      <c r="Q146" s="6">
        <f>IF(TimeEntry[[#This Row],[Date]]=0,"",WEEKDAY(C146,2))</f>
        <v>3</v>
      </c>
      <c r="R146" s="9">
        <f>YEAR(TimeEntry[[#This Row],[WkEnd]])</f>
        <v>2020</v>
      </c>
      <c r="S146" s="9">
        <f>WEEKNUM(TimeEntry[[#This Row],[WkEnd]])</f>
        <v>40</v>
      </c>
      <c r="T146" s="9" t="str">
        <f>TimeEntry[[#This Row],[Year]]&amp;"-"&amp;TimeEntry[[#This Row],[WkNo]]</f>
        <v>2020-40</v>
      </c>
    </row>
    <row r="147" spans="1:20" x14ac:dyDescent="0.25">
      <c r="A147" s="6">
        <f>MOD(IF(ROW()=2,0.1,IF(INDEX(TimeEntry[WkEnd],ROW()-1)  =  INDEX(TimeEntry[WkEnd],ROW()-2),    INDEX(TimeEntry[format],ROW()-2),    INDEX(TimeEntry[format],ROW()-2)    +1)),2)</f>
        <v>1.1000000000000001</v>
      </c>
      <c r="B147" s="7">
        <v>44097.500543981485</v>
      </c>
      <c r="C147" s="8">
        <v>44097</v>
      </c>
      <c r="D147" s="8" t="s">
        <v>100</v>
      </c>
      <c r="E147" s="1" t="s">
        <v>442</v>
      </c>
      <c r="F147" s="8">
        <f>IF(TimeEntry[[#This Row],[Date]]=0,F146,C147+(7-Q147))</f>
        <v>44101</v>
      </c>
      <c r="G147" s="35" t="str">
        <f>INDEX(projects[Charge_Code],MATCH(TimeEntry[[#This Row],[Project_ID]],projects[Project_ID],0))</f>
        <v>210035-65 MC VBB WP1: DO-nota West (25-050)</v>
      </c>
      <c r="H147" s="1" t="str">
        <f t="shared" si="12"/>
        <v>Normal Time</v>
      </c>
      <c r="I147" s="1" t="s">
        <v>326</v>
      </c>
      <c r="J147" s="15">
        <v>4</v>
      </c>
      <c r="K147" s="15"/>
      <c r="L147" s="15"/>
      <c r="M147" s="15"/>
      <c r="N147" s="15"/>
      <c r="O147" s="15" t="str">
        <f>INDEX(projects[job number],MATCH(TimeEntry[[#This Row],[Project_ID]], projects[Project_ID],0))</f>
        <v>210035-65</v>
      </c>
      <c r="P147" s="15" t="str">
        <f>INDEX(projects[Project_Name],MATCH(TimeEntry[[#This Row],[Project_ID]], projects[Project_ID],0))</f>
        <v>MC VBB WP1: DO-nota West</v>
      </c>
      <c r="Q147" s="6">
        <f>IF(TimeEntry[[#This Row],[Date]]=0,"",WEEKDAY(C147,2))</f>
        <v>3</v>
      </c>
      <c r="R147" s="9">
        <f>YEAR(TimeEntry[[#This Row],[WkEnd]])</f>
        <v>2020</v>
      </c>
      <c r="S147" s="9">
        <f>WEEKNUM(TimeEntry[[#This Row],[WkEnd]])</f>
        <v>40</v>
      </c>
      <c r="T147" s="9" t="str">
        <f>TimeEntry[[#This Row],[Year]]&amp;"-"&amp;TimeEntry[[#This Row],[WkNo]]</f>
        <v>2020-40</v>
      </c>
    </row>
    <row r="148" spans="1:20" x14ac:dyDescent="0.25">
      <c r="A148" s="6">
        <f>MOD(IF(ROW()=2,0.1,IF(INDEX(TimeEntry[WkEnd],ROW()-1)  =  INDEX(TimeEntry[WkEnd],ROW()-2),    INDEX(TimeEntry[format],ROW()-2),    INDEX(TimeEntry[format],ROW()-2)    +1)),2)</f>
        <v>1.1000000000000001</v>
      </c>
      <c r="B148" s="7">
        <v>44096.667650462965</v>
      </c>
      <c r="C148" s="8">
        <v>44096</v>
      </c>
      <c r="D148" s="8" t="s">
        <v>101</v>
      </c>
      <c r="E148" s="1" t="s">
        <v>442</v>
      </c>
      <c r="F148" s="8">
        <f>IF(TimeEntry[[#This Row],[Date]]=0,F147,C148+(7-Q148))</f>
        <v>44101</v>
      </c>
      <c r="G148" s="35" t="str">
        <f>INDEX(projects[Charge_Code],MATCH(TimeEntry[[#This Row],[Project_ID]],projects[Project_ID],0))</f>
        <v>210035-65 MC VBB WP1: DO-nota West (25-050)</v>
      </c>
      <c r="H148" s="1" t="str">
        <f t="shared" si="12"/>
        <v>Normal Time</v>
      </c>
      <c r="I148" s="1" t="s">
        <v>325</v>
      </c>
      <c r="J148" s="15">
        <v>4.5</v>
      </c>
      <c r="K148" s="15"/>
      <c r="L148" s="15"/>
      <c r="M148" s="15"/>
      <c r="N148" s="15"/>
      <c r="O148" s="15" t="str">
        <f>INDEX(projects[job number],MATCH(TimeEntry[[#This Row],[Project_ID]], projects[Project_ID],0))</f>
        <v>210035-65</v>
      </c>
      <c r="P148" s="15" t="str">
        <f>INDEX(projects[Project_Name],MATCH(TimeEntry[[#This Row],[Project_ID]], projects[Project_ID],0))</f>
        <v>MC VBB WP1: DO-nota West</v>
      </c>
      <c r="Q148" s="6">
        <f>IF(TimeEntry[[#This Row],[Date]]=0,"",WEEKDAY(C148,2))</f>
        <v>2</v>
      </c>
      <c r="R148" s="9">
        <f>YEAR(TimeEntry[[#This Row],[WkEnd]])</f>
        <v>2020</v>
      </c>
      <c r="S148" s="9">
        <f>WEEKNUM(TimeEntry[[#This Row],[WkEnd]])</f>
        <v>40</v>
      </c>
      <c r="T148" s="9" t="str">
        <f>TimeEntry[[#This Row],[Year]]&amp;"-"&amp;TimeEntry[[#This Row],[WkNo]]</f>
        <v>2020-40</v>
      </c>
    </row>
    <row r="149" spans="1:20" x14ac:dyDescent="0.25">
      <c r="A149" s="6">
        <f>MOD(IF(ROW()=2,0.1,IF(INDEX(TimeEntry[WkEnd],ROW()-1)  =  INDEX(TimeEntry[WkEnd],ROW()-2),    INDEX(TimeEntry[format],ROW()-2),    INDEX(TimeEntry[format],ROW()-2)    +1)),2)</f>
        <v>1.1000000000000001</v>
      </c>
      <c r="B149" s="7">
        <v>44096.500983796293</v>
      </c>
      <c r="C149" s="8">
        <v>44096</v>
      </c>
      <c r="D149" s="8" t="s">
        <v>101</v>
      </c>
      <c r="E149" s="1" t="s">
        <v>442</v>
      </c>
      <c r="F149" s="8">
        <f>IF(TimeEntry[[#This Row],[Date]]=0,F148,C149+(7-Q149))</f>
        <v>44101</v>
      </c>
      <c r="G149" s="35" t="str">
        <f>INDEX(projects[Charge_Code],MATCH(TimeEntry[[#This Row],[Project_ID]],projects[Project_ID],0))</f>
        <v>210035-65 MC VBB WP1: DO-nota West (25-050)</v>
      </c>
      <c r="H149" s="1" t="str">
        <f t="shared" si="12"/>
        <v>Normal Time</v>
      </c>
      <c r="I149" s="1" t="s">
        <v>324</v>
      </c>
      <c r="J149" s="15">
        <v>3</v>
      </c>
      <c r="K149" s="15"/>
      <c r="L149" s="15"/>
      <c r="M149" s="15"/>
      <c r="N149" s="15"/>
      <c r="O149" s="15" t="str">
        <f>INDEX(projects[job number],MATCH(TimeEntry[[#This Row],[Project_ID]], projects[Project_ID],0))</f>
        <v>210035-65</v>
      </c>
      <c r="P149" s="15" t="str">
        <f>INDEX(projects[Project_Name],MATCH(TimeEntry[[#This Row],[Project_ID]], projects[Project_ID],0))</f>
        <v>MC VBB WP1: DO-nota West</v>
      </c>
      <c r="Q149" s="6">
        <f>IF(TimeEntry[[#This Row],[Date]]=0,"",WEEKDAY(C149,2))</f>
        <v>2</v>
      </c>
      <c r="R149" s="9">
        <f>YEAR(TimeEntry[[#This Row],[WkEnd]])</f>
        <v>2020</v>
      </c>
      <c r="S149" s="9">
        <f>WEEKNUM(TimeEntry[[#This Row],[WkEnd]])</f>
        <v>40</v>
      </c>
      <c r="T149" s="9" t="str">
        <f>TimeEntry[[#This Row],[Year]]&amp;"-"&amp;TimeEntry[[#This Row],[WkNo]]</f>
        <v>2020-40</v>
      </c>
    </row>
    <row r="150" spans="1:20" x14ac:dyDescent="0.25">
      <c r="A150" s="6">
        <f>MOD(IF(ROW()=2,0.1,IF(INDEX(TimeEntry[WkEnd],ROW()-1)  =  INDEX(TimeEntry[WkEnd],ROW()-2),    INDEX(TimeEntry[format],ROW()-2),    INDEX(TimeEntry[format],ROW()-2)    +1)),2)</f>
        <v>1.1000000000000001</v>
      </c>
      <c r="B150" s="7">
        <v>44095.669606481482</v>
      </c>
      <c r="C150" s="8">
        <v>44095</v>
      </c>
      <c r="D150" s="8" t="s">
        <v>104</v>
      </c>
      <c r="E150" s="1" t="s">
        <v>442</v>
      </c>
      <c r="F150" s="8">
        <f>IF(TimeEntry[[#This Row],[Date]]=0,F149,C150+(7-Q150))</f>
        <v>44101</v>
      </c>
      <c r="G150" s="35" t="str">
        <f>INDEX(projects[Charge_Code],MATCH(TimeEntry[[#This Row],[Project_ID]],projects[Project_ID],0))</f>
        <v>210035-65 MC VBB WP1: DO-nota West (25-050)</v>
      </c>
      <c r="H150" s="1" t="str">
        <f t="shared" si="12"/>
        <v>Normal Time</v>
      </c>
      <c r="I150" s="1" t="s">
        <v>333</v>
      </c>
      <c r="J150" s="15">
        <v>2</v>
      </c>
      <c r="K150" s="15"/>
      <c r="L150" s="15"/>
      <c r="M150" s="15"/>
      <c r="N150" s="15"/>
      <c r="O150" s="15" t="str">
        <f>INDEX(projects[job number],MATCH(TimeEntry[[#This Row],[Project_ID]], projects[Project_ID],0))</f>
        <v>210035-65</v>
      </c>
      <c r="P150" s="15" t="str">
        <f>INDEX(projects[Project_Name],MATCH(TimeEntry[[#This Row],[Project_ID]], projects[Project_ID],0))</f>
        <v>MC VBB WP1: DO-nota West</v>
      </c>
      <c r="Q150" s="6">
        <f>IF(TimeEntry[[#This Row],[Date]]=0,"",WEEKDAY(C150,2))</f>
        <v>1</v>
      </c>
      <c r="R150" s="9">
        <f>YEAR(TimeEntry[[#This Row],[WkEnd]])</f>
        <v>2020</v>
      </c>
      <c r="S150" s="9">
        <f>WEEKNUM(TimeEntry[[#This Row],[WkEnd]])</f>
        <v>40</v>
      </c>
      <c r="T150" s="9" t="str">
        <f>TimeEntry[[#This Row],[Year]]&amp;"-"&amp;TimeEntry[[#This Row],[WkNo]]</f>
        <v>2020-40</v>
      </c>
    </row>
    <row r="151" spans="1:20" x14ac:dyDescent="0.25">
      <c r="A151" s="6">
        <f>MOD(IF(ROW()=2,0.1,IF(INDEX(TimeEntry[WkEnd],ROW()-1)  =  INDEX(TimeEntry[WkEnd],ROW()-2),    INDEX(TimeEntry[format],ROW()-2),    INDEX(TimeEntry[format],ROW()-2)    +1)),2)</f>
        <v>1.1000000000000001</v>
      </c>
      <c r="B151" s="7">
        <v>44095.669606481482</v>
      </c>
      <c r="C151" s="8">
        <v>44095</v>
      </c>
      <c r="D151" s="8" t="s">
        <v>104</v>
      </c>
      <c r="E151" s="1" t="s">
        <v>443</v>
      </c>
      <c r="F151" s="8">
        <f>IF(TimeEntry[[#This Row],[Date]]=0,F150,C151+(7-Q151))</f>
        <v>44101</v>
      </c>
      <c r="G151" s="35" t="str">
        <f>INDEX(projects[Charge_Code],MATCH(TimeEntry[[#This Row],[Project_ID]],projects[Project_ID],0))</f>
        <v>071945-07 BCS - management (01-124)</v>
      </c>
      <c r="H151" s="1" t="str">
        <f t="shared" si="12"/>
        <v>Normal Time</v>
      </c>
      <c r="I151" s="1" t="s">
        <v>334</v>
      </c>
      <c r="J151" s="15">
        <v>2</v>
      </c>
      <c r="K151" s="15"/>
      <c r="L151" s="15"/>
      <c r="M151" s="15"/>
      <c r="N151" s="15"/>
      <c r="O151" s="15" t="str">
        <f>INDEX(projects[job number],MATCH(TimeEntry[[#This Row],[Project_ID]], projects[Project_ID],0))</f>
        <v>071945-07</v>
      </c>
      <c r="P151" s="15" t="str">
        <f>INDEX(projects[Project_Name],MATCH(TimeEntry[[#This Row],[Project_ID]], projects[Project_ID],0))</f>
        <v>BCS - management</v>
      </c>
      <c r="Q151" s="6">
        <f>IF(TimeEntry[[#This Row],[Date]]=0,"",WEEKDAY(C151,2))</f>
        <v>1</v>
      </c>
      <c r="R151" s="9">
        <f>YEAR(TimeEntry[[#This Row],[WkEnd]])</f>
        <v>2020</v>
      </c>
      <c r="S151" s="9">
        <f>WEEKNUM(TimeEntry[[#This Row],[WkEnd]])</f>
        <v>40</v>
      </c>
      <c r="T151" s="9" t="str">
        <f>TimeEntry[[#This Row],[Year]]&amp;"-"&amp;TimeEntry[[#This Row],[WkNo]]</f>
        <v>2020-40</v>
      </c>
    </row>
    <row r="152" spans="1:20" x14ac:dyDescent="0.25">
      <c r="A152" s="6">
        <f>MOD(IF(ROW()=2,0.1,IF(INDEX(TimeEntry[WkEnd],ROW()-1)  =  INDEX(TimeEntry[WkEnd],ROW()-2),    INDEX(TimeEntry[format],ROW()-2),    INDEX(TimeEntry[format],ROW()-2)    +1)),2)</f>
        <v>1.1000000000000001</v>
      </c>
      <c r="B152" s="7">
        <v>44095.503888888888</v>
      </c>
      <c r="C152" s="8">
        <v>44095</v>
      </c>
      <c r="D152" s="8" t="s">
        <v>104</v>
      </c>
      <c r="E152" s="1" t="s">
        <v>442</v>
      </c>
      <c r="F152" s="8">
        <f>IF(TimeEntry[[#This Row],[Date]]=0,F151,C152+(7-Q152))</f>
        <v>44101</v>
      </c>
      <c r="G152" s="35" t="str">
        <f>INDEX(projects[Charge_Code],MATCH(TimeEntry[[#This Row],[Project_ID]],projects[Project_ID],0))</f>
        <v>210035-65 MC VBB WP1: DO-nota West (25-050)</v>
      </c>
      <c r="H152" s="1" t="str">
        <f t="shared" si="12"/>
        <v>Normal Time</v>
      </c>
      <c r="I152" s="1" t="s">
        <v>323</v>
      </c>
      <c r="J152" s="15">
        <v>3.5</v>
      </c>
      <c r="K152" s="15"/>
      <c r="L152" s="15"/>
      <c r="M152" s="15"/>
      <c r="N152" s="15"/>
      <c r="O152" s="15" t="str">
        <f>INDEX(projects[job number],MATCH(TimeEntry[[#This Row],[Project_ID]], projects[Project_ID],0))</f>
        <v>210035-65</v>
      </c>
      <c r="P152" s="15" t="str">
        <f>INDEX(projects[Project_Name],MATCH(TimeEntry[[#This Row],[Project_ID]], projects[Project_ID],0))</f>
        <v>MC VBB WP1: DO-nota West</v>
      </c>
      <c r="Q152" s="6">
        <f>IF(TimeEntry[[#This Row],[Date]]=0,"",WEEKDAY(C152,2))</f>
        <v>1</v>
      </c>
      <c r="R152" s="9">
        <f>YEAR(TimeEntry[[#This Row],[WkEnd]])</f>
        <v>2020</v>
      </c>
      <c r="S152" s="9">
        <f>WEEKNUM(TimeEntry[[#This Row],[WkEnd]])</f>
        <v>40</v>
      </c>
      <c r="T152" s="9" t="str">
        <f>TimeEntry[[#This Row],[Year]]&amp;"-"&amp;TimeEntry[[#This Row],[WkNo]]</f>
        <v>2020-40</v>
      </c>
    </row>
    <row r="153" spans="1:20" x14ac:dyDescent="0.25">
      <c r="A153" s="6">
        <f>MOD(IF(ROW()=2,0.1,IF(INDEX(TimeEntry[WkEnd],ROW()-1)  =  INDEX(TimeEntry[WkEnd],ROW()-2),    INDEX(TimeEntry[format],ROW()-2),    INDEX(TimeEntry[format],ROW()-2)    +1)),2)</f>
        <v>0.10000000000000009</v>
      </c>
      <c r="B153" s="7">
        <v>44092.679606481484</v>
      </c>
      <c r="C153" s="8">
        <v>44092</v>
      </c>
      <c r="D153" s="8" t="s">
        <v>106</v>
      </c>
      <c r="E153" s="1" t="s">
        <v>442</v>
      </c>
      <c r="F153" s="8">
        <f>IF(TimeEntry[[#This Row],[Date]]=0,F152,C153+(7-Q153))</f>
        <v>44094</v>
      </c>
      <c r="G153" s="35" t="str">
        <f>INDEX(projects[Charge_Code],MATCH(TimeEntry[[#This Row],[Project_ID]],projects[Project_ID],0))</f>
        <v>210035-65 MC VBB WP1: DO-nota West (25-050)</v>
      </c>
      <c r="H153" s="1" t="str">
        <f t="shared" si="12"/>
        <v>Normal Time</v>
      </c>
      <c r="I153" s="1" t="s">
        <v>321</v>
      </c>
      <c r="J153" s="15">
        <v>3.75</v>
      </c>
      <c r="K153" s="15"/>
      <c r="L153" s="15"/>
      <c r="M153" s="15"/>
      <c r="N153" s="15"/>
      <c r="O153" s="15" t="str">
        <f>INDEX(projects[job number],MATCH(TimeEntry[[#This Row],[Project_ID]], projects[Project_ID],0))</f>
        <v>210035-65</v>
      </c>
      <c r="P153" s="15" t="str">
        <f>INDEX(projects[Project_Name],MATCH(TimeEntry[[#This Row],[Project_ID]], projects[Project_ID],0))</f>
        <v>MC VBB WP1: DO-nota West</v>
      </c>
      <c r="Q153" s="6">
        <f>IF(TimeEntry[[#This Row],[Date]]=0,"",WEEKDAY(C153,2))</f>
        <v>5</v>
      </c>
      <c r="R153" s="9">
        <f>YEAR(TimeEntry[[#This Row],[WkEnd]])</f>
        <v>2020</v>
      </c>
      <c r="S153" s="9">
        <f>WEEKNUM(TimeEntry[[#This Row],[WkEnd]])</f>
        <v>39</v>
      </c>
      <c r="T153" s="9" t="str">
        <f>TimeEntry[[#This Row],[Year]]&amp;"-"&amp;TimeEntry[[#This Row],[WkNo]]</f>
        <v>2020-39</v>
      </c>
    </row>
    <row r="154" spans="1:20" x14ac:dyDescent="0.25">
      <c r="A154" s="6">
        <f>MOD(IF(ROW()=2,0.1,IF(INDEX(TimeEntry[WkEnd],ROW()-1)  =  INDEX(TimeEntry[WkEnd],ROW()-2),    INDEX(TimeEntry[format],ROW()-2),    INDEX(TimeEntry[format],ROW()-2)    +1)),2)</f>
        <v>0.10000000000000009</v>
      </c>
      <c r="B154" s="7">
        <v>44092.503159722219</v>
      </c>
      <c r="C154" s="8">
        <v>44092</v>
      </c>
      <c r="D154" s="8" t="s">
        <v>106</v>
      </c>
      <c r="E154" s="1" t="s">
        <v>442</v>
      </c>
      <c r="F154" s="8">
        <f>IF(TimeEntry[[#This Row],[Date]]=0,F153,C154+(7-Q154))</f>
        <v>44094</v>
      </c>
      <c r="G154" s="35" t="str">
        <f>INDEX(projects[Charge_Code],MATCH(TimeEntry[[#This Row],[Project_ID]],projects[Project_ID],0))</f>
        <v>210035-65 MC VBB WP1: DO-nota West (25-050)</v>
      </c>
      <c r="H154" s="1" t="str">
        <f t="shared" si="12"/>
        <v>Normal Time</v>
      </c>
      <c r="I154" s="1" t="s">
        <v>320</v>
      </c>
      <c r="J154" s="15">
        <v>3.75</v>
      </c>
      <c r="K154" s="15"/>
      <c r="L154" s="15"/>
      <c r="M154" s="15"/>
      <c r="N154" s="15"/>
      <c r="O154" s="15" t="str">
        <f>INDEX(projects[job number],MATCH(TimeEntry[[#This Row],[Project_ID]], projects[Project_ID],0))</f>
        <v>210035-65</v>
      </c>
      <c r="P154" s="15" t="str">
        <f>INDEX(projects[Project_Name],MATCH(TimeEntry[[#This Row],[Project_ID]], projects[Project_ID],0))</f>
        <v>MC VBB WP1: DO-nota West</v>
      </c>
      <c r="Q154" s="6">
        <f>IF(TimeEntry[[#This Row],[Date]]=0,"",WEEKDAY(C154,2))</f>
        <v>5</v>
      </c>
      <c r="R154" s="9">
        <f>YEAR(TimeEntry[[#This Row],[WkEnd]])</f>
        <v>2020</v>
      </c>
      <c r="S154" s="9">
        <f>WEEKNUM(TimeEntry[[#This Row],[WkEnd]])</f>
        <v>39</v>
      </c>
      <c r="T154" s="9" t="str">
        <f>TimeEntry[[#This Row],[Year]]&amp;"-"&amp;TimeEntry[[#This Row],[WkNo]]</f>
        <v>2020-39</v>
      </c>
    </row>
    <row r="155" spans="1:20" x14ac:dyDescent="0.25">
      <c r="A155" s="6">
        <f>MOD(IF(ROW()=2,0.1,IF(INDEX(TimeEntry[WkEnd],ROW()-1)  =  INDEX(TimeEntry[WkEnd],ROW()-2),    INDEX(TimeEntry[format],ROW()-2),    INDEX(TimeEntry[format],ROW()-2)    +1)),2)</f>
        <v>0.10000000000000009</v>
      </c>
      <c r="B155" s="7">
        <v>44091.670578703706</v>
      </c>
      <c r="C155" s="8">
        <v>44091</v>
      </c>
      <c r="D155" s="8" t="s">
        <v>102</v>
      </c>
      <c r="E155" s="1" t="s">
        <v>442</v>
      </c>
      <c r="F155" s="8">
        <f>IF(TimeEntry[[#This Row],[Date]]=0,F154,C155+(7-Q155))</f>
        <v>44094</v>
      </c>
      <c r="G155" s="35" t="str">
        <f>INDEX(projects[Charge_Code],MATCH(TimeEntry[[#This Row],[Project_ID]],projects[Project_ID],0))</f>
        <v>210035-65 MC VBB WP1: DO-nota West (25-050)</v>
      </c>
      <c r="H155" s="1" t="str">
        <f t="shared" si="12"/>
        <v>Normal Time</v>
      </c>
      <c r="I155" s="1" t="s">
        <v>329</v>
      </c>
      <c r="J155" s="15">
        <v>5</v>
      </c>
      <c r="K155" s="15"/>
      <c r="L155" s="15"/>
      <c r="M155" s="15"/>
      <c r="N155" s="15"/>
      <c r="O155" s="15" t="str">
        <f>INDEX(projects[job number],MATCH(TimeEntry[[#This Row],[Project_ID]], projects[Project_ID],0))</f>
        <v>210035-65</v>
      </c>
      <c r="P155" s="15" t="str">
        <f>INDEX(projects[Project_Name],MATCH(TimeEntry[[#This Row],[Project_ID]], projects[Project_ID],0))</f>
        <v>MC VBB WP1: DO-nota West</v>
      </c>
      <c r="Q155" s="6">
        <f>IF(TimeEntry[[#This Row],[Date]]=0,"",WEEKDAY(C155,2))</f>
        <v>4</v>
      </c>
      <c r="R155" s="9">
        <f>YEAR(TimeEntry[[#This Row],[WkEnd]])</f>
        <v>2020</v>
      </c>
      <c r="S155" s="9">
        <f>WEEKNUM(TimeEntry[[#This Row],[WkEnd]])</f>
        <v>39</v>
      </c>
      <c r="T155" s="9" t="str">
        <f>TimeEntry[[#This Row],[Year]]&amp;"-"&amp;TimeEntry[[#This Row],[WkNo]]</f>
        <v>2020-39</v>
      </c>
    </row>
    <row r="156" spans="1:20" x14ac:dyDescent="0.25">
      <c r="A156" s="6">
        <f>MOD(IF(ROW()=2,0.1,IF(INDEX(TimeEntry[WkEnd],ROW()-1)  =  INDEX(TimeEntry[WkEnd],ROW()-2),    INDEX(TimeEntry[format],ROW()-2),    INDEX(TimeEntry[format],ROW()-2)    +1)),2)</f>
        <v>0.10000000000000009</v>
      </c>
      <c r="B156" s="7">
        <v>44091.504756944443</v>
      </c>
      <c r="C156" s="8">
        <v>44091</v>
      </c>
      <c r="D156" s="8" t="s">
        <v>102</v>
      </c>
      <c r="E156" s="1" t="s">
        <v>442</v>
      </c>
      <c r="F156" s="8">
        <f>IF(TimeEntry[[#This Row],[Date]]=0,F155,C156+(7-Q156))</f>
        <v>44094</v>
      </c>
      <c r="G156" s="35" t="str">
        <f>INDEX(projects[Charge_Code],MATCH(TimeEntry[[#This Row],[Project_ID]],projects[Project_ID],0))</f>
        <v>210035-65 MC VBB WP1: DO-nota West (25-050)</v>
      </c>
      <c r="H156" s="1" t="str">
        <f t="shared" si="12"/>
        <v>Normal Time</v>
      </c>
      <c r="I156" s="1" t="s">
        <v>319</v>
      </c>
      <c r="J156" s="15">
        <v>2.5</v>
      </c>
      <c r="K156" s="15"/>
      <c r="L156" s="15"/>
      <c r="M156" s="15"/>
      <c r="N156" s="15"/>
      <c r="O156" s="15" t="str">
        <f>INDEX(projects[job number],MATCH(TimeEntry[[#This Row],[Project_ID]], projects[Project_ID],0))</f>
        <v>210035-65</v>
      </c>
      <c r="P156" s="15" t="str">
        <f>INDEX(projects[Project_Name],MATCH(TimeEntry[[#This Row],[Project_ID]], projects[Project_ID],0))</f>
        <v>MC VBB WP1: DO-nota West</v>
      </c>
      <c r="Q156" s="6">
        <f>IF(TimeEntry[[#This Row],[Date]]=0,"",WEEKDAY(C156,2))</f>
        <v>4</v>
      </c>
      <c r="R156" s="9">
        <f>YEAR(TimeEntry[[#This Row],[WkEnd]])</f>
        <v>2020</v>
      </c>
      <c r="S156" s="9">
        <f>WEEKNUM(TimeEntry[[#This Row],[WkEnd]])</f>
        <v>39</v>
      </c>
      <c r="T156" s="9" t="str">
        <f>TimeEntry[[#This Row],[Year]]&amp;"-"&amp;TimeEntry[[#This Row],[WkNo]]</f>
        <v>2020-39</v>
      </c>
    </row>
    <row r="157" spans="1:20" x14ac:dyDescent="0.25">
      <c r="A157" s="6">
        <f>MOD(IF(ROW()=2,0.1,IF(INDEX(TimeEntry[WkEnd],ROW()-1)  =  INDEX(TimeEntry[WkEnd],ROW()-2),    INDEX(TimeEntry[format],ROW()-2),    INDEX(TimeEntry[format],ROW()-2)    +1)),2)</f>
        <v>0.10000000000000009</v>
      </c>
      <c r="B157" s="7">
        <v>44090.678622685184</v>
      </c>
      <c r="C157" s="8">
        <v>44090</v>
      </c>
      <c r="D157" s="8" t="s">
        <v>100</v>
      </c>
      <c r="E157" s="1" t="s">
        <v>442</v>
      </c>
      <c r="F157" s="8">
        <f>IF(TimeEntry[[#This Row],[Date]]=0,F156,C157+(7-Q157))</f>
        <v>44094</v>
      </c>
      <c r="G157" s="35" t="str">
        <f>INDEX(projects[Charge_Code],MATCH(TimeEntry[[#This Row],[Project_ID]],projects[Project_ID],0))</f>
        <v>210035-65 MC VBB WP1: DO-nota West (25-050)</v>
      </c>
      <c r="H157" s="1" t="str">
        <f t="shared" si="12"/>
        <v>Normal Time</v>
      </c>
      <c r="I157" s="1" t="s">
        <v>318</v>
      </c>
      <c r="J157" s="15">
        <v>2</v>
      </c>
      <c r="K157" s="15"/>
      <c r="L157" s="15"/>
      <c r="M157" s="15"/>
      <c r="N157" s="15"/>
      <c r="O157" s="15" t="str">
        <f>INDEX(projects[job number],MATCH(TimeEntry[[#This Row],[Project_ID]], projects[Project_ID],0))</f>
        <v>210035-65</v>
      </c>
      <c r="P157" s="15" t="str">
        <f>INDEX(projects[Project_Name],MATCH(TimeEntry[[#This Row],[Project_ID]], projects[Project_ID],0))</f>
        <v>MC VBB WP1: DO-nota West</v>
      </c>
      <c r="Q157" s="6">
        <f>IF(TimeEntry[[#This Row],[Date]]=0,"",WEEKDAY(C157,2))</f>
        <v>3</v>
      </c>
      <c r="R157" s="9">
        <f>YEAR(TimeEntry[[#This Row],[WkEnd]])</f>
        <v>2020</v>
      </c>
      <c r="S157" s="9">
        <f>WEEKNUM(TimeEntry[[#This Row],[WkEnd]])</f>
        <v>39</v>
      </c>
      <c r="T157" s="9" t="str">
        <f>TimeEntry[[#This Row],[Year]]&amp;"-"&amp;TimeEntry[[#This Row],[WkNo]]</f>
        <v>2020-39</v>
      </c>
    </row>
    <row r="158" spans="1:20" x14ac:dyDescent="0.25">
      <c r="A158" s="6">
        <f>MOD(IF(ROW()=2,0.1,IF(INDEX(TimeEntry[WkEnd],ROW()-1)  =  INDEX(TimeEntry[WkEnd],ROW()-2),    INDEX(TimeEntry[format],ROW()-2),    INDEX(TimeEntry[format],ROW()-2)    +1)),2)</f>
        <v>0.10000000000000009</v>
      </c>
      <c r="B158" s="7">
        <v>44090.500868055555</v>
      </c>
      <c r="C158" s="8">
        <v>44090</v>
      </c>
      <c r="D158" s="8" t="s">
        <v>100</v>
      </c>
      <c r="E158" s="1" t="s">
        <v>442</v>
      </c>
      <c r="F158" s="8">
        <f>IF(TimeEntry[[#This Row],[Date]]=0,F157,C158+(7-Q158))</f>
        <v>44094</v>
      </c>
      <c r="G158" s="35" t="str">
        <f>INDEX(projects[Charge_Code],MATCH(TimeEntry[[#This Row],[Project_ID]],projects[Project_ID],0))</f>
        <v>210035-65 MC VBB WP1: DO-nota West (25-050)</v>
      </c>
      <c r="H158" s="1" t="str">
        <f t="shared" si="12"/>
        <v>Normal Time</v>
      </c>
      <c r="I158" s="1" t="s">
        <v>317</v>
      </c>
      <c r="J158" s="15">
        <v>5.5</v>
      </c>
      <c r="K158" s="15"/>
      <c r="L158" s="15"/>
      <c r="M158" s="15"/>
      <c r="N158" s="15"/>
      <c r="O158" s="15" t="str">
        <f>INDEX(projects[job number],MATCH(TimeEntry[[#This Row],[Project_ID]], projects[Project_ID],0))</f>
        <v>210035-65</v>
      </c>
      <c r="P158" s="15" t="str">
        <f>INDEX(projects[Project_Name],MATCH(TimeEntry[[#This Row],[Project_ID]], projects[Project_ID],0))</f>
        <v>MC VBB WP1: DO-nota West</v>
      </c>
      <c r="Q158" s="6">
        <f>IF(TimeEntry[[#This Row],[Date]]=0,"",WEEKDAY(C158,2))</f>
        <v>3</v>
      </c>
      <c r="R158" s="9">
        <f>YEAR(TimeEntry[[#This Row],[WkEnd]])</f>
        <v>2020</v>
      </c>
      <c r="S158" s="9">
        <f>WEEKNUM(TimeEntry[[#This Row],[WkEnd]])</f>
        <v>39</v>
      </c>
      <c r="T158" s="9" t="str">
        <f>TimeEntry[[#This Row],[Year]]&amp;"-"&amp;TimeEntry[[#This Row],[WkNo]]</f>
        <v>2020-39</v>
      </c>
    </row>
    <row r="159" spans="1:20" x14ac:dyDescent="0.25">
      <c r="A159" s="6">
        <f>MOD(IF(ROW()=2,0.1,IF(INDEX(TimeEntry[WkEnd],ROW()-1)  =  INDEX(TimeEntry[WkEnd],ROW()-2),    INDEX(TimeEntry[format],ROW()-2),    INDEX(TimeEntry[format],ROW()-2)    +1)),2)</f>
        <v>0.10000000000000009</v>
      </c>
      <c r="B159" s="7">
        <v>44089.706678240742</v>
      </c>
      <c r="C159" s="8">
        <v>44089</v>
      </c>
      <c r="D159" s="8" t="s">
        <v>101</v>
      </c>
      <c r="E159" s="1" t="s">
        <v>442</v>
      </c>
      <c r="F159" s="8">
        <f>IF(TimeEntry[[#This Row],[Date]]=0,F158,C159+(7-Q159))</f>
        <v>44094</v>
      </c>
      <c r="G159" s="35" t="str">
        <f>INDEX(projects[Charge_Code],MATCH(TimeEntry[[#This Row],[Project_ID]],projects[Project_ID],0))</f>
        <v>210035-65 MC VBB WP1: DO-nota West (25-050)</v>
      </c>
      <c r="H159" s="1" t="str">
        <f t="shared" si="12"/>
        <v>Normal Time</v>
      </c>
      <c r="I159" s="1" t="s">
        <v>316</v>
      </c>
      <c r="J159" s="15">
        <v>3</v>
      </c>
      <c r="K159" s="15"/>
      <c r="L159" s="15"/>
      <c r="M159" s="15"/>
      <c r="N159" s="15"/>
      <c r="O159" s="15" t="str">
        <f>INDEX(projects[job number],MATCH(TimeEntry[[#This Row],[Project_ID]], projects[Project_ID],0))</f>
        <v>210035-65</v>
      </c>
      <c r="P159" s="15" t="str">
        <f>INDEX(projects[Project_Name],MATCH(TimeEntry[[#This Row],[Project_ID]], projects[Project_ID],0))</f>
        <v>MC VBB WP1: DO-nota West</v>
      </c>
      <c r="Q159" s="6">
        <f>IF(TimeEntry[[#This Row],[Date]]=0,"",WEEKDAY(C159,2))</f>
        <v>2</v>
      </c>
      <c r="R159" s="9">
        <f>YEAR(TimeEntry[[#This Row],[WkEnd]])</f>
        <v>2020</v>
      </c>
      <c r="S159" s="9">
        <f>WEEKNUM(TimeEntry[[#This Row],[WkEnd]])</f>
        <v>39</v>
      </c>
      <c r="T159" s="9" t="str">
        <f>TimeEntry[[#This Row],[Year]]&amp;"-"&amp;TimeEntry[[#This Row],[WkNo]]</f>
        <v>2020-39</v>
      </c>
    </row>
    <row r="160" spans="1:20" x14ac:dyDescent="0.25">
      <c r="A160" s="6">
        <f>MOD(IF(ROW()=2,0.1,IF(INDEX(TimeEntry[WkEnd],ROW()-1)  =  INDEX(TimeEntry[WkEnd],ROW()-2),    INDEX(TimeEntry[format],ROW()-2),    INDEX(TimeEntry[format],ROW()-2)    +1)),2)</f>
        <v>0.10000000000000009</v>
      </c>
      <c r="B160" s="7">
        <v>44089.50104166667</v>
      </c>
      <c r="C160" s="8">
        <v>44089</v>
      </c>
      <c r="D160" s="8" t="s">
        <v>101</v>
      </c>
      <c r="E160" s="1" t="s">
        <v>442</v>
      </c>
      <c r="F160" s="8">
        <f>IF(TimeEntry[[#This Row],[Date]]=0,F159,C160+(7-Q160))</f>
        <v>44094</v>
      </c>
      <c r="G160" s="35" t="str">
        <f>INDEX(projects[Charge_Code],MATCH(TimeEntry[[#This Row],[Project_ID]],projects[Project_ID],0))</f>
        <v>210035-65 MC VBB WP1: DO-nota West (25-050)</v>
      </c>
      <c r="H160" s="1" t="str">
        <f t="shared" si="12"/>
        <v>Normal Time</v>
      </c>
      <c r="I160" s="1" t="s">
        <v>315</v>
      </c>
      <c r="J160" s="15">
        <v>4.5</v>
      </c>
      <c r="K160" s="15"/>
      <c r="L160" s="15"/>
      <c r="M160" s="15"/>
      <c r="N160" s="15"/>
      <c r="O160" s="15" t="str">
        <f>INDEX(projects[job number],MATCH(TimeEntry[[#This Row],[Project_ID]], projects[Project_ID],0))</f>
        <v>210035-65</v>
      </c>
      <c r="P160" s="15" t="str">
        <f>INDEX(projects[Project_Name],MATCH(TimeEntry[[#This Row],[Project_ID]], projects[Project_ID],0))</f>
        <v>MC VBB WP1: DO-nota West</v>
      </c>
      <c r="Q160" s="6">
        <f>IF(TimeEntry[[#This Row],[Date]]=0,"",WEEKDAY(C160,2))</f>
        <v>2</v>
      </c>
      <c r="R160" s="9">
        <f>YEAR(TimeEntry[[#This Row],[WkEnd]])</f>
        <v>2020</v>
      </c>
      <c r="S160" s="9">
        <f>WEEKNUM(TimeEntry[[#This Row],[WkEnd]])</f>
        <v>39</v>
      </c>
      <c r="T160" s="9" t="str">
        <f>TimeEntry[[#This Row],[Year]]&amp;"-"&amp;TimeEntry[[#This Row],[WkNo]]</f>
        <v>2020-39</v>
      </c>
    </row>
    <row r="161" spans="1:20" x14ac:dyDescent="0.25">
      <c r="A161" s="6">
        <f>MOD(IF(ROW()=2,0.1,IF(INDEX(TimeEntry[WkEnd],ROW()-1)  =  INDEX(TimeEntry[WkEnd],ROW()-2),    INDEX(TimeEntry[format],ROW()-2),    INDEX(TimeEntry[format],ROW()-2)    +1)),2)</f>
        <v>0.10000000000000009</v>
      </c>
      <c r="B161" s="7">
        <v>44088.674490740741</v>
      </c>
      <c r="C161" s="8">
        <v>44088</v>
      </c>
      <c r="D161" s="8" t="s">
        <v>104</v>
      </c>
      <c r="E161" s="1" t="s">
        <v>442</v>
      </c>
      <c r="F161" s="8">
        <f>IF(TimeEntry[[#This Row],[Date]]=0,F160,C161+(7-Q161))</f>
        <v>44094</v>
      </c>
      <c r="G161" s="35" t="str">
        <f>INDEX(projects[Charge_Code],MATCH(TimeEntry[[#This Row],[Project_ID]],projects[Project_ID],0))</f>
        <v>210035-65 MC VBB WP1: DO-nota West (25-050)</v>
      </c>
      <c r="H161" s="1" t="str">
        <f t="shared" si="12"/>
        <v>Normal Time</v>
      </c>
      <c r="I161" s="1" t="s">
        <v>314</v>
      </c>
      <c r="J161" s="15">
        <v>2</v>
      </c>
      <c r="K161" s="15"/>
      <c r="L161" s="15"/>
      <c r="M161" s="15"/>
      <c r="N161" s="15"/>
      <c r="O161" s="15" t="str">
        <f>INDEX(projects[job number],MATCH(TimeEntry[[#This Row],[Project_ID]], projects[Project_ID],0))</f>
        <v>210035-65</v>
      </c>
      <c r="P161" s="15" t="str">
        <f>INDEX(projects[Project_Name],MATCH(TimeEntry[[#This Row],[Project_ID]], projects[Project_ID],0))</f>
        <v>MC VBB WP1: DO-nota West</v>
      </c>
      <c r="Q161" s="6">
        <f>IF(TimeEntry[[#This Row],[Date]]=0,"",WEEKDAY(C161,2))</f>
        <v>1</v>
      </c>
      <c r="R161" s="9">
        <f>YEAR(TimeEntry[[#This Row],[WkEnd]])</f>
        <v>2020</v>
      </c>
      <c r="S161" s="9">
        <f>WEEKNUM(TimeEntry[[#This Row],[WkEnd]])</f>
        <v>39</v>
      </c>
      <c r="T161" s="9" t="str">
        <f>TimeEntry[[#This Row],[Year]]&amp;"-"&amp;TimeEntry[[#This Row],[WkNo]]</f>
        <v>2020-39</v>
      </c>
    </row>
    <row r="162" spans="1:20" x14ac:dyDescent="0.25">
      <c r="A162" s="6">
        <f>MOD(IF(ROW()=2,0.1,IF(INDEX(TimeEntry[WkEnd],ROW()-1)  =  INDEX(TimeEntry[WkEnd],ROW()-2),    INDEX(TimeEntry[format],ROW()-2),    INDEX(TimeEntry[format],ROW()-2)    +1)),2)</f>
        <v>0.10000000000000009</v>
      </c>
      <c r="B162" s="7">
        <v>44088.540810185186</v>
      </c>
      <c r="C162" s="8">
        <v>44088</v>
      </c>
      <c r="D162" s="8" t="s">
        <v>104</v>
      </c>
      <c r="E162" s="1" t="s">
        <v>442</v>
      </c>
      <c r="F162" s="8">
        <f>IF(TimeEntry[[#This Row],[Date]]=0,F161,C162+(7-Q162))</f>
        <v>44094</v>
      </c>
      <c r="G162" s="35" t="str">
        <f>INDEX(projects[Charge_Code],MATCH(TimeEntry[[#This Row],[Project_ID]],projects[Project_ID],0))</f>
        <v>210035-65 MC VBB WP1: DO-nota West (25-050)</v>
      </c>
      <c r="H162" s="1" t="str">
        <f t="shared" si="12"/>
        <v>Normal Time</v>
      </c>
      <c r="I162" s="1" t="s">
        <v>313</v>
      </c>
      <c r="J162" s="15">
        <v>5.5</v>
      </c>
      <c r="K162" s="15"/>
      <c r="L162" s="15"/>
      <c r="M162" s="15"/>
      <c r="N162" s="15"/>
      <c r="O162" s="15" t="str">
        <f>INDEX(projects[job number],MATCH(TimeEntry[[#This Row],[Project_ID]], projects[Project_ID],0))</f>
        <v>210035-65</v>
      </c>
      <c r="P162" s="15" t="str">
        <f>INDEX(projects[Project_Name],MATCH(TimeEntry[[#This Row],[Project_ID]], projects[Project_ID],0))</f>
        <v>MC VBB WP1: DO-nota West</v>
      </c>
      <c r="Q162" s="6">
        <f>IF(TimeEntry[[#This Row],[Date]]=0,"",WEEKDAY(C162,2))</f>
        <v>1</v>
      </c>
      <c r="R162" s="9">
        <f>YEAR(TimeEntry[[#This Row],[WkEnd]])</f>
        <v>2020</v>
      </c>
      <c r="S162" s="9">
        <f>WEEKNUM(TimeEntry[[#This Row],[WkEnd]])</f>
        <v>39</v>
      </c>
      <c r="T162" s="9" t="str">
        <f>TimeEntry[[#This Row],[Year]]&amp;"-"&amp;TimeEntry[[#This Row],[WkNo]]</f>
        <v>2020-39</v>
      </c>
    </row>
    <row r="163" spans="1:20" x14ac:dyDescent="0.25">
      <c r="A163" s="6">
        <f>MOD(IF(ROW()=2,0.1,IF(INDEX(TimeEntry[WkEnd],ROW()-1)  =  INDEX(TimeEntry[WkEnd],ROW()-2),    INDEX(TimeEntry[format],ROW()-2),    INDEX(TimeEntry[format],ROW()-2)    +1)),2)</f>
        <v>1.1000000000000001</v>
      </c>
      <c r="B163" s="7">
        <v>44085.667094907411</v>
      </c>
      <c r="C163" s="8">
        <v>44085</v>
      </c>
      <c r="D163" s="8" t="s">
        <v>106</v>
      </c>
      <c r="E163" s="1" t="s">
        <v>442</v>
      </c>
      <c r="F163" s="8">
        <f>IF(TimeEntry[[#This Row],[Date]]=0,F162,C163+(7-Q163))</f>
        <v>44087</v>
      </c>
      <c r="G163" s="35" t="str">
        <f>INDEX(projects[Charge_Code],MATCH(TimeEntry[[#This Row],[Project_ID]],projects[Project_ID],0))</f>
        <v>210035-65 MC VBB WP1: DO-nota West (25-050)</v>
      </c>
      <c r="H163" s="1" t="str">
        <f t="shared" si="12"/>
        <v>Normal Time</v>
      </c>
      <c r="I163" s="1" t="s">
        <v>311</v>
      </c>
      <c r="J163" s="15">
        <v>4.5</v>
      </c>
      <c r="K163" s="15"/>
      <c r="L163" s="15"/>
      <c r="M163" s="15"/>
      <c r="N163" s="15"/>
      <c r="O163" s="15" t="str">
        <f>INDEX(projects[job number],MATCH(TimeEntry[[#This Row],[Project_ID]], projects[Project_ID],0))</f>
        <v>210035-65</v>
      </c>
      <c r="P163" s="15" t="str">
        <f>INDEX(projects[Project_Name],MATCH(TimeEntry[[#This Row],[Project_ID]], projects[Project_ID],0))</f>
        <v>MC VBB WP1: DO-nota West</v>
      </c>
      <c r="Q163" s="6">
        <f>IF(TimeEntry[[#This Row],[Date]]=0,"",WEEKDAY(C163,2))</f>
        <v>5</v>
      </c>
      <c r="R163" s="9">
        <f>YEAR(TimeEntry[[#This Row],[WkEnd]])</f>
        <v>2020</v>
      </c>
      <c r="S163" s="9">
        <f>WEEKNUM(TimeEntry[[#This Row],[WkEnd]])</f>
        <v>38</v>
      </c>
      <c r="T163" s="9" t="str">
        <f>TimeEntry[[#This Row],[Year]]&amp;"-"&amp;TimeEntry[[#This Row],[WkNo]]</f>
        <v>2020-38</v>
      </c>
    </row>
    <row r="164" spans="1:20" x14ac:dyDescent="0.25">
      <c r="A164" s="6">
        <f>MOD(IF(ROW()=2,0.1,IF(INDEX(TimeEntry[WkEnd],ROW()-1)  =  INDEX(TimeEntry[WkEnd],ROW()-2),    INDEX(TimeEntry[format],ROW()-2),    INDEX(TimeEntry[format],ROW()-2)    +1)),2)</f>
        <v>1.1000000000000001</v>
      </c>
      <c r="B164" s="7">
        <v>44085.501574074071</v>
      </c>
      <c r="C164" s="8">
        <v>44085</v>
      </c>
      <c r="D164" s="8" t="s">
        <v>106</v>
      </c>
      <c r="E164" s="1" t="s">
        <v>442</v>
      </c>
      <c r="F164" s="8">
        <f>IF(TimeEntry[[#This Row],[Date]]=0,F163,C164+(7-Q164))</f>
        <v>44087</v>
      </c>
      <c r="G164" s="35" t="str">
        <f>INDEX(projects[Charge_Code],MATCH(TimeEntry[[#This Row],[Project_ID]],projects[Project_ID],0))</f>
        <v>210035-65 MC VBB WP1: DO-nota West (25-050)</v>
      </c>
      <c r="H164" s="1" t="str">
        <f t="shared" si="12"/>
        <v>Normal Time</v>
      </c>
      <c r="I164" s="1" t="s">
        <v>310</v>
      </c>
      <c r="J164" s="15">
        <v>3</v>
      </c>
      <c r="K164" s="15"/>
      <c r="L164" s="15"/>
      <c r="M164" s="15"/>
      <c r="N164" s="15"/>
      <c r="O164" s="15" t="str">
        <f>INDEX(projects[job number],MATCH(TimeEntry[[#This Row],[Project_ID]], projects[Project_ID],0))</f>
        <v>210035-65</v>
      </c>
      <c r="P164" s="15" t="str">
        <f>INDEX(projects[Project_Name],MATCH(TimeEntry[[#This Row],[Project_ID]], projects[Project_ID],0))</f>
        <v>MC VBB WP1: DO-nota West</v>
      </c>
      <c r="Q164" s="6">
        <f>IF(TimeEntry[[#This Row],[Date]]=0,"",WEEKDAY(C164,2))</f>
        <v>5</v>
      </c>
      <c r="R164" s="9">
        <f>YEAR(TimeEntry[[#This Row],[WkEnd]])</f>
        <v>2020</v>
      </c>
      <c r="S164" s="9">
        <f>WEEKNUM(TimeEntry[[#This Row],[WkEnd]])</f>
        <v>38</v>
      </c>
      <c r="T164" s="9" t="str">
        <f>TimeEntry[[#This Row],[Year]]&amp;"-"&amp;TimeEntry[[#This Row],[WkNo]]</f>
        <v>2020-38</v>
      </c>
    </row>
    <row r="165" spans="1:20" x14ac:dyDescent="0.25">
      <c r="A165" s="6">
        <f>MOD(IF(ROW()=2,0.1,IF(INDEX(TimeEntry[WkEnd],ROW()-1)  =  INDEX(TimeEntry[WkEnd],ROW()-2),    INDEX(TimeEntry[format],ROW()-2),    INDEX(TimeEntry[format],ROW()-2)    +1)),2)</f>
        <v>1.1000000000000001</v>
      </c>
      <c r="B165" s="7">
        <v>44084.668067129627</v>
      </c>
      <c r="C165" s="8">
        <v>44084</v>
      </c>
      <c r="D165" s="8" t="s">
        <v>102</v>
      </c>
      <c r="E165" s="1" t="s">
        <v>442</v>
      </c>
      <c r="F165" s="8">
        <f>IF(TimeEntry[[#This Row],[Date]]=0,F164,C165+(7-Q165))</f>
        <v>44087</v>
      </c>
      <c r="G165" s="35" t="str">
        <f>INDEX(projects[Charge_Code],MATCH(TimeEntry[[#This Row],[Project_ID]],projects[Project_ID],0))</f>
        <v>210035-65 MC VBB WP1: DO-nota West (25-050)</v>
      </c>
      <c r="H165" s="1" t="str">
        <f t="shared" si="12"/>
        <v>Normal Time</v>
      </c>
      <c r="I165" s="1" t="s">
        <v>309</v>
      </c>
      <c r="J165" s="15">
        <v>3</v>
      </c>
      <c r="K165" s="15"/>
      <c r="L165" s="15"/>
      <c r="M165" s="15"/>
      <c r="N165" s="15"/>
      <c r="O165" s="15" t="str">
        <f>INDEX(projects[job number],MATCH(TimeEntry[[#This Row],[Project_ID]], projects[Project_ID],0))</f>
        <v>210035-65</v>
      </c>
      <c r="P165" s="15" t="str">
        <f>INDEX(projects[Project_Name],MATCH(TimeEntry[[#This Row],[Project_ID]], projects[Project_ID],0))</f>
        <v>MC VBB WP1: DO-nota West</v>
      </c>
      <c r="Q165" s="6">
        <f>IF(TimeEntry[[#This Row],[Date]]=0,"",WEEKDAY(C165,2))</f>
        <v>4</v>
      </c>
      <c r="R165" s="9">
        <f>YEAR(TimeEntry[[#This Row],[WkEnd]])</f>
        <v>2020</v>
      </c>
      <c r="S165" s="9">
        <f>WEEKNUM(TimeEntry[[#This Row],[WkEnd]])</f>
        <v>38</v>
      </c>
      <c r="T165" s="9" t="str">
        <f>TimeEntry[[#This Row],[Year]]&amp;"-"&amp;TimeEntry[[#This Row],[WkNo]]</f>
        <v>2020-38</v>
      </c>
    </row>
    <row r="166" spans="1:20" x14ac:dyDescent="0.25">
      <c r="A166" s="6">
        <f>MOD(IF(ROW()=2,0.1,IF(INDEX(TimeEntry[WkEnd],ROW()-1)  =  INDEX(TimeEntry[WkEnd],ROW()-2),    INDEX(TimeEntry[format],ROW()-2),    INDEX(TimeEntry[format],ROW()-2)    +1)),2)</f>
        <v>1.1000000000000001</v>
      </c>
      <c r="B166" s="7">
        <v>44084.508125</v>
      </c>
      <c r="C166" s="8">
        <v>44084</v>
      </c>
      <c r="D166" s="8" t="s">
        <v>102</v>
      </c>
      <c r="E166" s="1" t="s">
        <v>442</v>
      </c>
      <c r="F166" s="8">
        <f>IF(TimeEntry[[#This Row],[Date]]=0,F165,C166+(7-Q166))</f>
        <v>44087</v>
      </c>
      <c r="G166" s="35" t="str">
        <f>INDEX(projects[Charge_Code],MATCH(TimeEntry[[#This Row],[Project_ID]],projects[Project_ID],0))</f>
        <v>210035-65 MC VBB WP1: DO-nota West (25-050)</v>
      </c>
      <c r="H166" s="1" t="str">
        <f t="shared" si="12"/>
        <v>Normal Time</v>
      </c>
      <c r="I166" s="1" t="s">
        <v>308</v>
      </c>
      <c r="J166" s="15">
        <v>4.5</v>
      </c>
      <c r="K166" s="15"/>
      <c r="L166" s="15"/>
      <c r="M166" s="15"/>
      <c r="N166" s="15"/>
      <c r="O166" s="15" t="str">
        <f>INDEX(projects[job number],MATCH(TimeEntry[[#This Row],[Project_ID]], projects[Project_ID],0))</f>
        <v>210035-65</v>
      </c>
      <c r="P166" s="15" t="str">
        <f>INDEX(projects[Project_Name],MATCH(TimeEntry[[#This Row],[Project_ID]], projects[Project_ID],0))</f>
        <v>MC VBB WP1: DO-nota West</v>
      </c>
      <c r="Q166" s="6">
        <f>IF(TimeEntry[[#This Row],[Date]]=0,"",WEEKDAY(C166,2))</f>
        <v>4</v>
      </c>
      <c r="R166" s="9">
        <f>YEAR(TimeEntry[[#This Row],[WkEnd]])</f>
        <v>2020</v>
      </c>
      <c r="S166" s="9">
        <f>WEEKNUM(TimeEntry[[#This Row],[WkEnd]])</f>
        <v>38</v>
      </c>
      <c r="T166" s="9" t="str">
        <f>TimeEntry[[#This Row],[Year]]&amp;"-"&amp;TimeEntry[[#This Row],[WkNo]]</f>
        <v>2020-38</v>
      </c>
    </row>
    <row r="167" spans="1:20" x14ac:dyDescent="0.25">
      <c r="A167" s="6">
        <f>MOD(IF(ROW()=2,0.1,IF(INDEX(TimeEntry[WkEnd],ROW()-1)  =  INDEX(TimeEntry[WkEnd],ROW()-2),    INDEX(TimeEntry[format],ROW()-2),    INDEX(TimeEntry[format],ROW()-2)    +1)),2)</f>
        <v>1.1000000000000001</v>
      </c>
      <c r="B167" s="7">
        <v>44083.672326388885</v>
      </c>
      <c r="C167" s="8">
        <v>44083</v>
      </c>
      <c r="D167" s="8" t="s">
        <v>100</v>
      </c>
      <c r="E167" s="1" t="s">
        <v>442</v>
      </c>
      <c r="F167" s="8">
        <f>IF(TimeEntry[[#This Row],[Date]]=0,F166,C167+(7-Q167))</f>
        <v>44087</v>
      </c>
      <c r="G167" s="35" t="str">
        <f>INDEX(projects[Charge_Code],MATCH(TimeEntry[[#This Row],[Project_ID]],projects[Project_ID],0))</f>
        <v>210035-65 MC VBB WP1: DO-nota West (25-050)</v>
      </c>
      <c r="H167" s="1" t="str">
        <f t="shared" si="12"/>
        <v>Normal Time</v>
      </c>
      <c r="I167" s="1" t="s">
        <v>307</v>
      </c>
      <c r="J167" s="15">
        <v>2.5</v>
      </c>
      <c r="K167" s="15"/>
      <c r="L167" s="15"/>
      <c r="M167" s="15"/>
      <c r="N167" s="15"/>
      <c r="O167" s="15" t="str">
        <f>INDEX(projects[job number],MATCH(TimeEntry[[#This Row],[Project_ID]], projects[Project_ID],0))</f>
        <v>210035-65</v>
      </c>
      <c r="P167" s="15" t="str">
        <f>INDEX(projects[Project_Name],MATCH(TimeEntry[[#This Row],[Project_ID]], projects[Project_ID],0))</f>
        <v>MC VBB WP1: DO-nota West</v>
      </c>
      <c r="Q167" s="6">
        <f>IF(TimeEntry[[#This Row],[Date]]=0,"",WEEKDAY(C167,2))</f>
        <v>3</v>
      </c>
      <c r="R167" s="9">
        <f>YEAR(TimeEntry[[#This Row],[WkEnd]])</f>
        <v>2020</v>
      </c>
      <c r="S167" s="9">
        <f>WEEKNUM(TimeEntry[[#This Row],[WkEnd]])</f>
        <v>38</v>
      </c>
      <c r="T167" s="9" t="str">
        <f>TimeEntry[[#This Row],[Year]]&amp;"-"&amp;TimeEntry[[#This Row],[WkNo]]</f>
        <v>2020-38</v>
      </c>
    </row>
    <row r="168" spans="1:20" x14ac:dyDescent="0.25">
      <c r="A168" s="6">
        <f>MOD(IF(ROW()=2,0.1,IF(INDEX(TimeEntry[WkEnd],ROW()-1)  =  INDEX(TimeEntry[WkEnd],ROW()-2),    INDEX(TimeEntry[format],ROW()-2),    INDEX(TimeEntry[format],ROW()-2)    +1)),2)</f>
        <v>1.1000000000000001</v>
      </c>
      <c r="B168" s="7">
        <v>44083.504374999997</v>
      </c>
      <c r="C168" s="8">
        <v>44083</v>
      </c>
      <c r="D168" s="8" t="s">
        <v>100</v>
      </c>
      <c r="E168" s="1" t="s">
        <v>442</v>
      </c>
      <c r="F168" s="8">
        <f>IF(TimeEntry[[#This Row],[Date]]=0,F167,C168+(7-Q168))</f>
        <v>44087</v>
      </c>
      <c r="G168" s="35" t="str">
        <f>INDEX(projects[Charge_Code],MATCH(TimeEntry[[#This Row],[Project_ID]],projects[Project_ID],0))</f>
        <v>210035-65 MC VBB WP1: DO-nota West (25-050)</v>
      </c>
      <c r="H168" s="1" t="str">
        <f t="shared" si="12"/>
        <v>Normal Time</v>
      </c>
      <c r="I168" s="1" t="s">
        <v>306</v>
      </c>
      <c r="J168" s="15">
        <v>5</v>
      </c>
      <c r="K168" s="15"/>
      <c r="L168" s="15"/>
      <c r="M168" s="15"/>
      <c r="N168" s="15"/>
      <c r="O168" s="15" t="str">
        <f>INDEX(projects[job number],MATCH(TimeEntry[[#This Row],[Project_ID]], projects[Project_ID],0))</f>
        <v>210035-65</v>
      </c>
      <c r="P168" s="15" t="str">
        <f>INDEX(projects[Project_Name],MATCH(TimeEntry[[#This Row],[Project_ID]], projects[Project_ID],0))</f>
        <v>MC VBB WP1: DO-nota West</v>
      </c>
      <c r="Q168" s="6">
        <f>IF(TimeEntry[[#This Row],[Date]]=0,"",WEEKDAY(C168,2))</f>
        <v>3</v>
      </c>
      <c r="R168" s="9">
        <f>YEAR(TimeEntry[[#This Row],[WkEnd]])</f>
        <v>2020</v>
      </c>
      <c r="S168" s="9">
        <f>WEEKNUM(TimeEntry[[#This Row],[WkEnd]])</f>
        <v>38</v>
      </c>
      <c r="T168" s="9" t="str">
        <f>TimeEntry[[#This Row],[Year]]&amp;"-"&amp;TimeEntry[[#This Row],[WkNo]]</f>
        <v>2020-38</v>
      </c>
    </row>
    <row r="169" spans="1:20" x14ac:dyDescent="0.25">
      <c r="A169" s="6">
        <f>MOD(IF(ROW()=2,0.1,IF(INDEX(TimeEntry[WkEnd],ROW()-1)  =  INDEX(TimeEntry[WkEnd],ROW()-2),    INDEX(TimeEntry[format],ROW()-2),    INDEX(TimeEntry[format],ROW()-2)    +1)),2)</f>
        <v>1.1000000000000001</v>
      </c>
      <c r="B169" s="7">
        <v>44082.675891203704</v>
      </c>
      <c r="C169" s="8">
        <v>44082</v>
      </c>
      <c r="D169" s="8" t="s">
        <v>101</v>
      </c>
      <c r="E169" s="1" t="s">
        <v>442</v>
      </c>
      <c r="F169" s="8">
        <f>IF(TimeEntry[[#This Row],[Date]]=0,F168,C169+(7-Q169))</f>
        <v>44087</v>
      </c>
      <c r="G169" s="35" t="str">
        <f>INDEX(projects[Charge_Code],MATCH(TimeEntry[[#This Row],[Project_ID]],projects[Project_ID],0))</f>
        <v>210035-65 MC VBB WP1: DO-nota West (25-050)</v>
      </c>
      <c r="H169" s="1" t="str">
        <f t="shared" si="12"/>
        <v>Normal Time</v>
      </c>
      <c r="I169" s="1" t="s">
        <v>305</v>
      </c>
      <c r="J169" s="15">
        <v>3.5</v>
      </c>
      <c r="K169" s="15"/>
      <c r="L169" s="15"/>
      <c r="M169" s="15"/>
      <c r="N169" s="15"/>
      <c r="O169" s="15" t="str">
        <f>INDEX(projects[job number],MATCH(TimeEntry[[#This Row],[Project_ID]], projects[Project_ID],0))</f>
        <v>210035-65</v>
      </c>
      <c r="P169" s="15" t="str">
        <f>INDEX(projects[Project_Name],MATCH(TimeEntry[[#This Row],[Project_ID]], projects[Project_ID],0))</f>
        <v>MC VBB WP1: DO-nota West</v>
      </c>
      <c r="Q169" s="6">
        <f>IF(TimeEntry[[#This Row],[Date]]=0,"",WEEKDAY(C169,2))</f>
        <v>2</v>
      </c>
      <c r="R169" s="9">
        <f>YEAR(TimeEntry[[#This Row],[WkEnd]])</f>
        <v>2020</v>
      </c>
      <c r="S169" s="9">
        <f>WEEKNUM(TimeEntry[[#This Row],[WkEnd]])</f>
        <v>38</v>
      </c>
      <c r="T169" s="9" t="str">
        <f>TimeEntry[[#This Row],[Year]]&amp;"-"&amp;TimeEntry[[#This Row],[WkNo]]</f>
        <v>2020-38</v>
      </c>
    </row>
    <row r="170" spans="1:20" x14ac:dyDescent="0.25">
      <c r="A170" s="6">
        <f>MOD(IF(ROW()=2,0.1,IF(INDEX(TimeEntry[WkEnd],ROW()-1)  =  INDEX(TimeEntry[WkEnd],ROW()-2),    INDEX(TimeEntry[format],ROW()-2),    INDEX(TimeEntry[format],ROW()-2)    +1)),2)</f>
        <v>1.1000000000000001</v>
      </c>
      <c r="B170" s="7">
        <v>44082.500578703701</v>
      </c>
      <c r="C170" s="8">
        <v>44082</v>
      </c>
      <c r="D170" s="8" t="s">
        <v>101</v>
      </c>
      <c r="E170" s="1" t="s">
        <v>442</v>
      </c>
      <c r="F170" s="8">
        <f>IF(TimeEntry[[#This Row],[Date]]=0,F169,C170+(7-Q170))</f>
        <v>44087</v>
      </c>
      <c r="G170" s="35" t="str">
        <f>INDEX(projects[Charge_Code],MATCH(TimeEntry[[#This Row],[Project_ID]],projects[Project_ID],0))</f>
        <v>210035-65 MC VBB WP1: DO-nota West (25-050)</v>
      </c>
      <c r="H170" s="1" t="str">
        <f t="shared" si="12"/>
        <v>Normal Time</v>
      </c>
      <c r="I170" s="1" t="s">
        <v>304</v>
      </c>
      <c r="J170" s="15">
        <v>4</v>
      </c>
      <c r="K170" s="15"/>
      <c r="L170" s="15"/>
      <c r="M170" s="15"/>
      <c r="N170" s="15"/>
      <c r="O170" s="15" t="str">
        <f>INDEX(projects[job number],MATCH(TimeEntry[[#This Row],[Project_ID]], projects[Project_ID],0))</f>
        <v>210035-65</v>
      </c>
      <c r="P170" s="15" t="str">
        <f>INDEX(projects[Project_Name],MATCH(TimeEntry[[#This Row],[Project_ID]], projects[Project_ID],0))</f>
        <v>MC VBB WP1: DO-nota West</v>
      </c>
      <c r="Q170" s="6">
        <f>IF(TimeEntry[[#This Row],[Date]]=0,"",WEEKDAY(C170,2))</f>
        <v>2</v>
      </c>
      <c r="R170" s="9">
        <f>YEAR(TimeEntry[[#This Row],[WkEnd]])</f>
        <v>2020</v>
      </c>
      <c r="S170" s="9">
        <f>WEEKNUM(TimeEntry[[#This Row],[WkEnd]])</f>
        <v>38</v>
      </c>
      <c r="T170" s="9" t="str">
        <f>TimeEntry[[#This Row],[Year]]&amp;"-"&amp;TimeEntry[[#This Row],[WkNo]]</f>
        <v>2020-38</v>
      </c>
    </row>
    <row r="171" spans="1:20" x14ac:dyDescent="0.25">
      <c r="A171" s="6">
        <f>MOD(IF(ROW()=2,0.1,IF(INDEX(TimeEntry[WkEnd],ROW()-1)  =  INDEX(TimeEntry[WkEnd],ROW()-2),    INDEX(TimeEntry[format],ROW()-2),    INDEX(TimeEntry[format],ROW()-2)    +1)),2)</f>
        <v>1.1000000000000001</v>
      </c>
      <c r="B171" s="7">
        <v>44081.681134259263</v>
      </c>
      <c r="C171" s="8">
        <v>44081</v>
      </c>
      <c r="D171" s="8" t="s">
        <v>104</v>
      </c>
      <c r="E171" s="1" t="s">
        <v>442</v>
      </c>
      <c r="F171" s="8">
        <f>IF(TimeEntry[[#This Row],[Date]]=0,F170,C171+(7-Q171))</f>
        <v>44087</v>
      </c>
      <c r="G171" s="35" t="str">
        <f>INDEX(projects[Charge_Code],MATCH(TimeEntry[[#This Row],[Project_ID]],projects[Project_ID],0))</f>
        <v>210035-65 MC VBB WP1: DO-nota West (25-050)</v>
      </c>
      <c r="H171" s="1" t="str">
        <f t="shared" si="12"/>
        <v>Normal Time</v>
      </c>
      <c r="I171" s="1" t="s">
        <v>303</v>
      </c>
      <c r="J171" s="15">
        <v>4.5</v>
      </c>
      <c r="K171" s="15"/>
      <c r="L171" s="15"/>
      <c r="M171" s="15"/>
      <c r="N171" s="15"/>
      <c r="O171" s="15" t="str">
        <f>INDEX(projects[job number],MATCH(TimeEntry[[#This Row],[Project_ID]], projects[Project_ID],0))</f>
        <v>210035-65</v>
      </c>
      <c r="P171" s="15" t="str">
        <f>INDEX(projects[Project_Name],MATCH(TimeEntry[[#This Row],[Project_ID]], projects[Project_ID],0))</f>
        <v>MC VBB WP1: DO-nota West</v>
      </c>
      <c r="Q171" s="6">
        <f>IF(TimeEntry[[#This Row],[Date]]=0,"",WEEKDAY(C171,2))</f>
        <v>1</v>
      </c>
      <c r="R171" s="9">
        <f>YEAR(TimeEntry[[#This Row],[WkEnd]])</f>
        <v>2020</v>
      </c>
      <c r="S171" s="9">
        <f>WEEKNUM(TimeEntry[[#This Row],[WkEnd]])</f>
        <v>38</v>
      </c>
      <c r="T171" s="9" t="str">
        <f>TimeEntry[[#This Row],[Year]]&amp;"-"&amp;TimeEntry[[#This Row],[WkNo]]</f>
        <v>2020-38</v>
      </c>
    </row>
    <row r="172" spans="1:20" x14ac:dyDescent="0.25">
      <c r="A172" s="6">
        <f>MOD(IF(ROW()=2,0.1,IF(INDEX(TimeEntry[WkEnd],ROW()-1)  =  INDEX(TimeEntry[WkEnd],ROW()-2),    INDEX(TimeEntry[format],ROW()-2),    INDEX(TimeEntry[format],ROW()-2)    +1)),2)</f>
        <v>1.1000000000000001</v>
      </c>
      <c r="B172" s="7">
        <v>44081.501886574071</v>
      </c>
      <c r="C172" s="8">
        <v>44081</v>
      </c>
      <c r="D172" s="8" t="s">
        <v>104</v>
      </c>
      <c r="E172" s="1" t="s">
        <v>442</v>
      </c>
      <c r="F172" s="8">
        <f>IF(TimeEntry[[#This Row],[Date]]=0,F171,C172+(7-Q172))</f>
        <v>44087</v>
      </c>
      <c r="G172" s="35" t="str">
        <f>INDEX(projects[Charge_Code],MATCH(TimeEntry[[#This Row],[Project_ID]],projects[Project_ID],0))</f>
        <v>210035-65 MC VBB WP1: DO-nota West (25-050)</v>
      </c>
      <c r="H172" s="1" t="str">
        <f t="shared" si="12"/>
        <v>Normal Time</v>
      </c>
      <c r="I172" s="1" t="s">
        <v>302</v>
      </c>
      <c r="J172" s="15">
        <v>3</v>
      </c>
      <c r="K172" s="15"/>
      <c r="L172" s="15"/>
      <c r="M172" s="15"/>
      <c r="N172" s="15"/>
      <c r="O172" s="15" t="str">
        <f>INDEX(projects[job number],MATCH(TimeEntry[[#This Row],[Project_ID]], projects[Project_ID],0))</f>
        <v>210035-65</v>
      </c>
      <c r="P172" s="15" t="str">
        <f>INDEX(projects[Project_Name],MATCH(TimeEntry[[#This Row],[Project_ID]], projects[Project_ID],0))</f>
        <v>MC VBB WP1: DO-nota West</v>
      </c>
      <c r="Q172" s="6">
        <f>IF(TimeEntry[[#This Row],[Date]]=0,"",WEEKDAY(C172,2))</f>
        <v>1</v>
      </c>
      <c r="R172" s="9">
        <f>YEAR(TimeEntry[[#This Row],[WkEnd]])</f>
        <v>2020</v>
      </c>
      <c r="S172" s="9">
        <f>WEEKNUM(TimeEntry[[#This Row],[WkEnd]])</f>
        <v>38</v>
      </c>
      <c r="T172" s="9" t="str">
        <f>TimeEntry[[#This Row],[Year]]&amp;"-"&amp;TimeEntry[[#This Row],[WkNo]]</f>
        <v>2020-38</v>
      </c>
    </row>
    <row r="173" spans="1:20" x14ac:dyDescent="0.25">
      <c r="A173" s="6">
        <f>MOD(IF(ROW()=2,0.1,IF(INDEX(TimeEntry[WkEnd],ROW()-1)  =  INDEX(TimeEntry[WkEnd],ROW()-2),    INDEX(TimeEntry[format],ROW()-2),    INDEX(TimeEntry[format],ROW()-2)    +1)),2)</f>
        <v>0.10000000000000009</v>
      </c>
      <c r="B173" s="7">
        <v>44078.667766203704</v>
      </c>
      <c r="C173" s="8">
        <v>44078</v>
      </c>
      <c r="D173" s="8" t="s">
        <v>106</v>
      </c>
      <c r="E173" s="1" t="s">
        <v>442</v>
      </c>
      <c r="F173" s="8">
        <f>IF(TimeEntry[[#This Row],[Date]]=0,F172,C173+(7-Q173))</f>
        <v>44080</v>
      </c>
      <c r="G173" s="35" t="str">
        <f>INDEX(projects[Charge_Code],MATCH(TimeEntry[[#This Row],[Project_ID]],projects[Project_ID],0))</f>
        <v>210035-65 MC VBB WP1: DO-nota West (25-050)</v>
      </c>
      <c r="H173" s="1" t="str">
        <f t="shared" si="12"/>
        <v>Normal Time</v>
      </c>
      <c r="I173" s="1" t="s">
        <v>300</v>
      </c>
      <c r="J173" s="15">
        <v>3.75</v>
      </c>
      <c r="K173" s="15"/>
      <c r="L173" s="15"/>
      <c r="M173" s="15"/>
      <c r="N173" s="15"/>
      <c r="O173" s="15" t="str">
        <f>INDEX(projects[job number],MATCH(TimeEntry[[#This Row],[Project_ID]], projects[Project_ID],0))</f>
        <v>210035-65</v>
      </c>
      <c r="P173" s="15" t="str">
        <f>INDEX(projects[Project_Name],MATCH(TimeEntry[[#This Row],[Project_ID]], projects[Project_ID],0))</f>
        <v>MC VBB WP1: DO-nota West</v>
      </c>
      <c r="Q173" s="6">
        <f>IF(TimeEntry[[#This Row],[Date]]=0,"",WEEKDAY(C173,2))</f>
        <v>5</v>
      </c>
      <c r="R173" s="9">
        <f>YEAR(TimeEntry[[#This Row],[WkEnd]])</f>
        <v>2020</v>
      </c>
      <c r="S173" s="9">
        <f>WEEKNUM(TimeEntry[[#This Row],[WkEnd]])</f>
        <v>37</v>
      </c>
      <c r="T173" s="9" t="str">
        <f>TimeEntry[[#This Row],[Year]]&amp;"-"&amp;TimeEntry[[#This Row],[WkNo]]</f>
        <v>2020-37</v>
      </c>
    </row>
    <row r="174" spans="1:20" x14ac:dyDescent="0.25">
      <c r="A174" s="6">
        <f>MOD(IF(ROW()=2,0.1,IF(INDEX(TimeEntry[WkEnd],ROW()-1)  =  INDEX(TimeEntry[WkEnd],ROW()-2),    INDEX(TimeEntry[format],ROW()-2),    INDEX(TimeEntry[format],ROW()-2)    +1)),2)</f>
        <v>0.10000000000000009</v>
      </c>
      <c r="B174" s="7">
        <v>44078.501168981478</v>
      </c>
      <c r="C174" s="8">
        <v>44078</v>
      </c>
      <c r="D174" s="8" t="s">
        <v>106</v>
      </c>
      <c r="E174" s="1" t="s">
        <v>442</v>
      </c>
      <c r="F174" s="8">
        <f>IF(TimeEntry[[#This Row],[Date]]=0,F173,C174+(7-Q174))</f>
        <v>44080</v>
      </c>
      <c r="G174" s="35" t="str">
        <f>INDEX(projects[Charge_Code],MATCH(TimeEntry[[#This Row],[Project_ID]],projects[Project_ID],0))</f>
        <v>210035-65 MC VBB WP1: DO-nota West (25-050)</v>
      </c>
      <c r="H174" s="1" t="str">
        <f t="shared" si="12"/>
        <v>Normal Time</v>
      </c>
      <c r="I174" s="1" t="s">
        <v>299</v>
      </c>
      <c r="J174" s="15">
        <v>3.75</v>
      </c>
      <c r="K174" s="15"/>
      <c r="L174" s="15"/>
      <c r="M174" s="15"/>
      <c r="N174" s="15"/>
      <c r="O174" s="15" t="str">
        <f>INDEX(projects[job number],MATCH(TimeEntry[[#This Row],[Project_ID]], projects[Project_ID],0))</f>
        <v>210035-65</v>
      </c>
      <c r="P174" s="15" t="str">
        <f>INDEX(projects[Project_Name],MATCH(TimeEntry[[#This Row],[Project_ID]], projects[Project_ID],0))</f>
        <v>MC VBB WP1: DO-nota West</v>
      </c>
      <c r="Q174" s="6">
        <f>IF(TimeEntry[[#This Row],[Date]]=0,"",WEEKDAY(C174,2))</f>
        <v>5</v>
      </c>
      <c r="R174" s="9">
        <f>YEAR(TimeEntry[[#This Row],[WkEnd]])</f>
        <v>2020</v>
      </c>
      <c r="S174" s="9">
        <f>WEEKNUM(TimeEntry[[#This Row],[WkEnd]])</f>
        <v>37</v>
      </c>
      <c r="T174" s="9" t="str">
        <f>TimeEntry[[#This Row],[Year]]&amp;"-"&amp;TimeEntry[[#This Row],[WkNo]]</f>
        <v>2020-37</v>
      </c>
    </row>
    <row r="175" spans="1:20" x14ac:dyDescent="0.25">
      <c r="A175" s="6">
        <f>MOD(IF(ROW()=2,0.1,IF(INDEX(TimeEntry[WkEnd],ROW()-1)  =  INDEX(TimeEntry[WkEnd],ROW()-2),    INDEX(TimeEntry[format],ROW()-2),    INDEX(TimeEntry[format],ROW()-2)    +1)),2)</f>
        <v>0.10000000000000009</v>
      </c>
      <c r="B175" s="7">
        <v>44077.667222222219</v>
      </c>
      <c r="C175" s="8">
        <v>44077</v>
      </c>
      <c r="D175" s="8" t="s">
        <v>102</v>
      </c>
      <c r="E175" s="1" t="s">
        <v>442</v>
      </c>
      <c r="F175" s="8">
        <f>IF(TimeEntry[[#This Row],[Date]]=0,F174,C175+(7-Q175))</f>
        <v>44080</v>
      </c>
      <c r="G175" s="35" t="str">
        <f>INDEX(projects[Charge_Code],MATCH(TimeEntry[[#This Row],[Project_ID]],projects[Project_ID],0))</f>
        <v>210035-65 MC VBB WP1: DO-nota West (25-050)</v>
      </c>
      <c r="H175" s="1" t="str">
        <f t="shared" si="12"/>
        <v>Normal Time</v>
      </c>
      <c r="I175" s="1" t="s">
        <v>298</v>
      </c>
      <c r="J175" s="15">
        <v>3.75</v>
      </c>
      <c r="K175" s="15"/>
      <c r="L175" s="15"/>
      <c r="M175" s="15"/>
      <c r="N175" s="15"/>
      <c r="O175" s="15" t="str">
        <f>INDEX(projects[job number],MATCH(TimeEntry[[#This Row],[Project_ID]], projects[Project_ID],0))</f>
        <v>210035-65</v>
      </c>
      <c r="P175" s="15" t="str">
        <f>INDEX(projects[Project_Name],MATCH(TimeEntry[[#This Row],[Project_ID]], projects[Project_ID],0))</f>
        <v>MC VBB WP1: DO-nota West</v>
      </c>
      <c r="Q175" s="6">
        <f>IF(TimeEntry[[#This Row],[Date]]=0,"",WEEKDAY(C175,2))</f>
        <v>4</v>
      </c>
      <c r="R175" s="9">
        <f>YEAR(TimeEntry[[#This Row],[WkEnd]])</f>
        <v>2020</v>
      </c>
      <c r="S175" s="9">
        <f>WEEKNUM(TimeEntry[[#This Row],[WkEnd]])</f>
        <v>37</v>
      </c>
      <c r="T175" s="9" t="str">
        <f>TimeEntry[[#This Row],[Year]]&amp;"-"&amp;TimeEntry[[#This Row],[WkNo]]</f>
        <v>2020-37</v>
      </c>
    </row>
    <row r="176" spans="1:20" x14ac:dyDescent="0.25">
      <c r="A176" s="6">
        <f>MOD(IF(ROW()=2,0.1,IF(INDEX(TimeEntry[WkEnd],ROW()-1)  =  INDEX(TimeEntry[WkEnd],ROW()-2),    INDEX(TimeEntry[format],ROW()-2),    INDEX(TimeEntry[format],ROW()-2)    +1)),2)</f>
        <v>0.10000000000000009</v>
      </c>
      <c r="B176" s="7">
        <v>44077.501539351855</v>
      </c>
      <c r="C176" s="8">
        <v>44077</v>
      </c>
      <c r="D176" s="8" t="s">
        <v>102</v>
      </c>
      <c r="E176" s="1" t="s">
        <v>442</v>
      </c>
      <c r="F176" s="8">
        <f>IF(TimeEntry[[#This Row],[Date]]=0,F175,C176+(7-Q176))</f>
        <v>44080</v>
      </c>
      <c r="G176" s="35" t="str">
        <f>INDEX(projects[Charge_Code],MATCH(TimeEntry[[#This Row],[Project_ID]],projects[Project_ID],0))</f>
        <v>210035-65 MC VBB WP1: DO-nota West (25-050)</v>
      </c>
      <c r="H176" s="1" t="str">
        <f t="shared" si="12"/>
        <v>Normal Time</v>
      </c>
      <c r="I176" s="1" t="s">
        <v>297</v>
      </c>
      <c r="J176" s="15">
        <v>3.75</v>
      </c>
      <c r="K176" s="15"/>
      <c r="L176" s="15"/>
      <c r="M176" s="15"/>
      <c r="N176" s="15"/>
      <c r="O176" s="15" t="str">
        <f>INDEX(projects[job number],MATCH(TimeEntry[[#This Row],[Project_ID]], projects[Project_ID],0))</f>
        <v>210035-65</v>
      </c>
      <c r="P176" s="15" t="str">
        <f>INDEX(projects[Project_Name],MATCH(TimeEntry[[#This Row],[Project_ID]], projects[Project_ID],0))</f>
        <v>MC VBB WP1: DO-nota West</v>
      </c>
      <c r="Q176" s="6">
        <f>IF(TimeEntry[[#This Row],[Date]]=0,"",WEEKDAY(C176,2))</f>
        <v>4</v>
      </c>
      <c r="R176" s="9">
        <f>YEAR(TimeEntry[[#This Row],[WkEnd]])</f>
        <v>2020</v>
      </c>
      <c r="S176" s="9">
        <f>WEEKNUM(TimeEntry[[#This Row],[WkEnd]])</f>
        <v>37</v>
      </c>
      <c r="T176" s="9" t="str">
        <f>TimeEntry[[#This Row],[Year]]&amp;"-"&amp;TimeEntry[[#This Row],[WkNo]]</f>
        <v>2020-37</v>
      </c>
    </row>
    <row r="177" spans="1:20" x14ac:dyDescent="0.25">
      <c r="A177" s="6">
        <f>MOD(IF(ROW()=2,0.1,IF(INDEX(TimeEntry[WkEnd],ROW()-1)  =  INDEX(TimeEntry[WkEnd],ROW()-2),    INDEX(TimeEntry[format],ROW()-2),    INDEX(TimeEntry[format],ROW()-2)    +1)),2)</f>
        <v>0.10000000000000009</v>
      </c>
      <c r="B177" s="7">
        <v>44076.683321759258</v>
      </c>
      <c r="C177" s="8">
        <v>44076</v>
      </c>
      <c r="D177" s="8" t="s">
        <v>100</v>
      </c>
      <c r="E177" s="1" t="s">
        <v>442</v>
      </c>
      <c r="F177" s="8">
        <f>IF(TimeEntry[[#This Row],[Date]]=0,F176,C177+(7-Q177))</f>
        <v>44080</v>
      </c>
      <c r="G177" s="35" t="str">
        <f>INDEX(projects[Charge_Code],MATCH(TimeEntry[[#This Row],[Project_ID]],projects[Project_ID],0))</f>
        <v>210035-65 MC VBB WP1: DO-nota West (25-050)</v>
      </c>
      <c r="H177" s="1" t="str">
        <f t="shared" si="12"/>
        <v>Normal Time</v>
      </c>
      <c r="I177" s="1" t="s">
        <v>296</v>
      </c>
      <c r="J177" s="15">
        <v>3.75</v>
      </c>
      <c r="K177" s="15"/>
      <c r="L177" s="15"/>
      <c r="M177" s="15"/>
      <c r="N177" s="15"/>
      <c r="O177" s="15" t="str">
        <f>INDEX(projects[job number],MATCH(TimeEntry[[#This Row],[Project_ID]], projects[Project_ID],0))</f>
        <v>210035-65</v>
      </c>
      <c r="P177" s="15" t="str">
        <f>INDEX(projects[Project_Name],MATCH(TimeEntry[[#This Row],[Project_ID]], projects[Project_ID],0))</f>
        <v>MC VBB WP1: DO-nota West</v>
      </c>
      <c r="Q177" s="6">
        <f>IF(TimeEntry[[#This Row],[Date]]=0,"",WEEKDAY(C177,2))</f>
        <v>3</v>
      </c>
      <c r="R177" s="9">
        <f>YEAR(TimeEntry[[#This Row],[WkEnd]])</f>
        <v>2020</v>
      </c>
      <c r="S177" s="9">
        <f>WEEKNUM(TimeEntry[[#This Row],[WkEnd]])</f>
        <v>37</v>
      </c>
      <c r="T177" s="9" t="str">
        <f>TimeEntry[[#This Row],[Year]]&amp;"-"&amp;TimeEntry[[#This Row],[WkNo]]</f>
        <v>2020-37</v>
      </c>
    </row>
    <row r="178" spans="1:20" x14ac:dyDescent="0.25">
      <c r="A178" s="6">
        <f>MOD(IF(ROW()=2,0.1,IF(INDEX(TimeEntry[WkEnd],ROW()-1)  =  INDEX(TimeEntry[WkEnd],ROW()-2),    INDEX(TimeEntry[format],ROW()-2),    INDEX(TimeEntry[format],ROW()-2)    +1)),2)</f>
        <v>0.10000000000000009</v>
      </c>
      <c r="B178" s="7">
        <v>44076.501597222225</v>
      </c>
      <c r="C178" s="8">
        <v>44076</v>
      </c>
      <c r="D178" s="8" t="s">
        <v>100</v>
      </c>
      <c r="E178" s="1" t="s">
        <v>442</v>
      </c>
      <c r="F178" s="8">
        <f>IF(TimeEntry[[#This Row],[Date]]=0,F177,C178+(7-Q178))</f>
        <v>44080</v>
      </c>
      <c r="G178" s="35" t="str">
        <f>INDEX(projects[Charge_Code],MATCH(TimeEntry[[#This Row],[Project_ID]],projects[Project_ID],0))</f>
        <v>210035-65 MC VBB WP1: DO-nota West (25-050)</v>
      </c>
      <c r="H178" s="1" t="str">
        <f t="shared" si="12"/>
        <v>Normal Time</v>
      </c>
      <c r="I178" s="1" t="s">
        <v>295</v>
      </c>
      <c r="J178" s="15">
        <v>3.75</v>
      </c>
      <c r="K178" s="15"/>
      <c r="L178" s="15"/>
      <c r="M178" s="15"/>
      <c r="N178" s="15"/>
      <c r="O178" s="15" t="str">
        <f>INDEX(projects[job number],MATCH(TimeEntry[[#This Row],[Project_ID]], projects[Project_ID],0))</f>
        <v>210035-65</v>
      </c>
      <c r="P178" s="15" t="str">
        <f>INDEX(projects[Project_Name],MATCH(TimeEntry[[#This Row],[Project_ID]], projects[Project_ID],0))</f>
        <v>MC VBB WP1: DO-nota West</v>
      </c>
      <c r="Q178" s="6">
        <f>IF(TimeEntry[[#This Row],[Date]]=0,"",WEEKDAY(C178,2))</f>
        <v>3</v>
      </c>
      <c r="R178" s="9">
        <f>YEAR(TimeEntry[[#This Row],[WkEnd]])</f>
        <v>2020</v>
      </c>
      <c r="S178" s="9">
        <f>WEEKNUM(TimeEntry[[#This Row],[WkEnd]])</f>
        <v>37</v>
      </c>
      <c r="T178" s="9" t="str">
        <f>TimeEntry[[#This Row],[Year]]&amp;"-"&amp;TimeEntry[[#This Row],[WkNo]]</f>
        <v>2020-37</v>
      </c>
    </row>
    <row r="179" spans="1:20" x14ac:dyDescent="0.25">
      <c r="A179" s="6">
        <f>MOD(IF(ROW()=2,0.1,IF(INDEX(TimeEntry[WkEnd],ROW()-1)  =  INDEX(TimeEntry[WkEnd],ROW()-2),    INDEX(TimeEntry[format],ROW()-2),    INDEX(TimeEntry[format],ROW()-2)    +1)),2)</f>
        <v>0.10000000000000009</v>
      </c>
      <c r="B179" s="7">
        <v>44075.683703703704</v>
      </c>
      <c r="C179" s="8">
        <v>44075</v>
      </c>
      <c r="D179" s="8" t="s">
        <v>101</v>
      </c>
      <c r="E179" s="1" t="s">
        <v>442</v>
      </c>
      <c r="F179" s="8">
        <f>IF(TimeEntry[[#This Row],[Date]]=0,F178,C179+(7-Q179))</f>
        <v>44080</v>
      </c>
      <c r="G179" s="35" t="str">
        <f>INDEX(projects[Charge_Code],MATCH(TimeEntry[[#This Row],[Project_ID]],projects[Project_ID],0))</f>
        <v>210035-65 MC VBB WP1: DO-nota West (25-050)</v>
      </c>
      <c r="H179" s="1" t="str">
        <f t="shared" si="12"/>
        <v>Normal Time</v>
      </c>
      <c r="I179" s="1" t="s">
        <v>294</v>
      </c>
      <c r="J179" s="15">
        <v>3.75</v>
      </c>
      <c r="K179" s="15"/>
      <c r="L179" s="15"/>
      <c r="M179" s="15"/>
      <c r="N179" s="15"/>
      <c r="O179" s="15" t="str">
        <f>INDEX(projects[job number],MATCH(TimeEntry[[#This Row],[Project_ID]], projects[Project_ID],0))</f>
        <v>210035-65</v>
      </c>
      <c r="P179" s="15" t="str">
        <f>INDEX(projects[Project_Name],MATCH(TimeEntry[[#This Row],[Project_ID]], projects[Project_ID],0))</f>
        <v>MC VBB WP1: DO-nota West</v>
      </c>
      <c r="Q179" s="6">
        <f>IF(TimeEntry[[#This Row],[Date]]=0,"",WEEKDAY(C179,2))</f>
        <v>2</v>
      </c>
      <c r="R179" s="9">
        <f>YEAR(TimeEntry[[#This Row],[WkEnd]])</f>
        <v>2020</v>
      </c>
      <c r="S179" s="9">
        <f>WEEKNUM(TimeEntry[[#This Row],[WkEnd]])</f>
        <v>37</v>
      </c>
      <c r="T179" s="9" t="str">
        <f>TimeEntry[[#This Row],[Year]]&amp;"-"&amp;TimeEntry[[#This Row],[WkNo]]</f>
        <v>2020-37</v>
      </c>
    </row>
    <row r="180" spans="1:20" x14ac:dyDescent="0.25">
      <c r="A180" s="6">
        <f>MOD(IF(ROW()=2,0.1,IF(INDEX(TimeEntry[WkEnd],ROW()-1)  =  INDEX(TimeEntry[WkEnd],ROW()-2),    INDEX(TimeEntry[format],ROW()-2),    INDEX(TimeEntry[format],ROW()-2)    +1)),2)</f>
        <v>0.10000000000000009</v>
      </c>
      <c r="B180" s="7">
        <v>44075.50271990741</v>
      </c>
      <c r="C180" s="8">
        <v>44075</v>
      </c>
      <c r="D180" s="8" t="s">
        <v>101</v>
      </c>
      <c r="E180" s="1" t="s">
        <v>442</v>
      </c>
      <c r="F180" s="8">
        <f>IF(TimeEntry[[#This Row],[Date]]=0,F179,C180+(7-Q180))</f>
        <v>44080</v>
      </c>
      <c r="G180" s="35" t="str">
        <f>INDEX(projects[Charge_Code],MATCH(TimeEntry[[#This Row],[Project_ID]],projects[Project_ID],0))</f>
        <v>210035-65 MC VBB WP1: DO-nota West (25-050)</v>
      </c>
      <c r="H180" s="1" t="str">
        <f t="shared" si="12"/>
        <v>Normal Time</v>
      </c>
      <c r="I180" s="1" t="s">
        <v>293</v>
      </c>
      <c r="J180" s="15">
        <v>3.75</v>
      </c>
      <c r="K180" s="15"/>
      <c r="L180" s="15"/>
      <c r="M180" s="15"/>
      <c r="N180" s="15"/>
      <c r="O180" s="15" t="str">
        <f>INDEX(projects[job number],MATCH(TimeEntry[[#This Row],[Project_ID]], projects[Project_ID],0))</f>
        <v>210035-65</v>
      </c>
      <c r="P180" s="15" t="str">
        <f>INDEX(projects[Project_Name],MATCH(TimeEntry[[#This Row],[Project_ID]], projects[Project_ID],0))</f>
        <v>MC VBB WP1: DO-nota West</v>
      </c>
      <c r="Q180" s="6">
        <f>IF(TimeEntry[[#This Row],[Date]]=0,"",WEEKDAY(C180,2))</f>
        <v>2</v>
      </c>
      <c r="R180" s="9">
        <f>YEAR(TimeEntry[[#This Row],[WkEnd]])</f>
        <v>2020</v>
      </c>
      <c r="S180" s="9">
        <f>WEEKNUM(TimeEntry[[#This Row],[WkEnd]])</f>
        <v>37</v>
      </c>
      <c r="T180" s="9" t="str">
        <f>TimeEntry[[#This Row],[Year]]&amp;"-"&amp;TimeEntry[[#This Row],[WkNo]]</f>
        <v>2020-37</v>
      </c>
    </row>
    <row r="181" spans="1:20" x14ac:dyDescent="0.25">
      <c r="A181" s="6">
        <f>MOD(IF(ROW()=2,0.1,IF(INDEX(TimeEntry[WkEnd],ROW()-1)  =  INDEX(TimeEntry[WkEnd],ROW()-2),    INDEX(TimeEntry[format],ROW()-2),    INDEX(TimeEntry[format],ROW()-2)    +1)),2)</f>
        <v>0.10000000000000009</v>
      </c>
      <c r="B181" s="7">
        <v>44074</v>
      </c>
      <c r="C181" s="8">
        <v>44074</v>
      </c>
      <c r="D181" s="8" t="s">
        <v>104</v>
      </c>
      <c r="E181" s="1" t="s">
        <v>444</v>
      </c>
      <c r="F181" s="8">
        <f>IF(TimeEntry[[#This Row],[Date]]=0,F180,C181+(7-Q181))</f>
        <v>44080</v>
      </c>
      <c r="G181" s="35" t="str">
        <f>INDEX(projects[Charge_Code],MATCH(TimeEntry[[#This Row],[Project_ID]],projects[Project_ID],0))</f>
        <v>LEAVE</v>
      </c>
      <c r="H181" s="1" t="str">
        <f t="shared" si="12"/>
        <v>Normal Time</v>
      </c>
      <c r="I181" s="1"/>
      <c r="J181" s="15">
        <v>7.5</v>
      </c>
      <c r="K181" s="15"/>
      <c r="L181" s="15"/>
      <c r="M181" s="15"/>
      <c r="N181" s="15"/>
      <c r="O181" s="15" t="str">
        <f>INDEX(projects[job number],MATCH(TimeEntry[[#This Row],[Project_ID]], projects[Project_ID],0))</f>
        <v>LEAVE</v>
      </c>
      <c r="P181" s="15">
        <f>INDEX(projects[Project_Name],MATCH(TimeEntry[[#This Row],[Project_ID]], projects[Project_ID],0))</f>
        <v>0</v>
      </c>
      <c r="Q181" s="6">
        <f>IF(TimeEntry[[#This Row],[Date]]=0,"",WEEKDAY(C181,2))</f>
        <v>1</v>
      </c>
      <c r="R181" s="9">
        <f>YEAR(TimeEntry[[#This Row],[WkEnd]])</f>
        <v>2020</v>
      </c>
      <c r="S181" s="9">
        <f>WEEKNUM(TimeEntry[[#This Row],[WkEnd]])</f>
        <v>37</v>
      </c>
      <c r="T181" s="9" t="str">
        <f>TimeEntry[[#This Row],[Year]]&amp;"-"&amp;TimeEntry[[#This Row],[WkNo]]</f>
        <v>2020-37</v>
      </c>
    </row>
    <row r="182" spans="1:20" x14ac:dyDescent="0.25">
      <c r="A182" s="6">
        <f>MOD(IF(ROW()=2,0.1,IF(INDEX(TimeEntry[WkEnd],ROW()-1)  =  INDEX(TimeEntry[WkEnd],ROW()-2),    INDEX(TimeEntry[format],ROW()-2),    INDEX(TimeEntry[format],ROW()-2)    +1)),2)</f>
        <v>1.1000000000000001</v>
      </c>
      <c r="B182" s="7">
        <v>44071.666979166665</v>
      </c>
      <c r="C182" s="8">
        <v>44071</v>
      </c>
      <c r="D182" s="8" t="s">
        <v>106</v>
      </c>
      <c r="E182" s="1" t="s">
        <v>442</v>
      </c>
      <c r="F182" s="8">
        <f>IF(TimeEntry[[#This Row],[Date]]=0,F181,C182+(7-Q182))</f>
        <v>44073</v>
      </c>
      <c r="G182" s="35" t="str">
        <f>INDEX(projects[Charge_Code],MATCH(TimeEntry[[#This Row],[Project_ID]],projects[Project_ID],0))</f>
        <v>210035-65 MC VBB WP1: DO-nota West (25-050)</v>
      </c>
      <c r="H182" s="1" t="str">
        <f t="shared" si="12"/>
        <v>Normal Time</v>
      </c>
      <c r="I182" s="1" t="s">
        <v>282</v>
      </c>
      <c r="J182" s="15">
        <v>7.5</v>
      </c>
      <c r="K182" s="15"/>
      <c r="L182" s="15"/>
      <c r="M182" s="15"/>
      <c r="N182" s="15"/>
      <c r="O182" s="15" t="str">
        <f>INDEX(projects[job number],MATCH(TimeEntry[[#This Row],[Project_ID]], projects[Project_ID],0))</f>
        <v>210035-65</v>
      </c>
      <c r="P182" s="15" t="str">
        <f>INDEX(projects[Project_Name],MATCH(TimeEntry[[#This Row],[Project_ID]], projects[Project_ID],0))</f>
        <v>MC VBB WP1: DO-nota West</v>
      </c>
      <c r="Q182" s="6">
        <f>IF(TimeEntry[[#This Row],[Date]]=0,"",WEEKDAY(C182,2))</f>
        <v>5</v>
      </c>
      <c r="R182" s="9">
        <f>YEAR(TimeEntry[[#This Row],[WkEnd]])</f>
        <v>2020</v>
      </c>
      <c r="S182" s="9">
        <f>WEEKNUM(TimeEntry[[#This Row],[WkEnd]])</f>
        <v>36</v>
      </c>
      <c r="T182" s="9" t="str">
        <f>TimeEntry[[#This Row],[Year]]&amp;"-"&amp;TimeEntry[[#This Row],[WkNo]]</f>
        <v>2020-36</v>
      </c>
    </row>
    <row r="183" spans="1:20" x14ac:dyDescent="0.25">
      <c r="A183" s="6">
        <f>MOD(IF(ROW()=2,0.1,IF(INDEX(TimeEntry[WkEnd],ROW()-1)  =  INDEX(TimeEntry[WkEnd],ROW()-2),    INDEX(TimeEntry[format],ROW()-2),    INDEX(TimeEntry[format],ROW()-2)    +1)),2)</f>
        <v>1.1000000000000001</v>
      </c>
      <c r="B183" s="7">
        <v>44070.669733796298</v>
      </c>
      <c r="C183" s="8">
        <v>44070</v>
      </c>
      <c r="D183" s="8" t="s">
        <v>102</v>
      </c>
      <c r="E183" s="1" t="s">
        <v>442</v>
      </c>
      <c r="F183" s="8">
        <f>IF(TimeEntry[[#This Row],[Date]]=0,F182,C183+(7-Q183))</f>
        <v>44073</v>
      </c>
      <c r="G183" s="35" t="str">
        <f>INDEX(projects[Charge_Code],MATCH(TimeEntry[[#This Row],[Project_ID]],projects[Project_ID],0))</f>
        <v>210035-65 MC VBB WP1: DO-nota West (25-050)</v>
      </c>
      <c r="H183" s="1" t="str">
        <f t="shared" si="12"/>
        <v>Normal Time</v>
      </c>
      <c r="I183" s="1" t="s">
        <v>283</v>
      </c>
      <c r="J183" s="15">
        <v>2</v>
      </c>
      <c r="K183" s="15"/>
      <c r="L183" s="15"/>
      <c r="M183" s="15"/>
      <c r="N183" s="15"/>
      <c r="O183" s="15" t="str">
        <f>INDEX(projects[job number],MATCH(TimeEntry[[#This Row],[Project_ID]], projects[Project_ID],0))</f>
        <v>210035-65</v>
      </c>
      <c r="P183" s="15" t="str">
        <f>INDEX(projects[Project_Name],MATCH(TimeEntry[[#This Row],[Project_ID]], projects[Project_ID],0))</f>
        <v>MC VBB WP1: DO-nota West</v>
      </c>
      <c r="Q183" s="6">
        <f>IF(TimeEntry[[#This Row],[Date]]=0,"",WEEKDAY(C183,2))</f>
        <v>4</v>
      </c>
      <c r="R183" s="9">
        <f>YEAR(TimeEntry[[#This Row],[WkEnd]])</f>
        <v>2020</v>
      </c>
      <c r="S183" s="9">
        <f>WEEKNUM(TimeEntry[[#This Row],[WkEnd]])</f>
        <v>36</v>
      </c>
      <c r="T183" s="9" t="str">
        <f>TimeEntry[[#This Row],[Year]]&amp;"-"&amp;TimeEntry[[#This Row],[WkNo]]</f>
        <v>2020-36</v>
      </c>
    </row>
    <row r="184" spans="1:20" x14ac:dyDescent="0.25">
      <c r="A184" s="6">
        <f>MOD(IF(ROW()=2,0.1,IF(INDEX(TimeEntry[WkEnd],ROW()-1)  =  INDEX(TimeEntry[WkEnd],ROW()-2),    INDEX(TimeEntry[format],ROW()-2),    INDEX(TimeEntry[format],ROW()-2)    +1)),2)</f>
        <v>1.1000000000000001</v>
      </c>
      <c r="B184" s="7">
        <v>44070.500532407408</v>
      </c>
      <c r="C184" s="8">
        <v>44070</v>
      </c>
      <c r="D184" s="8" t="s">
        <v>102</v>
      </c>
      <c r="E184" s="1" t="s">
        <v>442</v>
      </c>
      <c r="F184" s="8">
        <f>IF(TimeEntry[[#This Row],[Date]]=0,F183,C184+(7-Q184))</f>
        <v>44073</v>
      </c>
      <c r="G184" s="35" t="str">
        <f>INDEX(projects[Charge_Code],MATCH(TimeEntry[[#This Row],[Project_ID]],projects[Project_ID],0))</f>
        <v>210035-65 MC VBB WP1: DO-nota West (25-050)</v>
      </c>
      <c r="H184" s="1" t="str">
        <f t="shared" si="12"/>
        <v>Normal Time</v>
      </c>
      <c r="I184" s="1" t="s">
        <v>284</v>
      </c>
      <c r="J184" s="15">
        <v>5.5</v>
      </c>
      <c r="K184" s="15"/>
      <c r="L184" s="15"/>
      <c r="M184" s="15"/>
      <c r="N184" s="15"/>
      <c r="O184" s="15" t="str">
        <f>INDEX(projects[job number],MATCH(TimeEntry[[#This Row],[Project_ID]], projects[Project_ID],0))</f>
        <v>210035-65</v>
      </c>
      <c r="P184" s="15" t="str">
        <f>INDEX(projects[Project_Name],MATCH(TimeEntry[[#This Row],[Project_ID]], projects[Project_ID],0))</f>
        <v>MC VBB WP1: DO-nota West</v>
      </c>
      <c r="Q184" s="6">
        <f>IF(TimeEntry[[#This Row],[Date]]=0,"",WEEKDAY(C184,2))</f>
        <v>4</v>
      </c>
      <c r="R184" s="9">
        <f>YEAR(TimeEntry[[#This Row],[WkEnd]])</f>
        <v>2020</v>
      </c>
      <c r="S184" s="9">
        <f>WEEKNUM(TimeEntry[[#This Row],[WkEnd]])</f>
        <v>36</v>
      </c>
      <c r="T184" s="9" t="str">
        <f>TimeEntry[[#This Row],[Year]]&amp;"-"&amp;TimeEntry[[#This Row],[WkNo]]</f>
        <v>2020-36</v>
      </c>
    </row>
    <row r="185" spans="1:20" x14ac:dyDescent="0.25">
      <c r="A185" s="6">
        <f>MOD(IF(ROW()=2,0.1,IF(INDEX(TimeEntry[WkEnd],ROW()-1)  =  INDEX(TimeEntry[WkEnd],ROW()-2),    INDEX(TimeEntry[format],ROW()-2),    INDEX(TimeEntry[format],ROW()-2)    +1)),2)</f>
        <v>1.1000000000000001</v>
      </c>
      <c r="B185" s="7">
        <v>44069.675509259258</v>
      </c>
      <c r="C185" s="8">
        <v>44069</v>
      </c>
      <c r="D185" s="8" t="s">
        <v>100</v>
      </c>
      <c r="E185" s="1" t="s">
        <v>442</v>
      </c>
      <c r="F185" s="8">
        <f>IF(TimeEntry[[#This Row],[Date]]=0,F184,C185+(7-Q185))</f>
        <v>44073</v>
      </c>
      <c r="G185" s="35" t="str">
        <f>INDEX(projects[Charge_Code],MATCH(TimeEntry[[#This Row],[Project_ID]],projects[Project_ID],0))</f>
        <v>210035-65 MC VBB WP1: DO-nota West (25-050)</v>
      </c>
      <c r="H185" s="1" t="str">
        <f t="shared" si="12"/>
        <v>Normal Time</v>
      </c>
      <c r="I185" s="1" t="s">
        <v>287</v>
      </c>
      <c r="J185" s="15">
        <v>5.5</v>
      </c>
      <c r="K185" s="15"/>
      <c r="L185" s="15"/>
      <c r="M185" s="15"/>
      <c r="N185" s="15"/>
      <c r="O185" s="15" t="str">
        <f>INDEX(projects[job number],MATCH(TimeEntry[[#This Row],[Project_ID]], projects[Project_ID],0))</f>
        <v>210035-65</v>
      </c>
      <c r="P185" s="15" t="str">
        <f>INDEX(projects[Project_Name],MATCH(TimeEntry[[#This Row],[Project_ID]], projects[Project_ID],0))</f>
        <v>MC VBB WP1: DO-nota West</v>
      </c>
      <c r="Q185" s="6">
        <f>IF(TimeEntry[[#This Row],[Date]]=0,"",WEEKDAY(C185,2))</f>
        <v>3</v>
      </c>
      <c r="R185" s="9">
        <f>YEAR(TimeEntry[[#This Row],[WkEnd]])</f>
        <v>2020</v>
      </c>
      <c r="S185" s="9">
        <f>WEEKNUM(TimeEntry[[#This Row],[WkEnd]])</f>
        <v>36</v>
      </c>
      <c r="T185" s="9" t="str">
        <f>TimeEntry[[#This Row],[Year]]&amp;"-"&amp;TimeEntry[[#This Row],[WkNo]]</f>
        <v>2020-36</v>
      </c>
    </row>
    <row r="186" spans="1:20" x14ac:dyDescent="0.25">
      <c r="A186" s="6">
        <f>MOD(IF(ROW()=2,0.1,IF(INDEX(TimeEntry[WkEnd],ROW()-1)  =  INDEX(TimeEntry[WkEnd],ROW()-2),    INDEX(TimeEntry[format],ROW()-2),    INDEX(TimeEntry[format],ROW()-2)    +1)),2)</f>
        <v>1.1000000000000001</v>
      </c>
      <c r="B186" s="7">
        <v>44069.50068287037</v>
      </c>
      <c r="C186" s="8">
        <v>44069</v>
      </c>
      <c r="D186" s="8" t="s">
        <v>100</v>
      </c>
      <c r="E186" s="1" t="s">
        <v>676</v>
      </c>
      <c r="F186" s="8">
        <f>IF(TimeEntry[[#This Row],[Date]]=0,F185,C186+(7-Q186))</f>
        <v>44073</v>
      </c>
      <c r="G186" s="35" t="str">
        <f>INDEX(projects[Charge_Code],MATCH(TimeEntry[[#This Row],[Project_ID]],projects[Project_ID],0))</f>
        <v>074097-29 BCST Appraisal (01-124)</v>
      </c>
      <c r="H186" s="1" t="str">
        <f t="shared" si="12"/>
        <v>Normal Time</v>
      </c>
      <c r="I186" s="1" t="s">
        <v>288</v>
      </c>
      <c r="J186" s="15">
        <v>2</v>
      </c>
      <c r="K186" s="15"/>
      <c r="L186" s="15"/>
      <c r="M186" s="15"/>
      <c r="N186" s="15"/>
      <c r="O186" s="15" t="str">
        <f>INDEX(projects[job number],MATCH(TimeEntry[[#This Row],[Project_ID]], projects[Project_ID],0))</f>
        <v>074097-29</v>
      </c>
      <c r="P186" s="15" t="str">
        <f>INDEX(projects[Project_Name],MATCH(TimeEntry[[#This Row],[Project_ID]], projects[Project_ID],0))</f>
        <v>BCST Appraisal</v>
      </c>
      <c r="Q186" s="6">
        <f>IF(TimeEntry[[#This Row],[Date]]=0,"",WEEKDAY(C186,2))</f>
        <v>3</v>
      </c>
      <c r="R186" s="9">
        <f>YEAR(TimeEntry[[#This Row],[WkEnd]])</f>
        <v>2020</v>
      </c>
      <c r="S186" s="9">
        <f>WEEKNUM(TimeEntry[[#This Row],[WkEnd]])</f>
        <v>36</v>
      </c>
      <c r="T186" s="9" t="str">
        <f>TimeEntry[[#This Row],[Year]]&amp;"-"&amp;TimeEntry[[#This Row],[WkNo]]</f>
        <v>2020-36</v>
      </c>
    </row>
    <row r="187" spans="1:20" x14ac:dyDescent="0.25">
      <c r="A187" s="6">
        <f>MOD(IF(ROW()=2,0.1,IF(INDEX(TimeEntry[WkEnd],ROW()-1)  =  INDEX(TimeEntry[WkEnd],ROW()-2),    INDEX(TimeEntry[format],ROW()-2),    INDEX(TimeEntry[format],ROW()-2)    +1)),2)</f>
        <v>1.1000000000000001</v>
      </c>
      <c r="B187" s="7">
        <v>44068.670497685183</v>
      </c>
      <c r="C187" s="8">
        <v>44068</v>
      </c>
      <c r="D187" s="8" t="s">
        <v>101</v>
      </c>
      <c r="E187" s="1" t="s">
        <v>442</v>
      </c>
      <c r="F187" s="8">
        <f>IF(TimeEntry[[#This Row],[Date]]=0,F186,C187+(7-Q187))</f>
        <v>44073</v>
      </c>
      <c r="G187" s="35" t="str">
        <f>INDEX(projects[Charge_Code],MATCH(TimeEntry[[#This Row],[Project_ID]],projects[Project_ID],0))</f>
        <v>210035-65 MC VBB WP1: DO-nota West (25-050)</v>
      </c>
      <c r="H187" s="1" t="str">
        <f t="shared" si="12"/>
        <v>Normal Time</v>
      </c>
      <c r="I187" s="1" t="s">
        <v>289</v>
      </c>
      <c r="J187" s="15">
        <v>3.75</v>
      </c>
      <c r="K187" s="15"/>
      <c r="L187" s="15"/>
      <c r="M187" s="15"/>
      <c r="N187" s="15"/>
      <c r="O187" s="15" t="str">
        <f>INDEX(projects[job number],MATCH(TimeEntry[[#This Row],[Project_ID]], projects[Project_ID],0))</f>
        <v>210035-65</v>
      </c>
      <c r="P187" s="15" t="str">
        <f>INDEX(projects[Project_Name],MATCH(TimeEntry[[#This Row],[Project_ID]], projects[Project_ID],0))</f>
        <v>MC VBB WP1: DO-nota West</v>
      </c>
      <c r="Q187" s="6">
        <f>IF(TimeEntry[[#This Row],[Date]]=0,"",WEEKDAY(C187,2))</f>
        <v>2</v>
      </c>
      <c r="R187" s="9">
        <f>YEAR(TimeEntry[[#This Row],[WkEnd]])</f>
        <v>2020</v>
      </c>
      <c r="S187" s="9">
        <f>WEEKNUM(TimeEntry[[#This Row],[WkEnd]])</f>
        <v>36</v>
      </c>
      <c r="T187" s="9" t="str">
        <f>TimeEntry[[#This Row],[Year]]&amp;"-"&amp;TimeEntry[[#This Row],[WkNo]]</f>
        <v>2020-36</v>
      </c>
    </row>
    <row r="188" spans="1:20" x14ac:dyDescent="0.25">
      <c r="A188" s="6">
        <f>MOD(IF(ROW()=2,0.1,IF(INDEX(TimeEntry[WkEnd],ROW()-1)  =  INDEX(TimeEntry[WkEnd],ROW()-2),    INDEX(TimeEntry[format],ROW()-2),    INDEX(TimeEntry[format],ROW()-2)    +1)),2)</f>
        <v>1.1000000000000001</v>
      </c>
      <c r="B188" s="7">
        <v>44068.506423611114</v>
      </c>
      <c r="C188" s="8">
        <v>44068</v>
      </c>
      <c r="D188" s="8" t="s">
        <v>101</v>
      </c>
      <c r="E188" s="1" t="s">
        <v>442</v>
      </c>
      <c r="F188" s="8">
        <f>IF(TimeEntry[[#This Row],[Date]]=0,F187,C188+(7-Q188))</f>
        <v>44073</v>
      </c>
      <c r="G188" s="35" t="str">
        <f>INDEX(projects[Charge_Code],MATCH(TimeEntry[[#This Row],[Project_ID]],projects[Project_ID],0))</f>
        <v>210035-65 MC VBB WP1: DO-nota West (25-050)</v>
      </c>
      <c r="H188" s="1" t="str">
        <f t="shared" si="12"/>
        <v>Normal Time</v>
      </c>
      <c r="I188" s="1" t="s">
        <v>285</v>
      </c>
      <c r="J188" s="15">
        <v>3.75</v>
      </c>
      <c r="K188" s="15"/>
      <c r="L188" s="15"/>
      <c r="M188" s="15"/>
      <c r="N188" s="15"/>
      <c r="O188" s="15" t="str">
        <f>INDEX(projects[job number],MATCH(TimeEntry[[#This Row],[Project_ID]], projects[Project_ID],0))</f>
        <v>210035-65</v>
      </c>
      <c r="P188" s="15" t="str">
        <f>INDEX(projects[Project_Name],MATCH(TimeEntry[[#This Row],[Project_ID]], projects[Project_ID],0))</f>
        <v>MC VBB WP1: DO-nota West</v>
      </c>
      <c r="Q188" s="6">
        <f>IF(TimeEntry[[#This Row],[Date]]=0,"",WEEKDAY(C188,2))</f>
        <v>2</v>
      </c>
      <c r="R188" s="9">
        <f>YEAR(TimeEntry[[#This Row],[WkEnd]])</f>
        <v>2020</v>
      </c>
      <c r="S188" s="9">
        <f>WEEKNUM(TimeEntry[[#This Row],[WkEnd]])</f>
        <v>36</v>
      </c>
      <c r="T188" s="9" t="str">
        <f>TimeEntry[[#This Row],[Year]]&amp;"-"&amp;TimeEntry[[#This Row],[WkNo]]</f>
        <v>2020-36</v>
      </c>
    </row>
    <row r="189" spans="1:20" x14ac:dyDescent="0.25">
      <c r="A189" s="6">
        <f>MOD(IF(ROW()=2,0.1,IF(INDEX(TimeEntry[WkEnd],ROW()-1)  =  INDEX(TimeEntry[WkEnd],ROW()-2),    INDEX(TimeEntry[format],ROW()-2),    INDEX(TimeEntry[format],ROW()-2)    +1)),2)</f>
        <v>1.1000000000000001</v>
      </c>
      <c r="B189" s="7">
        <v>44067.695694444446</v>
      </c>
      <c r="C189" s="8">
        <v>44067</v>
      </c>
      <c r="D189" s="8" t="s">
        <v>104</v>
      </c>
      <c r="E189" s="1" t="s">
        <v>442</v>
      </c>
      <c r="F189" s="8">
        <f>IF(TimeEntry[[#This Row],[Date]]=0,F188,C189+(7-Q189))</f>
        <v>44073</v>
      </c>
      <c r="G189" s="35" t="str">
        <f>INDEX(projects[Charge_Code],MATCH(TimeEntry[[#This Row],[Project_ID]],projects[Project_ID],0))</f>
        <v>210035-65 MC VBB WP1: DO-nota West (25-050)</v>
      </c>
      <c r="H189" s="1" t="str">
        <f t="shared" si="12"/>
        <v>Normal Time</v>
      </c>
      <c r="I189" s="1" t="s">
        <v>290</v>
      </c>
      <c r="J189" s="15">
        <v>3.75</v>
      </c>
      <c r="K189" s="15"/>
      <c r="L189" s="15"/>
      <c r="M189" s="15"/>
      <c r="N189" s="15"/>
      <c r="O189" s="15" t="str">
        <f>INDEX(projects[job number],MATCH(TimeEntry[[#This Row],[Project_ID]], projects[Project_ID],0))</f>
        <v>210035-65</v>
      </c>
      <c r="P189" s="15" t="str">
        <f>INDEX(projects[Project_Name],MATCH(TimeEntry[[#This Row],[Project_ID]], projects[Project_ID],0))</f>
        <v>MC VBB WP1: DO-nota West</v>
      </c>
      <c r="Q189" s="6">
        <f>IF(TimeEntry[[#This Row],[Date]]=0,"",WEEKDAY(C189,2))</f>
        <v>1</v>
      </c>
      <c r="R189" s="9">
        <f>YEAR(TimeEntry[[#This Row],[WkEnd]])</f>
        <v>2020</v>
      </c>
      <c r="S189" s="9">
        <f>WEEKNUM(TimeEntry[[#This Row],[WkEnd]])</f>
        <v>36</v>
      </c>
      <c r="T189" s="9" t="str">
        <f>TimeEntry[[#This Row],[Year]]&amp;"-"&amp;TimeEntry[[#This Row],[WkNo]]</f>
        <v>2020-36</v>
      </c>
    </row>
    <row r="190" spans="1:20" x14ac:dyDescent="0.25">
      <c r="A190" s="6">
        <f>MOD(IF(ROW()=2,0.1,IF(INDEX(TimeEntry[WkEnd],ROW()-1)  =  INDEX(TimeEntry[WkEnd],ROW()-2),    INDEX(TimeEntry[format],ROW()-2),    INDEX(TimeEntry[format],ROW()-2)    +1)),2)</f>
        <v>1.1000000000000001</v>
      </c>
      <c r="B190" s="7">
        <v>44067.501076388886</v>
      </c>
      <c r="C190" s="8">
        <v>44067</v>
      </c>
      <c r="D190" s="8" t="s">
        <v>104</v>
      </c>
      <c r="E190" s="1" t="s">
        <v>442</v>
      </c>
      <c r="F190" s="8">
        <f>IF(TimeEntry[[#This Row],[Date]]=0,F189,C190+(7-Q190))</f>
        <v>44073</v>
      </c>
      <c r="G190" s="35" t="str">
        <f>INDEX(projects[Charge_Code],MATCH(TimeEntry[[#This Row],[Project_ID]],projects[Project_ID],0))</f>
        <v>210035-65 MC VBB WP1: DO-nota West (25-050)</v>
      </c>
      <c r="H190" s="1" t="str">
        <f t="shared" si="12"/>
        <v>Normal Time</v>
      </c>
      <c r="I190" s="1" t="s">
        <v>286</v>
      </c>
      <c r="J190" s="15">
        <v>3.75</v>
      </c>
      <c r="K190" s="15"/>
      <c r="L190" s="15"/>
      <c r="M190" s="15"/>
      <c r="N190" s="15"/>
      <c r="O190" s="15" t="str">
        <f>INDEX(projects[job number],MATCH(TimeEntry[[#This Row],[Project_ID]], projects[Project_ID],0))</f>
        <v>210035-65</v>
      </c>
      <c r="P190" s="15" t="str">
        <f>INDEX(projects[Project_Name],MATCH(TimeEntry[[#This Row],[Project_ID]], projects[Project_ID],0))</f>
        <v>MC VBB WP1: DO-nota West</v>
      </c>
      <c r="Q190" s="6">
        <f>IF(TimeEntry[[#This Row],[Date]]=0,"",WEEKDAY(C190,2))</f>
        <v>1</v>
      </c>
      <c r="R190" s="9">
        <f>YEAR(TimeEntry[[#This Row],[WkEnd]])</f>
        <v>2020</v>
      </c>
      <c r="S190" s="9">
        <f>WEEKNUM(TimeEntry[[#This Row],[WkEnd]])</f>
        <v>36</v>
      </c>
      <c r="T190" s="9" t="str">
        <f>TimeEntry[[#This Row],[Year]]&amp;"-"&amp;TimeEntry[[#This Row],[WkNo]]</f>
        <v>2020-36</v>
      </c>
    </row>
    <row r="191" spans="1:20" x14ac:dyDescent="0.25">
      <c r="A191" s="6">
        <f>MOD(IF(ROW()=2,0.1,IF(INDEX(TimeEntry[WkEnd],ROW()-1)  =  INDEX(TimeEntry[WkEnd],ROW()-2),    INDEX(TimeEntry[format],ROW()-2),    INDEX(TimeEntry[format],ROW()-2)    +1)),2)</f>
        <v>0.10000000000000009</v>
      </c>
      <c r="B191" s="7">
        <v>44057.774039351854</v>
      </c>
      <c r="C191" s="8">
        <v>44057</v>
      </c>
      <c r="D191" s="8" t="s">
        <v>102</v>
      </c>
      <c r="E191" s="1" t="s">
        <v>442</v>
      </c>
      <c r="F191" s="8">
        <f>IF(TimeEntry[[#This Row],[Date]]=0,F190,C191+(7-Q191))</f>
        <v>44059</v>
      </c>
      <c r="G191" s="35" t="str">
        <f>INDEX(projects[Charge_Code],MATCH(TimeEntry[[#This Row],[Project_ID]],projects[Project_ID],0))</f>
        <v>210035-65 MC VBB WP1: DO-nota West (25-050)</v>
      </c>
      <c r="H191" s="1" t="str">
        <f t="shared" si="12"/>
        <v>Normal Time</v>
      </c>
      <c r="I191" s="1" t="s">
        <v>278</v>
      </c>
      <c r="J191" s="15">
        <v>7.5</v>
      </c>
      <c r="K191" s="15"/>
      <c r="L191" s="15"/>
      <c r="M191" s="15"/>
      <c r="N191" s="15"/>
      <c r="O191" s="15" t="str">
        <f>INDEX(projects[job number],MATCH(TimeEntry[[#This Row],[Project_ID]], projects[Project_ID],0))</f>
        <v>210035-65</v>
      </c>
      <c r="P191" s="15" t="str">
        <f>INDEX(projects[Project_Name],MATCH(TimeEntry[[#This Row],[Project_ID]], projects[Project_ID],0))</f>
        <v>MC VBB WP1: DO-nota West</v>
      </c>
      <c r="Q191" s="6">
        <f>IF(TimeEntry[[#This Row],[Date]]=0,"",WEEKDAY(C191,2))</f>
        <v>5</v>
      </c>
      <c r="R191" s="9">
        <f>YEAR(TimeEntry[[#This Row],[WkEnd]])</f>
        <v>2020</v>
      </c>
      <c r="S191" s="9">
        <f>WEEKNUM(TimeEntry[[#This Row],[WkEnd]])</f>
        <v>34</v>
      </c>
      <c r="T191" s="9" t="str">
        <f>TimeEntry[[#This Row],[Year]]&amp;"-"&amp;TimeEntry[[#This Row],[WkNo]]</f>
        <v>2020-34</v>
      </c>
    </row>
    <row r="192" spans="1:20" x14ac:dyDescent="0.25">
      <c r="A192" s="6">
        <f>MOD(IF(ROW()=2,0.1,IF(INDEX(TimeEntry[WkEnd],ROW()-1)  =  INDEX(TimeEntry[WkEnd],ROW()-2),    INDEX(TimeEntry[format],ROW()-2),    INDEX(TimeEntry[format],ROW()-2)    +1)),2)</f>
        <v>0.10000000000000009</v>
      </c>
      <c r="B192" s="7">
        <v>44056.774039351854</v>
      </c>
      <c r="C192" s="8">
        <v>44056</v>
      </c>
      <c r="D192" s="8" t="s">
        <v>102</v>
      </c>
      <c r="E192" s="1" t="s">
        <v>442</v>
      </c>
      <c r="F192" s="8">
        <f>IF(TimeEntry[[#This Row],[Date]]=0,F191,C192+(7-Q192))</f>
        <v>44059</v>
      </c>
      <c r="G192" s="35" t="str">
        <f>INDEX(projects[Charge_Code],MATCH(TimeEntry[[#This Row],[Project_ID]],projects[Project_ID],0))</f>
        <v>210035-65 MC VBB WP1: DO-nota West (25-050)</v>
      </c>
      <c r="H192" s="1" t="str">
        <f t="shared" si="12"/>
        <v>Normal Time</v>
      </c>
      <c r="I192" s="1" t="s">
        <v>279</v>
      </c>
      <c r="J192" s="15">
        <v>7.5</v>
      </c>
      <c r="K192" s="15"/>
      <c r="L192" s="15"/>
      <c r="M192" s="15"/>
      <c r="N192" s="15"/>
      <c r="O192" s="15" t="str">
        <f>INDEX(projects[job number],MATCH(TimeEntry[[#This Row],[Project_ID]], projects[Project_ID],0))</f>
        <v>210035-65</v>
      </c>
      <c r="P192" s="15" t="str">
        <f>INDEX(projects[Project_Name],MATCH(TimeEntry[[#This Row],[Project_ID]], projects[Project_ID],0))</f>
        <v>MC VBB WP1: DO-nota West</v>
      </c>
      <c r="Q192" s="6">
        <f>IF(TimeEntry[[#This Row],[Date]]=0,"",WEEKDAY(C192,2))</f>
        <v>4</v>
      </c>
      <c r="R192" s="9">
        <f>YEAR(TimeEntry[[#This Row],[WkEnd]])</f>
        <v>2020</v>
      </c>
      <c r="S192" s="9">
        <f>WEEKNUM(TimeEntry[[#This Row],[WkEnd]])</f>
        <v>34</v>
      </c>
      <c r="T192" s="9" t="str">
        <f>TimeEntry[[#This Row],[Year]]&amp;"-"&amp;TimeEntry[[#This Row],[WkNo]]</f>
        <v>2020-34</v>
      </c>
    </row>
    <row r="193" spans="1:20" x14ac:dyDescent="0.25">
      <c r="A193" s="6">
        <f>MOD(IF(ROW()=2,0.1,IF(INDEX(TimeEntry[WkEnd],ROW()-1)  =  INDEX(TimeEntry[WkEnd],ROW()-2),    INDEX(TimeEntry[format],ROW()-2),    INDEX(TimeEntry[format],ROW()-2)    +1)),2)</f>
        <v>0.10000000000000009</v>
      </c>
      <c r="B193" s="7">
        <v>44055.774039351854</v>
      </c>
      <c r="C193" s="8">
        <v>44055</v>
      </c>
      <c r="D193" s="8" t="s">
        <v>100</v>
      </c>
      <c r="E193" s="1" t="s">
        <v>442</v>
      </c>
      <c r="F193" s="8">
        <f>IF(TimeEntry[[#This Row],[Date]]=0,F192,C193+(7-Q193))</f>
        <v>44059</v>
      </c>
      <c r="G193" s="35" t="str">
        <f>INDEX(projects[Charge_Code],MATCH(TimeEntry[[#This Row],[Project_ID]],projects[Project_ID],0))</f>
        <v>210035-65 MC VBB WP1: DO-nota West (25-050)</v>
      </c>
      <c r="H193" s="1" t="str">
        <f t="shared" si="12"/>
        <v>Normal Time</v>
      </c>
      <c r="I193" s="1" t="s">
        <v>278</v>
      </c>
      <c r="J193" s="15">
        <v>5</v>
      </c>
      <c r="K193" s="15"/>
      <c r="L193" s="15"/>
      <c r="M193" s="15"/>
      <c r="N193" s="15"/>
      <c r="O193" s="15" t="str">
        <f>INDEX(projects[job number],MATCH(TimeEntry[[#This Row],[Project_ID]], projects[Project_ID],0))</f>
        <v>210035-65</v>
      </c>
      <c r="P193" s="15" t="str">
        <f>INDEX(projects[Project_Name],MATCH(TimeEntry[[#This Row],[Project_ID]], projects[Project_ID],0))</f>
        <v>MC VBB WP1: DO-nota West</v>
      </c>
      <c r="Q193" s="6">
        <f>IF(TimeEntry[[#This Row],[Date]]=0,"",WEEKDAY(C193,2))</f>
        <v>3</v>
      </c>
      <c r="R193" s="9">
        <f>YEAR(TimeEntry[[#This Row],[WkEnd]])</f>
        <v>2020</v>
      </c>
      <c r="S193" s="9">
        <f>WEEKNUM(TimeEntry[[#This Row],[WkEnd]])</f>
        <v>34</v>
      </c>
      <c r="T193" s="9" t="str">
        <f>TimeEntry[[#This Row],[Year]]&amp;"-"&amp;TimeEntry[[#This Row],[WkNo]]</f>
        <v>2020-34</v>
      </c>
    </row>
    <row r="194" spans="1:20" x14ac:dyDescent="0.25">
      <c r="A194" s="6">
        <f>MOD(IF(ROW()=2,0.1,IF(INDEX(TimeEntry[WkEnd],ROW()-1)  =  INDEX(TimeEntry[WkEnd],ROW()-2),    INDEX(TimeEntry[format],ROW()-2),    INDEX(TimeEntry[format],ROW()-2)    +1)),2)</f>
        <v>0.10000000000000009</v>
      </c>
      <c r="B194" s="7">
        <v>44055.774039351854</v>
      </c>
      <c r="C194" s="8">
        <v>44055</v>
      </c>
      <c r="D194" s="8" t="s">
        <v>100</v>
      </c>
      <c r="E194" s="1" t="s">
        <v>445</v>
      </c>
      <c r="F194" s="8">
        <f>IF(TimeEntry[[#This Row],[Date]]=0,F193,C194+(7-Q194))</f>
        <v>44059</v>
      </c>
      <c r="G194" s="35" t="str">
        <f>INDEX(projects[Charge_Code],MATCH(TimeEntry[[#This Row],[Project_ID]],projects[Project_ID],0))</f>
        <v>257677-59  Melbourne Metro - Latrobe</v>
      </c>
      <c r="H194" s="1" t="str">
        <f t="shared" si="12"/>
        <v>Normal Time</v>
      </c>
      <c r="I194" s="1" t="s">
        <v>274</v>
      </c>
      <c r="J194" s="15">
        <v>2.5</v>
      </c>
      <c r="K194" s="15"/>
      <c r="L194" s="15"/>
      <c r="M194" s="15"/>
      <c r="N194" s="15"/>
      <c r="O194" s="15" t="str">
        <f>INDEX(projects[job number],MATCH(TimeEntry[[#This Row],[Project_ID]], projects[Project_ID],0))</f>
        <v xml:space="preserve">257677-59 </v>
      </c>
      <c r="P194" s="15" t="str">
        <f>INDEX(projects[Project_Name],MATCH(TimeEntry[[#This Row],[Project_ID]], projects[Project_ID],0))</f>
        <v>Melbourne Metro - Latrobe</v>
      </c>
      <c r="Q194" s="6">
        <f>IF(TimeEntry[[#This Row],[Date]]=0,"",WEEKDAY(C194,2))</f>
        <v>3</v>
      </c>
      <c r="R194" s="9">
        <f>YEAR(TimeEntry[[#This Row],[WkEnd]])</f>
        <v>2020</v>
      </c>
      <c r="S194" s="9">
        <f>WEEKNUM(TimeEntry[[#This Row],[WkEnd]])</f>
        <v>34</v>
      </c>
      <c r="T194" s="9" t="str">
        <f>TimeEntry[[#This Row],[Year]]&amp;"-"&amp;TimeEntry[[#This Row],[WkNo]]</f>
        <v>2020-34</v>
      </c>
    </row>
    <row r="195" spans="1:20" x14ac:dyDescent="0.25">
      <c r="A195" s="6">
        <f>MOD(IF(ROW()=2,0.1,IF(INDEX(TimeEntry[WkEnd],ROW()-1)  =  INDEX(TimeEntry[WkEnd],ROW()-2),    INDEX(TimeEntry[format],ROW()-2),    INDEX(TimeEntry[format],ROW()-2)    +1)),2)</f>
        <v>0.10000000000000009</v>
      </c>
      <c r="B195" s="7">
        <v>44054.774039351854</v>
      </c>
      <c r="C195" s="8">
        <v>44054</v>
      </c>
      <c r="D195" s="8" t="s">
        <v>106</v>
      </c>
      <c r="E195" s="1" t="s">
        <v>442</v>
      </c>
      <c r="F195" s="8">
        <f>IF(TimeEntry[[#This Row],[Date]]=0,F194,C195+(7-Q195))</f>
        <v>44059</v>
      </c>
      <c r="G195" s="35" t="str">
        <f>INDEX(projects[Charge_Code],MATCH(TimeEntry[[#This Row],[Project_ID]],projects[Project_ID],0))</f>
        <v>210035-65 MC VBB WP1: DO-nota West (25-050)</v>
      </c>
      <c r="H195" s="1" t="str">
        <f t="shared" si="12"/>
        <v>Normal Time</v>
      </c>
      <c r="I195" s="1" t="s">
        <v>280</v>
      </c>
      <c r="J195" s="15">
        <v>7.5</v>
      </c>
      <c r="K195" s="15"/>
      <c r="L195" s="15"/>
      <c r="M195" s="15"/>
      <c r="N195" s="15"/>
      <c r="O195" s="15" t="str">
        <f>INDEX(projects[job number],MATCH(TimeEntry[[#This Row],[Project_ID]], projects[Project_ID],0))</f>
        <v>210035-65</v>
      </c>
      <c r="P195" s="15" t="str">
        <f>INDEX(projects[Project_Name],MATCH(TimeEntry[[#This Row],[Project_ID]], projects[Project_ID],0))</f>
        <v>MC VBB WP1: DO-nota West</v>
      </c>
      <c r="Q195" s="6">
        <f>IF(TimeEntry[[#This Row],[Date]]=0,"",WEEKDAY(C195,2))</f>
        <v>2</v>
      </c>
      <c r="R195" s="9">
        <f>YEAR(TimeEntry[[#This Row],[WkEnd]])</f>
        <v>2020</v>
      </c>
      <c r="S195" s="9">
        <f>WEEKNUM(TimeEntry[[#This Row],[WkEnd]])</f>
        <v>34</v>
      </c>
      <c r="T195" s="9" t="str">
        <f>TimeEntry[[#This Row],[Year]]&amp;"-"&amp;TimeEntry[[#This Row],[WkNo]]</f>
        <v>2020-34</v>
      </c>
    </row>
    <row r="196" spans="1:20" x14ac:dyDescent="0.25">
      <c r="A196" s="6">
        <f>MOD(IF(ROW()=2,0.1,IF(INDEX(TimeEntry[WkEnd],ROW()-1)  =  INDEX(TimeEntry[WkEnd],ROW()-2),    INDEX(TimeEntry[format],ROW()-2),    INDEX(TimeEntry[format],ROW()-2)    +1)),2)</f>
        <v>0.10000000000000009</v>
      </c>
      <c r="B196" s="7">
        <v>44053.500509259262</v>
      </c>
      <c r="C196" s="8">
        <v>44053</v>
      </c>
      <c r="D196" s="8" t="s">
        <v>104</v>
      </c>
      <c r="E196" s="1" t="s">
        <v>442</v>
      </c>
      <c r="F196" s="8">
        <f>IF(TimeEntry[[#This Row],[Date]]=0,F195,C196+(7-Q196))</f>
        <v>44059</v>
      </c>
      <c r="G196" s="35" t="str">
        <f>INDEX(projects[Charge_Code],MATCH(TimeEntry[[#This Row],[Project_ID]],projects[Project_ID],0))</f>
        <v>210035-65 MC VBB WP1: DO-nota West (25-050)</v>
      </c>
      <c r="H196" s="1" t="str">
        <f t="shared" si="12"/>
        <v>Normal Time</v>
      </c>
      <c r="I196" s="1" t="s">
        <v>277</v>
      </c>
      <c r="J196" s="15">
        <v>7.5</v>
      </c>
      <c r="K196" s="15"/>
      <c r="L196" s="15"/>
      <c r="M196" s="15"/>
      <c r="N196" s="15"/>
      <c r="O196" s="15" t="str">
        <f>INDEX(projects[job number],MATCH(TimeEntry[[#This Row],[Project_ID]], projects[Project_ID],0))</f>
        <v>210035-65</v>
      </c>
      <c r="P196" s="15" t="str">
        <f>INDEX(projects[Project_Name],MATCH(TimeEntry[[#This Row],[Project_ID]], projects[Project_ID],0))</f>
        <v>MC VBB WP1: DO-nota West</v>
      </c>
      <c r="Q196" s="6">
        <f>IF(TimeEntry[[#This Row],[Date]]=0,"",WEEKDAY(C196,2))</f>
        <v>1</v>
      </c>
      <c r="R196" s="9">
        <f>YEAR(TimeEntry[[#This Row],[WkEnd]])</f>
        <v>2020</v>
      </c>
      <c r="S196" s="9">
        <f>WEEKNUM(TimeEntry[[#This Row],[WkEnd]])</f>
        <v>34</v>
      </c>
      <c r="T196" s="9" t="str">
        <f>TimeEntry[[#This Row],[Year]]&amp;"-"&amp;TimeEntry[[#This Row],[WkNo]]</f>
        <v>2020-34</v>
      </c>
    </row>
    <row r="197" spans="1:20" x14ac:dyDescent="0.25">
      <c r="A197" s="6">
        <f>MOD(IF(ROW()=2,0.1,IF(INDEX(TimeEntry[WkEnd],ROW()-1)  =  INDEX(TimeEntry[WkEnd],ROW()-2),    INDEX(TimeEntry[format],ROW()-2),    INDEX(TimeEntry[format],ROW()-2)    +1)),2)</f>
        <v>1.1000000000000001</v>
      </c>
      <c r="B197" s="7">
        <v>44050.500509259262</v>
      </c>
      <c r="C197" s="8">
        <v>44050</v>
      </c>
      <c r="D197" s="8" t="s">
        <v>106</v>
      </c>
      <c r="E197" s="1" t="s">
        <v>444</v>
      </c>
      <c r="F197" s="8">
        <f>IF(TimeEntry[[#This Row],[Date]]=0,F196,C197+(7-Q197))</f>
        <v>44052</v>
      </c>
      <c r="G197" s="35" t="str">
        <f>INDEX(projects[Charge_Code],MATCH(TimeEntry[[#This Row],[Project_ID]],projects[Project_ID],0))</f>
        <v>LEAVE</v>
      </c>
      <c r="H197" s="1" t="str">
        <f t="shared" si="12"/>
        <v>Normal Time</v>
      </c>
      <c r="I197" s="1" t="s">
        <v>65</v>
      </c>
      <c r="J197" s="15">
        <v>3.75</v>
      </c>
      <c r="K197" s="15"/>
      <c r="L197" s="15"/>
      <c r="M197" s="15"/>
      <c r="N197" s="15"/>
      <c r="O197" s="15" t="str">
        <f>INDEX(projects[job number],MATCH(TimeEntry[[#This Row],[Project_ID]], projects[Project_ID],0))</f>
        <v>LEAVE</v>
      </c>
      <c r="P197" s="15">
        <f>INDEX(projects[Project_Name],MATCH(TimeEntry[[#This Row],[Project_ID]], projects[Project_ID],0))</f>
        <v>0</v>
      </c>
      <c r="Q197" s="6">
        <f>IF(TimeEntry[[#This Row],[Date]]=0,"",WEEKDAY(C197,2))</f>
        <v>5</v>
      </c>
      <c r="R197" s="9">
        <f>YEAR(TimeEntry[[#This Row],[WkEnd]])</f>
        <v>2020</v>
      </c>
      <c r="S197" s="9">
        <f>WEEKNUM(TimeEntry[[#This Row],[WkEnd]])</f>
        <v>33</v>
      </c>
      <c r="T197" s="9" t="str">
        <f>TimeEntry[[#This Row],[Year]]&amp;"-"&amp;TimeEntry[[#This Row],[WkNo]]</f>
        <v>2020-33</v>
      </c>
    </row>
    <row r="198" spans="1:20" x14ac:dyDescent="0.25">
      <c r="A198" s="6">
        <f>MOD(IF(ROW()=2,0.1,IF(INDEX(TimeEntry[WkEnd],ROW()-1)  =  INDEX(TimeEntry[WkEnd],ROW()-2),    INDEX(TimeEntry[format],ROW()-2),    INDEX(TimeEntry[format],ROW()-2)    +1)),2)</f>
        <v>1.1000000000000001</v>
      </c>
      <c r="B198" s="7">
        <v>44050.500509259262</v>
      </c>
      <c r="C198" s="8">
        <v>44050</v>
      </c>
      <c r="D198" s="8" t="s">
        <v>106</v>
      </c>
      <c r="E198" s="1" t="s">
        <v>442</v>
      </c>
      <c r="F198" s="8">
        <f>IF(TimeEntry[[#This Row],[Date]]=0,F197,C198+(7-Q198))</f>
        <v>44052</v>
      </c>
      <c r="G198" s="35" t="str">
        <f>INDEX(projects[Charge_Code],MATCH(TimeEntry[[#This Row],[Project_ID]],projects[Project_ID],0))</f>
        <v>210035-65 MC VBB WP1: DO-nota West (25-050)</v>
      </c>
      <c r="H198" s="1" t="str">
        <f t="shared" si="12"/>
        <v>Normal Time</v>
      </c>
      <c r="I198" s="1" t="s">
        <v>272</v>
      </c>
      <c r="J198" s="15">
        <v>3.75</v>
      </c>
      <c r="K198" s="15"/>
      <c r="L198" s="15"/>
      <c r="M198" s="15"/>
      <c r="N198" s="15"/>
      <c r="O198" s="15" t="str">
        <f>INDEX(projects[job number],MATCH(TimeEntry[[#This Row],[Project_ID]], projects[Project_ID],0))</f>
        <v>210035-65</v>
      </c>
      <c r="P198" s="15" t="str">
        <f>INDEX(projects[Project_Name],MATCH(TimeEntry[[#This Row],[Project_ID]], projects[Project_ID],0))</f>
        <v>MC VBB WP1: DO-nota West</v>
      </c>
      <c r="Q198" s="6">
        <f>IF(TimeEntry[[#This Row],[Date]]=0,"",WEEKDAY(C198,2))</f>
        <v>5</v>
      </c>
      <c r="R198" s="9">
        <f>YEAR(TimeEntry[[#This Row],[WkEnd]])</f>
        <v>2020</v>
      </c>
      <c r="S198" s="9">
        <f>WEEKNUM(TimeEntry[[#This Row],[WkEnd]])</f>
        <v>33</v>
      </c>
      <c r="T198" s="9" t="str">
        <f>TimeEntry[[#This Row],[Year]]&amp;"-"&amp;TimeEntry[[#This Row],[WkNo]]</f>
        <v>2020-33</v>
      </c>
    </row>
    <row r="199" spans="1:20" x14ac:dyDescent="0.25">
      <c r="A199" s="6">
        <f>MOD(IF(ROW()=2,0.1,IF(INDEX(TimeEntry[WkEnd],ROW()-1)  =  INDEX(TimeEntry[WkEnd],ROW()-2),    INDEX(TimeEntry[format],ROW()-2),    INDEX(TimeEntry[format],ROW()-2)    +1)),2)</f>
        <v>1.1000000000000001</v>
      </c>
      <c r="B199" s="7">
        <v>44049.669606481482</v>
      </c>
      <c r="C199" s="8">
        <v>44049</v>
      </c>
      <c r="D199" s="8" t="s">
        <v>102</v>
      </c>
      <c r="E199" s="1" t="s">
        <v>442</v>
      </c>
      <c r="F199" s="8">
        <f>IF(TimeEntry[[#This Row],[Date]]=0,F198,C199+(7-Q199))</f>
        <v>44052</v>
      </c>
      <c r="G199" s="35" t="str">
        <f>INDEX(projects[Charge_Code],MATCH(TimeEntry[[#This Row],[Project_ID]],projects[Project_ID],0))</f>
        <v>210035-65 MC VBB WP1: DO-nota West (25-050)</v>
      </c>
      <c r="H199" s="1" t="str">
        <f t="shared" si="12"/>
        <v>Normal Time</v>
      </c>
      <c r="I199" s="1" t="s">
        <v>271</v>
      </c>
      <c r="J199" s="15">
        <v>3.75</v>
      </c>
      <c r="K199" s="15"/>
      <c r="L199" s="15"/>
      <c r="M199" s="15"/>
      <c r="N199" s="15"/>
      <c r="O199" s="15" t="str">
        <f>INDEX(projects[job number],MATCH(TimeEntry[[#This Row],[Project_ID]], projects[Project_ID],0))</f>
        <v>210035-65</v>
      </c>
      <c r="P199" s="15" t="str">
        <f>INDEX(projects[Project_Name],MATCH(TimeEntry[[#This Row],[Project_ID]], projects[Project_ID],0))</f>
        <v>MC VBB WP1: DO-nota West</v>
      </c>
      <c r="Q199" s="6">
        <f>IF(TimeEntry[[#This Row],[Date]]=0,"",WEEKDAY(C199,2))</f>
        <v>4</v>
      </c>
      <c r="R199" s="9">
        <f>YEAR(TimeEntry[[#This Row],[WkEnd]])</f>
        <v>2020</v>
      </c>
      <c r="S199" s="9">
        <f>WEEKNUM(TimeEntry[[#This Row],[WkEnd]])</f>
        <v>33</v>
      </c>
      <c r="T199" s="9" t="str">
        <f>TimeEntry[[#This Row],[Year]]&amp;"-"&amp;TimeEntry[[#This Row],[WkNo]]</f>
        <v>2020-33</v>
      </c>
    </row>
    <row r="200" spans="1:20" x14ac:dyDescent="0.25">
      <c r="A200" s="6">
        <f>MOD(IF(ROW()=2,0.1,IF(INDEX(TimeEntry[WkEnd],ROW()-1)  =  INDEX(TimeEntry[WkEnd],ROW()-2),    INDEX(TimeEntry[format],ROW()-2),    INDEX(TimeEntry[format],ROW()-2)    +1)),2)</f>
        <v>1.1000000000000001</v>
      </c>
      <c r="B200" s="7">
        <v>44049.517881944441</v>
      </c>
      <c r="C200" s="8">
        <v>44049</v>
      </c>
      <c r="D200" s="8" t="s">
        <v>102</v>
      </c>
      <c r="E200" s="1" t="s">
        <v>442</v>
      </c>
      <c r="F200" s="8">
        <f>IF(TimeEntry[[#This Row],[Date]]=0,F199,C200+(7-Q200))</f>
        <v>44052</v>
      </c>
      <c r="G200" s="35" t="str">
        <f>INDEX(projects[Charge_Code],MATCH(TimeEntry[[#This Row],[Project_ID]],projects[Project_ID],0))</f>
        <v>210035-65 MC VBB WP1: DO-nota West (25-050)</v>
      </c>
      <c r="H200" s="1" t="str">
        <f t="shared" ref="H200:H263" si="13">"Normal Time"</f>
        <v>Normal Time</v>
      </c>
      <c r="I200" s="1" t="s">
        <v>270</v>
      </c>
      <c r="J200" s="15">
        <v>3.75</v>
      </c>
      <c r="K200" s="15"/>
      <c r="L200" s="15"/>
      <c r="M200" s="15"/>
      <c r="N200" s="15"/>
      <c r="O200" s="15" t="str">
        <f>INDEX(projects[job number],MATCH(TimeEntry[[#This Row],[Project_ID]], projects[Project_ID],0))</f>
        <v>210035-65</v>
      </c>
      <c r="P200" s="15" t="str">
        <f>INDEX(projects[Project_Name],MATCH(TimeEntry[[#This Row],[Project_ID]], projects[Project_ID],0))</f>
        <v>MC VBB WP1: DO-nota West</v>
      </c>
      <c r="Q200" s="6">
        <f>IF(TimeEntry[[#This Row],[Date]]=0,"",WEEKDAY(C200,2))</f>
        <v>4</v>
      </c>
      <c r="R200" s="9">
        <f>YEAR(TimeEntry[[#This Row],[WkEnd]])</f>
        <v>2020</v>
      </c>
      <c r="S200" s="9">
        <f>WEEKNUM(TimeEntry[[#This Row],[WkEnd]])</f>
        <v>33</v>
      </c>
      <c r="T200" s="9" t="str">
        <f>TimeEntry[[#This Row],[Year]]&amp;"-"&amp;TimeEntry[[#This Row],[WkNo]]</f>
        <v>2020-33</v>
      </c>
    </row>
    <row r="201" spans="1:20" x14ac:dyDescent="0.25">
      <c r="A201" s="6">
        <f>MOD(IF(ROW()=2,0.1,IF(INDEX(TimeEntry[WkEnd],ROW()-1)  =  INDEX(TimeEntry[WkEnd],ROW()-2),    INDEX(TimeEntry[format],ROW()-2),    INDEX(TimeEntry[format],ROW()-2)    +1)),2)</f>
        <v>1.1000000000000001</v>
      </c>
      <c r="B201" s="7">
        <v>44048.670601851853</v>
      </c>
      <c r="C201" s="8">
        <v>44048</v>
      </c>
      <c r="D201" s="8" t="s">
        <v>100</v>
      </c>
      <c r="E201" s="1" t="s">
        <v>442</v>
      </c>
      <c r="F201" s="8">
        <f>IF(TimeEntry[[#This Row],[Date]]=0,F200,C201+(7-Q201))</f>
        <v>44052</v>
      </c>
      <c r="G201" s="35" t="str">
        <f>INDEX(projects[Charge_Code],MATCH(TimeEntry[[#This Row],[Project_ID]],projects[Project_ID],0))</f>
        <v>210035-65 MC VBB WP1: DO-nota West (25-050)</v>
      </c>
      <c r="H201" s="1" t="str">
        <f t="shared" si="13"/>
        <v>Normal Time</v>
      </c>
      <c r="I201" s="1" t="s">
        <v>269</v>
      </c>
      <c r="J201" s="15">
        <v>3</v>
      </c>
      <c r="K201" s="15"/>
      <c r="L201" s="15"/>
      <c r="M201" s="15"/>
      <c r="N201" s="15"/>
      <c r="O201" s="15" t="str">
        <f>INDEX(projects[job number],MATCH(TimeEntry[[#This Row],[Project_ID]], projects[Project_ID],0))</f>
        <v>210035-65</v>
      </c>
      <c r="P201" s="15" t="str">
        <f>INDEX(projects[Project_Name],MATCH(TimeEntry[[#This Row],[Project_ID]], projects[Project_ID],0))</f>
        <v>MC VBB WP1: DO-nota West</v>
      </c>
      <c r="Q201" s="6">
        <f>IF(TimeEntry[[#This Row],[Date]]=0,"",WEEKDAY(C201,2))</f>
        <v>3</v>
      </c>
      <c r="R201" s="9">
        <f>YEAR(TimeEntry[[#This Row],[WkEnd]])</f>
        <v>2020</v>
      </c>
      <c r="S201" s="9">
        <f>WEEKNUM(TimeEntry[[#This Row],[WkEnd]])</f>
        <v>33</v>
      </c>
      <c r="T201" s="9" t="str">
        <f>TimeEntry[[#This Row],[Year]]&amp;"-"&amp;TimeEntry[[#This Row],[WkNo]]</f>
        <v>2020-33</v>
      </c>
    </row>
    <row r="202" spans="1:20" x14ac:dyDescent="0.25">
      <c r="A202" s="6">
        <f>MOD(IF(ROW()=2,0.1,IF(INDEX(TimeEntry[WkEnd],ROW()-1)  =  INDEX(TimeEntry[WkEnd],ROW()-2),    INDEX(TimeEntry[format],ROW()-2),    INDEX(TimeEntry[format],ROW()-2)    +1)),2)</f>
        <v>1.1000000000000001</v>
      </c>
      <c r="B202" s="7">
        <v>44048.570092592592</v>
      </c>
      <c r="C202" s="8">
        <v>44048</v>
      </c>
      <c r="D202" s="8" t="s">
        <v>100</v>
      </c>
      <c r="E202" s="1" t="s">
        <v>445</v>
      </c>
      <c r="F202" s="8">
        <f>IF(TimeEntry[[#This Row],[Date]]=0,F201,C202+(7-Q202))</f>
        <v>44052</v>
      </c>
      <c r="G202" s="35" t="str">
        <f>INDEX(projects[Charge_Code],MATCH(TimeEntry[[#This Row],[Project_ID]],projects[Project_ID],0))</f>
        <v>257677-59  Melbourne Metro - Latrobe</v>
      </c>
      <c r="H202" s="1" t="str">
        <f t="shared" si="13"/>
        <v>Normal Time</v>
      </c>
      <c r="I202" s="1" t="s">
        <v>274</v>
      </c>
      <c r="J202" s="15">
        <v>2.5</v>
      </c>
      <c r="K202" s="15"/>
      <c r="L202" s="15"/>
      <c r="M202" s="15"/>
      <c r="N202" s="15"/>
      <c r="O202" s="15" t="str">
        <f>INDEX(projects[job number],MATCH(TimeEntry[[#This Row],[Project_ID]], projects[Project_ID],0))</f>
        <v xml:space="preserve">257677-59 </v>
      </c>
      <c r="P202" s="15" t="str">
        <f>INDEX(projects[Project_Name],MATCH(TimeEntry[[#This Row],[Project_ID]], projects[Project_ID],0))</f>
        <v>Melbourne Metro - Latrobe</v>
      </c>
      <c r="Q202" s="6">
        <f>IF(TimeEntry[[#This Row],[Date]]=0,"",WEEKDAY(C202,2))</f>
        <v>3</v>
      </c>
      <c r="R202" s="9">
        <f>YEAR(TimeEntry[[#This Row],[WkEnd]])</f>
        <v>2020</v>
      </c>
      <c r="S202" s="9">
        <f>WEEKNUM(TimeEntry[[#This Row],[WkEnd]])</f>
        <v>33</v>
      </c>
      <c r="T202" s="9" t="str">
        <f>TimeEntry[[#This Row],[Year]]&amp;"-"&amp;TimeEntry[[#This Row],[WkNo]]</f>
        <v>2020-33</v>
      </c>
    </row>
    <row r="203" spans="1:20" x14ac:dyDescent="0.25">
      <c r="A203" s="6">
        <f>MOD(IF(ROW()=2,0.1,IF(INDEX(TimeEntry[WkEnd],ROW()-1)  =  INDEX(TimeEntry[WkEnd],ROW()-2),    INDEX(TimeEntry[format],ROW()-2),    INDEX(TimeEntry[format],ROW()-2)    +1)),2)</f>
        <v>1.1000000000000001</v>
      </c>
      <c r="B203" s="7">
        <v>44048.570092592592</v>
      </c>
      <c r="C203" s="8">
        <v>44048</v>
      </c>
      <c r="D203" s="8" t="s">
        <v>100</v>
      </c>
      <c r="E203" s="1" t="s">
        <v>442</v>
      </c>
      <c r="F203" s="8">
        <f>IF(TimeEntry[[#This Row],[Date]]=0,F202,C203+(7-Q203))</f>
        <v>44052</v>
      </c>
      <c r="G203" s="35" t="str">
        <f>INDEX(projects[Charge_Code],MATCH(TimeEntry[[#This Row],[Project_ID]],projects[Project_ID],0))</f>
        <v>210035-65 MC VBB WP1: DO-nota West (25-050)</v>
      </c>
      <c r="H203" s="1" t="str">
        <f t="shared" si="13"/>
        <v>Normal Time</v>
      </c>
      <c r="I203" s="1" t="s">
        <v>268</v>
      </c>
      <c r="J203" s="15">
        <v>2</v>
      </c>
      <c r="K203" s="15"/>
      <c r="L203" s="15"/>
      <c r="M203" s="15"/>
      <c r="N203" s="15"/>
      <c r="O203" s="15" t="str">
        <f>INDEX(projects[job number],MATCH(TimeEntry[[#This Row],[Project_ID]], projects[Project_ID],0))</f>
        <v>210035-65</v>
      </c>
      <c r="P203" s="15" t="str">
        <f>INDEX(projects[Project_Name],MATCH(TimeEntry[[#This Row],[Project_ID]], projects[Project_ID],0))</f>
        <v>MC VBB WP1: DO-nota West</v>
      </c>
      <c r="Q203" s="6">
        <f>IF(TimeEntry[[#This Row],[Date]]=0,"",WEEKDAY(C203,2))</f>
        <v>3</v>
      </c>
      <c r="R203" s="9">
        <f>YEAR(TimeEntry[[#This Row],[WkEnd]])</f>
        <v>2020</v>
      </c>
      <c r="S203" s="9">
        <f>WEEKNUM(TimeEntry[[#This Row],[WkEnd]])</f>
        <v>33</v>
      </c>
      <c r="T203" s="9" t="str">
        <f>TimeEntry[[#This Row],[Year]]&amp;"-"&amp;TimeEntry[[#This Row],[WkNo]]</f>
        <v>2020-33</v>
      </c>
    </row>
    <row r="204" spans="1:20" x14ac:dyDescent="0.25">
      <c r="A204" s="6">
        <f>MOD(IF(ROW()=2,0.1,IF(INDEX(TimeEntry[WkEnd],ROW()-1)  =  INDEX(TimeEntry[WkEnd],ROW()-2),    INDEX(TimeEntry[format],ROW()-2),    INDEX(TimeEntry[format],ROW()-2)    +1)),2)</f>
        <v>1.1000000000000001</v>
      </c>
      <c r="B204" s="7">
        <v>44047.667245370372</v>
      </c>
      <c r="C204" s="8">
        <v>44047</v>
      </c>
      <c r="D204" s="8" t="s">
        <v>101</v>
      </c>
      <c r="E204" s="1" t="s">
        <v>445</v>
      </c>
      <c r="F204" s="8">
        <f>IF(TimeEntry[[#This Row],[Date]]=0,F203,C204+(7-Q204))</f>
        <v>44052</v>
      </c>
      <c r="G204" s="35" t="str">
        <f>INDEX(projects[Charge_Code],MATCH(TimeEntry[[#This Row],[Project_ID]],projects[Project_ID],0))</f>
        <v>257677-59  Melbourne Metro - Latrobe</v>
      </c>
      <c r="H204" s="1" t="str">
        <f t="shared" si="13"/>
        <v>Normal Time</v>
      </c>
      <c r="I204" s="1" t="s">
        <v>275</v>
      </c>
      <c r="J204" s="15">
        <v>2.5</v>
      </c>
      <c r="K204" s="15"/>
      <c r="L204" s="15"/>
      <c r="M204" s="15"/>
      <c r="N204" s="15"/>
      <c r="O204" s="15" t="str">
        <f>INDEX(projects[job number],MATCH(TimeEntry[[#This Row],[Project_ID]], projects[Project_ID],0))</f>
        <v xml:space="preserve">257677-59 </v>
      </c>
      <c r="P204" s="15" t="str">
        <f>INDEX(projects[Project_Name],MATCH(TimeEntry[[#This Row],[Project_ID]], projects[Project_ID],0))</f>
        <v>Melbourne Metro - Latrobe</v>
      </c>
      <c r="Q204" s="6">
        <f>IF(TimeEntry[[#This Row],[Date]]=0,"",WEEKDAY(C204,2))</f>
        <v>2</v>
      </c>
      <c r="R204" s="9">
        <f>YEAR(TimeEntry[[#This Row],[WkEnd]])</f>
        <v>2020</v>
      </c>
      <c r="S204" s="9">
        <f>WEEKNUM(TimeEntry[[#This Row],[WkEnd]])</f>
        <v>33</v>
      </c>
      <c r="T204" s="9" t="str">
        <f>TimeEntry[[#This Row],[Year]]&amp;"-"&amp;TimeEntry[[#This Row],[WkNo]]</f>
        <v>2020-33</v>
      </c>
    </row>
    <row r="205" spans="1:20" x14ac:dyDescent="0.25">
      <c r="A205" s="6">
        <f>MOD(IF(ROW()=2,0.1,IF(INDEX(TimeEntry[WkEnd],ROW()-1)  =  INDEX(TimeEntry[WkEnd],ROW()-2),    INDEX(TimeEntry[format],ROW()-2),    INDEX(TimeEntry[format],ROW()-2)    +1)),2)</f>
        <v>1.1000000000000001</v>
      </c>
      <c r="B205" s="7">
        <v>44047.667245370372</v>
      </c>
      <c r="C205" s="8">
        <v>44047</v>
      </c>
      <c r="D205" s="8" t="s">
        <v>101</v>
      </c>
      <c r="E205" s="1" t="s">
        <v>442</v>
      </c>
      <c r="F205" s="8">
        <f>IF(TimeEntry[[#This Row],[Date]]=0,F204,C205+(7-Q205))</f>
        <v>44052</v>
      </c>
      <c r="G205" s="35" t="str">
        <f>INDEX(projects[Charge_Code],MATCH(TimeEntry[[#This Row],[Project_ID]],projects[Project_ID],0))</f>
        <v>210035-65 MC VBB WP1: DO-nota West (25-050)</v>
      </c>
      <c r="H205" s="1" t="str">
        <f t="shared" si="13"/>
        <v>Normal Time</v>
      </c>
      <c r="I205" s="1" t="s">
        <v>273</v>
      </c>
      <c r="J205" s="15">
        <v>2</v>
      </c>
      <c r="K205" s="15"/>
      <c r="L205" s="15"/>
      <c r="M205" s="15"/>
      <c r="N205" s="15"/>
      <c r="O205" s="15" t="str">
        <f>INDEX(projects[job number],MATCH(TimeEntry[[#This Row],[Project_ID]], projects[Project_ID],0))</f>
        <v>210035-65</v>
      </c>
      <c r="P205" s="15" t="str">
        <f>INDEX(projects[Project_Name],MATCH(TimeEntry[[#This Row],[Project_ID]], projects[Project_ID],0))</f>
        <v>MC VBB WP1: DO-nota West</v>
      </c>
      <c r="Q205" s="6">
        <f>IF(TimeEntry[[#This Row],[Date]]=0,"",WEEKDAY(C205,2))</f>
        <v>2</v>
      </c>
      <c r="R205" s="9">
        <f>YEAR(TimeEntry[[#This Row],[WkEnd]])</f>
        <v>2020</v>
      </c>
      <c r="S205" s="9">
        <f>WEEKNUM(TimeEntry[[#This Row],[WkEnd]])</f>
        <v>33</v>
      </c>
      <c r="T205" s="9" t="str">
        <f>TimeEntry[[#This Row],[Year]]&amp;"-"&amp;TimeEntry[[#This Row],[WkNo]]</f>
        <v>2020-33</v>
      </c>
    </row>
    <row r="206" spans="1:20" x14ac:dyDescent="0.25">
      <c r="A206" s="6">
        <f>MOD(IF(ROW()=2,0.1,IF(INDEX(TimeEntry[WkEnd],ROW()-1)  =  INDEX(TimeEntry[WkEnd],ROW()-2),    INDEX(TimeEntry[format],ROW()-2),    INDEX(TimeEntry[format],ROW()-2)    +1)),2)</f>
        <v>1.1000000000000001</v>
      </c>
      <c r="B206" s="7">
        <v>44047.501493055555</v>
      </c>
      <c r="C206" s="8">
        <v>44047</v>
      </c>
      <c r="D206" s="8" t="s">
        <v>101</v>
      </c>
      <c r="E206" s="1" t="s">
        <v>442</v>
      </c>
      <c r="F206" s="8">
        <f>IF(TimeEntry[[#This Row],[Date]]=0,F205,C206+(7-Q206))</f>
        <v>44052</v>
      </c>
      <c r="G206" s="35" t="str">
        <f>INDEX(projects[Charge_Code],MATCH(TimeEntry[[#This Row],[Project_ID]],projects[Project_ID],0))</f>
        <v>210035-65 MC VBB WP1: DO-nota West (25-050)</v>
      </c>
      <c r="H206" s="1" t="str">
        <f t="shared" si="13"/>
        <v>Normal Time</v>
      </c>
      <c r="I206" s="1" t="s">
        <v>267</v>
      </c>
      <c r="J206" s="15">
        <v>3</v>
      </c>
      <c r="K206" s="15"/>
      <c r="L206" s="15"/>
      <c r="M206" s="15"/>
      <c r="N206" s="15"/>
      <c r="O206" s="15" t="str">
        <f>INDEX(projects[job number],MATCH(TimeEntry[[#This Row],[Project_ID]], projects[Project_ID],0))</f>
        <v>210035-65</v>
      </c>
      <c r="P206" s="15" t="str">
        <f>INDEX(projects[Project_Name],MATCH(TimeEntry[[#This Row],[Project_ID]], projects[Project_ID],0))</f>
        <v>MC VBB WP1: DO-nota West</v>
      </c>
      <c r="Q206" s="6">
        <f>IF(TimeEntry[[#This Row],[Date]]=0,"",WEEKDAY(C206,2))</f>
        <v>2</v>
      </c>
      <c r="R206" s="9">
        <f>YEAR(TimeEntry[[#This Row],[WkEnd]])</f>
        <v>2020</v>
      </c>
      <c r="S206" s="9">
        <f>WEEKNUM(TimeEntry[[#This Row],[WkEnd]])</f>
        <v>33</v>
      </c>
      <c r="T206" s="9" t="str">
        <f>TimeEntry[[#This Row],[Year]]&amp;"-"&amp;TimeEntry[[#This Row],[WkNo]]</f>
        <v>2020-33</v>
      </c>
    </row>
    <row r="207" spans="1:20" x14ac:dyDescent="0.25">
      <c r="A207" s="6">
        <f>MOD(IF(ROW()=2,0.1,IF(INDEX(TimeEntry[WkEnd],ROW()-1)  =  INDEX(TimeEntry[WkEnd],ROW()-2),    INDEX(TimeEntry[format],ROW()-2),    INDEX(TimeEntry[format],ROW()-2)    +1)),2)</f>
        <v>1.1000000000000001</v>
      </c>
      <c r="B207" s="7">
        <v>44046.686666666668</v>
      </c>
      <c r="C207" s="8">
        <v>44046</v>
      </c>
      <c r="D207" s="8" t="s">
        <v>104</v>
      </c>
      <c r="E207" s="1" t="s">
        <v>442</v>
      </c>
      <c r="F207" s="8">
        <f>IF(TimeEntry[[#This Row],[Date]]=0,F206,C207+(7-Q207))</f>
        <v>44052</v>
      </c>
      <c r="G207" s="35" t="str">
        <f>INDEX(projects[Charge_Code],MATCH(TimeEntry[[#This Row],[Project_ID]],projects[Project_ID],0))</f>
        <v>210035-65 MC VBB WP1: DO-nota West (25-050)</v>
      </c>
      <c r="H207" s="1" t="str">
        <f t="shared" si="13"/>
        <v>Normal Time</v>
      </c>
      <c r="I207" s="1" t="s">
        <v>266</v>
      </c>
      <c r="J207" s="15">
        <v>3.75</v>
      </c>
      <c r="K207" s="15"/>
      <c r="L207" s="15"/>
      <c r="M207" s="15"/>
      <c r="N207" s="15"/>
      <c r="O207" s="15" t="str">
        <f>INDEX(projects[job number],MATCH(TimeEntry[[#This Row],[Project_ID]], projects[Project_ID],0))</f>
        <v>210035-65</v>
      </c>
      <c r="P207" s="15" t="str">
        <f>INDEX(projects[Project_Name],MATCH(TimeEntry[[#This Row],[Project_ID]], projects[Project_ID],0))</f>
        <v>MC VBB WP1: DO-nota West</v>
      </c>
      <c r="Q207" s="6">
        <f>IF(TimeEntry[[#This Row],[Date]]=0,"",WEEKDAY(C207,2))</f>
        <v>1</v>
      </c>
      <c r="R207" s="9">
        <f>YEAR(TimeEntry[[#This Row],[WkEnd]])</f>
        <v>2020</v>
      </c>
      <c r="S207" s="9">
        <f>WEEKNUM(TimeEntry[[#This Row],[WkEnd]])</f>
        <v>33</v>
      </c>
      <c r="T207" s="9" t="str">
        <f>TimeEntry[[#This Row],[Year]]&amp;"-"&amp;TimeEntry[[#This Row],[WkNo]]</f>
        <v>2020-33</v>
      </c>
    </row>
    <row r="208" spans="1:20" x14ac:dyDescent="0.25">
      <c r="A208" s="6">
        <f>MOD(IF(ROW()=2,0.1,IF(INDEX(TimeEntry[WkEnd],ROW()-1)  =  INDEX(TimeEntry[WkEnd],ROW()-2),    INDEX(TimeEntry[format],ROW()-2),    INDEX(TimeEntry[format],ROW()-2)    +1)),2)</f>
        <v>1.1000000000000001</v>
      </c>
      <c r="B208" s="7">
        <v>44046.5003125</v>
      </c>
      <c r="C208" s="8">
        <v>44046</v>
      </c>
      <c r="D208" s="8" t="s">
        <v>104</v>
      </c>
      <c r="E208" s="1" t="s">
        <v>442</v>
      </c>
      <c r="F208" s="8">
        <f>IF(TimeEntry[[#This Row],[Date]]=0,F207,C208+(7-Q208))</f>
        <v>44052</v>
      </c>
      <c r="G208" s="35" t="str">
        <f>INDEX(projects[Charge_Code],MATCH(TimeEntry[[#This Row],[Project_ID]],projects[Project_ID],0))</f>
        <v>210035-65 MC VBB WP1: DO-nota West (25-050)</v>
      </c>
      <c r="H208" s="1" t="str">
        <f t="shared" si="13"/>
        <v>Normal Time</v>
      </c>
      <c r="I208" s="1" t="s">
        <v>265</v>
      </c>
      <c r="J208" s="15">
        <v>3.75</v>
      </c>
      <c r="K208" s="15"/>
      <c r="L208" s="15"/>
      <c r="M208" s="15"/>
      <c r="N208" s="15"/>
      <c r="O208" s="15" t="str">
        <f>INDEX(projects[job number],MATCH(TimeEntry[[#This Row],[Project_ID]], projects[Project_ID],0))</f>
        <v>210035-65</v>
      </c>
      <c r="P208" s="15" t="str">
        <f>INDEX(projects[Project_Name],MATCH(TimeEntry[[#This Row],[Project_ID]], projects[Project_ID],0))</f>
        <v>MC VBB WP1: DO-nota West</v>
      </c>
      <c r="Q208" s="6">
        <f>IF(TimeEntry[[#This Row],[Date]]=0,"",WEEKDAY(C208,2))</f>
        <v>1</v>
      </c>
      <c r="R208" s="9">
        <f>YEAR(TimeEntry[[#This Row],[WkEnd]])</f>
        <v>2020</v>
      </c>
      <c r="S208" s="9">
        <f>WEEKNUM(TimeEntry[[#This Row],[WkEnd]])</f>
        <v>33</v>
      </c>
      <c r="T208" s="9" t="str">
        <f>TimeEntry[[#This Row],[Year]]&amp;"-"&amp;TimeEntry[[#This Row],[WkNo]]</f>
        <v>2020-33</v>
      </c>
    </row>
    <row r="209" spans="1:20" x14ac:dyDescent="0.25">
      <c r="A209" s="6">
        <f>MOD(IF(ROW()=2,0.1,IF(INDEX(TimeEntry[WkEnd],ROW()-1)  =  INDEX(TimeEntry[WkEnd],ROW()-2),    INDEX(TimeEntry[format],ROW()-2),    INDEX(TimeEntry[format],ROW()-2)    +1)),2)</f>
        <v>0.10000000000000009</v>
      </c>
      <c r="B209" s="7">
        <v>44043</v>
      </c>
      <c r="C209" s="8">
        <v>44043</v>
      </c>
      <c r="D209" s="8" t="s">
        <v>106</v>
      </c>
      <c r="E209" s="1" t="s">
        <v>444</v>
      </c>
      <c r="F209" s="8">
        <f>IF(TimeEntry[[#This Row],[Date]]=0,F208,C209+(7-Q209))</f>
        <v>44045</v>
      </c>
      <c r="G209" s="35" t="str">
        <f>INDEX(projects[Charge_Code],MATCH(TimeEntry[[#This Row],[Project_ID]],projects[Project_ID],0))</f>
        <v>LEAVE</v>
      </c>
      <c r="H209" s="1" t="str">
        <f t="shared" si="13"/>
        <v>Normal Time</v>
      </c>
      <c r="I209" s="1"/>
      <c r="J209" s="15">
        <v>7.5</v>
      </c>
      <c r="K209" s="15"/>
      <c r="L209" s="15"/>
      <c r="M209" s="15"/>
      <c r="N209" s="15"/>
      <c r="O209" s="15" t="str">
        <f>INDEX(projects[job number],MATCH(TimeEntry[[#This Row],[Project_ID]], projects[Project_ID],0))</f>
        <v>LEAVE</v>
      </c>
      <c r="P209" s="15">
        <f>INDEX(projects[Project_Name],MATCH(TimeEntry[[#This Row],[Project_ID]], projects[Project_ID],0))</f>
        <v>0</v>
      </c>
      <c r="Q209" s="6">
        <f>IF(TimeEntry[[#This Row],[Date]]=0,"",WEEKDAY(C209,2))</f>
        <v>5</v>
      </c>
      <c r="R209" s="9">
        <f>YEAR(TimeEntry[[#This Row],[WkEnd]])</f>
        <v>2020</v>
      </c>
      <c r="S209" s="9">
        <f>WEEKNUM(TimeEntry[[#This Row],[WkEnd]])</f>
        <v>32</v>
      </c>
      <c r="T209" s="9" t="str">
        <f>TimeEntry[[#This Row],[Year]]&amp;"-"&amp;TimeEntry[[#This Row],[WkNo]]</f>
        <v>2020-32</v>
      </c>
    </row>
    <row r="210" spans="1:20" x14ac:dyDescent="0.25">
      <c r="A210" s="6">
        <f>MOD(IF(ROW()=2,0.1,IF(INDEX(TimeEntry[WkEnd],ROW()-1)  =  INDEX(TimeEntry[WkEnd],ROW()-2),    INDEX(TimeEntry[format],ROW()-2),    INDEX(TimeEntry[format],ROW()-2)    +1)),2)</f>
        <v>0.10000000000000009</v>
      </c>
      <c r="B210" s="7">
        <v>44042.680509259262</v>
      </c>
      <c r="C210" s="8">
        <v>44042</v>
      </c>
      <c r="D210" s="8" t="s">
        <v>102</v>
      </c>
      <c r="E210" s="1" t="s">
        <v>442</v>
      </c>
      <c r="F210" s="8">
        <f>IF(TimeEntry[[#This Row],[Date]]=0,F209,C210+(7-Q210))</f>
        <v>44045</v>
      </c>
      <c r="G210" s="35" t="str">
        <f>INDEX(projects[Charge_Code],MATCH(TimeEntry[[#This Row],[Project_ID]],projects[Project_ID],0))</f>
        <v>210035-65 MC VBB WP1: DO-nota West (25-050)</v>
      </c>
      <c r="H210" s="1" t="str">
        <f t="shared" si="13"/>
        <v>Normal Time</v>
      </c>
      <c r="I210" s="1" t="s">
        <v>261</v>
      </c>
      <c r="J210" s="15">
        <v>3.75</v>
      </c>
      <c r="K210" s="15"/>
      <c r="L210" s="15"/>
      <c r="M210" s="15"/>
      <c r="N210" s="15"/>
      <c r="O210" s="15" t="str">
        <f>INDEX(projects[job number],MATCH(TimeEntry[[#This Row],[Project_ID]], projects[Project_ID],0))</f>
        <v>210035-65</v>
      </c>
      <c r="P210" s="15" t="str">
        <f>INDEX(projects[Project_Name],MATCH(TimeEntry[[#This Row],[Project_ID]], projects[Project_ID],0))</f>
        <v>MC VBB WP1: DO-nota West</v>
      </c>
      <c r="Q210" s="6">
        <f>IF(TimeEntry[[#This Row],[Date]]=0,"",WEEKDAY(C210,2))</f>
        <v>4</v>
      </c>
      <c r="R210" s="9">
        <f>YEAR(TimeEntry[[#This Row],[WkEnd]])</f>
        <v>2020</v>
      </c>
      <c r="S210" s="9">
        <f>WEEKNUM(TimeEntry[[#This Row],[WkEnd]])</f>
        <v>32</v>
      </c>
      <c r="T210" s="9" t="str">
        <f>TimeEntry[[#This Row],[Year]]&amp;"-"&amp;TimeEntry[[#This Row],[WkNo]]</f>
        <v>2020-32</v>
      </c>
    </row>
    <row r="211" spans="1:20" x14ac:dyDescent="0.25">
      <c r="A211" s="6">
        <f>MOD(IF(ROW()=2,0.1,IF(INDEX(TimeEntry[WkEnd],ROW()-1)  =  INDEX(TimeEntry[WkEnd],ROW()-2),    INDEX(TimeEntry[format],ROW()-2),    INDEX(TimeEntry[format],ROW()-2)    +1)),2)</f>
        <v>0.10000000000000009</v>
      </c>
      <c r="B211" s="7">
        <v>44042.67224537037</v>
      </c>
      <c r="C211" s="8">
        <v>44042</v>
      </c>
      <c r="D211" s="8" t="s">
        <v>102</v>
      </c>
      <c r="E211" s="1" t="s">
        <v>445</v>
      </c>
      <c r="F211" s="8">
        <f>IF(TimeEntry[[#This Row],[Date]]=0,F210,C211+(7-Q211))</f>
        <v>44045</v>
      </c>
      <c r="G211" s="35" t="str">
        <f>INDEX(projects[Charge_Code],MATCH(TimeEntry[[#This Row],[Project_ID]],projects[Project_ID],0))</f>
        <v>257677-59  Melbourne Metro - Latrobe</v>
      </c>
      <c r="H211" s="1" t="str">
        <f t="shared" si="13"/>
        <v>Normal Time</v>
      </c>
      <c r="I211" s="1" t="s">
        <v>260</v>
      </c>
      <c r="J211" s="15">
        <v>3.75</v>
      </c>
      <c r="K211" s="15"/>
      <c r="L211" s="15"/>
      <c r="M211" s="15"/>
      <c r="N211" s="15"/>
      <c r="O211" s="15" t="str">
        <f>INDEX(projects[job number],MATCH(TimeEntry[[#This Row],[Project_ID]], projects[Project_ID],0))</f>
        <v xml:space="preserve">257677-59 </v>
      </c>
      <c r="P211" s="15" t="str">
        <f>INDEX(projects[Project_Name],MATCH(TimeEntry[[#This Row],[Project_ID]], projects[Project_ID],0))</f>
        <v>Melbourne Metro - Latrobe</v>
      </c>
      <c r="Q211" s="6">
        <f>IF(TimeEntry[[#This Row],[Date]]=0,"",WEEKDAY(C211,2))</f>
        <v>4</v>
      </c>
      <c r="R211" s="9">
        <f>YEAR(TimeEntry[[#This Row],[WkEnd]])</f>
        <v>2020</v>
      </c>
      <c r="S211" s="9">
        <f>WEEKNUM(TimeEntry[[#This Row],[WkEnd]])</f>
        <v>32</v>
      </c>
      <c r="T211" s="9" t="str">
        <f>TimeEntry[[#This Row],[Year]]&amp;"-"&amp;TimeEntry[[#This Row],[WkNo]]</f>
        <v>2020-32</v>
      </c>
    </row>
    <row r="212" spans="1:20" x14ac:dyDescent="0.25">
      <c r="A212" s="6">
        <f>MOD(IF(ROW()=2,0.1,IF(INDEX(TimeEntry[WkEnd],ROW()-1)  =  INDEX(TimeEntry[WkEnd],ROW()-2),    INDEX(TimeEntry[format],ROW()-2),    INDEX(TimeEntry[format],ROW()-2)    +1)),2)</f>
        <v>0.10000000000000009</v>
      </c>
      <c r="B212" s="7">
        <v>44041.675949074073</v>
      </c>
      <c r="C212" s="8">
        <v>44041</v>
      </c>
      <c r="D212" s="8" t="s">
        <v>100</v>
      </c>
      <c r="E212" s="1" t="s">
        <v>445</v>
      </c>
      <c r="F212" s="8">
        <f>IF(TimeEntry[[#This Row],[Date]]=0,F211,C212+(7-Q212))</f>
        <v>44045</v>
      </c>
      <c r="G212" s="35" t="str">
        <f>INDEX(projects[Charge_Code],MATCH(TimeEntry[[#This Row],[Project_ID]],projects[Project_ID],0))</f>
        <v>257677-59  Melbourne Metro - Latrobe</v>
      </c>
      <c r="H212" s="1" t="str">
        <f t="shared" si="13"/>
        <v>Normal Time</v>
      </c>
      <c r="I212" s="1" t="s">
        <v>262</v>
      </c>
      <c r="J212" s="15">
        <v>3.75</v>
      </c>
      <c r="K212" s="15"/>
      <c r="L212" s="15"/>
      <c r="M212" s="15"/>
      <c r="N212" s="15"/>
      <c r="O212" s="15" t="str">
        <f>INDEX(projects[job number],MATCH(TimeEntry[[#This Row],[Project_ID]], projects[Project_ID],0))</f>
        <v xml:space="preserve">257677-59 </v>
      </c>
      <c r="P212" s="15" t="str">
        <f>INDEX(projects[Project_Name],MATCH(TimeEntry[[#This Row],[Project_ID]], projects[Project_ID],0))</f>
        <v>Melbourne Metro - Latrobe</v>
      </c>
      <c r="Q212" s="6">
        <f>IF(TimeEntry[[#This Row],[Date]]=0,"",WEEKDAY(C212,2))</f>
        <v>3</v>
      </c>
      <c r="R212" s="9">
        <f>YEAR(TimeEntry[[#This Row],[WkEnd]])</f>
        <v>2020</v>
      </c>
      <c r="S212" s="9">
        <f>WEEKNUM(TimeEntry[[#This Row],[WkEnd]])</f>
        <v>32</v>
      </c>
      <c r="T212" s="9" t="str">
        <f>TimeEntry[[#This Row],[Year]]&amp;"-"&amp;TimeEntry[[#This Row],[WkNo]]</f>
        <v>2020-32</v>
      </c>
    </row>
    <row r="213" spans="1:20" x14ac:dyDescent="0.25">
      <c r="A213" s="6">
        <f>MOD(IF(ROW()=2,0.1,IF(INDEX(TimeEntry[WkEnd],ROW()-1)  =  INDEX(TimeEntry[WkEnd],ROW()-2),    INDEX(TimeEntry[format],ROW()-2),    INDEX(TimeEntry[format],ROW()-2)    +1)),2)</f>
        <v>0.10000000000000009</v>
      </c>
      <c r="B213" s="7">
        <v>44041.675949074073</v>
      </c>
      <c r="C213" s="8">
        <v>44041</v>
      </c>
      <c r="D213" s="8" t="s">
        <v>100</v>
      </c>
      <c r="E213" s="1" t="s">
        <v>442</v>
      </c>
      <c r="F213" s="8">
        <f>IF(TimeEntry[[#This Row],[Date]]=0,F212,C213+(7-Q213))</f>
        <v>44045</v>
      </c>
      <c r="G213" s="35" t="str">
        <f>INDEX(projects[Charge_Code],MATCH(TimeEntry[[#This Row],[Project_ID]],projects[Project_ID],0))</f>
        <v>210035-65 MC VBB WP1: DO-nota West (25-050)</v>
      </c>
      <c r="H213" s="1" t="str">
        <f t="shared" si="13"/>
        <v>Normal Time</v>
      </c>
      <c r="I213" s="1" t="s">
        <v>263</v>
      </c>
      <c r="J213" s="15">
        <v>3.75</v>
      </c>
      <c r="K213" s="15"/>
      <c r="L213" s="15"/>
      <c r="M213" s="15"/>
      <c r="N213" s="15"/>
      <c r="O213" s="15" t="str">
        <f>INDEX(projects[job number],MATCH(TimeEntry[[#This Row],[Project_ID]], projects[Project_ID],0))</f>
        <v>210035-65</v>
      </c>
      <c r="P213" s="15" t="str">
        <f>INDEX(projects[Project_Name],MATCH(TimeEntry[[#This Row],[Project_ID]], projects[Project_ID],0))</f>
        <v>MC VBB WP1: DO-nota West</v>
      </c>
      <c r="Q213" s="6">
        <f>IF(TimeEntry[[#This Row],[Date]]=0,"",WEEKDAY(C213,2))</f>
        <v>3</v>
      </c>
      <c r="R213" s="9">
        <f>YEAR(TimeEntry[[#This Row],[WkEnd]])</f>
        <v>2020</v>
      </c>
      <c r="S213" s="9">
        <f>WEEKNUM(TimeEntry[[#This Row],[WkEnd]])</f>
        <v>32</v>
      </c>
      <c r="T213" s="9" t="str">
        <f>TimeEntry[[#This Row],[Year]]&amp;"-"&amp;TimeEntry[[#This Row],[WkNo]]</f>
        <v>2020-32</v>
      </c>
    </row>
    <row r="214" spans="1:20" x14ac:dyDescent="0.25">
      <c r="A214" s="6">
        <f>MOD(IF(ROW()=2,0.1,IF(INDEX(TimeEntry[WkEnd],ROW()-1)  =  INDEX(TimeEntry[WkEnd],ROW()-2),    INDEX(TimeEntry[format],ROW()-2),    INDEX(TimeEntry[format],ROW()-2)    +1)),2)</f>
        <v>0.10000000000000009</v>
      </c>
      <c r="B214" s="7">
        <v>44040.502893518518</v>
      </c>
      <c r="C214" s="8">
        <v>44040</v>
      </c>
      <c r="D214" s="8" t="s">
        <v>101</v>
      </c>
      <c r="E214" s="1" t="s">
        <v>442</v>
      </c>
      <c r="F214" s="8">
        <f>IF(TimeEntry[[#This Row],[Date]]=0,F213,C214+(7-Q214))</f>
        <v>44045</v>
      </c>
      <c r="G214" s="35" t="str">
        <f>INDEX(projects[Charge_Code],MATCH(TimeEntry[[#This Row],[Project_ID]],projects[Project_ID],0))</f>
        <v>210035-65 MC VBB WP1: DO-nota West (25-050)</v>
      </c>
      <c r="H214" s="1" t="str">
        <f t="shared" si="13"/>
        <v>Normal Time</v>
      </c>
      <c r="I214" s="1" t="s">
        <v>258</v>
      </c>
      <c r="J214" s="15">
        <v>7.5</v>
      </c>
      <c r="K214" s="15"/>
      <c r="L214" s="15"/>
      <c r="M214" s="15"/>
      <c r="N214" s="15"/>
      <c r="O214" s="15" t="str">
        <f>INDEX(projects[job number],MATCH(TimeEntry[[#This Row],[Project_ID]], projects[Project_ID],0))</f>
        <v>210035-65</v>
      </c>
      <c r="P214" s="15" t="str">
        <f>INDEX(projects[Project_Name],MATCH(TimeEntry[[#This Row],[Project_ID]], projects[Project_ID],0))</f>
        <v>MC VBB WP1: DO-nota West</v>
      </c>
      <c r="Q214" s="6">
        <f>IF(TimeEntry[[#This Row],[Date]]=0,"",WEEKDAY(C214,2))</f>
        <v>2</v>
      </c>
      <c r="R214" s="9">
        <f>YEAR(TimeEntry[[#This Row],[WkEnd]])</f>
        <v>2020</v>
      </c>
      <c r="S214" s="9">
        <f>WEEKNUM(TimeEntry[[#This Row],[WkEnd]])</f>
        <v>32</v>
      </c>
      <c r="T214" s="9" t="str">
        <f>TimeEntry[[#This Row],[Year]]&amp;"-"&amp;TimeEntry[[#This Row],[WkNo]]</f>
        <v>2020-32</v>
      </c>
    </row>
    <row r="215" spans="1:20" x14ac:dyDescent="0.25">
      <c r="A215" s="6">
        <f>MOD(IF(ROW()=2,0.1,IF(INDEX(TimeEntry[WkEnd],ROW()-1)  =  INDEX(TimeEntry[WkEnd],ROW()-2),    INDEX(TimeEntry[format],ROW()-2),    INDEX(TimeEntry[format],ROW()-2)    +1)),2)</f>
        <v>0.10000000000000009</v>
      </c>
      <c r="B215" s="7">
        <v>44039.50545138889</v>
      </c>
      <c r="C215" s="8">
        <v>44039</v>
      </c>
      <c r="D215" s="8" t="s">
        <v>104</v>
      </c>
      <c r="E215" s="1" t="s">
        <v>442</v>
      </c>
      <c r="F215" s="8">
        <f>IF(TimeEntry[[#This Row],[Date]]=0,F214,C215+(7-Q215))</f>
        <v>44045</v>
      </c>
      <c r="G215" s="35" t="str">
        <f>INDEX(projects[Charge_Code],MATCH(TimeEntry[[#This Row],[Project_ID]],projects[Project_ID],0))</f>
        <v>210035-65 MC VBB WP1: DO-nota West (25-050)</v>
      </c>
      <c r="H215" s="1" t="str">
        <f t="shared" si="13"/>
        <v>Normal Time</v>
      </c>
      <c r="I215" s="1" t="s">
        <v>264</v>
      </c>
      <c r="J215" s="15">
        <v>7.5</v>
      </c>
      <c r="K215" s="15"/>
      <c r="L215" s="15"/>
      <c r="M215" s="15"/>
      <c r="N215" s="15"/>
      <c r="O215" s="15" t="str">
        <f>INDEX(projects[job number],MATCH(TimeEntry[[#This Row],[Project_ID]], projects[Project_ID],0))</f>
        <v>210035-65</v>
      </c>
      <c r="P215" s="15" t="str">
        <f>INDEX(projects[Project_Name],MATCH(TimeEntry[[#This Row],[Project_ID]], projects[Project_ID],0))</f>
        <v>MC VBB WP1: DO-nota West</v>
      </c>
      <c r="Q215" s="6">
        <f>IF(TimeEntry[[#This Row],[Date]]=0,"",WEEKDAY(C215,2))</f>
        <v>1</v>
      </c>
      <c r="R215" s="9">
        <f>YEAR(TimeEntry[[#This Row],[WkEnd]])</f>
        <v>2020</v>
      </c>
      <c r="S215" s="9">
        <f>WEEKNUM(TimeEntry[[#This Row],[WkEnd]])</f>
        <v>32</v>
      </c>
      <c r="T215" s="9" t="str">
        <f>TimeEntry[[#This Row],[Year]]&amp;"-"&amp;TimeEntry[[#This Row],[WkNo]]</f>
        <v>2020-32</v>
      </c>
    </row>
    <row r="216" spans="1:20" x14ac:dyDescent="0.25">
      <c r="A216" s="6">
        <f>MOD(IF(ROW()=2,0.1,IF(INDEX(TimeEntry[WkEnd],ROW()-1)  =  INDEX(TimeEntry[WkEnd],ROW()-2),    INDEX(TimeEntry[format],ROW()-2),    INDEX(TimeEntry[format],ROW()-2)    +1)),2)</f>
        <v>1.1000000000000001</v>
      </c>
      <c r="B216" s="7">
        <v>44036.668043981481</v>
      </c>
      <c r="C216" s="8">
        <v>44036</v>
      </c>
      <c r="D216" s="8" t="s">
        <v>106</v>
      </c>
      <c r="E216" s="1" t="s">
        <v>442</v>
      </c>
      <c r="F216" s="8">
        <f>IF(TimeEntry[[#This Row],[Date]]=0,F215,C216+(7-Q216))</f>
        <v>44038</v>
      </c>
      <c r="G216" s="35" t="str">
        <f>INDEX(projects[Charge_Code],MATCH(TimeEntry[[#This Row],[Project_ID]],projects[Project_ID],0))</f>
        <v>210035-65 MC VBB WP1: DO-nota West (25-050)</v>
      </c>
      <c r="H216" s="1" t="str">
        <f t="shared" si="13"/>
        <v>Normal Time</v>
      </c>
      <c r="I216" s="1" t="s">
        <v>255</v>
      </c>
      <c r="J216" s="15">
        <v>7.5</v>
      </c>
      <c r="K216" s="15"/>
      <c r="L216" s="15"/>
      <c r="M216" s="15"/>
      <c r="N216" s="15"/>
      <c r="O216" s="15" t="str">
        <f>INDEX(projects[job number],MATCH(TimeEntry[[#This Row],[Project_ID]], projects[Project_ID],0))</f>
        <v>210035-65</v>
      </c>
      <c r="P216" s="15" t="str">
        <f>INDEX(projects[Project_Name],MATCH(TimeEntry[[#This Row],[Project_ID]], projects[Project_ID],0))</f>
        <v>MC VBB WP1: DO-nota West</v>
      </c>
      <c r="Q216" s="6">
        <f>IF(TimeEntry[[#This Row],[Date]]=0,"",WEEKDAY(C216,2))</f>
        <v>5</v>
      </c>
      <c r="R216" s="9">
        <f>YEAR(TimeEntry[[#This Row],[WkEnd]])</f>
        <v>2020</v>
      </c>
      <c r="S216" s="9">
        <f>WEEKNUM(TimeEntry[[#This Row],[WkEnd]])</f>
        <v>31</v>
      </c>
      <c r="T216" s="9" t="str">
        <f>TimeEntry[[#This Row],[Year]]&amp;"-"&amp;TimeEntry[[#This Row],[WkNo]]</f>
        <v>2020-31</v>
      </c>
    </row>
    <row r="217" spans="1:20" x14ac:dyDescent="0.25">
      <c r="A217" s="6">
        <f>MOD(IF(ROW()=2,0.1,IF(INDEX(TimeEntry[WkEnd],ROW()-1)  =  INDEX(TimeEntry[WkEnd],ROW()-2),    INDEX(TimeEntry[format],ROW()-2),    INDEX(TimeEntry[format],ROW()-2)    +1)),2)</f>
        <v>1.1000000000000001</v>
      </c>
      <c r="B217" s="7">
        <v>44036.668043981481</v>
      </c>
      <c r="C217" s="8">
        <v>44036</v>
      </c>
      <c r="D217" s="8" t="s">
        <v>106</v>
      </c>
      <c r="E217" s="1" t="s">
        <v>443</v>
      </c>
      <c r="F217" s="8">
        <f>IF(TimeEntry[[#This Row],[Date]]=0,F216,C217+(7-Q217))</f>
        <v>44038</v>
      </c>
      <c r="G217" s="35" t="str">
        <f>INDEX(projects[Charge_Code],MATCH(TimeEntry[[#This Row],[Project_ID]],projects[Project_ID],0))</f>
        <v>071945-07 BCS - management (01-124)</v>
      </c>
      <c r="H217" s="1" t="str">
        <f t="shared" si="13"/>
        <v>Normal Time</v>
      </c>
      <c r="I217" s="1" t="s">
        <v>227</v>
      </c>
      <c r="J217" s="15"/>
      <c r="K217" s="15"/>
      <c r="L217" s="15"/>
      <c r="M217" s="15"/>
      <c r="N217" s="15"/>
      <c r="O217" s="15" t="str">
        <f>INDEX(projects[job number],MATCH(TimeEntry[[#This Row],[Project_ID]], projects[Project_ID],0))</f>
        <v>071945-07</v>
      </c>
      <c r="P217" s="15" t="str">
        <f>INDEX(projects[Project_Name],MATCH(TimeEntry[[#This Row],[Project_ID]], projects[Project_ID],0))</f>
        <v>BCS - management</v>
      </c>
      <c r="Q217" s="6">
        <f>IF(TimeEntry[[#This Row],[Date]]=0,"",WEEKDAY(C217,2))</f>
        <v>5</v>
      </c>
      <c r="R217" s="9">
        <f>YEAR(TimeEntry[[#This Row],[WkEnd]])</f>
        <v>2020</v>
      </c>
      <c r="S217" s="9">
        <f>WEEKNUM(TimeEntry[[#This Row],[WkEnd]])</f>
        <v>31</v>
      </c>
      <c r="T217" s="9" t="str">
        <f>TimeEntry[[#This Row],[Year]]&amp;"-"&amp;TimeEntry[[#This Row],[WkNo]]</f>
        <v>2020-31</v>
      </c>
    </row>
    <row r="218" spans="1:20" x14ac:dyDescent="0.25">
      <c r="A218" s="6">
        <f>MOD(IF(ROW()=2,0.1,IF(INDEX(TimeEntry[WkEnd],ROW()-1)  =  INDEX(TimeEntry[WkEnd],ROW()-2),    INDEX(TimeEntry[format],ROW()-2),    INDEX(TimeEntry[format],ROW()-2)    +1)),2)</f>
        <v>1.1000000000000001</v>
      </c>
      <c r="B218" s="7">
        <v>44035.668495370373</v>
      </c>
      <c r="C218" s="8">
        <v>44035</v>
      </c>
      <c r="D218" s="8" t="s">
        <v>102</v>
      </c>
      <c r="E218" s="1" t="s">
        <v>442</v>
      </c>
      <c r="F218" s="8">
        <f>IF(TimeEntry[[#This Row],[Date]]=0,F217,C218+(7-Q218))</f>
        <v>44038</v>
      </c>
      <c r="G218" s="35" t="str">
        <f>INDEX(projects[Charge_Code],MATCH(TimeEntry[[#This Row],[Project_ID]],projects[Project_ID],0))</f>
        <v>210035-65 MC VBB WP1: DO-nota West (25-050)</v>
      </c>
      <c r="H218" s="1" t="str">
        <f t="shared" si="13"/>
        <v>Normal Time</v>
      </c>
      <c r="I218" s="1" t="s">
        <v>252</v>
      </c>
      <c r="J218" s="15">
        <v>3.75</v>
      </c>
      <c r="K218" s="15"/>
      <c r="L218" s="15"/>
      <c r="M218" s="15"/>
      <c r="N218" s="15"/>
      <c r="O218" s="15" t="str">
        <f>INDEX(projects[job number],MATCH(TimeEntry[[#This Row],[Project_ID]], projects[Project_ID],0))</f>
        <v>210035-65</v>
      </c>
      <c r="P218" s="15" t="str">
        <f>INDEX(projects[Project_Name],MATCH(TimeEntry[[#This Row],[Project_ID]], projects[Project_ID],0))</f>
        <v>MC VBB WP1: DO-nota West</v>
      </c>
      <c r="Q218" s="6">
        <f>IF(TimeEntry[[#This Row],[Date]]=0,"",WEEKDAY(C218,2))</f>
        <v>4</v>
      </c>
      <c r="R218" s="9">
        <f>YEAR(TimeEntry[[#This Row],[WkEnd]])</f>
        <v>2020</v>
      </c>
      <c r="S218" s="9">
        <f>WEEKNUM(TimeEntry[[#This Row],[WkEnd]])</f>
        <v>31</v>
      </c>
      <c r="T218" s="9" t="str">
        <f>TimeEntry[[#This Row],[Year]]&amp;"-"&amp;TimeEntry[[#This Row],[WkNo]]</f>
        <v>2020-31</v>
      </c>
    </row>
    <row r="219" spans="1:20" x14ac:dyDescent="0.25">
      <c r="A219" s="6">
        <f>MOD(IF(ROW()=2,0.1,IF(INDEX(TimeEntry[WkEnd],ROW()-1)  =  INDEX(TimeEntry[WkEnd],ROW()-2),    INDEX(TimeEntry[format],ROW()-2),    INDEX(TimeEntry[format],ROW()-2)    +1)),2)</f>
        <v>1.1000000000000001</v>
      </c>
      <c r="B219" s="7">
        <v>44035.500486111108</v>
      </c>
      <c r="C219" s="8">
        <v>44035</v>
      </c>
      <c r="D219" s="8" t="s">
        <v>102</v>
      </c>
      <c r="E219" s="1" t="s">
        <v>442</v>
      </c>
      <c r="F219" s="8">
        <f>IF(TimeEntry[[#This Row],[Date]]=0,F218,C219+(7-Q219))</f>
        <v>44038</v>
      </c>
      <c r="G219" s="35" t="str">
        <f>INDEX(projects[Charge_Code],MATCH(TimeEntry[[#This Row],[Project_ID]],projects[Project_ID],0))</f>
        <v>210035-65 MC VBB WP1: DO-nota West (25-050)</v>
      </c>
      <c r="H219" s="1" t="str">
        <f t="shared" si="13"/>
        <v>Normal Time</v>
      </c>
      <c r="I219" s="1" t="s">
        <v>251</v>
      </c>
      <c r="J219" s="15">
        <v>3.75</v>
      </c>
      <c r="K219" s="15"/>
      <c r="L219" s="15"/>
      <c r="M219" s="15"/>
      <c r="N219" s="15"/>
      <c r="O219" s="15" t="str">
        <f>INDEX(projects[job number],MATCH(TimeEntry[[#This Row],[Project_ID]], projects[Project_ID],0))</f>
        <v>210035-65</v>
      </c>
      <c r="P219" s="15" t="str">
        <f>INDEX(projects[Project_Name],MATCH(TimeEntry[[#This Row],[Project_ID]], projects[Project_ID],0))</f>
        <v>MC VBB WP1: DO-nota West</v>
      </c>
      <c r="Q219" s="6">
        <f>IF(TimeEntry[[#This Row],[Date]]=0,"",WEEKDAY(C219,2))</f>
        <v>4</v>
      </c>
      <c r="R219" s="9">
        <f>YEAR(TimeEntry[[#This Row],[WkEnd]])</f>
        <v>2020</v>
      </c>
      <c r="S219" s="9">
        <f>WEEKNUM(TimeEntry[[#This Row],[WkEnd]])</f>
        <v>31</v>
      </c>
      <c r="T219" s="9" t="str">
        <f>TimeEntry[[#This Row],[Year]]&amp;"-"&amp;TimeEntry[[#This Row],[WkNo]]</f>
        <v>2020-31</v>
      </c>
    </row>
    <row r="220" spans="1:20" x14ac:dyDescent="0.25">
      <c r="A220" s="6">
        <f>MOD(IF(ROW()=2,0.1,IF(INDEX(TimeEntry[WkEnd],ROW()-1)  =  INDEX(TimeEntry[WkEnd],ROW()-2),    INDEX(TimeEntry[format],ROW()-2),    INDEX(TimeEntry[format],ROW()-2)    +1)),2)</f>
        <v>1.1000000000000001</v>
      </c>
      <c r="B220" s="7">
        <v>44034.667268518519</v>
      </c>
      <c r="C220" s="8">
        <v>44034</v>
      </c>
      <c r="D220" s="8" t="s">
        <v>100</v>
      </c>
      <c r="E220" s="1" t="s">
        <v>442</v>
      </c>
      <c r="F220" s="8">
        <f>IF(TimeEntry[[#This Row],[Date]]=0,F219,C220+(7-Q220))</f>
        <v>44038</v>
      </c>
      <c r="G220" s="35" t="str">
        <f>INDEX(projects[Charge_Code],MATCH(TimeEntry[[#This Row],[Project_ID]],projects[Project_ID],0))</f>
        <v>210035-65 MC VBB WP1: DO-nota West (25-050)</v>
      </c>
      <c r="H220" s="1" t="str">
        <f t="shared" si="13"/>
        <v>Normal Time</v>
      </c>
      <c r="I220" s="1" t="s">
        <v>250</v>
      </c>
      <c r="J220" s="15">
        <v>2</v>
      </c>
      <c r="K220" s="15"/>
      <c r="L220" s="15"/>
      <c r="M220" s="15"/>
      <c r="N220" s="15"/>
      <c r="O220" s="15" t="str">
        <f>INDEX(projects[job number],MATCH(TimeEntry[[#This Row],[Project_ID]], projects[Project_ID],0))</f>
        <v>210035-65</v>
      </c>
      <c r="P220" s="15" t="str">
        <f>INDEX(projects[Project_Name],MATCH(TimeEntry[[#This Row],[Project_ID]], projects[Project_ID],0))</f>
        <v>MC VBB WP1: DO-nota West</v>
      </c>
      <c r="Q220" s="6">
        <f>IF(TimeEntry[[#This Row],[Date]]=0,"",WEEKDAY(C220,2))</f>
        <v>3</v>
      </c>
      <c r="R220" s="9">
        <f>YEAR(TimeEntry[[#This Row],[WkEnd]])</f>
        <v>2020</v>
      </c>
      <c r="S220" s="9">
        <f>WEEKNUM(TimeEntry[[#This Row],[WkEnd]])</f>
        <v>31</v>
      </c>
      <c r="T220" s="9" t="str">
        <f>TimeEntry[[#This Row],[Year]]&amp;"-"&amp;TimeEntry[[#This Row],[WkNo]]</f>
        <v>2020-31</v>
      </c>
    </row>
    <row r="221" spans="1:20" x14ac:dyDescent="0.25">
      <c r="A221" s="6">
        <f>MOD(IF(ROW()=2,0.1,IF(INDEX(TimeEntry[WkEnd],ROW()-1)  =  INDEX(TimeEntry[WkEnd],ROW()-2),    INDEX(TimeEntry[format],ROW()-2),    INDEX(TimeEntry[format],ROW()-2)    +1)),2)</f>
        <v>1.1000000000000001</v>
      </c>
      <c r="B221" s="7">
        <v>44034.500914351855</v>
      </c>
      <c r="C221" s="8">
        <v>44034</v>
      </c>
      <c r="D221" s="8" t="s">
        <v>100</v>
      </c>
      <c r="E221" s="1" t="s">
        <v>442</v>
      </c>
      <c r="F221" s="8">
        <f>IF(TimeEntry[[#This Row],[Date]]=0,F220,C221+(7-Q221))</f>
        <v>44038</v>
      </c>
      <c r="G221" s="35" t="str">
        <f>INDEX(projects[Charge_Code],MATCH(TimeEntry[[#This Row],[Project_ID]],projects[Project_ID],0))</f>
        <v>210035-65 MC VBB WP1: DO-nota West (25-050)</v>
      </c>
      <c r="H221" s="1" t="str">
        <f t="shared" si="13"/>
        <v>Normal Time</v>
      </c>
      <c r="I221" s="1" t="s">
        <v>257</v>
      </c>
      <c r="J221" s="15">
        <v>5.5</v>
      </c>
      <c r="K221" s="15"/>
      <c r="L221" s="15"/>
      <c r="M221" s="15"/>
      <c r="N221" s="15"/>
      <c r="O221" s="15" t="str">
        <f>INDEX(projects[job number],MATCH(TimeEntry[[#This Row],[Project_ID]], projects[Project_ID],0))</f>
        <v>210035-65</v>
      </c>
      <c r="P221" s="15" t="str">
        <f>INDEX(projects[Project_Name],MATCH(TimeEntry[[#This Row],[Project_ID]], projects[Project_ID],0))</f>
        <v>MC VBB WP1: DO-nota West</v>
      </c>
      <c r="Q221" s="6">
        <f>IF(TimeEntry[[#This Row],[Date]]=0,"",WEEKDAY(C221,2))</f>
        <v>3</v>
      </c>
      <c r="R221" s="9">
        <f>YEAR(TimeEntry[[#This Row],[WkEnd]])</f>
        <v>2020</v>
      </c>
      <c r="S221" s="9">
        <f>WEEKNUM(TimeEntry[[#This Row],[WkEnd]])</f>
        <v>31</v>
      </c>
      <c r="T221" s="9" t="str">
        <f>TimeEntry[[#This Row],[Year]]&amp;"-"&amp;TimeEntry[[#This Row],[WkNo]]</f>
        <v>2020-31</v>
      </c>
    </row>
    <row r="222" spans="1:20" x14ac:dyDescent="0.25">
      <c r="A222" s="6">
        <f>MOD(IF(ROW()=2,0.1,IF(INDEX(TimeEntry[WkEnd],ROW()-1)  =  INDEX(TimeEntry[WkEnd],ROW()-2),    INDEX(TimeEntry[format],ROW()-2),    INDEX(TimeEntry[format],ROW()-2)    +1)),2)</f>
        <v>1.1000000000000001</v>
      </c>
      <c r="B222" s="7">
        <v>44034.500914351855</v>
      </c>
      <c r="C222" s="8">
        <v>44034</v>
      </c>
      <c r="D222" s="8" t="s">
        <v>100</v>
      </c>
      <c r="E222" s="1" t="s">
        <v>443</v>
      </c>
      <c r="F222" s="8">
        <f>IF(TimeEntry[[#This Row],[Date]]=0,F221,C222+(7-Q222))</f>
        <v>44038</v>
      </c>
      <c r="G222" s="35" t="str">
        <f>INDEX(projects[Charge_Code],MATCH(TimeEntry[[#This Row],[Project_ID]],projects[Project_ID],0))</f>
        <v>071945-07 BCS - management (01-124)</v>
      </c>
      <c r="H222" s="1" t="str">
        <f t="shared" si="13"/>
        <v>Normal Time</v>
      </c>
      <c r="I222" s="1" t="s">
        <v>256</v>
      </c>
      <c r="J222" s="15"/>
      <c r="K222" s="15"/>
      <c r="L222" s="15"/>
      <c r="M222" s="15"/>
      <c r="N222" s="15"/>
      <c r="O222" s="15" t="str">
        <f>INDEX(projects[job number],MATCH(TimeEntry[[#This Row],[Project_ID]], projects[Project_ID],0))</f>
        <v>071945-07</v>
      </c>
      <c r="P222" s="15" t="str">
        <f>INDEX(projects[Project_Name],MATCH(TimeEntry[[#This Row],[Project_ID]], projects[Project_ID],0))</f>
        <v>BCS - management</v>
      </c>
      <c r="Q222" s="6">
        <f>IF(TimeEntry[[#This Row],[Date]]=0,"",WEEKDAY(C222,2))</f>
        <v>3</v>
      </c>
      <c r="R222" s="9">
        <f>YEAR(TimeEntry[[#This Row],[WkEnd]])</f>
        <v>2020</v>
      </c>
      <c r="S222" s="9">
        <f>WEEKNUM(TimeEntry[[#This Row],[WkEnd]])</f>
        <v>31</v>
      </c>
      <c r="T222" s="9" t="str">
        <f>TimeEntry[[#This Row],[Year]]&amp;"-"&amp;TimeEntry[[#This Row],[WkNo]]</f>
        <v>2020-31</v>
      </c>
    </row>
    <row r="223" spans="1:20" x14ac:dyDescent="0.25">
      <c r="A223" s="6">
        <f>MOD(IF(ROW()=2,0.1,IF(INDEX(TimeEntry[WkEnd],ROW()-1)  =  INDEX(TimeEntry[WkEnd],ROW()-2),    INDEX(TimeEntry[format],ROW()-2),    INDEX(TimeEntry[format],ROW()-2)    +1)),2)</f>
        <v>1.1000000000000001</v>
      </c>
      <c r="B223" s="7">
        <v>44033.678564814814</v>
      </c>
      <c r="C223" s="8">
        <v>44033</v>
      </c>
      <c r="D223" s="8" t="s">
        <v>101</v>
      </c>
      <c r="E223" s="1" t="s">
        <v>442</v>
      </c>
      <c r="F223" s="8">
        <f>IF(TimeEntry[[#This Row],[Date]]=0,F222,C223+(7-Q223))</f>
        <v>44038</v>
      </c>
      <c r="G223" s="35" t="str">
        <f>INDEX(projects[Charge_Code],MATCH(TimeEntry[[#This Row],[Project_ID]],projects[Project_ID],0))</f>
        <v>210035-65 MC VBB WP1: DO-nota West (25-050)</v>
      </c>
      <c r="H223" s="1" t="str">
        <f t="shared" si="13"/>
        <v>Normal Time</v>
      </c>
      <c r="I223" s="1" t="s">
        <v>248</v>
      </c>
      <c r="J223" s="15">
        <v>2.5</v>
      </c>
      <c r="K223" s="15"/>
      <c r="L223" s="15"/>
      <c r="M223" s="15"/>
      <c r="N223" s="15"/>
      <c r="O223" s="15" t="str">
        <f>INDEX(projects[job number],MATCH(TimeEntry[[#This Row],[Project_ID]], projects[Project_ID],0))</f>
        <v>210035-65</v>
      </c>
      <c r="P223" s="15" t="str">
        <f>INDEX(projects[Project_Name],MATCH(TimeEntry[[#This Row],[Project_ID]], projects[Project_ID],0))</f>
        <v>MC VBB WP1: DO-nota West</v>
      </c>
      <c r="Q223" s="6">
        <f>IF(TimeEntry[[#This Row],[Date]]=0,"",WEEKDAY(C223,2))</f>
        <v>2</v>
      </c>
      <c r="R223" s="9">
        <f>YEAR(TimeEntry[[#This Row],[WkEnd]])</f>
        <v>2020</v>
      </c>
      <c r="S223" s="9">
        <f>WEEKNUM(TimeEntry[[#This Row],[WkEnd]])</f>
        <v>31</v>
      </c>
      <c r="T223" s="9" t="str">
        <f>TimeEntry[[#This Row],[Year]]&amp;"-"&amp;TimeEntry[[#This Row],[WkNo]]</f>
        <v>2020-31</v>
      </c>
    </row>
    <row r="224" spans="1:20" x14ac:dyDescent="0.25">
      <c r="A224" s="6">
        <f>MOD(IF(ROW()=2,0.1,IF(INDEX(TimeEntry[WkEnd],ROW()-1)  =  INDEX(TimeEntry[WkEnd],ROW()-2),    INDEX(TimeEntry[format],ROW()-2),    INDEX(TimeEntry[format],ROW()-2)    +1)),2)</f>
        <v>1.1000000000000001</v>
      </c>
      <c r="B224" s="7">
        <v>44033.500358796293</v>
      </c>
      <c r="C224" s="8">
        <v>44033</v>
      </c>
      <c r="D224" s="8" t="s">
        <v>101</v>
      </c>
      <c r="E224" s="1" t="s">
        <v>442</v>
      </c>
      <c r="F224" s="8">
        <f>IF(TimeEntry[[#This Row],[Date]]=0,F223,C224+(7-Q224))</f>
        <v>44038</v>
      </c>
      <c r="G224" s="35" t="str">
        <f>INDEX(projects[Charge_Code],MATCH(TimeEntry[[#This Row],[Project_ID]],projects[Project_ID],0))</f>
        <v>210035-65 MC VBB WP1: DO-nota West (25-050)</v>
      </c>
      <c r="H224" s="1" t="str">
        <f t="shared" si="13"/>
        <v>Normal Time</v>
      </c>
      <c r="I224" s="1" t="s">
        <v>247</v>
      </c>
      <c r="J224" s="15">
        <v>5</v>
      </c>
      <c r="K224" s="15"/>
      <c r="L224" s="15"/>
      <c r="M224" s="15"/>
      <c r="N224" s="15"/>
      <c r="O224" s="15" t="str">
        <f>INDEX(projects[job number],MATCH(TimeEntry[[#This Row],[Project_ID]], projects[Project_ID],0))</f>
        <v>210035-65</v>
      </c>
      <c r="P224" s="15" t="str">
        <f>INDEX(projects[Project_Name],MATCH(TimeEntry[[#This Row],[Project_ID]], projects[Project_ID],0))</f>
        <v>MC VBB WP1: DO-nota West</v>
      </c>
      <c r="Q224" s="6">
        <f>IF(TimeEntry[[#This Row],[Date]]=0,"",WEEKDAY(C224,2))</f>
        <v>2</v>
      </c>
      <c r="R224" s="9">
        <f>YEAR(TimeEntry[[#This Row],[WkEnd]])</f>
        <v>2020</v>
      </c>
      <c r="S224" s="9">
        <f>WEEKNUM(TimeEntry[[#This Row],[WkEnd]])</f>
        <v>31</v>
      </c>
      <c r="T224" s="9" t="str">
        <f>TimeEntry[[#This Row],[Year]]&amp;"-"&amp;TimeEntry[[#This Row],[WkNo]]</f>
        <v>2020-31</v>
      </c>
    </row>
    <row r="225" spans="1:20" x14ac:dyDescent="0.25">
      <c r="A225" s="6">
        <f>MOD(IF(ROW()=2,0.1,IF(INDEX(TimeEntry[WkEnd],ROW()-1)  =  INDEX(TimeEntry[WkEnd],ROW()-2),    INDEX(TimeEntry[format],ROW()-2),    INDEX(TimeEntry[format],ROW()-2)    +1)),2)</f>
        <v>1.1000000000000001</v>
      </c>
      <c r="B225" s="7">
        <v>44032.501064814816</v>
      </c>
      <c r="C225" s="8">
        <v>44032</v>
      </c>
      <c r="D225" s="8" t="s">
        <v>104</v>
      </c>
      <c r="E225" s="1" t="s">
        <v>445</v>
      </c>
      <c r="F225" s="8">
        <f>IF(TimeEntry[[#This Row],[Date]]=0,F224,C225+(7-Q225))</f>
        <v>44038</v>
      </c>
      <c r="G225" s="35" t="str">
        <f>INDEX(projects[Charge_Code],MATCH(TimeEntry[[#This Row],[Project_ID]],projects[Project_ID],0))</f>
        <v>257677-59  Melbourne Metro - Latrobe</v>
      </c>
      <c r="H225" s="1" t="str">
        <f t="shared" si="13"/>
        <v>Normal Time</v>
      </c>
      <c r="I225" s="1" t="s">
        <v>253</v>
      </c>
      <c r="J225" s="15">
        <v>3.75</v>
      </c>
      <c r="K225" s="15"/>
      <c r="L225" s="15"/>
      <c r="M225" s="15"/>
      <c r="N225" s="15"/>
      <c r="O225" s="15" t="str">
        <f>INDEX(projects[job number],MATCH(TimeEntry[[#This Row],[Project_ID]], projects[Project_ID],0))</f>
        <v xml:space="preserve">257677-59 </v>
      </c>
      <c r="P225" s="15" t="str">
        <f>INDEX(projects[Project_Name],MATCH(TimeEntry[[#This Row],[Project_ID]], projects[Project_ID],0))</f>
        <v>Melbourne Metro - Latrobe</v>
      </c>
      <c r="Q225" s="6">
        <f>IF(TimeEntry[[#This Row],[Date]]=0,"",WEEKDAY(C225,2))</f>
        <v>1</v>
      </c>
      <c r="R225" s="9">
        <f>YEAR(TimeEntry[[#This Row],[WkEnd]])</f>
        <v>2020</v>
      </c>
      <c r="S225" s="9">
        <f>WEEKNUM(TimeEntry[[#This Row],[WkEnd]])</f>
        <v>31</v>
      </c>
      <c r="T225" s="9" t="str">
        <f>TimeEntry[[#This Row],[Year]]&amp;"-"&amp;TimeEntry[[#This Row],[WkNo]]</f>
        <v>2020-31</v>
      </c>
    </row>
    <row r="226" spans="1:20" x14ac:dyDescent="0.25">
      <c r="A226" s="6">
        <f>MOD(IF(ROW()=2,0.1,IF(INDEX(TimeEntry[WkEnd],ROW()-1)  =  INDEX(TimeEntry[WkEnd],ROW()-2),    INDEX(TimeEntry[format],ROW()-2),    INDEX(TimeEntry[format],ROW()-2)    +1)),2)</f>
        <v>1.1000000000000001</v>
      </c>
      <c r="B226" s="7">
        <v>44032.501064814816</v>
      </c>
      <c r="C226" s="8">
        <v>44032</v>
      </c>
      <c r="D226" s="8" t="s">
        <v>104</v>
      </c>
      <c r="E226" s="1" t="s">
        <v>442</v>
      </c>
      <c r="F226" s="8">
        <f>IF(TimeEntry[[#This Row],[Date]]=0,F225,C226+(7-Q226))</f>
        <v>44038</v>
      </c>
      <c r="G226" s="35" t="str">
        <f>INDEX(projects[Charge_Code],MATCH(TimeEntry[[#This Row],[Project_ID]],projects[Project_ID],0))</f>
        <v>210035-65 MC VBB WP1: DO-nota West (25-050)</v>
      </c>
      <c r="H226" s="1" t="str">
        <f t="shared" si="13"/>
        <v>Normal Time</v>
      </c>
      <c r="I226" s="1" t="s">
        <v>254</v>
      </c>
      <c r="J226" s="15">
        <v>3.75</v>
      </c>
      <c r="K226" s="15"/>
      <c r="L226" s="15"/>
      <c r="M226" s="15"/>
      <c r="N226" s="15"/>
      <c r="O226" s="15" t="str">
        <f>INDEX(projects[job number],MATCH(TimeEntry[[#This Row],[Project_ID]], projects[Project_ID],0))</f>
        <v>210035-65</v>
      </c>
      <c r="P226" s="15" t="str">
        <f>INDEX(projects[Project_Name],MATCH(TimeEntry[[#This Row],[Project_ID]], projects[Project_ID],0))</f>
        <v>MC VBB WP1: DO-nota West</v>
      </c>
      <c r="Q226" s="6">
        <f>IF(TimeEntry[[#This Row],[Date]]=0,"",WEEKDAY(C226,2))</f>
        <v>1</v>
      </c>
      <c r="R226" s="9">
        <f>YEAR(TimeEntry[[#This Row],[WkEnd]])</f>
        <v>2020</v>
      </c>
      <c r="S226" s="9">
        <f>WEEKNUM(TimeEntry[[#This Row],[WkEnd]])</f>
        <v>31</v>
      </c>
      <c r="T226" s="9" t="str">
        <f>TimeEntry[[#This Row],[Year]]&amp;"-"&amp;TimeEntry[[#This Row],[WkNo]]</f>
        <v>2020-31</v>
      </c>
    </row>
    <row r="227" spans="1:20" x14ac:dyDescent="0.25">
      <c r="A227" s="6">
        <f>MOD(IF(ROW()=2,0.1,IF(INDEX(TimeEntry[WkEnd],ROW()-1)  =  INDEX(TimeEntry[WkEnd],ROW()-2),    INDEX(TimeEntry[format],ROW()-2),    INDEX(TimeEntry[format],ROW()-2)    +1)),2)</f>
        <v>0.10000000000000009</v>
      </c>
      <c r="B227" s="7">
        <v>44029.500648148147</v>
      </c>
      <c r="C227" s="8">
        <v>44029</v>
      </c>
      <c r="D227" s="8" t="s">
        <v>106</v>
      </c>
      <c r="E227" s="1" t="s">
        <v>444</v>
      </c>
      <c r="F227" s="8">
        <f>IF(TimeEntry[[#This Row],[Date]]=0,F226,C227+(7-Q227))</f>
        <v>44031</v>
      </c>
      <c r="G227" s="35" t="str">
        <f>INDEX(projects[Charge_Code],MATCH(TimeEntry[[#This Row],[Project_ID]],projects[Project_ID],0))</f>
        <v>LEAVE</v>
      </c>
      <c r="H227" s="1" t="str">
        <f t="shared" si="13"/>
        <v>Normal Time</v>
      </c>
      <c r="I227" s="1"/>
      <c r="J227" s="15">
        <v>3.75</v>
      </c>
      <c r="K227" s="15"/>
      <c r="L227" s="15"/>
      <c r="M227" s="15"/>
      <c r="N227" s="15"/>
      <c r="O227" s="15" t="str">
        <f>INDEX(projects[job number],MATCH(TimeEntry[[#This Row],[Project_ID]], projects[Project_ID],0))</f>
        <v>LEAVE</v>
      </c>
      <c r="P227" s="15">
        <f>INDEX(projects[Project_Name],MATCH(TimeEntry[[#This Row],[Project_ID]], projects[Project_ID],0))</f>
        <v>0</v>
      </c>
      <c r="Q227" s="6">
        <f>IF(TimeEntry[[#This Row],[Date]]=0,"",WEEKDAY(C227,2))</f>
        <v>5</v>
      </c>
      <c r="R227" s="9">
        <f>YEAR(TimeEntry[[#This Row],[WkEnd]])</f>
        <v>2020</v>
      </c>
      <c r="S227" s="9">
        <f>WEEKNUM(TimeEntry[[#This Row],[WkEnd]])</f>
        <v>30</v>
      </c>
      <c r="T227" s="9" t="str">
        <f>TimeEntry[[#This Row],[Year]]&amp;"-"&amp;TimeEntry[[#This Row],[WkNo]]</f>
        <v>2020-30</v>
      </c>
    </row>
    <row r="228" spans="1:20" x14ac:dyDescent="0.25">
      <c r="A228" s="6">
        <f>MOD(IF(ROW()=2,0.1,IF(INDEX(TimeEntry[WkEnd],ROW()-1)  =  INDEX(TimeEntry[WkEnd],ROW()-2),    INDEX(TimeEntry[format],ROW()-2),    INDEX(TimeEntry[format],ROW()-2)    +1)),2)</f>
        <v>0.10000000000000009</v>
      </c>
      <c r="B228" s="7">
        <v>44029.500648148147</v>
      </c>
      <c r="C228" s="8">
        <v>44029</v>
      </c>
      <c r="D228" s="8" t="s">
        <v>106</v>
      </c>
      <c r="E228" s="1" t="s">
        <v>442</v>
      </c>
      <c r="F228" s="8">
        <f>IF(TimeEntry[[#This Row],[Date]]=0,F227,C228+(7-Q228))</f>
        <v>44031</v>
      </c>
      <c r="G228" s="35" t="str">
        <f>INDEX(projects[Charge_Code],MATCH(TimeEntry[[#This Row],[Project_ID]],projects[Project_ID],0))</f>
        <v>210035-65 MC VBB WP1: DO-nota West (25-050)</v>
      </c>
      <c r="H228" s="1" t="str">
        <f t="shared" si="13"/>
        <v>Normal Time</v>
      </c>
      <c r="I228" s="1" t="s">
        <v>243</v>
      </c>
      <c r="J228" s="15">
        <v>3.75</v>
      </c>
      <c r="K228" s="15"/>
      <c r="L228" s="15"/>
      <c r="M228" s="15"/>
      <c r="N228" s="15"/>
      <c r="O228" s="15" t="str">
        <f>INDEX(projects[job number],MATCH(TimeEntry[[#This Row],[Project_ID]], projects[Project_ID],0))</f>
        <v>210035-65</v>
      </c>
      <c r="P228" s="15" t="str">
        <f>INDEX(projects[Project_Name],MATCH(TimeEntry[[#This Row],[Project_ID]], projects[Project_ID],0))</f>
        <v>MC VBB WP1: DO-nota West</v>
      </c>
      <c r="Q228" s="6">
        <f>IF(TimeEntry[[#This Row],[Date]]=0,"",WEEKDAY(C228,2))</f>
        <v>5</v>
      </c>
      <c r="R228" s="9">
        <f>YEAR(TimeEntry[[#This Row],[WkEnd]])</f>
        <v>2020</v>
      </c>
      <c r="S228" s="9">
        <f>WEEKNUM(TimeEntry[[#This Row],[WkEnd]])</f>
        <v>30</v>
      </c>
      <c r="T228" s="9" t="str">
        <f>TimeEntry[[#This Row],[Year]]&amp;"-"&amp;TimeEntry[[#This Row],[WkNo]]</f>
        <v>2020-30</v>
      </c>
    </row>
    <row r="229" spans="1:20" x14ac:dyDescent="0.25">
      <c r="A229" s="6">
        <f>MOD(IF(ROW()=2,0.1,IF(INDEX(TimeEntry[WkEnd],ROW()-1)  =  INDEX(TimeEntry[WkEnd],ROW()-2),    INDEX(TimeEntry[format],ROW()-2),    INDEX(TimeEntry[format],ROW()-2)    +1)),2)</f>
        <v>0.10000000000000009</v>
      </c>
      <c r="B229" s="7">
        <v>44028.690949074073</v>
      </c>
      <c r="C229" s="8">
        <v>44028</v>
      </c>
      <c r="D229" s="8" t="s">
        <v>102</v>
      </c>
      <c r="E229" s="1" t="s">
        <v>442</v>
      </c>
      <c r="F229" s="8">
        <f>IF(TimeEntry[[#This Row],[Date]]=0,F228,C229+(7-Q229))</f>
        <v>44031</v>
      </c>
      <c r="G229" s="35" t="str">
        <f>INDEX(projects[Charge_Code],MATCH(TimeEntry[[#This Row],[Project_ID]],projects[Project_ID],0))</f>
        <v>210035-65 MC VBB WP1: DO-nota West (25-050)</v>
      </c>
      <c r="H229" s="1" t="str">
        <f t="shared" si="13"/>
        <v>Normal Time</v>
      </c>
      <c r="I229" s="1" t="s">
        <v>240</v>
      </c>
      <c r="J229" s="15">
        <v>5.5</v>
      </c>
      <c r="K229" s="15"/>
      <c r="L229" s="15"/>
      <c r="M229" s="15"/>
      <c r="N229" s="15"/>
      <c r="O229" s="15" t="str">
        <f>INDEX(projects[job number],MATCH(TimeEntry[[#This Row],[Project_ID]], projects[Project_ID],0))</f>
        <v>210035-65</v>
      </c>
      <c r="P229" s="15" t="str">
        <f>INDEX(projects[Project_Name],MATCH(TimeEntry[[#This Row],[Project_ID]], projects[Project_ID],0))</f>
        <v>MC VBB WP1: DO-nota West</v>
      </c>
      <c r="Q229" s="6">
        <f>IF(TimeEntry[[#This Row],[Date]]=0,"",WEEKDAY(C229,2))</f>
        <v>4</v>
      </c>
      <c r="R229" s="9">
        <f>YEAR(TimeEntry[[#This Row],[WkEnd]])</f>
        <v>2020</v>
      </c>
      <c r="S229" s="9">
        <f>WEEKNUM(TimeEntry[[#This Row],[WkEnd]])</f>
        <v>30</v>
      </c>
      <c r="T229" s="9" t="str">
        <f>TimeEntry[[#This Row],[Year]]&amp;"-"&amp;TimeEntry[[#This Row],[WkNo]]</f>
        <v>2020-30</v>
      </c>
    </row>
    <row r="230" spans="1:20" x14ac:dyDescent="0.25">
      <c r="A230" s="6">
        <f>MOD(IF(ROW()=2,0.1,IF(INDEX(TimeEntry[WkEnd],ROW()-1)  =  INDEX(TimeEntry[WkEnd],ROW()-2),    INDEX(TimeEntry[format],ROW()-2),    INDEX(TimeEntry[format],ROW()-2)    +1)),2)</f>
        <v>0.10000000000000009</v>
      </c>
      <c r="B230" s="7">
        <v>44028.690949074073</v>
      </c>
      <c r="C230" s="8">
        <v>44028</v>
      </c>
      <c r="D230" s="8" t="s">
        <v>102</v>
      </c>
      <c r="E230" s="1" t="s">
        <v>445</v>
      </c>
      <c r="F230" s="8">
        <f>IF(TimeEntry[[#This Row],[Date]]=0,F229,C230+(7-Q230))</f>
        <v>44031</v>
      </c>
      <c r="G230" s="35" t="str">
        <f>INDEX(projects[Charge_Code],MATCH(TimeEntry[[#This Row],[Project_ID]],projects[Project_ID],0))</f>
        <v>257677-59  Melbourne Metro - Latrobe</v>
      </c>
      <c r="H230" s="1" t="str">
        <f t="shared" si="13"/>
        <v>Normal Time</v>
      </c>
      <c r="I230" s="1" t="s">
        <v>242</v>
      </c>
      <c r="J230" s="15">
        <v>2</v>
      </c>
      <c r="K230" s="15"/>
      <c r="L230" s="15"/>
      <c r="M230" s="15"/>
      <c r="N230" s="15"/>
      <c r="O230" s="15" t="str">
        <f>INDEX(projects[job number],MATCH(TimeEntry[[#This Row],[Project_ID]], projects[Project_ID],0))</f>
        <v xml:space="preserve">257677-59 </v>
      </c>
      <c r="P230" s="15" t="str">
        <f>INDEX(projects[Project_Name],MATCH(TimeEntry[[#This Row],[Project_ID]], projects[Project_ID],0))</f>
        <v>Melbourne Metro - Latrobe</v>
      </c>
      <c r="Q230" s="6">
        <f>IF(TimeEntry[[#This Row],[Date]]=0,"",WEEKDAY(C230,2))</f>
        <v>4</v>
      </c>
      <c r="R230" s="9">
        <f>YEAR(TimeEntry[[#This Row],[WkEnd]])</f>
        <v>2020</v>
      </c>
      <c r="S230" s="9">
        <f>WEEKNUM(TimeEntry[[#This Row],[WkEnd]])</f>
        <v>30</v>
      </c>
      <c r="T230" s="9" t="str">
        <f>TimeEntry[[#This Row],[Year]]&amp;"-"&amp;TimeEntry[[#This Row],[WkNo]]</f>
        <v>2020-30</v>
      </c>
    </row>
    <row r="231" spans="1:20" x14ac:dyDescent="0.25">
      <c r="A231" s="6">
        <f>MOD(IF(ROW()=2,0.1,IF(INDEX(TimeEntry[WkEnd],ROW()-1)  =  INDEX(TimeEntry[WkEnd],ROW()-2),    INDEX(TimeEntry[format],ROW()-2),    INDEX(TimeEntry[format],ROW()-2)    +1)),2)</f>
        <v>0.10000000000000009</v>
      </c>
      <c r="B231" s="7">
        <v>44028.500416666669</v>
      </c>
      <c r="C231" s="8">
        <v>44028</v>
      </c>
      <c r="D231" s="8" t="s">
        <v>102</v>
      </c>
      <c r="E231" s="1" t="s">
        <v>442</v>
      </c>
      <c r="F231" s="8">
        <f>IF(TimeEntry[[#This Row],[Date]]=0,F230,C231+(7-Q231))</f>
        <v>44031</v>
      </c>
      <c r="G231" s="35" t="str">
        <f>INDEX(projects[Charge_Code],MATCH(TimeEntry[[#This Row],[Project_ID]],projects[Project_ID],0))</f>
        <v>210035-65 MC VBB WP1: DO-nota West (25-050)</v>
      </c>
      <c r="H231" s="1" t="str">
        <f t="shared" si="13"/>
        <v>Normal Time</v>
      </c>
      <c r="I231" s="1" t="s">
        <v>238</v>
      </c>
      <c r="J231" s="15"/>
      <c r="K231" s="15"/>
      <c r="L231" s="15"/>
      <c r="M231" s="15"/>
      <c r="N231" s="15"/>
      <c r="O231" s="15" t="str">
        <f>INDEX(projects[job number],MATCH(TimeEntry[[#This Row],[Project_ID]], projects[Project_ID],0))</f>
        <v>210035-65</v>
      </c>
      <c r="P231" s="15" t="str">
        <f>INDEX(projects[Project_Name],MATCH(TimeEntry[[#This Row],[Project_ID]], projects[Project_ID],0))</f>
        <v>MC VBB WP1: DO-nota West</v>
      </c>
      <c r="Q231" s="6">
        <f>IF(TimeEntry[[#This Row],[Date]]=0,"",WEEKDAY(C231,2))</f>
        <v>4</v>
      </c>
      <c r="R231" s="9">
        <f>YEAR(TimeEntry[[#This Row],[WkEnd]])</f>
        <v>2020</v>
      </c>
      <c r="S231" s="9">
        <f>WEEKNUM(TimeEntry[[#This Row],[WkEnd]])</f>
        <v>30</v>
      </c>
      <c r="T231" s="9" t="str">
        <f>TimeEntry[[#This Row],[Year]]&amp;"-"&amp;TimeEntry[[#This Row],[WkNo]]</f>
        <v>2020-30</v>
      </c>
    </row>
    <row r="232" spans="1:20" x14ac:dyDescent="0.25">
      <c r="A232" s="6">
        <f>MOD(IF(ROW()=2,0.1,IF(INDEX(TimeEntry[WkEnd],ROW()-1)  =  INDEX(TimeEntry[WkEnd],ROW()-2),    INDEX(TimeEntry[format],ROW()-2),    INDEX(TimeEntry[format],ROW()-2)    +1)),2)</f>
        <v>0.10000000000000009</v>
      </c>
      <c r="B232" s="7">
        <v>44027.50037037037</v>
      </c>
      <c r="C232" s="8">
        <v>44027</v>
      </c>
      <c r="D232" s="8" t="s">
        <v>100</v>
      </c>
      <c r="E232" s="1" t="s">
        <v>443</v>
      </c>
      <c r="F232" s="8">
        <f>IF(TimeEntry[[#This Row],[Date]]=0,F231,C232+(7-Q232))</f>
        <v>44031</v>
      </c>
      <c r="G232" s="35" t="str">
        <f>INDEX(projects[Charge_Code],MATCH(TimeEntry[[#This Row],[Project_ID]],projects[Project_ID],0))</f>
        <v>071945-07 BCS - management (01-124)</v>
      </c>
      <c r="H232" s="1" t="str">
        <f t="shared" si="13"/>
        <v>Normal Time</v>
      </c>
      <c r="I232" s="1" t="s">
        <v>244</v>
      </c>
      <c r="J232" s="15"/>
      <c r="K232" s="15"/>
      <c r="L232" s="15"/>
      <c r="M232" s="15"/>
      <c r="N232" s="15"/>
      <c r="O232" s="15" t="str">
        <f>INDEX(projects[job number],MATCH(TimeEntry[[#This Row],[Project_ID]], projects[Project_ID],0))</f>
        <v>071945-07</v>
      </c>
      <c r="P232" s="15" t="str">
        <f>INDEX(projects[Project_Name],MATCH(TimeEntry[[#This Row],[Project_ID]], projects[Project_ID],0))</f>
        <v>BCS - management</v>
      </c>
      <c r="Q232" s="6">
        <f>IF(TimeEntry[[#This Row],[Date]]=0,"",WEEKDAY(C232,2))</f>
        <v>3</v>
      </c>
      <c r="R232" s="9">
        <f>YEAR(TimeEntry[[#This Row],[WkEnd]])</f>
        <v>2020</v>
      </c>
      <c r="S232" s="9">
        <f>WEEKNUM(TimeEntry[[#This Row],[WkEnd]])</f>
        <v>30</v>
      </c>
      <c r="T232" s="9" t="str">
        <f>TimeEntry[[#This Row],[Year]]&amp;"-"&amp;TimeEntry[[#This Row],[WkNo]]</f>
        <v>2020-30</v>
      </c>
    </row>
    <row r="233" spans="1:20" x14ac:dyDescent="0.25">
      <c r="A233" s="6">
        <f>MOD(IF(ROW()=2,0.1,IF(INDEX(TimeEntry[WkEnd],ROW()-1)  =  INDEX(TimeEntry[WkEnd],ROW()-2),    INDEX(TimeEntry[format],ROW()-2),    INDEX(TimeEntry[format],ROW()-2)    +1)),2)</f>
        <v>0.10000000000000009</v>
      </c>
      <c r="B233" s="7">
        <v>44027.50037037037</v>
      </c>
      <c r="C233" s="8">
        <v>44027</v>
      </c>
      <c r="D233" s="8" t="s">
        <v>100</v>
      </c>
      <c r="E233" s="1" t="s">
        <v>442</v>
      </c>
      <c r="F233" s="8">
        <f>IF(TimeEntry[[#This Row],[Date]]=0,F232,C233+(7-Q233))</f>
        <v>44031</v>
      </c>
      <c r="G233" s="35" t="str">
        <f>INDEX(projects[Charge_Code],MATCH(TimeEntry[[#This Row],[Project_ID]],projects[Project_ID],0))</f>
        <v>210035-65 MC VBB WP1: DO-nota West (25-050)</v>
      </c>
      <c r="H233" s="1" t="str">
        <f t="shared" si="13"/>
        <v>Normal Time</v>
      </c>
      <c r="I233" s="1" t="s">
        <v>245</v>
      </c>
      <c r="J233" s="15">
        <v>7.5</v>
      </c>
      <c r="K233" s="15"/>
      <c r="L233" s="15"/>
      <c r="M233" s="15"/>
      <c r="N233" s="15"/>
      <c r="O233" s="15" t="str">
        <f>INDEX(projects[job number],MATCH(TimeEntry[[#This Row],[Project_ID]], projects[Project_ID],0))</f>
        <v>210035-65</v>
      </c>
      <c r="P233" s="15" t="str">
        <f>INDEX(projects[Project_Name],MATCH(TimeEntry[[#This Row],[Project_ID]], projects[Project_ID],0))</f>
        <v>MC VBB WP1: DO-nota West</v>
      </c>
      <c r="Q233" s="6">
        <f>IF(TimeEntry[[#This Row],[Date]]=0,"",WEEKDAY(C233,2))</f>
        <v>3</v>
      </c>
      <c r="R233" s="9">
        <f>YEAR(TimeEntry[[#This Row],[WkEnd]])</f>
        <v>2020</v>
      </c>
      <c r="S233" s="9">
        <f>WEEKNUM(TimeEntry[[#This Row],[WkEnd]])</f>
        <v>30</v>
      </c>
      <c r="T233" s="9" t="str">
        <f>TimeEntry[[#This Row],[Year]]&amp;"-"&amp;TimeEntry[[#This Row],[WkNo]]</f>
        <v>2020-30</v>
      </c>
    </row>
    <row r="234" spans="1:20" x14ac:dyDescent="0.25">
      <c r="A234" s="6">
        <f>MOD(IF(ROW()=2,0.1,IF(INDEX(TimeEntry[WkEnd],ROW()-1)  =  INDEX(TimeEntry[WkEnd],ROW()-2),    INDEX(TimeEntry[format],ROW()-2),    INDEX(TimeEntry[format],ROW()-2)    +1)),2)</f>
        <v>0.10000000000000009</v>
      </c>
      <c r="B234" s="7">
        <v>44026.701990740738</v>
      </c>
      <c r="C234" s="8">
        <v>44026</v>
      </c>
      <c r="D234" s="8" t="s">
        <v>101</v>
      </c>
      <c r="E234" s="1" t="s">
        <v>442</v>
      </c>
      <c r="F234" s="8">
        <f>IF(TimeEntry[[#This Row],[Date]]=0,F233,C234+(7-Q234))</f>
        <v>44031</v>
      </c>
      <c r="G234" s="35" t="str">
        <f>INDEX(projects[Charge_Code],MATCH(TimeEntry[[#This Row],[Project_ID]],projects[Project_ID],0))</f>
        <v>210035-65 MC VBB WP1: DO-nota West (25-050)</v>
      </c>
      <c r="H234" s="1" t="str">
        <f t="shared" si="13"/>
        <v>Normal Time</v>
      </c>
      <c r="I234" s="1" t="s">
        <v>236</v>
      </c>
      <c r="J234" s="15">
        <v>3.5</v>
      </c>
      <c r="K234" s="15"/>
      <c r="L234" s="15"/>
      <c r="M234" s="15"/>
      <c r="N234" s="15"/>
      <c r="O234" s="15" t="str">
        <f>INDEX(projects[job number],MATCH(TimeEntry[[#This Row],[Project_ID]], projects[Project_ID],0))</f>
        <v>210035-65</v>
      </c>
      <c r="P234" s="15" t="str">
        <f>INDEX(projects[Project_Name],MATCH(TimeEntry[[#This Row],[Project_ID]], projects[Project_ID],0))</f>
        <v>MC VBB WP1: DO-nota West</v>
      </c>
      <c r="Q234" s="6">
        <f>IF(TimeEntry[[#This Row],[Date]]=0,"",WEEKDAY(C234,2))</f>
        <v>2</v>
      </c>
      <c r="R234" s="9">
        <f>YEAR(TimeEntry[[#This Row],[WkEnd]])</f>
        <v>2020</v>
      </c>
      <c r="S234" s="9">
        <f>WEEKNUM(TimeEntry[[#This Row],[WkEnd]])</f>
        <v>30</v>
      </c>
      <c r="T234" s="9" t="str">
        <f>TimeEntry[[#This Row],[Year]]&amp;"-"&amp;TimeEntry[[#This Row],[WkNo]]</f>
        <v>2020-30</v>
      </c>
    </row>
    <row r="235" spans="1:20" x14ac:dyDescent="0.25">
      <c r="A235" s="6">
        <f>MOD(IF(ROW()=2,0.1,IF(INDEX(TimeEntry[WkEnd],ROW()-1)  =  INDEX(TimeEntry[WkEnd],ROW()-2),    INDEX(TimeEntry[format],ROW()-2),    INDEX(TimeEntry[format],ROW()-2)    +1)),2)</f>
        <v>0.10000000000000009</v>
      </c>
      <c r="B235" s="7">
        <v>44026.502349537041</v>
      </c>
      <c r="C235" s="8">
        <v>44026</v>
      </c>
      <c r="D235" s="8" t="s">
        <v>101</v>
      </c>
      <c r="E235" s="1" t="s">
        <v>442</v>
      </c>
      <c r="F235" s="8">
        <f>IF(TimeEntry[[#This Row],[Date]]=0,F234,C235+(7-Q235))</f>
        <v>44031</v>
      </c>
      <c r="G235" s="35" t="str">
        <f>INDEX(projects[Charge_Code],MATCH(TimeEntry[[#This Row],[Project_ID]],projects[Project_ID],0))</f>
        <v>210035-65 MC VBB WP1: DO-nota West (25-050)</v>
      </c>
      <c r="H235" s="1" t="str">
        <f t="shared" si="13"/>
        <v>Normal Time</v>
      </c>
      <c r="I235" s="1" t="s">
        <v>241</v>
      </c>
      <c r="J235" s="15">
        <v>4</v>
      </c>
      <c r="K235" s="15"/>
      <c r="L235" s="15"/>
      <c r="M235" s="15"/>
      <c r="N235" s="15"/>
      <c r="O235" s="15" t="str">
        <f>INDEX(projects[job number],MATCH(TimeEntry[[#This Row],[Project_ID]], projects[Project_ID],0))</f>
        <v>210035-65</v>
      </c>
      <c r="P235" s="15" t="str">
        <f>INDEX(projects[Project_Name],MATCH(TimeEntry[[#This Row],[Project_ID]], projects[Project_ID],0))</f>
        <v>MC VBB WP1: DO-nota West</v>
      </c>
      <c r="Q235" s="6">
        <f>IF(TimeEntry[[#This Row],[Date]]=0,"",WEEKDAY(C235,2))</f>
        <v>2</v>
      </c>
      <c r="R235" s="9">
        <f>YEAR(TimeEntry[[#This Row],[WkEnd]])</f>
        <v>2020</v>
      </c>
      <c r="S235" s="9">
        <f>WEEKNUM(TimeEntry[[#This Row],[WkEnd]])</f>
        <v>30</v>
      </c>
      <c r="T235" s="9" t="str">
        <f>TimeEntry[[#This Row],[Year]]&amp;"-"&amp;TimeEntry[[#This Row],[WkNo]]</f>
        <v>2020-30</v>
      </c>
    </row>
    <row r="236" spans="1:20" x14ac:dyDescent="0.25">
      <c r="A236" s="6">
        <f>MOD(IF(ROW()=2,0.1,IF(INDEX(TimeEntry[WkEnd],ROW()-1)  =  INDEX(TimeEntry[WkEnd],ROW()-2),    INDEX(TimeEntry[format],ROW()-2),    INDEX(TimeEntry[format],ROW()-2)    +1)),2)</f>
        <v>0.10000000000000009</v>
      </c>
      <c r="B236" s="7">
        <v>44025.669178240743</v>
      </c>
      <c r="C236" s="8">
        <v>44025</v>
      </c>
      <c r="D236" s="8" t="s">
        <v>104</v>
      </c>
      <c r="E236" s="1" t="s">
        <v>442</v>
      </c>
      <c r="F236" s="8">
        <f>IF(TimeEntry[[#This Row],[Date]]=0,F235,C236+(7-Q236))</f>
        <v>44031</v>
      </c>
      <c r="G236" s="35" t="str">
        <f>INDEX(projects[Charge_Code],MATCH(TimeEntry[[#This Row],[Project_ID]],projects[Project_ID],0))</f>
        <v>210035-65 MC VBB WP1: DO-nota West (25-050)</v>
      </c>
      <c r="H236" s="1" t="str">
        <f t="shared" si="13"/>
        <v>Normal Time</v>
      </c>
      <c r="I236" s="1" t="s">
        <v>237</v>
      </c>
      <c r="J236" s="15">
        <v>5.5</v>
      </c>
      <c r="K236" s="15"/>
      <c r="L236" s="15"/>
      <c r="M236" s="15"/>
      <c r="N236" s="15"/>
      <c r="O236" s="15" t="str">
        <f>INDEX(projects[job number],MATCH(TimeEntry[[#This Row],[Project_ID]], projects[Project_ID],0))</f>
        <v>210035-65</v>
      </c>
      <c r="P236" s="15" t="str">
        <f>INDEX(projects[Project_Name],MATCH(TimeEntry[[#This Row],[Project_ID]], projects[Project_ID],0))</f>
        <v>MC VBB WP1: DO-nota West</v>
      </c>
      <c r="Q236" s="6">
        <f>IF(TimeEntry[[#This Row],[Date]]=0,"",WEEKDAY(C236,2))</f>
        <v>1</v>
      </c>
      <c r="R236" s="9">
        <f>YEAR(TimeEntry[[#This Row],[WkEnd]])</f>
        <v>2020</v>
      </c>
      <c r="S236" s="9">
        <f>WEEKNUM(TimeEntry[[#This Row],[WkEnd]])</f>
        <v>30</v>
      </c>
      <c r="T236" s="9" t="str">
        <f>TimeEntry[[#This Row],[Year]]&amp;"-"&amp;TimeEntry[[#This Row],[WkNo]]</f>
        <v>2020-30</v>
      </c>
    </row>
    <row r="237" spans="1:20" x14ac:dyDescent="0.25">
      <c r="A237" s="6">
        <f>MOD(IF(ROW()=2,0.1,IF(INDEX(TimeEntry[WkEnd],ROW()-1)  =  INDEX(TimeEntry[WkEnd],ROW()-2),    INDEX(TimeEntry[format],ROW()-2),    INDEX(TimeEntry[format],ROW()-2)    +1)),2)</f>
        <v>0.10000000000000009</v>
      </c>
      <c r="B237" s="7">
        <v>44025.500428240739</v>
      </c>
      <c r="C237" s="8">
        <v>44025</v>
      </c>
      <c r="D237" s="8" t="s">
        <v>104</v>
      </c>
      <c r="E237" s="1" t="s">
        <v>442</v>
      </c>
      <c r="F237" s="8">
        <f>IF(TimeEntry[[#This Row],[Date]]=0,F236,C237+(7-Q237))</f>
        <v>44031</v>
      </c>
      <c r="G237" s="35" t="str">
        <f>INDEX(projects[Charge_Code],MATCH(TimeEntry[[#This Row],[Project_ID]],projects[Project_ID],0))</f>
        <v>210035-65 MC VBB WP1: DO-nota West (25-050)</v>
      </c>
      <c r="H237" s="1" t="str">
        <f t="shared" si="13"/>
        <v>Normal Time</v>
      </c>
      <c r="I237" s="1" t="s">
        <v>246</v>
      </c>
      <c r="J237" s="15">
        <v>2</v>
      </c>
      <c r="K237" s="15"/>
      <c r="L237" s="15"/>
      <c r="M237" s="15"/>
      <c r="N237" s="15"/>
      <c r="O237" s="15" t="str">
        <f>INDEX(projects[job number],MATCH(TimeEntry[[#This Row],[Project_ID]], projects[Project_ID],0))</f>
        <v>210035-65</v>
      </c>
      <c r="P237" s="15" t="str">
        <f>INDEX(projects[Project_Name],MATCH(TimeEntry[[#This Row],[Project_ID]], projects[Project_ID],0))</f>
        <v>MC VBB WP1: DO-nota West</v>
      </c>
      <c r="Q237" s="6">
        <f>IF(TimeEntry[[#This Row],[Date]]=0,"",WEEKDAY(C237,2))</f>
        <v>1</v>
      </c>
      <c r="R237" s="9">
        <f>YEAR(TimeEntry[[#This Row],[WkEnd]])</f>
        <v>2020</v>
      </c>
      <c r="S237" s="9">
        <f>WEEKNUM(TimeEntry[[#This Row],[WkEnd]])</f>
        <v>30</v>
      </c>
      <c r="T237" s="9" t="str">
        <f>TimeEntry[[#This Row],[Year]]&amp;"-"&amp;TimeEntry[[#This Row],[WkNo]]</f>
        <v>2020-30</v>
      </c>
    </row>
    <row r="238" spans="1:20" x14ac:dyDescent="0.25">
      <c r="A238" s="6">
        <f>MOD(IF(ROW()=2,0.1,IF(INDEX(TimeEntry[WkEnd],ROW()-1)  =  INDEX(TimeEntry[WkEnd],ROW()-2),    INDEX(TimeEntry[format],ROW()-2),    INDEX(TimeEntry[format],ROW()-2)    +1)),2)</f>
        <v>1.1000000000000001</v>
      </c>
      <c r="B238" s="7">
        <v>44022.669074074074</v>
      </c>
      <c r="C238" s="8">
        <v>44022</v>
      </c>
      <c r="D238" s="8" t="s">
        <v>106</v>
      </c>
      <c r="E238" s="1" t="s">
        <v>442</v>
      </c>
      <c r="F238" s="8">
        <f>IF(TimeEntry[[#This Row],[Date]]=0,F237,C238+(7-Q238))</f>
        <v>44024</v>
      </c>
      <c r="G238" s="35" t="str">
        <f>INDEX(projects[Charge_Code],MATCH(TimeEntry[[#This Row],[Project_ID]],projects[Project_ID],0))</f>
        <v>210035-65 MC VBB WP1: DO-nota West (25-050)</v>
      </c>
      <c r="H238" s="1" t="str">
        <f t="shared" si="13"/>
        <v>Normal Time</v>
      </c>
      <c r="I238" s="1" t="s">
        <v>226</v>
      </c>
      <c r="J238" s="15">
        <v>3.75</v>
      </c>
      <c r="K238" s="15"/>
      <c r="L238" s="15"/>
      <c r="M238" s="15"/>
      <c r="N238" s="15"/>
      <c r="O238" s="15" t="str">
        <f>INDEX(projects[job number],MATCH(TimeEntry[[#This Row],[Project_ID]], projects[Project_ID],0))</f>
        <v>210035-65</v>
      </c>
      <c r="P238" s="15" t="str">
        <f>INDEX(projects[Project_Name],MATCH(TimeEntry[[#This Row],[Project_ID]], projects[Project_ID],0))</f>
        <v>MC VBB WP1: DO-nota West</v>
      </c>
      <c r="Q238" s="6">
        <f>IF(TimeEntry[[#This Row],[Date]]=0,"",WEEKDAY(C238,2))</f>
        <v>5</v>
      </c>
      <c r="R238" s="9">
        <f>YEAR(TimeEntry[[#This Row],[WkEnd]])</f>
        <v>2020</v>
      </c>
      <c r="S238" s="9">
        <f>WEEKNUM(TimeEntry[[#This Row],[WkEnd]])</f>
        <v>29</v>
      </c>
      <c r="T238" s="9" t="str">
        <f>TimeEntry[[#This Row],[Year]]&amp;"-"&amp;TimeEntry[[#This Row],[WkNo]]</f>
        <v>2020-29</v>
      </c>
    </row>
    <row r="239" spans="1:20" x14ac:dyDescent="0.25">
      <c r="A239" s="6">
        <f>MOD(IF(ROW()=2,0.1,IF(INDEX(TimeEntry[WkEnd],ROW()-1)  =  INDEX(TimeEntry[WkEnd],ROW()-2),    INDEX(TimeEntry[format],ROW()-2),    INDEX(TimeEntry[format],ROW()-2)    +1)),2)</f>
        <v>1.1000000000000001</v>
      </c>
      <c r="B239" s="7">
        <v>44022.50240740741</v>
      </c>
      <c r="C239" s="8">
        <v>44022</v>
      </c>
      <c r="D239" s="8" t="s">
        <v>106</v>
      </c>
      <c r="E239" s="1" t="s">
        <v>442</v>
      </c>
      <c r="F239" s="8">
        <f>IF(TimeEntry[[#This Row],[Date]]=0,F238,C239+(7-Q239))</f>
        <v>44024</v>
      </c>
      <c r="G239" s="35" t="str">
        <f>INDEX(projects[Charge_Code],MATCH(TimeEntry[[#This Row],[Project_ID]],projects[Project_ID],0))</f>
        <v>210035-65 MC VBB WP1: DO-nota West (25-050)</v>
      </c>
      <c r="H239" s="1" t="str">
        <f t="shared" si="13"/>
        <v>Normal Time</v>
      </c>
      <c r="I239" s="1" t="s">
        <v>228</v>
      </c>
      <c r="J239" s="15">
        <v>3.75</v>
      </c>
      <c r="K239" s="15"/>
      <c r="L239" s="15"/>
      <c r="M239" s="15"/>
      <c r="N239" s="15"/>
      <c r="O239" s="15" t="str">
        <f>INDEX(projects[job number],MATCH(TimeEntry[[#This Row],[Project_ID]], projects[Project_ID],0))</f>
        <v>210035-65</v>
      </c>
      <c r="P239" s="15" t="str">
        <f>INDEX(projects[Project_Name],MATCH(TimeEntry[[#This Row],[Project_ID]], projects[Project_ID],0))</f>
        <v>MC VBB WP1: DO-nota West</v>
      </c>
      <c r="Q239" s="6">
        <f>IF(TimeEntry[[#This Row],[Date]]=0,"",WEEKDAY(C239,2))</f>
        <v>5</v>
      </c>
      <c r="R239" s="9">
        <f>YEAR(TimeEntry[[#This Row],[WkEnd]])</f>
        <v>2020</v>
      </c>
      <c r="S239" s="9">
        <f>WEEKNUM(TimeEntry[[#This Row],[WkEnd]])</f>
        <v>29</v>
      </c>
      <c r="T239" s="9" t="str">
        <f>TimeEntry[[#This Row],[Year]]&amp;"-"&amp;TimeEntry[[#This Row],[WkNo]]</f>
        <v>2020-29</v>
      </c>
    </row>
    <row r="240" spans="1:20" x14ac:dyDescent="0.25">
      <c r="A240" s="6">
        <f>MOD(IF(ROW()=2,0.1,IF(INDEX(TimeEntry[WkEnd],ROW()-1)  =  INDEX(TimeEntry[WkEnd],ROW()-2),    INDEX(TimeEntry[format],ROW()-2),    INDEX(TimeEntry[format],ROW()-2)    +1)),2)</f>
        <v>1.1000000000000001</v>
      </c>
      <c r="B240" s="7">
        <v>44022.50240740741</v>
      </c>
      <c r="C240" s="8">
        <v>44022</v>
      </c>
      <c r="D240" s="8" t="s">
        <v>106</v>
      </c>
      <c r="E240" s="1" t="s">
        <v>443</v>
      </c>
      <c r="F240" s="8">
        <f>IF(TimeEntry[[#This Row],[Date]]=0,F239,C240+(7-Q240))</f>
        <v>44024</v>
      </c>
      <c r="G240" s="35" t="str">
        <f>INDEX(projects[Charge_Code],MATCH(TimeEntry[[#This Row],[Project_ID]],projects[Project_ID],0))</f>
        <v>071945-07 BCS - management (01-124)</v>
      </c>
      <c r="H240" s="1" t="str">
        <f t="shared" si="13"/>
        <v>Normal Time</v>
      </c>
      <c r="I240" s="1" t="s">
        <v>227</v>
      </c>
      <c r="J240" s="15"/>
      <c r="K240" s="15"/>
      <c r="L240" s="15"/>
      <c r="M240" s="15"/>
      <c r="N240" s="15"/>
      <c r="O240" s="15" t="str">
        <f>INDEX(projects[job number],MATCH(TimeEntry[[#This Row],[Project_ID]], projects[Project_ID],0))</f>
        <v>071945-07</v>
      </c>
      <c r="P240" s="15" t="str">
        <f>INDEX(projects[Project_Name],MATCH(TimeEntry[[#This Row],[Project_ID]], projects[Project_ID],0))</f>
        <v>BCS - management</v>
      </c>
      <c r="Q240" s="6">
        <f>IF(TimeEntry[[#This Row],[Date]]=0,"",WEEKDAY(C240,2))</f>
        <v>5</v>
      </c>
      <c r="R240" s="9">
        <f>YEAR(TimeEntry[[#This Row],[WkEnd]])</f>
        <v>2020</v>
      </c>
      <c r="S240" s="9">
        <f>WEEKNUM(TimeEntry[[#This Row],[WkEnd]])</f>
        <v>29</v>
      </c>
      <c r="T240" s="9" t="str">
        <f>TimeEntry[[#This Row],[Year]]&amp;"-"&amp;TimeEntry[[#This Row],[WkNo]]</f>
        <v>2020-29</v>
      </c>
    </row>
    <row r="241" spans="1:20" x14ac:dyDescent="0.25">
      <c r="A241" s="6">
        <f>MOD(IF(ROW()=2,0.1,IF(INDEX(TimeEntry[WkEnd],ROW()-1)  =  INDEX(TimeEntry[WkEnd],ROW()-2),    INDEX(TimeEntry[format],ROW()-2),    INDEX(TimeEntry[format],ROW()-2)    +1)),2)</f>
        <v>1.1000000000000001</v>
      </c>
      <c r="B241" s="7">
        <v>44021.585833333331</v>
      </c>
      <c r="C241" s="8">
        <v>44021</v>
      </c>
      <c r="D241" s="8" t="s">
        <v>102</v>
      </c>
      <c r="E241" s="1" t="s">
        <v>442</v>
      </c>
      <c r="F241" s="8">
        <f>IF(TimeEntry[[#This Row],[Date]]=0,F240,C241+(7-Q241))</f>
        <v>44024</v>
      </c>
      <c r="G241" s="35" t="str">
        <f>INDEX(projects[Charge_Code],MATCH(TimeEntry[[#This Row],[Project_ID]],projects[Project_ID],0))</f>
        <v>210035-65 MC VBB WP1: DO-nota West (25-050)</v>
      </c>
      <c r="H241" s="1" t="str">
        <f t="shared" si="13"/>
        <v>Normal Time</v>
      </c>
      <c r="I241" s="1" t="s">
        <v>232</v>
      </c>
      <c r="J241" s="15">
        <v>5.5</v>
      </c>
      <c r="K241" s="15"/>
      <c r="L241" s="15"/>
      <c r="M241" s="15"/>
      <c r="N241" s="15"/>
      <c r="O241" s="15" t="str">
        <f>INDEX(projects[job number],MATCH(TimeEntry[[#This Row],[Project_ID]], projects[Project_ID],0))</f>
        <v>210035-65</v>
      </c>
      <c r="P241" s="15" t="str">
        <f>INDEX(projects[Project_Name],MATCH(TimeEntry[[#This Row],[Project_ID]], projects[Project_ID],0))</f>
        <v>MC VBB WP1: DO-nota West</v>
      </c>
      <c r="Q241" s="6">
        <f>IF(TimeEntry[[#This Row],[Date]]=0,"",WEEKDAY(C241,2))</f>
        <v>4</v>
      </c>
      <c r="R241" s="9">
        <f>YEAR(TimeEntry[[#This Row],[WkEnd]])</f>
        <v>2020</v>
      </c>
      <c r="S241" s="9">
        <f>WEEKNUM(TimeEntry[[#This Row],[WkEnd]])</f>
        <v>29</v>
      </c>
      <c r="T241" s="9" t="str">
        <f>TimeEntry[[#This Row],[Year]]&amp;"-"&amp;TimeEntry[[#This Row],[WkNo]]</f>
        <v>2020-29</v>
      </c>
    </row>
    <row r="242" spans="1:20" x14ac:dyDescent="0.25">
      <c r="A242" s="6">
        <f>MOD(IF(ROW()=2,0.1,IF(INDEX(TimeEntry[WkEnd],ROW()-1)  =  INDEX(TimeEntry[WkEnd],ROW()-2),    INDEX(TimeEntry[format],ROW()-2),    INDEX(TimeEntry[format],ROW()-2)    +1)),2)</f>
        <v>1.1000000000000001</v>
      </c>
      <c r="B242" s="7">
        <v>44021.521122685182</v>
      </c>
      <c r="C242" s="8">
        <v>44021</v>
      </c>
      <c r="D242" s="8" t="s">
        <v>102</v>
      </c>
      <c r="E242" s="1" t="s">
        <v>445</v>
      </c>
      <c r="F242" s="8">
        <f>IF(TimeEntry[[#This Row],[Date]]=0,F241,C242+(7-Q242))</f>
        <v>44024</v>
      </c>
      <c r="G242" s="35" t="str">
        <f>INDEX(projects[Charge_Code],MATCH(TimeEntry[[#This Row],[Project_ID]],projects[Project_ID],0))</f>
        <v>257677-59  Melbourne Metro - Latrobe</v>
      </c>
      <c r="H242" s="1" t="str">
        <f t="shared" si="13"/>
        <v>Normal Time</v>
      </c>
      <c r="I242" s="1" t="s">
        <v>231</v>
      </c>
      <c r="J242" s="15">
        <v>2</v>
      </c>
      <c r="K242" s="15"/>
      <c r="L242" s="15"/>
      <c r="M242" s="15"/>
      <c r="N242" s="15"/>
      <c r="O242" s="15" t="str">
        <f>INDEX(projects[job number],MATCH(TimeEntry[[#This Row],[Project_ID]], projects[Project_ID],0))</f>
        <v xml:space="preserve">257677-59 </v>
      </c>
      <c r="P242" s="15" t="str">
        <f>INDEX(projects[Project_Name],MATCH(TimeEntry[[#This Row],[Project_ID]], projects[Project_ID],0))</f>
        <v>Melbourne Metro - Latrobe</v>
      </c>
      <c r="Q242" s="6">
        <f>IF(TimeEntry[[#This Row],[Date]]=0,"",WEEKDAY(C242,2))</f>
        <v>4</v>
      </c>
      <c r="R242" s="9">
        <f>YEAR(TimeEntry[[#This Row],[WkEnd]])</f>
        <v>2020</v>
      </c>
      <c r="S242" s="9">
        <f>WEEKNUM(TimeEntry[[#This Row],[WkEnd]])</f>
        <v>29</v>
      </c>
      <c r="T242" s="9" t="str">
        <f>TimeEntry[[#This Row],[Year]]&amp;"-"&amp;TimeEntry[[#This Row],[WkNo]]</f>
        <v>2020-29</v>
      </c>
    </row>
    <row r="243" spans="1:20" x14ac:dyDescent="0.25">
      <c r="A243" s="6">
        <f>MOD(IF(ROW()=2,0.1,IF(INDEX(TimeEntry[WkEnd],ROW()-1)  =  INDEX(TimeEntry[WkEnd],ROW()-2),    INDEX(TimeEntry[format],ROW()-2),    INDEX(TimeEntry[format],ROW()-2)    +1)),2)</f>
        <v>1.1000000000000001</v>
      </c>
      <c r="B243" s="7">
        <v>44020.811620370368</v>
      </c>
      <c r="C243" s="8">
        <v>44020</v>
      </c>
      <c r="D243" s="8" t="s">
        <v>100</v>
      </c>
      <c r="E243" s="1" t="s">
        <v>442</v>
      </c>
      <c r="F243" s="8">
        <f>IF(TimeEntry[[#This Row],[Date]]=0,F242,C243+(7-Q243))</f>
        <v>44024</v>
      </c>
      <c r="G243" s="35" t="str">
        <f>INDEX(projects[Charge_Code],MATCH(TimeEntry[[#This Row],[Project_ID]],projects[Project_ID],0))</f>
        <v>210035-65 MC VBB WP1: DO-nota West (25-050)</v>
      </c>
      <c r="H243" s="1" t="str">
        <f t="shared" si="13"/>
        <v>Normal Time</v>
      </c>
      <c r="I243" s="1" t="s">
        <v>235</v>
      </c>
      <c r="J243" s="15">
        <v>7.5</v>
      </c>
      <c r="K243" s="15"/>
      <c r="L243" s="15"/>
      <c r="M243" s="15"/>
      <c r="N243" s="15"/>
      <c r="O243" s="15" t="str">
        <f>INDEX(projects[job number],MATCH(TimeEntry[[#This Row],[Project_ID]], projects[Project_ID],0))</f>
        <v>210035-65</v>
      </c>
      <c r="P243" s="15" t="str">
        <f>INDEX(projects[Project_Name],MATCH(TimeEntry[[#This Row],[Project_ID]], projects[Project_ID],0))</f>
        <v>MC VBB WP1: DO-nota West</v>
      </c>
      <c r="Q243" s="6">
        <f>IF(TimeEntry[[#This Row],[Date]]=0,"",WEEKDAY(C243,2))</f>
        <v>3</v>
      </c>
      <c r="R243" s="9">
        <f>YEAR(TimeEntry[[#This Row],[WkEnd]])</f>
        <v>2020</v>
      </c>
      <c r="S243" s="9">
        <f>WEEKNUM(TimeEntry[[#This Row],[WkEnd]])</f>
        <v>29</v>
      </c>
      <c r="T243" s="9" t="str">
        <f>TimeEntry[[#This Row],[Year]]&amp;"-"&amp;TimeEntry[[#This Row],[WkNo]]</f>
        <v>2020-29</v>
      </c>
    </row>
    <row r="244" spans="1:20" x14ac:dyDescent="0.25">
      <c r="A244" s="6">
        <f>MOD(IF(ROW()=2,0.1,IF(INDEX(TimeEntry[WkEnd],ROW()-1)  =  INDEX(TimeEntry[WkEnd],ROW()-2),    INDEX(TimeEntry[format],ROW()-2),    INDEX(TimeEntry[format],ROW()-2)    +1)),2)</f>
        <v>1.1000000000000001</v>
      </c>
      <c r="B244" s="7">
        <v>44019.687847222223</v>
      </c>
      <c r="C244" s="8">
        <v>44019</v>
      </c>
      <c r="D244" s="8" t="s">
        <v>100</v>
      </c>
      <c r="E244" s="1" t="s">
        <v>442</v>
      </c>
      <c r="F244" s="8">
        <f>IF(TimeEntry[[#This Row],[Date]]=0,F243,C244+(7-Q244))</f>
        <v>44024</v>
      </c>
      <c r="G244" s="35" t="str">
        <f>INDEX(projects[Charge_Code],MATCH(TimeEntry[[#This Row],[Project_ID]],projects[Project_ID],0))</f>
        <v>210035-65 MC VBB WP1: DO-nota West (25-050)</v>
      </c>
      <c r="H244" s="1" t="str">
        <f t="shared" si="13"/>
        <v>Normal Time</v>
      </c>
      <c r="I244" s="1" t="s">
        <v>225</v>
      </c>
      <c r="J244" s="15">
        <v>7.5</v>
      </c>
      <c r="K244" s="15"/>
      <c r="L244" s="15"/>
      <c r="M244" s="15"/>
      <c r="N244" s="15"/>
      <c r="O244" s="15" t="str">
        <f>INDEX(projects[job number],MATCH(TimeEntry[[#This Row],[Project_ID]], projects[Project_ID],0))</f>
        <v>210035-65</v>
      </c>
      <c r="P244" s="15" t="str">
        <f>INDEX(projects[Project_Name],MATCH(TimeEntry[[#This Row],[Project_ID]], projects[Project_ID],0))</f>
        <v>MC VBB WP1: DO-nota West</v>
      </c>
      <c r="Q244" s="6">
        <f>IF(TimeEntry[[#This Row],[Date]]=0,"",WEEKDAY(C244,2))</f>
        <v>2</v>
      </c>
      <c r="R244" s="9">
        <f>YEAR(TimeEntry[[#This Row],[WkEnd]])</f>
        <v>2020</v>
      </c>
      <c r="S244" s="9">
        <f>WEEKNUM(TimeEntry[[#This Row],[WkEnd]])</f>
        <v>29</v>
      </c>
      <c r="T244" s="9" t="str">
        <f>TimeEntry[[#This Row],[Year]]&amp;"-"&amp;TimeEntry[[#This Row],[WkNo]]</f>
        <v>2020-29</v>
      </c>
    </row>
    <row r="245" spans="1:20" x14ac:dyDescent="0.25">
      <c r="A245" s="6">
        <f>MOD(IF(ROW()=2,0.1,IF(INDEX(TimeEntry[WkEnd],ROW()-1)  =  INDEX(TimeEntry[WkEnd],ROW()-2),    INDEX(TimeEntry[format],ROW()-2),    INDEX(TimeEntry[format],ROW()-2)    +1)),2)</f>
        <v>1.1000000000000001</v>
      </c>
      <c r="B245" s="7">
        <v>44018.439849537041</v>
      </c>
      <c r="C245" s="8">
        <v>44018</v>
      </c>
      <c r="D245" s="8" t="s">
        <v>104</v>
      </c>
      <c r="E245" s="1" t="s">
        <v>442</v>
      </c>
      <c r="F245" s="8">
        <f>IF(TimeEntry[[#This Row],[Date]]=0,F244,C245+(7-Q245))</f>
        <v>44024</v>
      </c>
      <c r="G245" s="35" t="str">
        <f>INDEX(projects[Charge_Code],MATCH(TimeEntry[[#This Row],[Project_ID]],projects[Project_ID],0))</f>
        <v>210035-65 MC VBB WP1: DO-nota West (25-050)</v>
      </c>
      <c r="H245" s="1" t="str">
        <f t="shared" si="13"/>
        <v>Normal Time</v>
      </c>
      <c r="I245" s="1" t="s">
        <v>229</v>
      </c>
      <c r="J245" s="15">
        <v>7.5</v>
      </c>
      <c r="K245" s="15"/>
      <c r="L245" s="15"/>
      <c r="M245" s="15"/>
      <c r="N245" s="15"/>
      <c r="O245" s="15" t="str">
        <f>INDEX(projects[job number],MATCH(TimeEntry[[#This Row],[Project_ID]], projects[Project_ID],0))</f>
        <v>210035-65</v>
      </c>
      <c r="P245" s="15" t="str">
        <f>INDEX(projects[Project_Name],MATCH(TimeEntry[[#This Row],[Project_ID]], projects[Project_ID],0))</f>
        <v>MC VBB WP1: DO-nota West</v>
      </c>
      <c r="Q245" s="6">
        <f>IF(TimeEntry[[#This Row],[Date]]=0,"",WEEKDAY(C245,2))</f>
        <v>1</v>
      </c>
      <c r="R245" s="9">
        <f>YEAR(TimeEntry[[#This Row],[WkEnd]])</f>
        <v>2020</v>
      </c>
      <c r="S245" s="9">
        <f>WEEKNUM(TimeEntry[[#This Row],[WkEnd]])</f>
        <v>29</v>
      </c>
      <c r="T245" s="9" t="str">
        <f>TimeEntry[[#This Row],[Year]]&amp;"-"&amp;TimeEntry[[#This Row],[WkNo]]</f>
        <v>2020-29</v>
      </c>
    </row>
    <row r="246" spans="1:20" x14ac:dyDescent="0.25">
      <c r="A246" s="6">
        <f>MOD(IF(ROW()=2,0.1,IF(INDEX(TimeEntry[WkEnd],ROW()-1)  =  INDEX(TimeEntry[WkEnd],ROW()-2),    INDEX(TimeEntry[format],ROW()-2),    INDEX(TimeEntry[format],ROW()-2)    +1)),2)</f>
        <v>1.1000000000000001</v>
      </c>
      <c r="B246" s="7">
        <v>44018.439849537041</v>
      </c>
      <c r="C246" s="8">
        <v>44018</v>
      </c>
      <c r="D246" s="8" t="s">
        <v>104</v>
      </c>
      <c r="E246" s="1" t="s">
        <v>443</v>
      </c>
      <c r="F246" s="8">
        <f>IF(TimeEntry[[#This Row],[Date]]=0,F245,C246+(7-Q246))</f>
        <v>44024</v>
      </c>
      <c r="G246" s="35" t="str">
        <f>INDEX(projects[Charge_Code],MATCH(TimeEntry[[#This Row],[Project_ID]],projects[Project_ID],0))</f>
        <v>071945-07 BCS - management (01-124)</v>
      </c>
      <c r="H246" s="1" t="str">
        <f t="shared" si="13"/>
        <v>Normal Time</v>
      </c>
      <c r="I246" s="1" t="s">
        <v>230</v>
      </c>
      <c r="J246" s="15"/>
      <c r="K246" s="15"/>
      <c r="L246" s="15"/>
      <c r="M246" s="15"/>
      <c r="N246" s="15"/>
      <c r="O246" s="15" t="str">
        <f>INDEX(projects[job number],MATCH(TimeEntry[[#This Row],[Project_ID]], projects[Project_ID],0))</f>
        <v>071945-07</v>
      </c>
      <c r="P246" s="15" t="str">
        <f>INDEX(projects[Project_Name],MATCH(TimeEntry[[#This Row],[Project_ID]], projects[Project_ID],0))</f>
        <v>BCS - management</v>
      </c>
      <c r="Q246" s="6">
        <f>IF(TimeEntry[[#This Row],[Date]]=0,"",WEEKDAY(C246,2))</f>
        <v>1</v>
      </c>
      <c r="R246" s="9">
        <f>YEAR(TimeEntry[[#This Row],[WkEnd]])</f>
        <v>2020</v>
      </c>
      <c r="S246" s="9">
        <f>WEEKNUM(TimeEntry[[#This Row],[WkEnd]])</f>
        <v>29</v>
      </c>
      <c r="T246" s="9" t="str">
        <f>TimeEntry[[#This Row],[Year]]&amp;"-"&amp;TimeEntry[[#This Row],[WkNo]]</f>
        <v>2020-29</v>
      </c>
    </row>
    <row r="247" spans="1:20" x14ac:dyDescent="0.25">
      <c r="A247" s="6">
        <f>MOD(IF(ROW()=2,0.1,IF(INDEX(TimeEntry[WkEnd],ROW()-1)  =  INDEX(TimeEntry[WkEnd],ROW()-2),    INDEX(TimeEntry[format],ROW()-2),    INDEX(TimeEntry[format],ROW()-2)    +1)),2)</f>
        <v>0.10000000000000009</v>
      </c>
      <c r="B247" s="7">
        <v>44015.439502314817</v>
      </c>
      <c r="C247" s="8">
        <v>44015</v>
      </c>
      <c r="D247" s="8" t="s">
        <v>106</v>
      </c>
      <c r="E247" s="1" t="s">
        <v>442</v>
      </c>
      <c r="F247" s="8">
        <f>IF(TimeEntry[[#This Row],[Date]]=0,F246,C247+(7-Q247))</f>
        <v>44017</v>
      </c>
      <c r="G247" s="35" t="str">
        <f>INDEX(projects[Charge_Code],MATCH(TimeEntry[[#This Row],[Project_ID]],projects[Project_ID],0))</f>
        <v>210035-65 MC VBB WP1: DO-nota West (25-050)</v>
      </c>
      <c r="H247" s="1" t="str">
        <f t="shared" si="13"/>
        <v>Normal Time</v>
      </c>
      <c r="I247" s="1" t="s">
        <v>223</v>
      </c>
      <c r="J247" s="15">
        <v>7.5</v>
      </c>
      <c r="K247" s="15"/>
      <c r="L247" s="15"/>
      <c r="M247" s="15"/>
      <c r="N247" s="15"/>
      <c r="O247" s="15" t="str">
        <f>INDEX(projects[job number],MATCH(TimeEntry[[#This Row],[Project_ID]], projects[Project_ID],0))</f>
        <v>210035-65</v>
      </c>
      <c r="P247" s="15" t="str">
        <f>INDEX(projects[Project_Name],MATCH(TimeEntry[[#This Row],[Project_ID]], projects[Project_ID],0))</f>
        <v>MC VBB WP1: DO-nota West</v>
      </c>
      <c r="Q247" s="6">
        <f>IF(TimeEntry[[#This Row],[Date]]=0,"",WEEKDAY(C247,2))</f>
        <v>5</v>
      </c>
      <c r="R247" s="9">
        <f>YEAR(TimeEntry[[#This Row],[WkEnd]])</f>
        <v>2020</v>
      </c>
      <c r="S247" s="9">
        <f>WEEKNUM(TimeEntry[[#This Row],[WkEnd]])</f>
        <v>28</v>
      </c>
      <c r="T247" s="9" t="str">
        <f>TimeEntry[[#This Row],[Year]]&amp;"-"&amp;TimeEntry[[#This Row],[WkNo]]</f>
        <v>2020-28</v>
      </c>
    </row>
    <row r="248" spans="1:20" x14ac:dyDescent="0.25">
      <c r="A248" s="6">
        <f>MOD(IF(ROW()=2,0.1,IF(INDEX(TimeEntry[WkEnd],ROW()-1)  =  INDEX(TimeEntry[WkEnd],ROW()-2),    INDEX(TimeEntry[format],ROW()-2),    INDEX(TimeEntry[format],ROW()-2)    +1)),2)</f>
        <v>0.10000000000000009</v>
      </c>
      <c r="B248" s="7">
        <v>44014.848182870373</v>
      </c>
      <c r="C248" s="8">
        <v>44014</v>
      </c>
      <c r="D248" s="8" t="s">
        <v>102</v>
      </c>
      <c r="E248" s="1" t="s">
        <v>443</v>
      </c>
      <c r="F248" s="8">
        <f>IF(TimeEntry[[#This Row],[Date]]=0,F247,C248+(7-Q248))</f>
        <v>44017</v>
      </c>
      <c r="G248" s="35" t="str">
        <f>INDEX(projects[Charge_Code],MATCH(TimeEntry[[#This Row],[Project_ID]],projects[Project_ID],0))</f>
        <v>071945-07 BCS - management (01-124)</v>
      </c>
      <c r="H248" s="1" t="str">
        <f t="shared" si="13"/>
        <v>Normal Time</v>
      </c>
      <c r="I248" s="1" t="s">
        <v>186</v>
      </c>
      <c r="J248" s="15"/>
      <c r="K248" s="15"/>
      <c r="L248" s="15"/>
      <c r="M248" s="15"/>
      <c r="N248" s="15"/>
      <c r="O248" s="15" t="str">
        <f>INDEX(projects[job number],MATCH(TimeEntry[[#This Row],[Project_ID]], projects[Project_ID],0))</f>
        <v>071945-07</v>
      </c>
      <c r="P248" s="15" t="str">
        <f>INDEX(projects[Project_Name],MATCH(TimeEntry[[#This Row],[Project_ID]], projects[Project_ID],0))</f>
        <v>BCS - management</v>
      </c>
      <c r="Q248" s="6">
        <f>IF(TimeEntry[[#This Row],[Date]]=0,"",WEEKDAY(C248,2))</f>
        <v>4</v>
      </c>
      <c r="R248" s="9">
        <f>YEAR(TimeEntry[[#This Row],[WkEnd]])</f>
        <v>2020</v>
      </c>
      <c r="S248" s="9">
        <f>WEEKNUM(TimeEntry[[#This Row],[WkEnd]])</f>
        <v>28</v>
      </c>
      <c r="T248" s="9" t="str">
        <f>TimeEntry[[#This Row],[Year]]&amp;"-"&amp;TimeEntry[[#This Row],[WkNo]]</f>
        <v>2020-28</v>
      </c>
    </row>
    <row r="249" spans="1:20" x14ac:dyDescent="0.25">
      <c r="A249" s="6">
        <f>MOD(IF(ROW()=2,0.1,IF(INDEX(TimeEntry[WkEnd],ROW()-1)  =  INDEX(TimeEntry[WkEnd],ROW()-2),    INDEX(TimeEntry[format],ROW()-2),    INDEX(TimeEntry[format],ROW()-2)    +1)),2)</f>
        <v>0.10000000000000009</v>
      </c>
      <c r="B249" s="7">
        <v>44014.687638888892</v>
      </c>
      <c r="C249" s="8">
        <v>44014</v>
      </c>
      <c r="D249" s="8" t="s">
        <v>102</v>
      </c>
      <c r="E249" s="1" t="s">
        <v>442</v>
      </c>
      <c r="F249" s="8">
        <f>IF(TimeEntry[[#This Row],[Date]]=0,F248,C249+(7-Q249))</f>
        <v>44017</v>
      </c>
      <c r="G249" s="35" t="str">
        <f>INDEX(projects[Charge_Code],MATCH(TimeEntry[[#This Row],[Project_ID]],projects[Project_ID],0))</f>
        <v>210035-65 MC VBB WP1: DO-nota West (25-050)</v>
      </c>
      <c r="H249" s="1" t="str">
        <f t="shared" si="13"/>
        <v>Normal Time</v>
      </c>
      <c r="I249" s="1" t="s">
        <v>222</v>
      </c>
      <c r="J249" s="15">
        <v>5</v>
      </c>
      <c r="K249" s="15"/>
      <c r="L249" s="15"/>
      <c r="M249" s="15"/>
      <c r="N249" s="15"/>
      <c r="O249" s="15" t="str">
        <f>INDEX(projects[job number],MATCH(TimeEntry[[#This Row],[Project_ID]], projects[Project_ID],0))</f>
        <v>210035-65</v>
      </c>
      <c r="P249" s="15" t="str">
        <f>INDEX(projects[Project_Name],MATCH(TimeEntry[[#This Row],[Project_ID]], projects[Project_ID],0))</f>
        <v>MC VBB WP1: DO-nota West</v>
      </c>
      <c r="Q249" s="6">
        <f>IF(TimeEntry[[#This Row],[Date]]=0,"",WEEKDAY(C249,2))</f>
        <v>4</v>
      </c>
      <c r="R249" s="9">
        <f>YEAR(TimeEntry[[#This Row],[WkEnd]])</f>
        <v>2020</v>
      </c>
      <c r="S249" s="9">
        <f>WEEKNUM(TimeEntry[[#This Row],[WkEnd]])</f>
        <v>28</v>
      </c>
      <c r="T249" s="9" t="str">
        <f>TimeEntry[[#This Row],[Year]]&amp;"-"&amp;TimeEntry[[#This Row],[WkNo]]</f>
        <v>2020-28</v>
      </c>
    </row>
    <row r="250" spans="1:20" x14ac:dyDescent="0.25">
      <c r="A250" s="6">
        <f>MOD(IF(ROW()=2,0.1,IF(INDEX(TimeEntry[WkEnd],ROW()-1)  =  INDEX(TimeEntry[WkEnd],ROW()-2),    INDEX(TimeEntry[format],ROW()-2),    INDEX(TimeEntry[format],ROW()-2)    +1)),2)</f>
        <v>0.10000000000000009</v>
      </c>
      <c r="B250" s="7">
        <v>44014.56355324074</v>
      </c>
      <c r="C250" s="8">
        <v>44014</v>
      </c>
      <c r="D250" s="8" t="s">
        <v>102</v>
      </c>
      <c r="E250" s="1" t="s">
        <v>442</v>
      </c>
      <c r="F250" s="8">
        <f>IF(TimeEntry[[#This Row],[Date]]=0,F249,C250+(7-Q250))</f>
        <v>44017</v>
      </c>
      <c r="G250" s="35" t="str">
        <f>INDEX(projects[Charge_Code],MATCH(TimeEntry[[#This Row],[Project_ID]],projects[Project_ID],0))</f>
        <v>210035-65 MC VBB WP1: DO-nota West (25-050)</v>
      </c>
      <c r="H250" s="1" t="str">
        <f t="shared" si="13"/>
        <v>Normal Time</v>
      </c>
      <c r="I250" s="1" t="s">
        <v>221</v>
      </c>
      <c r="J250" s="15">
        <v>2.5</v>
      </c>
      <c r="K250" s="15"/>
      <c r="L250" s="15"/>
      <c r="M250" s="15"/>
      <c r="N250" s="15"/>
      <c r="O250" s="15" t="str">
        <f>INDEX(projects[job number],MATCH(TimeEntry[[#This Row],[Project_ID]], projects[Project_ID],0))</f>
        <v>210035-65</v>
      </c>
      <c r="P250" s="15" t="str">
        <f>INDEX(projects[Project_Name],MATCH(TimeEntry[[#This Row],[Project_ID]], projects[Project_ID],0))</f>
        <v>MC VBB WP1: DO-nota West</v>
      </c>
      <c r="Q250" s="6">
        <f>IF(TimeEntry[[#This Row],[Date]]=0,"",WEEKDAY(C250,2))</f>
        <v>4</v>
      </c>
      <c r="R250" s="9">
        <f>YEAR(TimeEntry[[#This Row],[WkEnd]])</f>
        <v>2020</v>
      </c>
      <c r="S250" s="9">
        <f>WEEKNUM(TimeEntry[[#This Row],[WkEnd]])</f>
        <v>28</v>
      </c>
      <c r="T250" s="9" t="str">
        <f>TimeEntry[[#This Row],[Year]]&amp;"-"&amp;TimeEntry[[#This Row],[WkNo]]</f>
        <v>2020-28</v>
      </c>
    </row>
    <row r="251" spans="1:20" x14ac:dyDescent="0.25">
      <c r="A251" s="6">
        <f>MOD(IF(ROW()=2,0.1,IF(INDEX(TimeEntry[WkEnd],ROW()-1)  =  INDEX(TimeEntry[WkEnd],ROW()-2),    INDEX(TimeEntry[format],ROW()-2),    INDEX(TimeEntry[format],ROW()-2)    +1)),2)</f>
        <v>0.10000000000000009</v>
      </c>
      <c r="B251" s="7"/>
      <c r="C251" s="8">
        <v>44013</v>
      </c>
      <c r="D251" s="8"/>
      <c r="E251" s="1" t="s">
        <v>442</v>
      </c>
      <c r="F251" s="8">
        <f>IF(TimeEntry[[#This Row],[Date]]=0,F250,C251+(7-Q251))</f>
        <v>44017</v>
      </c>
      <c r="G251" s="35" t="str">
        <f>INDEX(projects[Charge_Code],MATCH(TimeEntry[[#This Row],[Project_ID]],projects[Project_ID],0))</f>
        <v>210035-65 MC VBB WP1: DO-nota West (25-050)</v>
      </c>
      <c r="H251" s="1" t="str">
        <f t="shared" si="13"/>
        <v>Normal Time</v>
      </c>
      <c r="I251" s="1" t="s">
        <v>220</v>
      </c>
      <c r="J251" s="15">
        <v>7.5</v>
      </c>
      <c r="K251" s="15"/>
      <c r="L251" s="15"/>
      <c r="M251" s="15"/>
      <c r="N251" s="15"/>
      <c r="O251" s="15" t="str">
        <f>INDEX(projects[job number],MATCH(TimeEntry[[#This Row],[Project_ID]], projects[Project_ID],0))</f>
        <v>210035-65</v>
      </c>
      <c r="P251" s="15" t="str">
        <f>INDEX(projects[Project_Name],MATCH(TimeEntry[[#This Row],[Project_ID]], projects[Project_ID],0))</f>
        <v>MC VBB WP1: DO-nota West</v>
      </c>
      <c r="Q251" s="6">
        <f>IF(TimeEntry[[#This Row],[Date]]=0,"",WEEKDAY(C251,2))</f>
        <v>3</v>
      </c>
      <c r="R251" s="9">
        <f>YEAR(TimeEntry[[#This Row],[WkEnd]])</f>
        <v>2020</v>
      </c>
      <c r="S251" s="9">
        <f>WEEKNUM(TimeEntry[[#This Row],[WkEnd]])</f>
        <v>28</v>
      </c>
      <c r="T251" s="9" t="str">
        <f>TimeEntry[[#This Row],[Year]]&amp;"-"&amp;TimeEntry[[#This Row],[WkNo]]</f>
        <v>2020-28</v>
      </c>
    </row>
    <row r="252" spans="1:20" x14ac:dyDescent="0.25">
      <c r="A252" s="6">
        <f>MOD(IF(ROW()=2,0.1,IF(INDEX(TimeEntry[WkEnd],ROW()-1)  =  INDEX(TimeEntry[WkEnd],ROW()-2),    INDEX(TimeEntry[format],ROW()-2),    INDEX(TimeEntry[format],ROW()-2)    +1)),2)</f>
        <v>0.10000000000000009</v>
      </c>
      <c r="B252" s="7"/>
      <c r="C252" s="8">
        <v>44012</v>
      </c>
      <c r="D252" s="8"/>
      <c r="E252" s="1" t="s">
        <v>442</v>
      </c>
      <c r="F252" s="8">
        <f>IF(TimeEntry[[#This Row],[Date]]=0,F251,C252+(7-Q252))</f>
        <v>44017</v>
      </c>
      <c r="G252" s="35" t="str">
        <f>INDEX(projects[Charge_Code],MATCH(TimeEntry[[#This Row],[Project_ID]],projects[Project_ID],0))</f>
        <v>210035-65 MC VBB WP1: DO-nota West (25-050)</v>
      </c>
      <c r="H252" s="1" t="str">
        <f t="shared" si="13"/>
        <v>Normal Time</v>
      </c>
      <c r="I252" s="1" t="s">
        <v>217</v>
      </c>
      <c r="J252" s="15">
        <v>7.5</v>
      </c>
      <c r="K252" s="15"/>
      <c r="L252" s="15"/>
      <c r="M252" s="15"/>
      <c r="N252" s="15"/>
      <c r="O252" s="15" t="str">
        <f>INDEX(projects[job number],MATCH(TimeEntry[[#This Row],[Project_ID]], projects[Project_ID],0))</f>
        <v>210035-65</v>
      </c>
      <c r="P252" s="15" t="str">
        <f>INDEX(projects[Project_Name],MATCH(TimeEntry[[#This Row],[Project_ID]], projects[Project_ID],0))</f>
        <v>MC VBB WP1: DO-nota West</v>
      </c>
      <c r="Q252" s="6">
        <f>IF(TimeEntry[[#This Row],[Date]]=0,"",WEEKDAY(C252,2))</f>
        <v>2</v>
      </c>
      <c r="R252" s="9">
        <f>YEAR(TimeEntry[[#This Row],[WkEnd]])</f>
        <v>2020</v>
      </c>
      <c r="S252" s="9">
        <f>WEEKNUM(TimeEntry[[#This Row],[WkEnd]])</f>
        <v>28</v>
      </c>
      <c r="T252" s="9" t="str">
        <f>TimeEntry[[#This Row],[Year]]&amp;"-"&amp;TimeEntry[[#This Row],[WkNo]]</f>
        <v>2020-28</v>
      </c>
    </row>
    <row r="253" spans="1:20" x14ac:dyDescent="0.25">
      <c r="A253" s="6">
        <f>MOD(IF(ROW()=2,0.1,IF(INDEX(TimeEntry[WkEnd],ROW()-1)  =  INDEX(TimeEntry[WkEnd],ROW()-2),    INDEX(TimeEntry[format],ROW()-2),    INDEX(TimeEntry[format],ROW()-2)    +1)),2)</f>
        <v>0.10000000000000009</v>
      </c>
      <c r="B253" s="7"/>
      <c r="C253" s="8">
        <v>44011</v>
      </c>
      <c r="D253" s="8"/>
      <c r="E253" s="1" t="s">
        <v>442</v>
      </c>
      <c r="F253" s="8">
        <f>IF(TimeEntry[[#This Row],[Date]]=0,F252,C253+(7-Q253))</f>
        <v>44017</v>
      </c>
      <c r="G253" s="35" t="str">
        <f>INDEX(projects[Charge_Code],MATCH(TimeEntry[[#This Row],[Project_ID]],projects[Project_ID],0))</f>
        <v>210035-65 MC VBB WP1: DO-nota West (25-050)</v>
      </c>
      <c r="H253" s="1" t="str">
        <f t="shared" si="13"/>
        <v>Normal Time</v>
      </c>
      <c r="I253" s="1" t="s">
        <v>213</v>
      </c>
      <c r="J253" s="15">
        <v>5</v>
      </c>
      <c r="K253" s="15"/>
      <c r="L253" s="15"/>
      <c r="M253" s="15"/>
      <c r="N253" s="15"/>
      <c r="O253" s="15" t="str">
        <f>INDEX(projects[job number],MATCH(TimeEntry[[#This Row],[Project_ID]], projects[Project_ID],0))</f>
        <v>210035-65</v>
      </c>
      <c r="P253" s="15" t="str">
        <f>INDEX(projects[Project_Name],MATCH(TimeEntry[[#This Row],[Project_ID]], projects[Project_ID],0))</f>
        <v>MC VBB WP1: DO-nota West</v>
      </c>
      <c r="Q253" s="6">
        <f>IF(TimeEntry[[#This Row],[Date]]=0,"",WEEKDAY(C253,2))</f>
        <v>1</v>
      </c>
      <c r="R253" s="9">
        <f>YEAR(TimeEntry[[#This Row],[WkEnd]])</f>
        <v>2020</v>
      </c>
      <c r="S253" s="9">
        <f>WEEKNUM(TimeEntry[[#This Row],[WkEnd]])</f>
        <v>28</v>
      </c>
      <c r="T253" s="9" t="str">
        <f>TimeEntry[[#This Row],[Year]]&amp;"-"&amp;TimeEntry[[#This Row],[WkNo]]</f>
        <v>2020-28</v>
      </c>
    </row>
    <row r="254" spans="1:20" x14ac:dyDescent="0.25">
      <c r="A254" s="6">
        <f>MOD(IF(ROW()=2,0.1,IF(INDEX(TimeEntry[WkEnd],ROW()-1)  =  INDEX(TimeEntry[WkEnd],ROW()-2),    INDEX(TimeEntry[format],ROW()-2),    INDEX(TimeEntry[format],ROW()-2)    +1)),2)</f>
        <v>0.10000000000000009</v>
      </c>
      <c r="B254" s="7"/>
      <c r="C254" s="8">
        <v>44011</v>
      </c>
      <c r="D254" s="8"/>
      <c r="E254" s="1" t="s">
        <v>446</v>
      </c>
      <c r="F254" s="8">
        <f>IF(TimeEntry[[#This Row],[Date]]=0,F253,C254+(7-Q254))</f>
        <v>44017</v>
      </c>
      <c r="G254" s="35" t="str">
        <f>INDEX(projects[Charge_Code],MATCH(TimeEntry[[#This Row],[Project_ID]],projects[Project_ID],0))</f>
        <v xml:space="preserve">249980-13 Edmonton </v>
      </c>
      <c r="H254" s="1" t="str">
        <f t="shared" si="13"/>
        <v>Normal Time</v>
      </c>
      <c r="I254" s="1" t="s">
        <v>224</v>
      </c>
      <c r="J254" s="15">
        <v>2.5</v>
      </c>
      <c r="K254" s="15"/>
      <c r="L254" s="15"/>
      <c r="M254" s="15"/>
      <c r="N254" s="15"/>
      <c r="O254" s="15" t="str">
        <f>INDEX(projects[job number],MATCH(TimeEntry[[#This Row],[Project_ID]], projects[Project_ID],0))</f>
        <v>249980-13</v>
      </c>
      <c r="P254" s="15" t="str">
        <f>INDEX(projects[Project_Name],MATCH(TimeEntry[[#This Row],[Project_ID]], projects[Project_ID],0))</f>
        <v xml:space="preserve">Edmonton </v>
      </c>
      <c r="Q254" s="6">
        <f>IF(TimeEntry[[#This Row],[Date]]=0,"",WEEKDAY(C254,2))</f>
        <v>1</v>
      </c>
      <c r="R254" s="9">
        <f>YEAR(TimeEntry[[#This Row],[WkEnd]])</f>
        <v>2020</v>
      </c>
      <c r="S254" s="9">
        <f>WEEKNUM(TimeEntry[[#This Row],[WkEnd]])</f>
        <v>28</v>
      </c>
      <c r="T254" s="9" t="str">
        <f>TimeEntry[[#This Row],[Year]]&amp;"-"&amp;TimeEntry[[#This Row],[WkNo]]</f>
        <v>2020-28</v>
      </c>
    </row>
    <row r="255" spans="1:20" x14ac:dyDescent="0.25">
      <c r="A255" s="6">
        <f>MOD(IF(ROW()=2,0.1,IF(INDEX(TimeEntry[WkEnd],ROW()-1)  =  INDEX(TimeEntry[WkEnd],ROW()-2),    INDEX(TimeEntry[format],ROW()-2),    INDEX(TimeEntry[format],ROW()-2)    +1)),2)</f>
        <v>1.1000000000000001</v>
      </c>
      <c r="B255" s="7"/>
      <c r="C255" s="8">
        <v>44008</v>
      </c>
      <c r="D255" s="8"/>
      <c r="E255" s="1" t="s">
        <v>444</v>
      </c>
      <c r="F255" s="8">
        <f>IF(TimeEntry[[#This Row],[Date]]=0,F254,C255+(7-Q255))</f>
        <v>44010</v>
      </c>
      <c r="G255" s="35" t="str">
        <f>INDEX(projects[Charge_Code],MATCH(TimeEntry[[#This Row],[Project_ID]],projects[Project_ID],0))</f>
        <v>LEAVE</v>
      </c>
      <c r="H255" s="1" t="str">
        <f t="shared" si="13"/>
        <v>Normal Time</v>
      </c>
      <c r="I255" s="1"/>
      <c r="J255" s="15">
        <v>7.5</v>
      </c>
      <c r="K255" s="15"/>
      <c r="L255" s="15"/>
      <c r="M255" s="15"/>
      <c r="N255" s="15"/>
      <c r="O255" s="15" t="str">
        <f>INDEX(projects[job number],MATCH(TimeEntry[[#This Row],[Project_ID]], projects[Project_ID],0))</f>
        <v>LEAVE</v>
      </c>
      <c r="P255" s="15">
        <f>INDEX(projects[Project_Name],MATCH(TimeEntry[[#This Row],[Project_ID]], projects[Project_ID],0))</f>
        <v>0</v>
      </c>
      <c r="Q255" s="6">
        <f>IF(TimeEntry[[#This Row],[Date]]=0,"",WEEKDAY(C255,2))</f>
        <v>5</v>
      </c>
      <c r="R255" s="9">
        <f>YEAR(TimeEntry[[#This Row],[WkEnd]])</f>
        <v>2020</v>
      </c>
      <c r="S255" s="9">
        <f>WEEKNUM(TimeEntry[[#This Row],[WkEnd]])</f>
        <v>27</v>
      </c>
      <c r="T255" s="9" t="str">
        <f>TimeEntry[[#This Row],[Year]]&amp;"-"&amp;TimeEntry[[#This Row],[WkNo]]</f>
        <v>2020-27</v>
      </c>
    </row>
    <row r="256" spans="1:20" x14ac:dyDescent="0.25">
      <c r="A256" s="6">
        <f>MOD(IF(ROW()=2,0.1,IF(INDEX(TimeEntry[WkEnd],ROW()-1)  =  INDEX(TimeEntry[WkEnd],ROW()-2),    INDEX(TimeEntry[format],ROW()-2),    INDEX(TimeEntry[format],ROW()-2)    +1)),2)</f>
        <v>1.1000000000000001</v>
      </c>
      <c r="B256" s="7"/>
      <c r="C256" s="8">
        <v>44007</v>
      </c>
      <c r="D256" s="8"/>
      <c r="E256" s="1" t="s">
        <v>442</v>
      </c>
      <c r="F256" s="8">
        <f>IF(TimeEntry[[#This Row],[Date]]=0,F255,C256+(7-Q256))</f>
        <v>44010</v>
      </c>
      <c r="G256" s="35" t="str">
        <f>INDEX(projects[Charge_Code],MATCH(TimeEntry[[#This Row],[Project_ID]],projects[Project_ID],0))</f>
        <v>210035-65 MC VBB WP1: DO-nota West (25-050)</v>
      </c>
      <c r="H256" s="1" t="str">
        <f t="shared" si="13"/>
        <v>Normal Time</v>
      </c>
      <c r="I256" s="1" t="s">
        <v>211</v>
      </c>
      <c r="J256" s="15"/>
      <c r="K256" s="15"/>
      <c r="L256" s="15"/>
      <c r="M256" s="15"/>
      <c r="N256" s="15"/>
      <c r="O256" s="15" t="str">
        <f>INDEX(projects[job number],MATCH(TimeEntry[[#This Row],[Project_ID]], projects[Project_ID],0))</f>
        <v>210035-65</v>
      </c>
      <c r="P256" s="15" t="str">
        <f>INDEX(projects[Project_Name],MATCH(TimeEntry[[#This Row],[Project_ID]], projects[Project_ID],0))</f>
        <v>MC VBB WP1: DO-nota West</v>
      </c>
      <c r="Q256" s="6">
        <f>IF(TimeEntry[[#This Row],[Date]]=0,"",WEEKDAY(C256,2))</f>
        <v>4</v>
      </c>
      <c r="R256" s="9">
        <f>YEAR(TimeEntry[[#This Row],[WkEnd]])</f>
        <v>2020</v>
      </c>
      <c r="S256" s="9">
        <f>WEEKNUM(TimeEntry[[#This Row],[WkEnd]])</f>
        <v>27</v>
      </c>
      <c r="T256" s="9" t="str">
        <f>TimeEntry[[#This Row],[Year]]&amp;"-"&amp;TimeEntry[[#This Row],[WkNo]]</f>
        <v>2020-27</v>
      </c>
    </row>
    <row r="257" spans="1:20" x14ac:dyDescent="0.25">
      <c r="A257" s="6">
        <f>MOD(IF(ROW()=2,0.1,IF(INDEX(TimeEntry[WkEnd],ROW()-1)  =  INDEX(TimeEntry[WkEnd],ROW()-2),    INDEX(TimeEntry[format],ROW()-2),    INDEX(TimeEntry[format],ROW()-2)    +1)),2)</f>
        <v>1.1000000000000001</v>
      </c>
      <c r="B257" s="7"/>
      <c r="C257" s="8">
        <v>44006</v>
      </c>
      <c r="D257" s="8"/>
      <c r="E257" s="1" t="s">
        <v>442</v>
      </c>
      <c r="F257" s="8">
        <f>IF(TimeEntry[[#This Row],[Date]]=0,F256,C257+(7-Q257))</f>
        <v>44010</v>
      </c>
      <c r="G257" s="35" t="str">
        <f>INDEX(projects[Charge_Code],MATCH(TimeEntry[[#This Row],[Project_ID]],projects[Project_ID],0))</f>
        <v>210035-65 MC VBB WP1: DO-nota West (25-050)</v>
      </c>
      <c r="H257" s="1" t="str">
        <f t="shared" si="13"/>
        <v>Normal Time</v>
      </c>
      <c r="I257" s="1" t="s">
        <v>210</v>
      </c>
      <c r="J257" s="15"/>
      <c r="K257" s="15"/>
      <c r="L257" s="15"/>
      <c r="M257" s="15"/>
      <c r="N257" s="15"/>
      <c r="O257" s="15" t="str">
        <f>INDEX(projects[job number],MATCH(TimeEntry[[#This Row],[Project_ID]], projects[Project_ID],0))</f>
        <v>210035-65</v>
      </c>
      <c r="P257" s="15" t="str">
        <f>INDEX(projects[Project_Name],MATCH(TimeEntry[[#This Row],[Project_ID]], projects[Project_ID],0))</f>
        <v>MC VBB WP1: DO-nota West</v>
      </c>
      <c r="Q257" s="6">
        <f>IF(TimeEntry[[#This Row],[Date]]=0,"",WEEKDAY(C257,2))</f>
        <v>3</v>
      </c>
      <c r="R257" s="9">
        <f>YEAR(TimeEntry[[#This Row],[WkEnd]])</f>
        <v>2020</v>
      </c>
      <c r="S257" s="9">
        <f>WEEKNUM(TimeEntry[[#This Row],[WkEnd]])</f>
        <v>27</v>
      </c>
      <c r="T257" s="9" t="str">
        <f>TimeEntry[[#This Row],[Year]]&amp;"-"&amp;TimeEntry[[#This Row],[WkNo]]</f>
        <v>2020-27</v>
      </c>
    </row>
    <row r="258" spans="1:20" x14ac:dyDescent="0.25">
      <c r="A258" s="6">
        <f>MOD(IF(ROW()=2,0.1,IF(INDEX(TimeEntry[WkEnd],ROW()-1)  =  INDEX(TimeEntry[WkEnd],ROW()-2),    INDEX(TimeEntry[format],ROW()-2),    INDEX(TimeEntry[format],ROW()-2)    +1)),2)</f>
        <v>1.1000000000000001</v>
      </c>
      <c r="B258" s="7"/>
      <c r="C258" s="8">
        <v>44005</v>
      </c>
      <c r="D258" s="8"/>
      <c r="E258" s="1" t="s">
        <v>442</v>
      </c>
      <c r="F258" s="8">
        <f>IF(TimeEntry[[#This Row],[Date]]=0,F257,C258+(7-Q258))</f>
        <v>44010</v>
      </c>
      <c r="G258" s="35" t="str">
        <f>INDEX(projects[Charge_Code],MATCH(TimeEntry[[#This Row],[Project_ID]],projects[Project_ID],0))</f>
        <v>210035-65 MC VBB WP1: DO-nota West (25-050)</v>
      </c>
      <c r="H258" s="1" t="str">
        <f t="shared" si="13"/>
        <v>Normal Time</v>
      </c>
      <c r="I258" s="1" t="s">
        <v>212</v>
      </c>
      <c r="J258" s="15"/>
      <c r="K258" s="15"/>
      <c r="L258" s="15"/>
      <c r="M258" s="15"/>
      <c r="N258" s="15"/>
      <c r="O258" s="15" t="str">
        <f>INDEX(projects[job number],MATCH(TimeEntry[[#This Row],[Project_ID]], projects[Project_ID],0))</f>
        <v>210035-65</v>
      </c>
      <c r="P258" s="15" t="str">
        <f>INDEX(projects[Project_Name],MATCH(TimeEntry[[#This Row],[Project_ID]], projects[Project_ID],0))</f>
        <v>MC VBB WP1: DO-nota West</v>
      </c>
      <c r="Q258" s="6">
        <f>IF(TimeEntry[[#This Row],[Date]]=0,"",WEEKDAY(C258,2))</f>
        <v>2</v>
      </c>
      <c r="R258" s="9">
        <f>YEAR(TimeEntry[[#This Row],[WkEnd]])</f>
        <v>2020</v>
      </c>
      <c r="S258" s="9">
        <f>WEEKNUM(TimeEntry[[#This Row],[WkEnd]])</f>
        <v>27</v>
      </c>
      <c r="T258" s="9" t="str">
        <f>TimeEntry[[#This Row],[Year]]&amp;"-"&amp;TimeEntry[[#This Row],[WkNo]]</f>
        <v>2020-27</v>
      </c>
    </row>
    <row r="259" spans="1:20" x14ac:dyDescent="0.25">
      <c r="A259" s="6">
        <f>MOD(IF(ROW()=2,0.1,IF(INDEX(TimeEntry[WkEnd],ROW()-1)  =  INDEX(TimeEntry[WkEnd],ROW()-2),    INDEX(TimeEntry[format],ROW()-2),    INDEX(TimeEntry[format],ROW()-2)    +1)),2)</f>
        <v>1.1000000000000001</v>
      </c>
      <c r="B259" s="7"/>
      <c r="C259" s="8">
        <v>44004</v>
      </c>
      <c r="D259" s="8"/>
      <c r="E259" s="1" t="s">
        <v>442</v>
      </c>
      <c r="F259" s="8">
        <f>IF(TimeEntry[[#This Row],[Date]]=0,F258,C259+(7-Q259))</f>
        <v>44010</v>
      </c>
      <c r="G259" s="35" t="str">
        <f>INDEX(projects[Charge_Code],MATCH(TimeEntry[[#This Row],[Project_ID]],projects[Project_ID],0))</f>
        <v>210035-65 MC VBB WP1: DO-nota West (25-050)</v>
      </c>
      <c r="H259" s="1" t="str">
        <f t="shared" si="13"/>
        <v>Normal Time</v>
      </c>
      <c r="I259" s="1" t="s">
        <v>209</v>
      </c>
      <c r="J259" s="15"/>
      <c r="K259" s="15"/>
      <c r="L259" s="15"/>
      <c r="M259" s="15"/>
      <c r="N259" s="15"/>
      <c r="O259" s="15" t="str">
        <f>INDEX(projects[job number],MATCH(TimeEntry[[#This Row],[Project_ID]], projects[Project_ID],0))</f>
        <v>210035-65</v>
      </c>
      <c r="P259" s="15" t="str">
        <f>INDEX(projects[Project_Name],MATCH(TimeEntry[[#This Row],[Project_ID]], projects[Project_ID],0))</f>
        <v>MC VBB WP1: DO-nota West</v>
      </c>
      <c r="Q259" s="6">
        <f>IF(TimeEntry[[#This Row],[Date]]=0,"",WEEKDAY(C259,2))</f>
        <v>1</v>
      </c>
      <c r="R259" s="9">
        <f>YEAR(TimeEntry[[#This Row],[WkEnd]])</f>
        <v>2020</v>
      </c>
      <c r="S259" s="9">
        <f>WEEKNUM(TimeEntry[[#This Row],[WkEnd]])</f>
        <v>27</v>
      </c>
      <c r="T259" s="9" t="str">
        <f>TimeEntry[[#This Row],[Year]]&amp;"-"&amp;TimeEntry[[#This Row],[WkNo]]</f>
        <v>2020-27</v>
      </c>
    </row>
    <row r="260" spans="1:20" x14ac:dyDescent="0.25">
      <c r="A260" s="6">
        <f>MOD(IF(ROW()=2,0.1,IF(INDEX(TimeEntry[WkEnd],ROW()-1)  =  INDEX(TimeEntry[WkEnd],ROW()-2),    INDEX(TimeEntry[format],ROW()-2),    INDEX(TimeEntry[format],ROW()-2)    +1)),2)</f>
        <v>0.10000000000000009</v>
      </c>
      <c r="B260" s="7"/>
      <c r="C260" s="8">
        <v>43997</v>
      </c>
      <c r="D260" s="8"/>
      <c r="E260" s="1" t="s">
        <v>442</v>
      </c>
      <c r="F260" s="8">
        <f>IF(TimeEntry[[#This Row],[Date]]=0,F259,C260+(7-Q260))</f>
        <v>44003</v>
      </c>
      <c r="G260" s="35" t="str">
        <f>INDEX(projects[Charge_Code],MATCH(TimeEntry[[#This Row],[Project_ID]],projects[Project_ID],0))</f>
        <v>210035-65 MC VBB WP1: DO-nota West (25-050)</v>
      </c>
      <c r="H260" s="1" t="str">
        <f t="shared" si="13"/>
        <v>Normal Time</v>
      </c>
      <c r="I260" s="1" t="s">
        <v>208</v>
      </c>
      <c r="J260" s="15"/>
      <c r="K260" s="15"/>
      <c r="L260" s="15"/>
      <c r="M260" s="15"/>
      <c r="N260" s="15"/>
      <c r="O260" s="15" t="str">
        <f>INDEX(projects[job number],MATCH(TimeEntry[[#This Row],[Project_ID]], projects[Project_ID],0))</f>
        <v>210035-65</v>
      </c>
      <c r="P260" s="15" t="str">
        <f>INDEX(projects[Project_Name],MATCH(TimeEntry[[#This Row],[Project_ID]], projects[Project_ID],0))</f>
        <v>MC VBB WP1: DO-nota West</v>
      </c>
      <c r="Q260" s="6">
        <f>IF(TimeEntry[[#This Row],[Date]]=0,"",WEEKDAY(C260,2))</f>
        <v>1</v>
      </c>
      <c r="R260" s="9">
        <f>YEAR(TimeEntry[[#This Row],[WkEnd]])</f>
        <v>2020</v>
      </c>
      <c r="S260" s="9">
        <f>WEEKNUM(TimeEntry[[#This Row],[WkEnd]])</f>
        <v>26</v>
      </c>
      <c r="T260" s="9" t="str">
        <f>TimeEntry[[#This Row],[Year]]&amp;"-"&amp;TimeEntry[[#This Row],[WkNo]]</f>
        <v>2020-26</v>
      </c>
    </row>
    <row r="261" spans="1:20" x14ac:dyDescent="0.25">
      <c r="A261" s="6">
        <f>MOD(IF(ROW()=2,0.1,IF(INDEX(TimeEntry[WkEnd],ROW()-1)  =  INDEX(TimeEntry[WkEnd],ROW()-2),    INDEX(TimeEntry[format],ROW()-2),    INDEX(TimeEntry[format],ROW()-2)    +1)),2)</f>
        <v>1.1000000000000001</v>
      </c>
      <c r="B261" s="7"/>
      <c r="C261" s="8">
        <v>43994</v>
      </c>
      <c r="D261" s="8"/>
      <c r="E261" s="1" t="s">
        <v>442</v>
      </c>
      <c r="F261" s="8">
        <f>IF(TimeEntry[[#This Row],[Date]]=0,F260,C261+(7-Q261))</f>
        <v>43996</v>
      </c>
      <c r="G261" s="35" t="str">
        <f>INDEX(projects[Charge_Code],MATCH(TimeEntry[[#This Row],[Project_ID]],projects[Project_ID],0))</f>
        <v>210035-65 MC VBB WP1: DO-nota West (25-050)</v>
      </c>
      <c r="H261" s="1" t="str">
        <f t="shared" si="13"/>
        <v>Normal Time</v>
      </c>
      <c r="I261" s="1" t="s">
        <v>204</v>
      </c>
      <c r="J261" s="15">
        <v>7.5</v>
      </c>
      <c r="K261" s="15"/>
      <c r="L261" s="15"/>
      <c r="M261" s="15"/>
      <c r="N261" s="15"/>
      <c r="O261" s="15" t="str">
        <f>INDEX(projects[job number],MATCH(TimeEntry[[#This Row],[Project_ID]], projects[Project_ID],0))</f>
        <v>210035-65</v>
      </c>
      <c r="P261" s="15" t="str">
        <f>INDEX(projects[Project_Name],MATCH(TimeEntry[[#This Row],[Project_ID]], projects[Project_ID],0))</f>
        <v>MC VBB WP1: DO-nota West</v>
      </c>
      <c r="Q261" s="6">
        <f>IF(TimeEntry[[#This Row],[Date]]=0,"",WEEKDAY(C261,2))</f>
        <v>5</v>
      </c>
      <c r="R261" s="9">
        <f>YEAR(TimeEntry[[#This Row],[WkEnd]])</f>
        <v>2020</v>
      </c>
      <c r="S261" s="9">
        <f>WEEKNUM(TimeEntry[[#This Row],[WkEnd]])</f>
        <v>25</v>
      </c>
      <c r="T261" s="9" t="str">
        <f>TimeEntry[[#This Row],[Year]]&amp;"-"&amp;TimeEntry[[#This Row],[WkNo]]</f>
        <v>2020-25</v>
      </c>
    </row>
    <row r="262" spans="1:20" x14ac:dyDescent="0.25">
      <c r="A262" s="6">
        <f>MOD(IF(ROW()=2,0.1,IF(INDEX(TimeEntry[WkEnd],ROW()-1)  =  INDEX(TimeEntry[WkEnd],ROW()-2),    INDEX(TimeEntry[format],ROW()-2),    INDEX(TimeEntry[format],ROW()-2)    +1)),2)</f>
        <v>1.1000000000000001</v>
      </c>
      <c r="B262" s="7"/>
      <c r="C262" s="8">
        <v>43994</v>
      </c>
      <c r="D262" s="8"/>
      <c r="E262" s="1" t="s">
        <v>443</v>
      </c>
      <c r="F262" s="8">
        <f>IF(TimeEntry[[#This Row],[Date]]=0,F261,C262+(7-Q262))</f>
        <v>43996</v>
      </c>
      <c r="G262" s="35" t="str">
        <f>INDEX(projects[Charge_Code],MATCH(TimeEntry[[#This Row],[Project_ID]],projects[Project_ID],0))</f>
        <v>071945-07 BCS - management (01-124)</v>
      </c>
      <c r="H262" s="1" t="str">
        <f t="shared" si="13"/>
        <v>Normal Time</v>
      </c>
      <c r="I262" s="1" t="s">
        <v>203</v>
      </c>
      <c r="J262" s="15">
        <v>0</v>
      </c>
      <c r="K262" s="15"/>
      <c r="L262" s="15"/>
      <c r="M262" s="15"/>
      <c r="N262" s="15"/>
      <c r="O262" s="15" t="str">
        <f>INDEX(projects[job number],MATCH(TimeEntry[[#This Row],[Project_ID]], projects[Project_ID],0))</f>
        <v>071945-07</v>
      </c>
      <c r="P262" s="15" t="str">
        <f>INDEX(projects[Project_Name],MATCH(TimeEntry[[#This Row],[Project_ID]], projects[Project_ID],0))</f>
        <v>BCS - management</v>
      </c>
      <c r="Q262" s="6">
        <f>IF(TimeEntry[[#This Row],[Date]]=0,"",WEEKDAY(C262,2))</f>
        <v>5</v>
      </c>
      <c r="R262" s="9">
        <f>YEAR(TimeEntry[[#This Row],[WkEnd]])</f>
        <v>2020</v>
      </c>
      <c r="S262" s="9">
        <f>WEEKNUM(TimeEntry[[#This Row],[WkEnd]])</f>
        <v>25</v>
      </c>
      <c r="T262" s="9" t="str">
        <f>TimeEntry[[#This Row],[Year]]&amp;"-"&amp;TimeEntry[[#This Row],[WkNo]]</f>
        <v>2020-25</v>
      </c>
    </row>
    <row r="263" spans="1:20" x14ac:dyDescent="0.25">
      <c r="A263" s="6">
        <f>MOD(IF(ROW()=2,0.1,IF(INDEX(TimeEntry[WkEnd],ROW()-1)  =  INDEX(TimeEntry[WkEnd],ROW()-2),    INDEX(TimeEntry[format],ROW()-2),    INDEX(TimeEntry[format],ROW()-2)    +1)),2)</f>
        <v>1.1000000000000001</v>
      </c>
      <c r="B263" s="7"/>
      <c r="C263" s="8">
        <v>43993</v>
      </c>
      <c r="D263" s="8"/>
      <c r="E263" s="1" t="s">
        <v>442</v>
      </c>
      <c r="F263" s="8">
        <f>IF(TimeEntry[[#This Row],[Date]]=0,F262,C263+(7-Q263))</f>
        <v>43996</v>
      </c>
      <c r="G263" s="35" t="str">
        <f>INDEX(projects[Charge_Code],MATCH(TimeEntry[[#This Row],[Project_ID]],projects[Project_ID],0))</f>
        <v>210035-65 MC VBB WP1: DO-nota West (25-050)</v>
      </c>
      <c r="H263" s="1" t="str">
        <f t="shared" si="13"/>
        <v>Normal Time</v>
      </c>
      <c r="I263" s="1" t="s">
        <v>199</v>
      </c>
      <c r="J263" s="15">
        <v>7.5</v>
      </c>
      <c r="K263" s="15"/>
      <c r="L263" s="15"/>
      <c r="M263" s="15"/>
      <c r="N263" s="15"/>
      <c r="O263" s="15" t="str">
        <f>INDEX(projects[job number],MATCH(TimeEntry[[#This Row],[Project_ID]], projects[Project_ID],0))</f>
        <v>210035-65</v>
      </c>
      <c r="P263" s="15" t="str">
        <f>INDEX(projects[Project_Name],MATCH(TimeEntry[[#This Row],[Project_ID]], projects[Project_ID],0))</f>
        <v>MC VBB WP1: DO-nota West</v>
      </c>
      <c r="Q263" s="6">
        <f>IF(TimeEntry[[#This Row],[Date]]=0,"",WEEKDAY(C263,2))</f>
        <v>4</v>
      </c>
      <c r="R263" s="9">
        <f>YEAR(TimeEntry[[#This Row],[WkEnd]])</f>
        <v>2020</v>
      </c>
      <c r="S263" s="9">
        <f>WEEKNUM(TimeEntry[[#This Row],[WkEnd]])</f>
        <v>25</v>
      </c>
      <c r="T263" s="9" t="str">
        <f>TimeEntry[[#This Row],[Year]]&amp;"-"&amp;TimeEntry[[#This Row],[WkNo]]</f>
        <v>2020-25</v>
      </c>
    </row>
    <row r="264" spans="1:20" x14ac:dyDescent="0.25">
      <c r="A264" s="6">
        <f>MOD(IF(ROW()=2,0.1,IF(INDEX(TimeEntry[WkEnd],ROW()-1)  =  INDEX(TimeEntry[WkEnd],ROW()-2),    INDEX(TimeEntry[format],ROW()-2),    INDEX(TimeEntry[format],ROW()-2)    +1)),2)</f>
        <v>1.1000000000000001</v>
      </c>
      <c r="B264" s="7"/>
      <c r="C264" s="8">
        <v>43992</v>
      </c>
      <c r="D264" s="8"/>
      <c r="E264" s="1" t="s">
        <v>442</v>
      </c>
      <c r="F264" s="8">
        <f>IF(TimeEntry[[#This Row],[Date]]=0,F263,C264+(7-Q264))</f>
        <v>43996</v>
      </c>
      <c r="G264" s="35" t="str">
        <f>INDEX(projects[Charge_Code],MATCH(TimeEntry[[#This Row],[Project_ID]],projects[Project_ID],0))</f>
        <v>210035-65 MC VBB WP1: DO-nota West (25-050)</v>
      </c>
      <c r="H264" s="1" t="str">
        <f t="shared" ref="H264:H327" si="14">"Normal Time"</f>
        <v>Normal Time</v>
      </c>
      <c r="I264" s="1" t="s">
        <v>202</v>
      </c>
      <c r="J264" s="15">
        <v>2.5</v>
      </c>
      <c r="K264" s="15"/>
      <c r="L264" s="15"/>
      <c r="M264" s="15"/>
      <c r="N264" s="15"/>
      <c r="O264" s="15" t="str">
        <f>INDEX(projects[job number],MATCH(TimeEntry[[#This Row],[Project_ID]], projects[Project_ID],0))</f>
        <v>210035-65</v>
      </c>
      <c r="P264" s="15" t="str">
        <f>INDEX(projects[Project_Name],MATCH(TimeEntry[[#This Row],[Project_ID]], projects[Project_ID],0))</f>
        <v>MC VBB WP1: DO-nota West</v>
      </c>
      <c r="Q264" s="6">
        <f>IF(TimeEntry[[#This Row],[Date]]=0,"",WEEKDAY(C264,2))</f>
        <v>3</v>
      </c>
      <c r="R264" s="9">
        <f>YEAR(TimeEntry[[#This Row],[WkEnd]])</f>
        <v>2020</v>
      </c>
      <c r="S264" s="9">
        <f>WEEKNUM(TimeEntry[[#This Row],[WkEnd]])</f>
        <v>25</v>
      </c>
      <c r="T264" s="9" t="str">
        <f>TimeEntry[[#This Row],[Year]]&amp;"-"&amp;TimeEntry[[#This Row],[WkNo]]</f>
        <v>2020-25</v>
      </c>
    </row>
    <row r="265" spans="1:20" x14ac:dyDescent="0.25">
      <c r="A265" s="6">
        <f>MOD(IF(ROW()=2,0.1,IF(INDEX(TimeEntry[WkEnd],ROW()-1)  =  INDEX(TimeEntry[WkEnd],ROW()-2),    INDEX(TimeEntry[format],ROW()-2),    INDEX(TimeEntry[format],ROW()-2)    +1)),2)</f>
        <v>1.1000000000000001</v>
      </c>
      <c r="B265" s="7"/>
      <c r="C265" s="8">
        <v>43992</v>
      </c>
      <c r="D265" s="8"/>
      <c r="E265" s="1" t="s">
        <v>442</v>
      </c>
      <c r="F265" s="8">
        <f>IF(TimeEntry[[#This Row],[Date]]=0,F264,C265+(7-Q265))</f>
        <v>43996</v>
      </c>
      <c r="G265" s="35" t="str">
        <f>INDEX(projects[Charge_Code],MATCH(TimeEntry[[#This Row],[Project_ID]],projects[Project_ID],0))</f>
        <v>210035-65 MC VBB WP1: DO-nota West (25-050)</v>
      </c>
      <c r="H265" s="1" t="str">
        <f t="shared" si="14"/>
        <v>Normal Time</v>
      </c>
      <c r="I265" s="1" t="s">
        <v>205</v>
      </c>
      <c r="J265" s="15">
        <v>5</v>
      </c>
      <c r="K265" s="15"/>
      <c r="L265" s="15"/>
      <c r="M265" s="15"/>
      <c r="N265" s="15"/>
      <c r="O265" s="15" t="str">
        <f>INDEX(projects[job number],MATCH(TimeEntry[[#This Row],[Project_ID]], projects[Project_ID],0))</f>
        <v>210035-65</v>
      </c>
      <c r="P265" s="15" t="str">
        <f>INDEX(projects[Project_Name],MATCH(TimeEntry[[#This Row],[Project_ID]], projects[Project_ID],0))</f>
        <v>MC VBB WP1: DO-nota West</v>
      </c>
      <c r="Q265" s="6">
        <f>IF(TimeEntry[[#This Row],[Date]]=0,"",WEEKDAY(C265,2))</f>
        <v>3</v>
      </c>
      <c r="R265" s="9">
        <f>YEAR(TimeEntry[[#This Row],[WkEnd]])</f>
        <v>2020</v>
      </c>
      <c r="S265" s="9">
        <f>WEEKNUM(TimeEntry[[#This Row],[WkEnd]])</f>
        <v>25</v>
      </c>
      <c r="T265" s="9" t="str">
        <f>TimeEntry[[#This Row],[Year]]&amp;"-"&amp;TimeEntry[[#This Row],[WkNo]]</f>
        <v>2020-25</v>
      </c>
    </row>
    <row r="266" spans="1:20" x14ac:dyDescent="0.25">
      <c r="A266" s="6">
        <f>MOD(IF(ROW()=2,0.1,IF(INDEX(TimeEntry[WkEnd],ROW()-1)  =  INDEX(TimeEntry[WkEnd],ROW()-2),    INDEX(TimeEntry[format],ROW()-2),    INDEX(TimeEntry[format],ROW()-2)    +1)),2)</f>
        <v>1.1000000000000001</v>
      </c>
      <c r="B266" s="7"/>
      <c r="C266" s="8">
        <v>43991</v>
      </c>
      <c r="D266" s="8"/>
      <c r="E266" s="1" t="s">
        <v>442</v>
      </c>
      <c r="F266" s="8">
        <f>IF(TimeEntry[[#This Row],[Date]]=0,F265,C266+(7-Q266))</f>
        <v>43996</v>
      </c>
      <c r="G266" s="35" t="str">
        <f>INDEX(projects[Charge_Code],MATCH(TimeEntry[[#This Row],[Project_ID]],projects[Project_ID],0))</f>
        <v>210035-65 MC VBB WP1: DO-nota West (25-050)</v>
      </c>
      <c r="H266" s="1" t="str">
        <f t="shared" si="14"/>
        <v>Normal Time</v>
      </c>
      <c r="I266" s="6" t="s">
        <v>207</v>
      </c>
      <c r="J266" s="15">
        <v>4.5</v>
      </c>
      <c r="K266" s="15"/>
      <c r="L266" s="15"/>
      <c r="M266" s="15"/>
      <c r="N266" s="15"/>
      <c r="O266" s="15" t="str">
        <f>INDEX(projects[job number],MATCH(TimeEntry[[#This Row],[Project_ID]], projects[Project_ID],0))</f>
        <v>210035-65</v>
      </c>
      <c r="P266" s="15" t="str">
        <f>INDEX(projects[Project_Name],MATCH(TimeEntry[[#This Row],[Project_ID]], projects[Project_ID],0))</f>
        <v>MC VBB WP1: DO-nota West</v>
      </c>
      <c r="Q266" s="6">
        <f>IF(TimeEntry[[#This Row],[Date]]=0,"",WEEKDAY(C266,2))</f>
        <v>2</v>
      </c>
      <c r="R266" s="9">
        <f>YEAR(TimeEntry[[#This Row],[WkEnd]])</f>
        <v>2020</v>
      </c>
      <c r="S266" s="9">
        <f>WEEKNUM(TimeEntry[[#This Row],[WkEnd]])</f>
        <v>25</v>
      </c>
      <c r="T266" s="9" t="str">
        <f>TimeEntry[[#This Row],[Year]]&amp;"-"&amp;TimeEntry[[#This Row],[WkNo]]</f>
        <v>2020-25</v>
      </c>
    </row>
    <row r="267" spans="1:20" x14ac:dyDescent="0.25">
      <c r="A267" s="6">
        <f>MOD(IF(ROW()=2,0.1,IF(INDEX(TimeEntry[WkEnd],ROW()-1)  =  INDEX(TimeEntry[WkEnd],ROW()-2),    INDEX(TimeEntry[format],ROW()-2),    INDEX(TimeEntry[format],ROW()-2)    +1)),2)</f>
        <v>1.1000000000000001</v>
      </c>
      <c r="B267" s="7"/>
      <c r="C267" s="8">
        <v>43991</v>
      </c>
      <c r="D267" s="8"/>
      <c r="E267" s="1" t="s">
        <v>447</v>
      </c>
      <c r="F267" s="8">
        <f>IF(TimeEntry[[#This Row],[Date]]=0,F266,C267+(7-Q267))</f>
        <v>43996</v>
      </c>
      <c r="G267" s="35" t="str">
        <f>INDEX(projects[Charge_Code],MATCH(TimeEntry[[#This Row],[Project_ID]],projects[Project_ID],0))</f>
        <v>255670-17 LOWER KINGS ROAD ASSESSMENT (01-382)</v>
      </c>
      <c r="H267" s="1" t="str">
        <f t="shared" si="14"/>
        <v>Normal Time</v>
      </c>
      <c r="I267" s="1" t="s">
        <v>200</v>
      </c>
      <c r="J267" s="15">
        <v>3</v>
      </c>
      <c r="K267" s="15"/>
      <c r="L267" s="15"/>
      <c r="M267" s="15"/>
      <c r="N267" s="15"/>
      <c r="O267" s="15" t="str">
        <f>INDEX(projects[job number],MATCH(TimeEntry[[#This Row],[Project_ID]], projects[Project_ID],0))</f>
        <v>255670-17</v>
      </c>
      <c r="P267" s="15" t="str">
        <f>INDEX(projects[Project_Name],MATCH(TimeEntry[[#This Row],[Project_ID]], projects[Project_ID],0))</f>
        <v>LOWER KINGS ROAD ASSESSMENT</v>
      </c>
      <c r="Q267" s="6">
        <f>IF(TimeEntry[[#This Row],[Date]]=0,"",WEEKDAY(C267,2))</f>
        <v>2</v>
      </c>
      <c r="R267" s="9">
        <f>YEAR(TimeEntry[[#This Row],[WkEnd]])</f>
        <v>2020</v>
      </c>
      <c r="S267" s="9">
        <f>WEEKNUM(TimeEntry[[#This Row],[WkEnd]])</f>
        <v>25</v>
      </c>
      <c r="T267" s="9" t="str">
        <f>TimeEntry[[#This Row],[Year]]&amp;"-"&amp;TimeEntry[[#This Row],[WkNo]]</f>
        <v>2020-25</v>
      </c>
    </row>
    <row r="268" spans="1:20" x14ac:dyDescent="0.25">
      <c r="A268" s="6">
        <f>MOD(IF(ROW()=2,0.1,IF(INDEX(TimeEntry[WkEnd],ROW()-1)  =  INDEX(TimeEntry[WkEnd],ROW()-2),    INDEX(TimeEntry[format],ROW()-2),    INDEX(TimeEntry[format],ROW()-2)    +1)),2)</f>
        <v>1.1000000000000001</v>
      </c>
      <c r="B268" s="7"/>
      <c r="C268" s="8">
        <v>43991</v>
      </c>
      <c r="D268" s="8"/>
      <c r="E268" s="1" t="s">
        <v>443</v>
      </c>
      <c r="F268" s="8">
        <f>IF(TimeEntry[[#This Row],[Date]]=0,F267,C268+(7-Q268))</f>
        <v>43996</v>
      </c>
      <c r="G268" s="35" t="str">
        <f>INDEX(projects[Charge_Code],MATCH(TimeEntry[[#This Row],[Project_ID]],projects[Project_ID],0))</f>
        <v>071945-07 BCS - management (01-124)</v>
      </c>
      <c r="H268" s="1" t="str">
        <f t="shared" si="14"/>
        <v>Normal Time</v>
      </c>
      <c r="I268" s="1" t="s">
        <v>201</v>
      </c>
      <c r="J268" s="15">
        <v>0</v>
      </c>
      <c r="K268" s="15"/>
      <c r="L268" s="15"/>
      <c r="M268" s="15"/>
      <c r="N268" s="15"/>
      <c r="O268" s="15" t="str">
        <f>INDEX(projects[job number],MATCH(TimeEntry[[#This Row],[Project_ID]], projects[Project_ID],0))</f>
        <v>071945-07</v>
      </c>
      <c r="P268" s="15" t="str">
        <f>INDEX(projects[Project_Name],MATCH(TimeEntry[[#This Row],[Project_ID]], projects[Project_ID],0))</f>
        <v>BCS - management</v>
      </c>
      <c r="Q268" s="6">
        <f>IF(TimeEntry[[#This Row],[Date]]=0,"",WEEKDAY(C268,2))</f>
        <v>2</v>
      </c>
      <c r="R268" s="9">
        <f>YEAR(TimeEntry[[#This Row],[WkEnd]])</f>
        <v>2020</v>
      </c>
      <c r="S268" s="9">
        <f>WEEKNUM(TimeEntry[[#This Row],[WkEnd]])</f>
        <v>25</v>
      </c>
      <c r="T268" s="9" t="str">
        <f>TimeEntry[[#This Row],[Year]]&amp;"-"&amp;TimeEntry[[#This Row],[WkNo]]</f>
        <v>2020-25</v>
      </c>
    </row>
    <row r="269" spans="1:20" x14ac:dyDescent="0.25">
      <c r="A269" s="6">
        <f>MOD(IF(ROW()=2,0.1,IF(INDEX(TimeEntry[WkEnd],ROW()-1)  =  INDEX(TimeEntry[WkEnd],ROW()-2),    INDEX(TimeEntry[format],ROW()-2),    INDEX(TimeEntry[format],ROW()-2)    +1)),2)</f>
        <v>1.1000000000000001</v>
      </c>
      <c r="B269" s="7"/>
      <c r="C269" s="8">
        <v>43990</v>
      </c>
      <c r="D269" s="8"/>
      <c r="E269" s="1" t="s">
        <v>447</v>
      </c>
      <c r="F269" s="8">
        <f>IF(TimeEntry[[#This Row],[Date]]=0,F268,C269+(7-Q269))</f>
        <v>43996</v>
      </c>
      <c r="G269" s="35" t="str">
        <f>INDEX(projects[Charge_Code],MATCH(TimeEntry[[#This Row],[Project_ID]],projects[Project_ID],0))</f>
        <v>255670-17 LOWER KINGS ROAD ASSESSMENT (01-382)</v>
      </c>
      <c r="H269" s="1" t="str">
        <f t="shared" si="14"/>
        <v>Normal Time</v>
      </c>
      <c r="I269" s="1" t="s">
        <v>206</v>
      </c>
      <c r="J269" s="15">
        <v>1</v>
      </c>
      <c r="K269" s="15"/>
      <c r="L269" s="15"/>
      <c r="M269" s="15"/>
      <c r="N269" s="15"/>
      <c r="O269" s="15" t="str">
        <f>INDEX(projects[job number],MATCH(TimeEntry[[#This Row],[Project_ID]], projects[Project_ID],0))</f>
        <v>255670-17</v>
      </c>
      <c r="P269" s="15" t="str">
        <f>INDEX(projects[Project_Name],MATCH(TimeEntry[[#This Row],[Project_ID]], projects[Project_ID],0))</f>
        <v>LOWER KINGS ROAD ASSESSMENT</v>
      </c>
      <c r="Q269" s="6">
        <f>IF(TimeEntry[[#This Row],[Date]]=0,"",WEEKDAY(C269,2))</f>
        <v>1</v>
      </c>
      <c r="R269" s="9">
        <f>YEAR(TimeEntry[[#This Row],[WkEnd]])</f>
        <v>2020</v>
      </c>
      <c r="S269" s="9">
        <f>WEEKNUM(TimeEntry[[#This Row],[WkEnd]])</f>
        <v>25</v>
      </c>
      <c r="T269" s="9" t="str">
        <f>TimeEntry[[#This Row],[Year]]&amp;"-"&amp;TimeEntry[[#This Row],[WkNo]]</f>
        <v>2020-25</v>
      </c>
    </row>
    <row r="270" spans="1:20" x14ac:dyDescent="0.25">
      <c r="A270" s="6">
        <f>MOD(IF(ROW()=2,0.1,IF(INDEX(TimeEntry[WkEnd],ROW()-1)  =  INDEX(TimeEntry[WkEnd],ROW()-2),    INDEX(TimeEntry[format],ROW()-2),    INDEX(TimeEntry[format],ROW()-2)    +1)),2)</f>
        <v>1.1000000000000001</v>
      </c>
      <c r="B270" s="7"/>
      <c r="C270" s="8">
        <v>43990</v>
      </c>
      <c r="D270" s="8"/>
      <c r="E270" s="1" t="s">
        <v>442</v>
      </c>
      <c r="F270" s="8">
        <f>IF(TimeEntry[[#This Row],[Date]]=0,F269,C270+(7-Q270))</f>
        <v>43996</v>
      </c>
      <c r="G270" s="35" t="str">
        <f>INDEX(projects[Charge_Code],MATCH(TimeEntry[[#This Row],[Project_ID]],projects[Project_ID],0))</f>
        <v>210035-65 MC VBB WP1: DO-nota West (25-050)</v>
      </c>
      <c r="H270" s="1" t="str">
        <f t="shared" si="14"/>
        <v>Normal Time</v>
      </c>
      <c r="I270" s="1" t="s">
        <v>198</v>
      </c>
      <c r="J270" s="15">
        <v>6.5</v>
      </c>
      <c r="K270" s="15"/>
      <c r="L270" s="15"/>
      <c r="M270" s="15"/>
      <c r="N270" s="15"/>
      <c r="O270" s="15" t="str">
        <f>INDEX(projects[job number],MATCH(TimeEntry[[#This Row],[Project_ID]], projects[Project_ID],0))</f>
        <v>210035-65</v>
      </c>
      <c r="P270" s="15" t="str">
        <f>INDEX(projects[Project_Name],MATCH(TimeEntry[[#This Row],[Project_ID]], projects[Project_ID],0))</f>
        <v>MC VBB WP1: DO-nota West</v>
      </c>
      <c r="Q270" s="6">
        <f>IF(TimeEntry[[#This Row],[Date]]=0,"",WEEKDAY(C270,2))</f>
        <v>1</v>
      </c>
      <c r="R270" s="9">
        <f>YEAR(TimeEntry[[#This Row],[WkEnd]])</f>
        <v>2020</v>
      </c>
      <c r="S270" s="9">
        <f>WEEKNUM(TimeEntry[[#This Row],[WkEnd]])</f>
        <v>25</v>
      </c>
      <c r="T270" s="9" t="str">
        <f>TimeEntry[[#This Row],[Year]]&amp;"-"&amp;TimeEntry[[#This Row],[WkNo]]</f>
        <v>2020-25</v>
      </c>
    </row>
    <row r="271" spans="1:20" x14ac:dyDescent="0.25">
      <c r="A271" s="6">
        <f>MOD(IF(ROW()=2,0.1,IF(INDEX(TimeEntry[WkEnd],ROW()-1)  =  INDEX(TimeEntry[WkEnd],ROW()-2),    INDEX(TimeEntry[format],ROW()-2),    INDEX(TimeEntry[format],ROW()-2)    +1)),2)</f>
        <v>0.10000000000000009</v>
      </c>
      <c r="B271" s="7"/>
      <c r="C271" s="8">
        <v>43987</v>
      </c>
      <c r="D271" s="8"/>
      <c r="E271" s="1" t="s">
        <v>443</v>
      </c>
      <c r="F271" s="8">
        <f>IF(TimeEntry[[#This Row],[Date]]=0,F270,C271+(7-Q271))</f>
        <v>43989</v>
      </c>
      <c r="G271" s="35" t="str">
        <f>INDEX(projects[Charge_Code],MATCH(TimeEntry[[#This Row],[Project_ID]],projects[Project_ID],0))</f>
        <v>071945-07 BCS - management (01-124)</v>
      </c>
      <c r="H271" s="1" t="str">
        <f t="shared" si="14"/>
        <v>Normal Time</v>
      </c>
      <c r="I271" s="1" t="s">
        <v>192</v>
      </c>
      <c r="J271" s="15">
        <v>2</v>
      </c>
      <c r="K271" s="15"/>
      <c r="L271" s="15"/>
      <c r="M271" s="15"/>
      <c r="N271" s="15"/>
      <c r="O271" s="15" t="str">
        <f>INDEX(projects[job number],MATCH(TimeEntry[[#This Row],[Project_ID]], projects[Project_ID],0))</f>
        <v>071945-07</v>
      </c>
      <c r="P271" s="15" t="str">
        <f>INDEX(projects[Project_Name],MATCH(TimeEntry[[#This Row],[Project_ID]], projects[Project_ID],0))</f>
        <v>BCS - management</v>
      </c>
      <c r="Q271" s="6">
        <f>IF(TimeEntry[[#This Row],[Date]]=0,"",WEEKDAY(C271,2))</f>
        <v>5</v>
      </c>
      <c r="R271" s="9">
        <f>YEAR(TimeEntry[[#This Row],[WkEnd]])</f>
        <v>2020</v>
      </c>
      <c r="S271" s="9">
        <f>WEEKNUM(TimeEntry[[#This Row],[WkEnd]])</f>
        <v>24</v>
      </c>
      <c r="T271" s="9" t="str">
        <f>TimeEntry[[#This Row],[Year]]&amp;"-"&amp;TimeEntry[[#This Row],[WkNo]]</f>
        <v>2020-24</v>
      </c>
    </row>
    <row r="272" spans="1:20" x14ac:dyDescent="0.25">
      <c r="A272" s="6">
        <f>MOD(IF(ROW()=2,0.1,IF(INDEX(TimeEntry[WkEnd],ROW()-1)  =  INDEX(TimeEntry[WkEnd],ROW()-2),    INDEX(TimeEntry[format],ROW()-2),    INDEX(TimeEntry[format],ROW()-2)    +1)),2)</f>
        <v>0.10000000000000009</v>
      </c>
      <c r="B272" s="7"/>
      <c r="C272" s="8">
        <v>43987</v>
      </c>
      <c r="D272" s="8"/>
      <c r="E272" s="1" t="s">
        <v>442</v>
      </c>
      <c r="F272" s="8">
        <f>IF(TimeEntry[[#This Row],[Date]]=0,F271,C272+(7-Q272))</f>
        <v>43989</v>
      </c>
      <c r="G272" s="35" t="str">
        <f>INDEX(projects[Charge_Code],MATCH(TimeEntry[[#This Row],[Project_ID]],projects[Project_ID],0))</f>
        <v>210035-65 MC VBB WP1: DO-nota West (25-050)</v>
      </c>
      <c r="H272" s="1" t="str">
        <f t="shared" si="14"/>
        <v>Normal Time</v>
      </c>
      <c r="I272" s="1" t="s">
        <v>194</v>
      </c>
      <c r="J272" s="15">
        <v>7.5</v>
      </c>
      <c r="K272" s="15"/>
      <c r="L272" s="15"/>
      <c r="M272" s="15"/>
      <c r="N272" s="15"/>
      <c r="O272" s="15" t="str">
        <f>INDEX(projects[job number],MATCH(TimeEntry[[#This Row],[Project_ID]], projects[Project_ID],0))</f>
        <v>210035-65</v>
      </c>
      <c r="P272" s="15" t="str">
        <f>INDEX(projects[Project_Name],MATCH(TimeEntry[[#This Row],[Project_ID]], projects[Project_ID],0))</f>
        <v>MC VBB WP1: DO-nota West</v>
      </c>
      <c r="Q272" s="6">
        <f>IF(TimeEntry[[#This Row],[Date]]=0,"",WEEKDAY(C272,2))</f>
        <v>5</v>
      </c>
      <c r="R272" s="9">
        <f>YEAR(TimeEntry[[#This Row],[WkEnd]])</f>
        <v>2020</v>
      </c>
      <c r="S272" s="9">
        <f>WEEKNUM(TimeEntry[[#This Row],[WkEnd]])</f>
        <v>24</v>
      </c>
      <c r="T272" s="9" t="str">
        <f>TimeEntry[[#This Row],[Year]]&amp;"-"&amp;TimeEntry[[#This Row],[WkNo]]</f>
        <v>2020-24</v>
      </c>
    </row>
    <row r="273" spans="1:20" x14ac:dyDescent="0.25">
      <c r="A273" s="6">
        <f>MOD(IF(ROW()=2,0.1,IF(INDEX(TimeEntry[WkEnd],ROW()-1)  =  INDEX(TimeEntry[WkEnd],ROW()-2),    INDEX(TimeEntry[format],ROW()-2),    INDEX(TimeEntry[format],ROW()-2)    +1)),2)</f>
        <v>0.10000000000000009</v>
      </c>
      <c r="B273" s="7"/>
      <c r="C273" s="8">
        <v>43986</v>
      </c>
      <c r="D273" s="8"/>
      <c r="E273" s="1" t="s">
        <v>447</v>
      </c>
      <c r="F273" s="8">
        <f>IF(TimeEntry[[#This Row],[Date]]=0,F272,C273+(7-Q273))</f>
        <v>43989</v>
      </c>
      <c r="G273" s="35" t="str">
        <f>INDEX(projects[Charge_Code],MATCH(TimeEntry[[#This Row],[Project_ID]],projects[Project_ID],0))</f>
        <v>255670-17 LOWER KINGS ROAD ASSESSMENT (01-382)</v>
      </c>
      <c r="H273" s="1" t="str">
        <f t="shared" si="14"/>
        <v>Normal Time</v>
      </c>
      <c r="I273" s="1" t="s">
        <v>197</v>
      </c>
      <c r="J273" s="15">
        <v>1</v>
      </c>
      <c r="K273" s="15"/>
      <c r="L273" s="15"/>
      <c r="M273" s="15"/>
      <c r="N273" s="15"/>
      <c r="O273" s="15" t="str">
        <f>INDEX(projects[job number],MATCH(TimeEntry[[#This Row],[Project_ID]], projects[Project_ID],0))</f>
        <v>255670-17</v>
      </c>
      <c r="P273" s="15" t="str">
        <f>INDEX(projects[Project_Name],MATCH(TimeEntry[[#This Row],[Project_ID]], projects[Project_ID],0))</f>
        <v>LOWER KINGS ROAD ASSESSMENT</v>
      </c>
      <c r="Q273" s="6">
        <f>IF(TimeEntry[[#This Row],[Date]]=0,"",WEEKDAY(C273,2))</f>
        <v>4</v>
      </c>
      <c r="R273" s="9">
        <f>YEAR(TimeEntry[[#This Row],[WkEnd]])</f>
        <v>2020</v>
      </c>
      <c r="S273" s="9">
        <f>WEEKNUM(TimeEntry[[#This Row],[WkEnd]])</f>
        <v>24</v>
      </c>
      <c r="T273" s="9" t="str">
        <f>TimeEntry[[#This Row],[Year]]&amp;"-"&amp;TimeEntry[[#This Row],[WkNo]]</f>
        <v>2020-24</v>
      </c>
    </row>
    <row r="274" spans="1:20" x14ac:dyDescent="0.25">
      <c r="A274" s="6">
        <f>MOD(IF(ROW()=2,0.1,IF(INDEX(TimeEntry[WkEnd],ROW()-1)  =  INDEX(TimeEntry[WkEnd],ROW()-2),    INDEX(TimeEntry[format],ROW()-2),    INDEX(TimeEntry[format],ROW()-2)    +1)),2)</f>
        <v>0.10000000000000009</v>
      </c>
      <c r="B274" s="7"/>
      <c r="C274" s="8">
        <v>43986</v>
      </c>
      <c r="D274" s="8"/>
      <c r="E274" s="1" t="s">
        <v>442</v>
      </c>
      <c r="F274" s="8">
        <f>IF(TimeEntry[[#This Row],[Date]]=0,F273,C274+(7-Q274))</f>
        <v>43989</v>
      </c>
      <c r="G274" s="35" t="str">
        <f>INDEX(projects[Charge_Code],MATCH(TimeEntry[[#This Row],[Project_ID]],projects[Project_ID],0))</f>
        <v>210035-65 MC VBB WP1: DO-nota West (25-050)</v>
      </c>
      <c r="H274" s="1" t="str">
        <f t="shared" si="14"/>
        <v>Normal Time</v>
      </c>
      <c r="I274" s="1" t="s">
        <v>195</v>
      </c>
      <c r="J274" s="15">
        <v>6.5</v>
      </c>
      <c r="K274" s="15"/>
      <c r="L274" s="15"/>
      <c r="M274" s="15"/>
      <c r="N274" s="15"/>
      <c r="O274" s="15" t="str">
        <f>INDEX(projects[job number],MATCH(TimeEntry[[#This Row],[Project_ID]], projects[Project_ID],0))</f>
        <v>210035-65</v>
      </c>
      <c r="P274" s="15" t="str">
        <f>INDEX(projects[Project_Name],MATCH(TimeEntry[[#This Row],[Project_ID]], projects[Project_ID],0))</f>
        <v>MC VBB WP1: DO-nota West</v>
      </c>
      <c r="Q274" s="6">
        <f>IF(TimeEntry[[#This Row],[Date]]=0,"",WEEKDAY(C274,2))</f>
        <v>4</v>
      </c>
      <c r="R274" s="9">
        <f>YEAR(TimeEntry[[#This Row],[WkEnd]])</f>
        <v>2020</v>
      </c>
      <c r="S274" s="9">
        <f>WEEKNUM(TimeEntry[[#This Row],[WkEnd]])</f>
        <v>24</v>
      </c>
      <c r="T274" s="9" t="str">
        <f>TimeEntry[[#This Row],[Year]]&amp;"-"&amp;TimeEntry[[#This Row],[WkNo]]</f>
        <v>2020-24</v>
      </c>
    </row>
    <row r="275" spans="1:20" x14ac:dyDescent="0.25">
      <c r="A275" s="6">
        <f>MOD(IF(ROW()=2,0.1,IF(INDEX(TimeEntry[WkEnd],ROW()-1)  =  INDEX(TimeEntry[WkEnd],ROW()-2),    INDEX(TimeEntry[format],ROW()-2),    INDEX(TimeEntry[format],ROW()-2)    +1)),2)</f>
        <v>0.10000000000000009</v>
      </c>
      <c r="B275" s="7"/>
      <c r="C275" s="8">
        <v>43985</v>
      </c>
      <c r="D275" s="8"/>
      <c r="E275" s="1" t="s">
        <v>442</v>
      </c>
      <c r="F275" s="8">
        <f>IF(TimeEntry[[#This Row],[Date]]=0,F274,C275+(7-Q275))</f>
        <v>43989</v>
      </c>
      <c r="G275" s="35" t="str">
        <f>INDEX(projects[Charge_Code],MATCH(TimeEntry[[#This Row],[Project_ID]],projects[Project_ID],0))</f>
        <v>210035-65 MC VBB WP1: DO-nota West (25-050)</v>
      </c>
      <c r="H275" s="1" t="str">
        <f t="shared" si="14"/>
        <v>Normal Time</v>
      </c>
      <c r="I275" s="1" t="s">
        <v>196</v>
      </c>
      <c r="J275" s="15">
        <v>7.5</v>
      </c>
      <c r="K275" s="15"/>
      <c r="L275" s="15"/>
      <c r="M275" s="15"/>
      <c r="N275" s="15"/>
      <c r="O275" s="15" t="str">
        <f>INDEX(projects[job number],MATCH(TimeEntry[[#This Row],[Project_ID]], projects[Project_ID],0))</f>
        <v>210035-65</v>
      </c>
      <c r="P275" s="15" t="str">
        <f>INDEX(projects[Project_Name],MATCH(TimeEntry[[#This Row],[Project_ID]], projects[Project_ID],0))</f>
        <v>MC VBB WP1: DO-nota West</v>
      </c>
      <c r="Q275" s="6">
        <f>IF(TimeEntry[[#This Row],[Date]]=0,"",WEEKDAY(C275,2))</f>
        <v>3</v>
      </c>
      <c r="R275" s="9">
        <f>YEAR(TimeEntry[[#This Row],[WkEnd]])</f>
        <v>2020</v>
      </c>
      <c r="S275" s="9">
        <f>WEEKNUM(TimeEntry[[#This Row],[WkEnd]])</f>
        <v>24</v>
      </c>
      <c r="T275" s="9" t="str">
        <f>TimeEntry[[#This Row],[Year]]&amp;"-"&amp;TimeEntry[[#This Row],[WkNo]]</f>
        <v>2020-24</v>
      </c>
    </row>
    <row r="276" spans="1:20" x14ac:dyDescent="0.25">
      <c r="A276" s="6">
        <f>MOD(IF(ROW()=2,0.1,IF(INDEX(TimeEntry[WkEnd],ROW()-1)  =  INDEX(TimeEntry[WkEnd],ROW()-2),    INDEX(TimeEntry[format],ROW()-2),    INDEX(TimeEntry[format],ROW()-2)    +1)),2)</f>
        <v>0.10000000000000009</v>
      </c>
      <c r="B276" s="7"/>
      <c r="C276" s="8">
        <v>43984</v>
      </c>
      <c r="D276" s="8"/>
      <c r="E276" s="1" t="s">
        <v>442</v>
      </c>
      <c r="F276" s="8">
        <f>IF(TimeEntry[[#This Row],[Date]]=0,F275,C276+(7-Q276))</f>
        <v>43989</v>
      </c>
      <c r="G276" s="35" t="str">
        <f>INDEX(projects[Charge_Code],MATCH(TimeEntry[[#This Row],[Project_ID]],projects[Project_ID],0))</f>
        <v>210035-65 MC VBB WP1: DO-nota West (25-050)</v>
      </c>
      <c r="H276" s="1" t="str">
        <f t="shared" si="14"/>
        <v>Normal Time</v>
      </c>
      <c r="I276" s="1" t="s">
        <v>193</v>
      </c>
      <c r="J276" s="15">
        <v>7.5</v>
      </c>
      <c r="K276" s="15"/>
      <c r="L276" s="15"/>
      <c r="M276" s="15"/>
      <c r="N276" s="15"/>
      <c r="O276" s="15" t="str">
        <f>INDEX(projects[job number],MATCH(TimeEntry[[#This Row],[Project_ID]], projects[Project_ID],0))</f>
        <v>210035-65</v>
      </c>
      <c r="P276" s="15" t="str">
        <f>INDEX(projects[Project_Name],MATCH(TimeEntry[[#This Row],[Project_ID]], projects[Project_ID],0))</f>
        <v>MC VBB WP1: DO-nota West</v>
      </c>
      <c r="Q276" s="6">
        <f>IF(TimeEntry[[#This Row],[Date]]=0,"",WEEKDAY(C276,2))</f>
        <v>2</v>
      </c>
      <c r="R276" s="9">
        <f>YEAR(TimeEntry[[#This Row],[WkEnd]])</f>
        <v>2020</v>
      </c>
      <c r="S276" s="9">
        <f>WEEKNUM(TimeEntry[[#This Row],[WkEnd]])</f>
        <v>24</v>
      </c>
      <c r="T276" s="9" t="str">
        <f>TimeEntry[[#This Row],[Year]]&amp;"-"&amp;TimeEntry[[#This Row],[WkNo]]</f>
        <v>2020-24</v>
      </c>
    </row>
    <row r="277" spans="1:20" x14ac:dyDescent="0.25">
      <c r="A277" s="6">
        <f>MOD(IF(ROW()=2,0.1,IF(INDEX(TimeEntry[WkEnd],ROW()-1)  =  INDEX(TimeEntry[WkEnd],ROW()-2),    INDEX(TimeEntry[format],ROW()-2),    INDEX(TimeEntry[format],ROW()-2)    +1)),2)</f>
        <v>0.10000000000000009</v>
      </c>
      <c r="B277" s="7"/>
      <c r="C277" s="8">
        <v>43983</v>
      </c>
      <c r="D277" s="8"/>
      <c r="E277" s="1" t="s">
        <v>448</v>
      </c>
      <c r="F277" s="8">
        <f>IF(TimeEntry[[#This Row],[Date]]=0,F276,C277+(7-Q277))</f>
        <v>43989</v>
      </c>
      <c r="G277" s="35" t="str">
        <f>INDEX(projects[Charge_Code],MATCH(TimeEntry[[#This Row],[Project_ID]],projects[Project_ID],0))</f>
        <v>246233-56 HCC - Weston Hills Tunnel (01-382)</v>
      </c>
      <c r="H277" s="1" t="str">
        <f t="shared" si="14"/>
        <v>Normal Time</v>
      </c>
      <c r="I277" s="1" t="s">
        <v>190</v>
      </c>
      <c r="J277" s="15">
        <v>7.5</v>
      </c>
      <c r="K277" s="15"/>
      <c r="L277" s="15"/>
      <c r="M277" s="15"/>
      <c r="N277" s="15"/>
      <c r="O277" s="15" t="str">
        <f>INDEX(projects[job number],MATCH(TimeEntry[[#This Row],[Project_ID]], projects[Project_ID],0))</f>
        <v>246233-56</v>
      </c>
      <c r="P277" s="15" t="str">
        <f>INDEX(projects[Project_Name],MATCH(TimeEntry[[#This Row],[Project_ID]], projects[Project_ID],0))</f>
        <v>HCC - Weston Hills Tunnel</v>
      </c>
      <c r="Q277" s="6">
        <f>IF(TimeEntry[[#This Row],[Date]]=0,"",WEEKDAY(C277,2))</f>
        <v>1</v>
      </c>
      <c r="R277" s="9">
        <f>YEAR(TimeEntry[[#This Row],[WkEnd]])</f>
        <v>2020</v>
      </c>
      <c r="S277" s="9">
        <f>WEEKNUM(TimeEntry[[#This Row],[WkEnd]])</f>
        <v>24</v>
      </c>
      <c r="T277" s="9" t="str">
        <f>TimeEntry[[#This Row],[Year]]&amp;"-"&amp;TimeEntry[[#This Row],[WkNo]]</f>
        <v>2020-24</v>
      </c>
    </row>
    <row r="278" spans="1:20" x14ac:dyDescent="0.25">
      <c r="A278" s="6">
        <f>MOD(IF(ROW()=2,0.1,IF(INDEX(TimeEntry[WkEnd],ROW()-1)  =  INDEX(TimeEntry[WkEnd],ROW()-2),    INDEX(TimeEntry[format],ROW()-2),    INDEX(TimeEntry[format],ROW()-2)    +1)),2)</f>
        <v>1.1000000000000001</v>
      </c>
      <c r="B278" s="7"/>
      <c r="C278" s="8">
        <v>43980</v>
      </c>
      <c r="D278" s="8"/>
      <c r="E278" s="1" t="s">
        <v>445</v>
      </c>
      <c r="F278" s="8">
        <f>IF(TimeEntry[[#This Row],[Date]]=0,F277,C278+(7-Q278))</f>
        <v>43982</v>
      </c>
      <c r="G278" s="35" t="str">
        <f>INDEX(projects[Charge_Code],MATCH(TimeEntry[[#This Row],[Project_ID]],projects[Project_ID],0))</f>
        <v>257677-59  Melbourne Metro - Latrobe</v>
      </c>
      <c r="H278" s="1" t="str">
        <f t="shared" si="14"/>
        <v>Normal Time</v>
      </c>
      <c r="I278" s="1" t="s">
        <v>191</v>
      </c>
      <c r="J278" s="15">
        <v>2</v>
      </c>
      <c r="K278" s="15"/>
      <c r="L278" s="15"/>
      <c r="M278" s="15"/>
      <c r="N278" s="15"/>
      <c r="O278" s="15" t="str">
        <f>INDEX(projects[job number],MATCH(TimeEntry[[#This Row],[Project_ID]], projects[Project_ID],0))</f>
        <v xml:space="preserve">257677-59 </v>
      </c>
      <c r="P278" s="15" t="str">
        <f>INDEX(projects[Project_Name],MATCH(TimeEntry[[#This Row],[Project_ID]], projects[Project_ID],0))</f>
        <v>Melbourne Metro - Latrobe</v>
      </c>
      <c r="Q278" s="6">
        <f>IF(TimeEntry[[#This Row],[Date]]=0,"",WEEKDAY(C278,2))</f>
        <v>5</v>
      </c>
      <c r="R278" s="9">
        <f>YEAR(TimeEntry[[#This Row],[WkEnd]])</f>
        <v>2020</v>
      </c>
      <c r="S278" s="9">
        <f>WEEKNUM(TimeEntry[[#This Row],[WkEnd]])</f>
        <v>23</v>
      </c>
      <c r="T278" s="9" t="str">
        <f>TimeEntry[[#This Row],[Year]]&amp;"-"&amp;TimeEntry[[#This Row],[WkNo]]</f>
        <v>2020-23</v>
      </c>
    </row>
    <row r="279" spans="1:20" x14ac:dyDescent="0.25">
      <c r="A279" s="6">
        <f>MOD(IF(ROW()=2,0.1,IF(INDEX(TimeEntry[WkEnd],ROW()-1)  =  INDEX(TimeEntry[WkEnd],ROW()-2),    INDEX(TimeEntry[format],ROW()-2),    INDEX(TimeEntry[format],ROW()-2)    +1)),2)</f>
        <v>1.1000000000000001</v>
      </c>
      <c r="B279" s="7"/>
      <c r="C279" s="8">
        <v>43980</v>
      </c>
      <c r="D279" s="8"/>
      <c r="E279" s="1" t="s">
        <v>442</v>
      </c>
      <c r="F279" s="8">
        <f>IF(TimeEntry[[#This Row],[Date]]=0,F278,C279+(7-Q279))</f>
        <v>43982</v>
      </c>
      <c r="G279" s="35" t="str">
        <f>INDEX(projects[Charge_Code],MATCH(TimeEntry[[#This Row],[Project_ID]],projects[Project_ID],0))</f>
        <v>210035-65 MC VBB WP1: DO-nota West (25-050)</v>
      </c>
      <c r="H279" s="1" t="str">
        <f t="shared" si="14"/>
        <v>Normal Time</v>
      </c>
      <c r="I279" s="1" t="s">
        <v>189</v>
      </c>
      <c r="J279" s="15">
        <v>5.5</v>
      </c>
      <c r="K279" s="15"/>
      <c r="L279" s="15"/>
      <c r="M279" s="15"/>
      <c r="N279" s="15"/>
      <c r="O279" s="15" t="str">
        <f>INDEX(projects[job number],MATCH(TimeEntry[[#This Row],[Project_ID]], projects[Project_ID],0))</f>
        <v>210035-65</v>
      </c>
      <c r="P279" s="15" t="str">
        <f>INDEX(projects[Project_Name],MATCH(TimeEntry[[#This Row],[Project_ID]], projects[Project_ID],0))</f>
        <v>MC VBB WP1: DO-nota West</v>
      </c>
      <c r="Q279" s="6">
        <f>IF(TimeEntry[[#This Row],[Date]]=0,"",WEEKDAY(C279,2))</f>
        <v>5</v>
      </c>
      <c r="R279" s="9">
        <f>YEAR(TimeEntry[[#This Row],[WkEnd]])</f>
        <v>2020</v>
      </c>
      <c r="S279" s="9">
        <f>WEEKNUM(TimeEntry[[#This Row],[WkEnd]])</f>
        <v>23</v>
      </c>
      <c r="T279" s="9" t="str">
        <f>TimeEntry[[#This Row],[Year]]&amp;"-"&amp;TimeEntry[[#This Row],[WkNo]]</f>
        <v>2020-23</v>
      </c>
    </row>
    <row r="280" spans="1:20" x14ac:dyDescent="0.25">
      <c r="A280" s="6">
        <f>MOD(IF(ROW()=2,0.1,IF(INDEX(TimeEntry[WkEnd],ROW()-1)  =  INDEX(TimeEntry[WkEnd],ROW()-2),    INDEX(TimeEntry[format],ROW()-2),    INDEX(TimeEntry[format],ROW()-2)    +1)),2)</f>
        <v>1.1000000000000001</v>
      </c>
      <c r="B280" s="7"/>
      <c r="C280" s="8">
        <v>43980</v>
      </c>
      <c r="D280" s="8"/>
      <c r="E280" s="1" t="s">
        <v>448</v>
      </c>
      <c r="F280" s="8">
        <f>IF(TimeEntry[[#This Row],[Date]]=0,F279,C280+(7-Q280))</f>
        <v>43982</v>
      </c>
      <c r="G280" s="35" t="str">
        <f>INDEX(projects[Charge_Code],MATCH(TimeEntry[[#This Row],[Project_ID]],projects[Project_ID],0))</f>
        <v>246233-56 HCC - Weston Hills Tunnel (01-382)</v>
      </c>
      <c r="H280" s="1" t="str">
        <f t="shared" si="14"/>
        <v>Normal Time</v>
      </c>
      <c r="I280" s="1" t="s">
        <v>188</v>
      </c>
      <c r="J280" s="15">
        <v>0</v>
      </c>
      <c r="K280" s="15"/>
      <c r="L280" s="15"/>
      <c r="M280" s="15"/>
      <c r="N280" s="15"/>
      <c r="O280" s="15" t="str">
        <f>INDEX(projects[job number],MATCH(TimeEntry[[#This Row],[Project_ID]], projects[Project_ID],0))</f>
        <v>246233-56</v>
      </c>
      <c r="P280" s="15" t="str">
        <f>INDEX(projects[Project_Name],MATCH(TimeEntry[[#This Row],[Project_ID]], projects[Project_ID],0))</f>
        <v>HCC - Weston Hills Tunnel</v>
      </c>
      <c r="Q280" s="6">
        <f>IF(TimeEntry[[#This Row],[Date]]=0,"",WEEKDAY(C280,2))</f>
        <v>5</v>
      </c>
      <c r="R280" s="9">
        <f>YEAR(TimeEntry[[#This Row],[WkEnd]])</f>
        <v>2020</v>
      </c>
      <c r="S280" s="9">
        <f>WEEKNUM(TimeEntry[[#This Row],[WkEnd]])</f>
        <v>23</v>
      </c>
      <c r="T280" s="9" t="str">
        <f>TimeEntry[[#This Row],[Year]]&amp;"-"&amp;TimeEntry[[#This Row],[WkNo]]</f>
        <v>2020-23</v>
      </c>
    </row>
    <row r="281" spans="1:20" x14ac:dyDescent="0.25">
      <c r="A281" s="6">
        <f>MOD(IF(ROW()=2,0.1,IF(INDEX(TimeEntry[WkEnd],ROW()-1)  =  INDEX(TimeEntry[WkEnd],ROW()-2),    INDEX(TimeEntry[format],ROW()-2),    INDEX(TimeEntry[format],ROW()-2)    +1)),2)</f>
        <v>1.1000000000000001</v>
      </c>
      <c r="B281" s="7"/>
      <c r="C281" s="8">
        <v>43980</v>
      </c>
      <c r="D281" s="8"/>
      <c r="E281" s="1" t="s">
        <v>443</v>
      </c>
      <c r="F281" s="8">
        <f>IF(TimeEntry[[#This Row],[Date]]=0,F280,C281+(7-Q281))</f>
        <v>43982</v>
      </c>
      <c r="G281" s="35" t="str">
        <f>INDEX(projects[Charge_Code],MATCH(TimeEntry[[#This Row],[Project_ID]],projects[Project_ID],0))</f>
        <v>071945-07 BCS - management (01-124)</v>
      </c>
      <c r="H281" s="1" t="str">
        <f t="shared" si="14"/>
        <v>Normal Time</v>
      </c>
      <c r="I281" s="1" t="s">
        <v>187</v>
      </c>
      <c r="J281" s="15"/>
      <c r="K281" s="15"/>
      <c r="L281" s="15"/>
      <c r="M281" s="15"/>
      <c r="N281" s="15"/>
      <c r="O281" s="15" t="str">
        <f>INDEX(projects[job number],MATCH(TimeEntry[[#This Row],[Project_ID]], projects[Project_ID],0))</f>
        <v>071945-07</v>
      </c>
      <c r="P281" s="15" t="str">
        <f>INDEX(projects[Project_Name],MATCH(TimeEntry[[#This Row],[Project_ID]], projects[Project_ID],0))</f>
        <v>BCS - management</v>
      </c>
      <c r="Q281" s="6">
        <f>IF(TimeEntry[[#This Row],[Date]]=0,"",WEEKDAY(C281,2))</f>
        <v>5</v>
      </c>
      <c r="R281" s="9">
        <f>YEAR(TimeEntry[[#This Row],[WkEnd]])</f>
        <v>2020</v>
      </c>
      <c r="S281" s="9">
        <f>WEEKNUM(TimeEntry[[#This Row],[WkEnd]])</f>
        <v>23</v>
      </c>
      <c r="T281" s="9" t="str">
        <f>TimeEntry[[#This Row],[Year]]&amp;"-"&amp;TimeEntry[[#This Row],[WkNo]]</f>
        <v>2020-23</v>
      </c>
    </row>
    <row r="282" spans="1:20" x14ac:dyDescent="0.25">
      <c r="A282" s="6">
        <f>MOD(IF(ROW()=2,0.1,IF(INDEX(TimeEntry[WkEnd],ROW()-1)  =  INDEX(TimeEntry[WkEnd],ROW()-2),    INDEX(TimeEntry[format],ROW()-2),    INDEX(TimeEntry[format],ROW()-2)    +1)),2)</f>
        <v>1.1000000000000001</v>
      </c>
      <c r="B282" s="7"/>
      <c r="C282" s="8">
        <v>43979</v>
      </c>
      <c r="D282" s="8"/>
      <c r="E282" s="1" t="s">
        <v>447</v>
      </c>
      <c r="F282" s="8">
        <f>IF(TimeEntry[[#This Row],[Date]]=0,F281,C282+(7-Q282))</f>
        <v>43982</v>
      </c>
      <c r="G282" s="35" t="str">
        <f>INDEX(projects[Charge_Code],MATCH(TimeEntry[[#This Row],[Project_ID]],projects[Project_ID],0))</f>
        <v>255670-17 LOWER KINGS ROAD ASSESSMENT (01-382)</v>
      </c>
      <c r="H282" s="1" t="str">
        <f t="shared" si="14"/>
        <v>Normal Time</v>
      </c>
      <c r="I282" s="1" t="s">
        <v>185</v>
      </c>
      <c r="J282" s="15">
        <v>2</v>
      </c>
      <c r="K282" s="15"/>
      <c r="L282" s="15"/>
      <c r="M282" s="15"/>
      <c r="N282" s="15"/>
      <c r="O282" s="15" t="str">
        <f>INDEX(projects[job number],MATCH(TimeEntry[[#This Row],[Project_ID]], projects[Project_ID],0))</f>
        <v>255670-17</v>
      </c>
      <c r="P282" s="15" t="str">
        <f>INDEX(projects[Project_Name],MATCH(TimeEntry[[#This Row],[Project_ID]], projects[Project_ID],0))</f>
        <v>LOWER KINGS ROAD ASSESSMENT</v>
      </c>
      <c r="Q282" s="6">
        <f>IF(TimeEntry[[#This Row],[Date]]=0,"",WEEKDAY(C282,2))</f>
        <v>4</v>
      </c>
      <c r="R282" s="9">
        <f>YEAR(TimeEntry[[#This Row],[WkEnd]])</f>
        <v>2020</v>
      </c>
      <c r="S282" s="9">
        <f>WEEKNUM(TimeEntry[[#This Row],[WkEnd]])</f>
        <v>23</v>
      </c>
      <c r="T282" s="9" t="str">
        <f>TimeEntry[[#This Row],[Year]]&amp;"-"&amp;TimeEntry[[#This Row],[WkNo]]</f>
        <v>2020-23</v>
      </c>
    </row>
    <row r="283" spans="1:20" x14ac:dyDescent="0.25">
      <c r="A283" s="6">
        <f>MOD(IF(ROW()=2,0.1,IF(INDEX(TimeEntry[WkEnd],ROW()-1)  =  INDEX(TimeEntry[WkEnd],ROW()-2),    INDEX(TimeEntry[format],ROW()-2),    INDEX(TimeEntry[format],ROW()-2)    +1)),2)</f>
        <v>1.1000000000000001</v>
      </c>
      <c r="B283" s="7"/>
      <c r="C283" s="8">
        <v>43979</v>
      </c>
      <c r="D283" s="8"/>
      <c r="E283" s="1" t="s">
        <v>442</v>
      </c>
      <c r="F283" s="8">
        <f>IF(TimeEntry[[#This Row],[Date]]=0,F282,C283+(7-Q283))</f>
        <v>43982</v>
      </c>
      <c r="G283" s="35" t="str">
        <f>INDEX(projects[Charge_Code],MATCH(TimeEntry[[#This Row],[Project_ID]],projects[Project_ID],0))</f>
        <v>210035-65 MC VBB WP1: DO-nota West (25-050)</v>
      </c>
      <c r="H283" s="1" t="str">
        <f t="shared" si="14"/>
        <v>Normal Time</v>
      </c>
      <c r="I283" s="1" t="s">
        <v>180</v>
      </c>
      <c r="J283" s="15">
        <v>4.5</v>
      </c>
      <c r="K283" s="15"/>
      <c r="L283" s="15"/>
      <c r="M283" s="15"/>
      <c r="N283" s="15"/>
      <c r="O283" s="15" t="str">
        <f>INDEX(projects[job number],MATCH(TimeEntry[[#This Row],[Project_ID]], projects[Project_ID],0))</f>
        <v>210035-65</v>
      </c>
      <c r="P283" s="15" t="str">
        <f>INDEX(projects[Project_Name],MATCH(TimeEntry[[#This Row],[Project_ID]], projects[Project_ID],0))</f>
        <v>MC VBB WP1: DO-nota West</v>
      </c>
      <c r="Q283" s="6">
        <f>IF(TimeEntry[[#This Row],[Date]]=0,"",WEEKDAY(C283,2))</f>
        <v>4</v>
      </c>
      <c r="R283" s="9">
        <f>YEAR(TimeEntry[[#This Row],[WkEnd]])</f>
        <v>2020</v>
      </c>
      <c r="S283" s="9">
        <f>WEEKNUM(TimeEntry[[#This Row],[WkEnd]])</f>
        <v>23</v>
      </c>
      <c r="T283" s="9" t="str">
        <f>TimeEntry[[#This Row],[Year]]&amp;"-"&amp;TimeEntry[[#This Row],[WkNo]]</f>
        <v>2020-23</v>
      </c>
    </row>
    <row r="284" spans="1:20" x14ac:dyDescent="0.25">
      <c r="A284" s="6">
        <f>MOD(IF(ROW()=2,0.1,IF(INDEX(TimeEntry[WkEnd],ROW()-1)  =  INDEX(TimeEntry[WkEnd],ROW()-2),    INDEX(TimeEntry[format],ROW()-2),    INDEX(TimeEntry[format],ROW()-2)    +1)),2)</f>
        <v>1.1000000000000001</v>
      </c>
      <c r="B284" s="7"/>
      <c r="C284" s="8">
        <v>43979</v>
      </c>
      <c r="D284" s="8"/>
      <c r="E284" s="1" t="s">
        <v>445</v>
      </c>
      <c r="F284" s="8">
        <f>IF(TimeEntry[[#This Row],[Date]]=0,F283,C284+(7-Q284))</f>
        <v>43982</v>
      </c>
      <c r="G284" s="35" t="str">
        <f>INDEX(projects[Charge_Code],MATCH(TimeEntry[[#This Row],[Project_ID]],projects[Project_ID],0))</f>
        <v>257677-59  Melbourne Metro - Latrobe</v>
      </c>
      <c r="H284" s="1" t="str">
        <f t="shared" si="14"/>
        <v>Normal Time</v>
      </c>
      <c r="I284" s="1" t="s">
        <v>183</v>
      </c>
      <c r="J284" s="15">
        <v>1</v>
      </c>
      <c r="K284" s="15"/>
      <c r="L284" s="15"/>
      <c r="M284" s="15"/>
      <c r="N284" s="15"/>
      <c r="O284" s="15" t="str">
        <f>INDEX(projects[job number],MATCH(TimeEntry[[#This Row],[Project_ID]], projects[Project_ID],0))</f>
        <v xml:space="preserve">257677-59 </v>
      </c>
      <c r="P284" s="15" t="str">
        <f>INDEX(projects[Project_Name],MATCH(TimeEntry[[#This Row],[Project_ID]], projects[Project_ID],0))</f>
        <v>Melbourne Metro - Latrobe</v>
      </c>
      <c r="Q284" s="6">
        <f>IF(TimeEntry[[#This Row],[Date]]=0,"",WEEKDAY(C284,2))</f>
        <v>4</v>
      </c>
      <c r="R284" s="9">
        <f>YEAR(TimeEntry[[#This Row],[WkEnd]])</f>
        <v>2020</v>
      </c>
      <c r="S284" s="9">
        <f>WEEKNUM(TimeEntry[[#This Row],[WkEnd]])</f>
        <v>23</v>
      </c>
      <c r="T284" s="9" t="str">
        <f>TimeEntry[[#This Row],[Year]]&amp;"-"&amp;TimeEntry[[#This Row],[WkNo]]</f>
        <v>2020-23</v>
      </c>
    </row>
    <row r="285" spans="1:20" x14ac:dyDescent="0.25">
      <c r="A285" s="6">
        <f>MOD(IF(ROW()=2,0.1,IF(INDEX(TimeEntry[WkEnd],ROW()-1)  =  INDEX(TimeEntry[WkEnd],ROW()-2),    INDEX(TimeEntry[format],ROW()-2),    INDEX(TimeEntry[format],ROW()-2)    +1)),2)</f>
        <v>1.1000000000000001</v>
      </c>
      <c r="B285" s="7"/>
      <c r="C285" s="8">
        <v>43978</v>
      </c>
      <c r="D285" s="8"/>
      <c r="E285" s="1" t="s">
        <v>442</v>
      </c>
      <c r="F285" s="8">
        <f>IF(TimeEntry[[#This Row],[Date]]=0,F284,C285+(7-Q285))</f>
        <v>43982</v>
      </c>
      <c r="G285" s="35" t="str">
        <f>INDEX(projects[Charge_Code],MATCH(TimeEntry[[#This Row],[Project_ID]],projects[Project_ID],0))</f>
        <v>210035-65 MC VBB WP1: DO-nota West (25-050)</v>
      </c>
      <c r="H285" s="1" t="str">
        <f t="shared" si="14"/>
        <v>Normal Time</v>
      </c>
      <c r="I285" s="1" t="s">
        <v>184</v>
      </c>
      <c r="J285" s="15">
        <v>5.5</v>
      </c>
      <c r="K285" s="15"/>
      <c r="L285" s="15"/>
      <c r="M285" s="15"/>
      <c r="N285" s="15"/>
      <c r="O285" s="15" t="str">
        <f>INDEX(projects[job number],MATCH(TimeEntry[[#This Row],[Project_ID]], projects[Project_ID],0))</f>
        <v>210035-65</v>
      </c>
      <c r="P285" s="15" t="str">
        <f>INDEX(projects[Project_Name],MATCH(TimeEntry[[#This Row],[Project_ID]], projects[Project_ID],0))</f>
        <v>MC VBB WP1: DO-nota West</v>
      </c>
      <c r="Q285" s="6">
        <f>IF(TimeEntry[[#This Row],[Date]]=0,"",WEEKDAY(C285,2))</f>
        <v>3</v>
      </c>
      <c r="R285" s="9">
        <f>YEAR(TimeEntry[[#This Row],[WkEnd]])</f>
        <v>2020</v>
      </c>
      <c r="S285" s="9">
        <f>WEEKNUM(TimeEntry[[#This Row],[WkEnd]])</f>
        <v>23</v>
      </c>
      <c r="T285" s="9" t="str">
        <f>TimeEntry[[#This Row],[Year]]&amp;"-"&amp;TimeEntry[[#This Row],[WkNo]]</f>
        <v>2020-23</v>
      </c>
    </row>
    <row r="286" spans="1:20" x14ac:dyDescent="0.25">
      <c r="A286" s="6">
        <f>MOD(IF(ROW()=2,0.1,IF(INDEX(TimeEntry[WkEnd],ROW()-1)  =  INDEX(TimeEntry[WkEnd],ROW()-2),    INDEX(TimeEntry[format],ROW()-2),    INDEX(TimeEntry[format],ROW()-2)    +1)),2)</f>
        <v>1.1000000000000001</v>
      </c>
      <c r="B286" s="7"/>
      <c r="C286" s="8">
        <v>43978</v>
      </c>
      <c r="D286" s="8"/>
      <c r="E286" s="1" t="s">
        <v>445</v>
      </c>
      <c r="F286" s="8">
        <f>IF(TimeEntry[[#This Row],[Date]]=0,F285,C286+(7-Q286))</f>
        <v>43982</v>
      </c>
      <c r="G286" s="35" t="str">
        <f>INDEX(projects[Charge_Code],MATCH(TimeEntry[[#This Row],[Project_ID]],projects[Project_ID],0))</f>
        <v>257677-59  Melbourne Metro - Latrobe</v>
      </c>
      <c r="H286" s="1" t="str">
        <f t="shared" si="14"/>
        <v>Normal Time</v>
      </c>
      <c r="I286" s="1" t="s">
        <v>182</v>
      </c>
      <c r="J286" s="15">
        <v>2</v>
      </c>
      <c r="K286" s="15"/>
      <c r="L286" s="15"/>
      <c r="M286" s="15"/>
      <c r="N286" s="15"/>
      <c r="O286" s="15" t="str">
        <f>INDEX(projects[job number],MATCH(TimeEntry[[#This Row],[Project_ID]], projects[Project_ID],0))</f>
        <v xml:space="preserve">257677-59 </v>
      </c>
      <c r="P286" s="15" t="str">
        <f>INDEX(projects[Project_Name],MATCH(TimeEntry[[#This Row],[Project_ID]], projects[Project_ID],0))</f>
        <v>Melbourne Metro - Latrobe</v>
      </c>
      <c r="Q286" s="6">
        <f>IF(TimeEntry[[#This Row],[Date]]=0,"",WEEKDAY(C286,2))</f>
        <v>3</v>
      </c>
      <c r="R286" s="9">
        <f>YEAR(TimeEntry[[#This Row],[WkEnd]])</f>
        <v>2020</v>
      </c>
      <c r="S286" s="9">
        <f>WEEKNUM(TimeEntry[[#This Row],[WkEnd]])</f>
        <v>23</v>
      </c>
      <c r="T286" s="9" t="str">
        <f>TimeEntry[[#This Row],[Year]]&amp;"-"&amp;TimeEntry[[#This Row],[WkNo]]</f>
        <v>2020-23</v>
      </c>
    </row>
    <row r="287" spans="1:20" x14ac:dyDescent="0.25">
      <c r="A287" s="6">
        <f>MOD(IF(ROW()=2,0.1,IF(INDEX(TimeEntry[WkEnd],ROW()-1)  =  INDEX(TimeEntry[WkEnd],ROW()-2),    INDEX(TimeEntry[format],ROW()-2),    INDEX(TimeEntry[format],ROW()-2)    +1)),2)</f>
        <v>1.1000000000000001</v>
      </c>
      <c r="B287" s="7"/>
      <c r="C287" s="8">
        <v>43977</v>
      </c>
      <c r="D287" s="8"/>
      <c r="E287" s="1" t="s">
        <v>445</v>
      </c>
      <c r="F287" s="8">
        <f>IF(TimeEntry[[#This Row],[Date]]=0,F286,C287+(7-Q287))</f>
        <v>43982</v>
      </c>
      <c r="G287" s="35" t="str">
        <f>INDEX(projects[Charge_Code],MATCH(TimeEntry[[#This Row],[Project_ID]],projects[Project_ID],0))</f>
        <v>257677-59  Melbourne Metro - Latrobe</v>
      </c>
      <c r="H287" s="1" t="str">
        <f t="shared" si="14"/>
        <v>Normal Time</v>
      </c>
      <c r="I287" s="1" t="s">
        <v>181</v>
      </c>
      <c r="J287" s="15">
        <v>7.5</v>
      </c>
      <c r="K287" s="15"/>
      <c r="L287" s="15"/>
      <c r="M287" s="15"/>
      <c r="N287" s="15"/>
      <c r="O287" s="15" t="str">
        <f>INDEX(projects[job number],MATCH(TimeEntry[[#This Row],[Project_ID]], projects[Project_ID],0))</f>
        <v xml:space="preserve">257677-59 </v>
      </c>
      <c r="P287" s="15" t="str">
        <f>INDEX(projects[Project_Name],MATCH(TimeEntry[[#This Row],[Project_ID]], projects[Project_ID],0))</f>
        <v>Melbourne Metro - Latrobe</v>
      </c>
      <c r="Q287" s="6">
        <f>IF(TimeEntry[[#This Row],[Date]]=0,"",WEEKDAY(C287,2))</f>
        <v>2</v>
      </c>
      <c r="R287" s="9">
        <f>YEAR(TimeEntry[[#This Row],[WkEnd]])</f>
        <v>2020</v>
      </c>
      <c r="S287" s="9">
        <f>WEEKNUM(TimeEntry[[#This Row],[WkEnd]])</f>
        <v>23</v>
      </c>
      <c r="T287" s="9" t="str">
        <f>TimeEntry[[#This Row],[Year]]&amp;"-"&amp;TimeEntry[[#This Row],[WkNo]]</f>
        <v>2020-23</v>
      </c>
    </row>
    <row r="288" spans="1:20" x14ac:dyDescent="0.25">
      <c r="A288" s="6">
        <f>MOD(IF(ROW()=2,0.1,IF(INDEX(TimeEntry[WkEnd],ROW()-1)  =  INDEX(TimeEntry[WkEnd],ROW()-2),    INDEX(TimeEntry[format],ROW()-2),    INDEX(TimeEntry[format],ROW()-2)    +1)),2)</f>
        <v>1.1000000000000001</v>
      </c>
      <c r="B288" s="7"/>
      <c r="C288" s="8">
        <v>43976</v>
      </c>
      <c r="D288" s="8"/>
      <c r="E288" s="1" t="s">
        <v>449</v>
      </c>
      <c r="F288" s="8">
        <f>IF(TimeEntry[[#This Row],[Date]]=0,F287,C288+(7-Q288))</f>
        <v>43982</v>
      </c>
      <c r="G288" s="35" t="str">
        <f>INDEX(projects[Charge_Code],MATCH(TimeEntry[[#This Row],[Project_ID]],projects[Project_ID],0))</f>
        <v>BANK HOLIDAY Bank Holiday</v>
      </c>
      <c r="H288" s="1" t="str">
        <f t="shared" si="14"/>
        <v>Normal Time</v>
      </c>
      <c r="I288" s="1"/>
      <c r="J288" s="15">
        <v>7.5</v>
      </c>
      <c r="K288" s="15"/>
      <c r="L288" s="15"/>
      <c r="M288" s="15"/>
      <c r="N288" s="15"/>
      <c r="O288" s="15" t="str">
        <f>INDEX(projects[job number],MATCH(TimeEntry[[#This Row],[Project_ID]], projects[Project_ID],0))</f>
        <v>BANK HOLIDAY</v>
      </c>
      <c r="P288" s="15" t="str">
        <f>INDEX(projects[Project_Name],MATCH(TimeEntry[[#This Row],[Project_ID]], projects[Project_ID],0))</f>
        <v>Bank Holiday</v>
      </c>
      <c r="Q288" s="6">
        <f>IF(TimeEntry[[#This Row],[Date]]=0,"",WEEKDAY(C288,2))</f>
        <v>1</v>
      </c>
      <c r="R288" s="9">
        <f>YEAR(TimeEntry[[#This Row],[WkEnd]])</f>
        <v>2020</v>
      </c>
      <c r="S288" s="9">
        <f>WEEKNUM(TimeEntry[[#This Row],[WkEnd]])</f>
        <v>23</v>
      </c>
      <c r="T288" s="9" t="str">
        <f>TimeEntry[[#This Row],[Year]]&amp;"-"&amp;TimeEntry[[#This Row],[WkNo]]</f>
        <v>2020-23</v>
      </c>
    </row>
    <row r="289" spans="1:20" x14ac:dyDescent="0.25">
      <c r="A289" s="6">
        <f>MOD(IF(ROW()=2,0.1,IF(INDEX(TimeEntry[WkEnd],ROW()-1)  =  INDEX(TimeEntry[WkEnd],ROW()-2),    INDEX(TimeEntry[format],ROW()-2),    INDEX(TimeEntry[format],ROW()-2)    +1)),2)</f>
        <v>0.10000000000000009</v>
      </c>
      <c r="B289" s="7"/>
      <c r="C289" s="8">
        <v>43973</v>
      </c>
      <c r="D289" s="8"/>
      <c r="E289" s="1" t="s">
        <v>445</v>
      </c>
      <c r="F289" s="8">
        <f>IF(TimeEntry[[#This Row],[Date]]=0,F288,C289+(7-Q289))</f>
        <v>43975</v>
      </c>
      <c r="G289" s="35" t="str">
        <f>INDEX(projects[Charge_Code],MATCH(TimeEntry[[#This Row],[Project_ID]],projects[Project_ID],0))</f>
        <v>257677-59  Melbourne Metro - Latrobe</v>
      </c>
      <c r="H289" s="1" t="str">
        <f t="shared" si="14"/>
        <v>Normal Time</v>
      </c>
      <c r="I289" s="1" t="s">
        <v>178</v>
      </c>
      <c r="J289" s="15">
        <v>5</v>
      </c>
      <c r="K289" s="15"/>
      <c r="L289" s="15"/>
      <c r="M289" s="15"/>
      <c r="N289" s="15"/>
      <c r="O289" s="15" t="str">
        <f>INDEX(projects[job number],MATCH(TimeEntry[[#This Row],[Project_ID]], projects[Project_ID],0))</f>
        <v xml:space="preserve">257677-59 </v>
      </c>
      <c r="P289" s="15" t="str">
        <f>INDEX(projects[Project_Name],MATCH(TimeEntry[[#This Row],[Project_ID]], projects[Project_ID],0))</f>
        <v>Melbourne Metro - Latrobe</v>
      </c>
      <c r="Q289" s="6">
        <f>IF(TimeEntry[[#This Row],[Date]]=0,"",WEEKDAY(C289,2))</f>
        <v>5</v>
      </c>
      <c r="R289" s="9">
        <f>YEAR(TimeEntry[[#This Row],[WkEnd]])</f>
        <v>2020</v>
      </c>
      <c r="S289" s="9">
        <f>WEEKNUM(TimeEntry[[#This Row],[WkEnd]])</f>
        <v>22</v>
      </c>
      <c r="T289" s="9" t="str">
        <f>TimeEntry[[#This Row],[Year]]&amp;"-"&amp;TimeEntry[[#This Row],[WkNo]]</f>
        <v>2020-22</v>
      </c>
    </row>
    <row r="290" spans="1:20" x14ac:dyDescent="0.25">
      <c r="A290" s="6">
        <f>MOD(IF(ROW()=2,0.1,IF(INDEX(TimeEntry[WkEnd],ROW()-1)  =  INDEX(TimeEntry[WkEnd],ROW()-2),    INDEX(TimeEntry[format],ROW()-2),    INDEX(TimeEntry[format],ROW()-2)    +1)),2)</f>
        <v>0.10000000000000009</v>
      </c>
      <c r="B290" s="7"/>
      <c r="C290" s="8">
        <v>43973</v>
      </c>
      <c r="D290" s="8"/>
      <c r="E290" s="1" t="s">
        <v>442</v>
      </c>
      <c r="F290" s="8">
        <f>IF(TimeEntry[[#This Row],[Date]]=0,F289,C290+(7-Q290))</f>
        <v>43975</v>
      </c>
      <c r="G290" s="35" t="str">
        <f>INDEX(projects[Charge_Code],MATCH(TimeEntry[[#This Row],[Project_ID]],projects[Project_ID],0))</f>
        <v>210035-65 MC VBB WP1: DO-nota West (25-050)</v>
      </c>
      <c r="H290" s="1" t="str">
        <f t="shared" si="14"/>
        <v>Normal Time</v>
      </c>
      <c r="I290" s="1" t="s">
        <v>179</v>
      </c>
      <c r="J290" s="15">
        <v>2.5</v>
      </c>
      <c r="K290" s="15"/>
      <c r="L290" s="15"/>
      <c r="M290" s="15"/>
      <c r="N290" s="15"/>
      <c r="O290" s="15" t="str">
        <f>INDEX(projects[job number],MATCH(TimeEntry[[#This Row],[Project_ID]], projects[Project_ID],0))</f>
        <v>210035-65</v>
      </c>
      <c r="P290" s="15" t="str">
        <f>INDEX(projects[Project_Name],MATCH(TimeEntry[[#This Row],[Project_ID]], projects[Project_ID],0))</f>
        <v>MC VBB WP1: DO-nota West</v>
      </c>
      <c r="Q290" s="6">
        <f>IF(TimeEntry[[#This Row],[Date]]=0,"",WEEKDAY(C290,2))</f>
        <v>5</v>
      </c>
      <c r="R290" s="9">
        <f>YEAR(TimeEntry[[#This Row],[WkEnd]])</f>
        <v>2020</v>
      </c>
      <c r="S290" s="9">
        <f>WEEKNUM(TimeEntry[[#This Row],[WkEnd]])</f>
        <v>22</v>
      </c>
      <c r="T290" s="9" t="str">
        <f>TimeEntry[[#This Row],[Year]]&amp;"-"&amp;TimeEntry[[#This Row],[WkNo]]</f>
        <v>2020-22</v>
      </c>
    </row>
    <row r="291" spans="1:20" x14ac:dyDescent="0.25">
      <c r="A291" s="6">
        <f>MOD(IF(ROW()=2,0.1,IF(INDEX(TimeEntry[WkEnd],ROW()-1)  =  INDEX(TimeEntry[WkEnd],ROW()-2),    INDEX(TimeEntry[format],ROW()-2),    INDEX(TimeEntry[format],ROW()-2)    +1)),2)</f>
        <v>0.10000000000000009</v>
      </c>
      <c r="B291" s="7"/>
      <c r="C291" s="8">
        <v>43972</v>
      </c>
      <c r="D291" s="8"/>
      <c r="E291" s="1" t="s">
        <v>442</v>
      </c>
      <c r="F291" s="8">
        <f>IF(TimeEntry[[#This Row],[Date]]=0,F290,C291+(7-Q291))</f>
        <v>43975</v>
      </c>
      <c r="G291" s="35" t="str">
        <f>INDEX(projects[Charge_Code],MATCH(TimeEntry[[#This Row],[Project_ID]],projects[Project_ID],0))</f>
        <v>210035-65 MC VBB WP1: DO-nota West (25-050)</v>
      </c>
      <c r="H291" s="1" t="str">
        <f t="shared" si="14"/>
        <v>Normal Time</v>
      </c>
      <c r="I291" s="1" t="s">
        <v>177</v>
      </c>
      <c r="J291" s="15">
        <v>2</v>
      </c>
      <c r="K291" s="15"/>
      <c r="L291" s="15"/>
      <c r="M291" s="15"/>
      <c r="N291" s="15"/>
      <c r="O291" s="15" t="str">
        <f>INDEX(projects[job number],MATCH(TimeEntry[[#This Row],[Project_ID]], projects[Project_ID],0))</f>
        <v>210035-65</v>
      </c>
      <c r="P291" s="15" t="str">
        <f>INDEX(projects[Project_Name],MATCH(TimeEntry[[#This Row],[Project_ID]], projects[Project_ID],0))</f>
        <v>MC VBB WP1: DO-nota West</v>
      </c>
      <c r="Q291" s="6">
        <f>IF(TimeEntry[[#This Row],[Date]]=0,"",WEEKDAY(C291,2))</f>
        <v>4</v>
      </c>
      <c r="R291" s="9">
        <f>YEAR(TimeEntry[[#This Row],[WkEnd]])</f>
        <v>2020</v>
      </c>
      <c r="S291" s="9">
        <f>WEEKNUM(TimeEntry[[#This Row],[WkEnd]])</f>
        <v>22</v>
      </c>
      <c r="T291" s="9" t="str">
        <f>TimeEntry[[#This Row],[Year]]&amp;"-"&amp;TimeEntry[[#This Row],[WkNo]]</f>
        <v>2020-22</v>
      </c>
    </row>
    <row r="292" spans="1:20" x14ac:dyDescent="0.25">
      <c r="A292" s="6">
        <f>MOD(IF(ROW()=2,0.1,IF(INDEX(TimeEntry[WkEnd],ROW()-1)  =  INDEX(TimeEntry[WkEnd],ROW()-2),    INDEX(TimeEntry[format],ROW()-2),    INDEX(TimeEntry[format],ROW()-2)    +1)),2)</f>
        <v>0.10000000000000009</v>
      </c>
      <c r="B292" s="7"/>
      <c r="C292" s="8">
        <v>43972</v>
      </c>
      <c r="D292" s="8"/>
      <c r="E292" s="1" t="s">
        <v>445</v>
      </c>
      <c r="F292" s="8">
        <f>IF(TimeEntry[[#This Row],[Date]]=0,F291,C292+(7-Q292))</f>
        <v>43975</v>
      </c>
      <c r="G292" s="35" t="str">
        <f>INDEX(projects[Charge_Code],MATCH(TimeEntry[[#This Row],[Project_ID]],projects[Project_ID],0))</f>
        <v>257677-59  Melbourne Metro - Latrobe</v>
      </c>
      <c r="H292" s="1" t="str">
        <f t="shared" si="14"/>
        <v>Normal Time</v>
      </c>
      <c r="I292" s="1" t="s">
        <v>176</v>
      </c>
      <c r="J292" s="15">
        <v>2.5</v>
      </c>
      <c r="K292" s="15"/>
      <c r="L292" s="15"/>
      <c r="M292" s="15"/>
      <c r="N292" s="15"/>
      <c r="O292" s="15" t="str">
        <f>INDEX(projects[job number],MATCH(TimeEntry[[#This Row],[Project_ID]], projects[Project_ID],0))</f>
        <v xml:space="preserve">257677-59 </v>
      </c>
      <c r="P292" s="15" t="str">
        <f>INDEX(projects[Project_Name],MATCH(TimeEntry[[#This Row],[Project_ID]], projects[Project_ID],0))</f>
        <v>Melbourne Metro - Latrobe</v>
      </c>
      <c r="Q292" s="6">
        <f>IF(TimeEntry[[#This Row],[Date]]=0,"",WEEKDAY(C292,2))</f>
        <v>4</v>
      </c>
      <c r="R292" s="9">
        <f>YEAR(TimeEntry[[#This Row],[WkEnd]])</f>
        <v>2020</v>
      </c>
      <c r="S292" s="9">
        <f>WEEKNUM(TimeEntry[[#This Row],[WkEnd]])</f>
        <v>22</v>
      </c>
      <c r="T292" s="9" t="str">
        <f>TimeEntry[[#This Row],[Year]]&amp;"-"&amp;TimeEntry[[#This Row],[WkNo]]</f>
        <v>2020-22</v>
      </c>
    </row>
    <row r="293" spans="1:20" x14ac:dyDescent="0.25">
      <c r="A293" s="6">
        <f>MOD(IF(ROW()=2,0.1,IF(INDEX(TimeEntry[WkEnd],ROW()-1)  =  INDEX(TimeEntry[WkEnd],ROW()-2),    INDEX(TimeEntry[format],ROW()-2),    INDEX(TimeEntry[format],ROW()-2)    +1)),2)</f>
        <v>0.10000000000000009</v>
      </c>
      <c r="B293" s="7"/>
      <c r="C293" s="8">
        <v>43972</v>
      </c>
      <c r="D293" s="8"/>
      <c r="E293" s="1" t="s">
        <v>450</v>
      </c>
      <c r="F293" s="8">
        <f>IF(TimeEntry[[#This Row],[Date]]=0,F292,C293+(7-Q293))</f>
        <v>43975</v>
      </c>
      <c r="G293" s="35" t="str">
        <f>INDEX(projects[Charge_Code],MATCH(TimeEntry[[#This Row],[Project_ID]],projects[Project_ID],0))</f>
        <v>254304-96 HCC - Paul Cully (01-382)</v>
      </c>
      <c r="H293" s="1" t="str">
        <f t="shared" si="14"/>
        <v>Normal Time</v>
      </c>
      <c r="I293" s="1" t="s">
        <v>175</v>
      </c>
      <c r="J293" s="15">
        <v>3</v>
      </c>
      <c r="K293" s="15"/>
      <c r="L293" s="15"/>
      <c r="M293" s="15"/>
      <c r="N293" s="15"/>
      <c r="O293" s="15" t="str">
        <f>INDEX(projects[job number],MATCH(TimeEntry[[#This Row],[Project_ID]], projects[Project_ID],0))</f>
        <v>254304-96</v>
      </c>
      <c r="P293" s="15" t="str">
        <f>INDEX(projects[Project_Name],MATCH(TimeEntry[[#This Row],[Project_ID]], projects[Project_ID],0))</f>
        <v>HCC - Paul Cully</v>
      </c>
      <c r="Q293" s="6">
        <f>IF(TimeEntry[[#This Row],[Date]]=0,"",WEEKDAY(C293,2))</f>
        <v>4</v>
      </c>
      <c r="R293" s="9">
        <f>YEAR(TimeEntry[[#This Row],[WkEnd]])</f>
        <v>2020</v>
      </c>
      <c r="S293" s="9">
        <f>WEEKNUM(TimeEntry[[#This Row],[WkEnd]])</f>
        <v>22</v>
      </c>
      <c r="T293" s="9" t="str">
        <f>TimeEntry[[#This Row],[Year]]&amp;"-"&amp;TimeEntry[[#This Row],[WkNo]]</f>
        <v>2020-22</v>
      </c>
    </row>
    <row r="294" spans="1:20" x14ac:dyDescent="0.25">
      <c r="A294" s="6">
        <f>MOD(IF(ROW()=2,0.1,IF(INDEX(TimeEntry[WkEnd],ROW()-1)  =  INDEX(TimeEntry[WkEnd],ROW()-2),    INDEX(TimeEntry[format],ROW()-2),    INDEX(TimeEntry[format],ROW()-2)    +1)),2)</f>
        <v>0.10000000000000009</v>
      </c>
      <c r="B294" s="7"/>
      <c r="C294" s="8">
        <v>43971</v>
      </c>
      <c r="D294" s="8"/>
      <c r="E294" s="1" t="s">
        <v>442</v>
      </c>
      <c r="F294" s="8">
        <f>IF(TimeEntry[[#This Row],[Date]]=0,F293,C294+(7-Q294))</f>
        <v>43975</v>
      </c>
      <c r="G294" s="35" t="str">
        <f>INDEX(projects[Charge_Code],MATCH(TimeEntry[[#This Row],[Project_ID]],projects[Project_ID],0))</f>
        <v>210035-65 MC VBB WP1: DO-nota West (25-050)</v>
      </c>
      <c r="H294" s="1" t="str">
        <f t="shared" si="14"/>
        <v>Normal Time</v>
      </c>
      <c r="I294" s="1" t="s">
        <v>180</v>
      </c>
      <c r="J294" s="15">
        <v>7.5</v>
      </c>
      <c r="K294" s="15"/>
      <c r="L294" s="15"/>
      <c r="M294" s="15"/>
      <c r="N294" s="15"/>
      <c r="O294" s="15" t="str">
        <f>INDEX(projects[job number],MATCH(TimeEntry[[#This Row],[Project_ID]], projects[Project_ID],0))</f>
        <v>210035-65</v>
      </c>
      <c r="P294" s="15" t="str">
        <f>INDEX(projects[Project_Name],MATCH(TimeEntry[[#This Row],[Project_ID]], projects[Project_ID],0))</f>
        <v>MC VBB WP1: DO-nota West</v>
      </c>
      <c r="Q294" s="6">
        <f>IF(TimeEntry[[#This Row],[Date]]=0,"",WEEKDAY(C294,2))</f>
        <v>3</v>
      </c>
      <c r="R294" s="9">
        <f>YEAR(TimeEntry[[#This Row],[WkEnd]])</f>
        <v>2020</v>
      </c>
      <c r="S294" s="9">
        <f>WEEKNUM(TimeEntry[[#This Row],[WkEnd]])</f>
        <v>22</v>
      </c>
      <c r="T294" s="9" t="str">
        <f>TimeEntry[[#This Row],[Year]]&amp;"-"&amp;TimeEntry[[#This Row],[WkNo]]</f>
        <v>2020-22</v>
      </c>
    </row>
    <row r="295" spans="1:20" x14ac:dyDescent="0.25">
      <c r="A295" s="6">
        <f>MOD(IF(ROW()=2,0.1,IF(INDEX(TimeEntry[WkEnd],ROW()-1)  =  INDEX(TimeEntry[WkEnd],ROW()-2),    INDEX(TimeEntry[format],ROW()-2),    INDEX(TimeEntry[format],ROW()-2)    +1)),2)</f>
        <v>0.10000000000000009</v>
      </c>
      <c r="B295" s="7"/>
      <c r="C295" s="8">
        <v>43970</v>
      </c>
      <c r="D295" s="8"/>
      <c r="E295" s="1" t="s">
        <v>442</v>
      </c>
      <c r="F295" s="8">
        <f>IF(TimeEntry[[#This Row],[Date]]=0,F294,C295+(7-Q295))</f>
        <v>43975</v>
      </c>
      <c r="G295" s="35" t="str">
        <f>INDEX(projects[Charge_Code],MATCH(TimeEntry[[#This Row],[Project_ID]],projects[Project_ID],0))</f>
        <v>210035-65 MC VBB WP1: DO-nota West (25-050)</v>
      </c>
      <c r="H295" s="1" t="str">
        <f t="shared" si="14"/>
        <v>Normal Time</v>
      </c>
      <c r="I295" s="1" t="s">
        <v>180</v>
      </c>
      <c r="J295" s="15">
        <v>7.5</v>
      </c>
      <c r="K295" s="15"/>
      <c r="L295" s="15"/>
      <c r="M295" s="15"/>
      <c r="N295" s="15"/>
      <c r="O295" s="15" t="str">
        <f>INDEX(projects[job number],MATCH(TimeEntry[[#This Row],[Project_ID]], projects[Project_ID],0))</f>
        <v>210035-65</v>
      </c>
      <c r="P295" s="15" t="str">
        <f>INDEX(projects[Project_Name],MATCH(TimeEntry[[#This Row],[Project_ID]], projects[Project_ID],0))</f>
        <v>MC VBB WP1: DO-nota West</v>
      </c>
      <c r="Q295" s="6">
        <f>IF(TimeEntry[[#This Row],[Date]]=0,"",WEEKDAY(C295,2))</f>
        <v>2</v>
      </c>
      <c r="R295" s="9">
        <f>YEAR(TimeEntry[[#This Row],[WkEnd]])</f>
        <v>2020</v>
      </c>
      <c r="S295" s="9">
        <f>WEEKNUM(TimeEntry[[#This Row],[WkEnd]])</f>
        <v>22</v>
      </c>
      <c r="T295" s="9" t="str">
        <f>TimeEntry[[#This Row],[Year]]&amp;"-"&amp;TimeEntry[[#This Row],[WkNo]]</f>
        <v>2020-22</v>
      </c>
    </row>
    <row r="296" spans="1:20" x14ac:dyDescent="0.25">
      <c r="A296" s="6">
        <f>MOD(IF(ROW()=2,0.1,IF(INDEX(TimeEntry[WkEnd],ROW()-1)  =  INDEX(TimeEntry[WkEnd],ROW()-2),    INDEX(TimeEntry[format],ROW()-2),    INDEX(TimeEntry[format],ROW()-2)    +1)),2)</f>
        <v>0.10000000000000009</v>
      </c>
      <c r="B296" s="7"/>
      <c r="C296" s="8">
        <v>43969</v>
      </c>
      <c r="D296" s="8"/>
      <c r="E296" s="1" t="s">
        <v>444</v>
      </c>
      <c r="F296" s="8">
        <f>IF(TimeEntry[[#This Row],[Date]]=0,F295,C296+(7-Q296))</f>
        <v>43975</v>
      </c>
      <c r="G296" s="35" t="str">
        <f>INDEX(projects[Charge_Code],MATCH(TimeEntry[[#This Row],[Project_ID]],projects[Project_ID],0))</f>
        <v>LEAVE</v>
      </c>
      <c r="H296" s="1" t="str">
        <f t="shared" si="14"/>
        <v>Normal Time</v>
      </c>
      <c r="I296" s="1"/>
      <c r="J296" s="15">
        <v>7.5</v>
      </c>
      <c r="K296" s="15"/>
      <c r="L296" s="15"/>
      <c r="M296" s="15"/>
      <c r="N296" s="15"/>
      <c r="O296" s="15" t="str">
        <f>INDEX(projects[job number],MATCH(TimeEntry[[#This Row],[Project_ID]], projects[Project_ID],0))</f>
        <v>LEAVE</v>
      </c>
      <c r="P296" s="15">
        <f>INDEX(projects[Project_Name],MATCH(TimeEntry[[#This Row],[Project_ID]], projects[Project_ID],0))</f>
        <v>0</v>
      </c>
      <c r="Q296" s="6">
        <f>IF(TimeEntry[[#This Row],[Date]]=0,"",WEEKDAY(C296,2))</f>
        <v>1</v>
      </c>
      <c r="R296" s="9">
        <f>YEAR(TimeEntry[[#This Row],[WkEnd]])</f>
        <v>2020</v>
      </c>
      <c r="S296" s="9">
        <f>WEEKNUM(TimeEntry[[#This Row],[WkEnd]])</f>
        <v>22</v>
      </c>
      <c r="T296" s="9" t="str">
        <f>TimeEntry[[#This Row],[Year]]&amp;"-"&amp;TimeEntry[[#This Row],[WkNo]]</f>
        <v>2020-22</v>
      </c>
    </row>
    <row r="297" spans="1:20" x14ac:dyDescent="0.25">
      <c r="A297" s="6">
        <f>MOD(IF(ROW()=2,0.1,IF(INDEX(TimeEntry[WkEnd],ROW()-1)  =  INDEX(TimeEntry[WkEnd],ROW()-2),    INDEX(TimeEntry[format],ROW()-2),    INDEX(TimeEntry[format],ROW()-2)    +1)),2)</f>
        <v>1.1000000000000001</v>
      </c>
      <c r="B297" s="7"/>
      <c r="C297" s="8">
        <v>43966</v>
      </c>
      <c r="D297" s="8"/>
      <c r="E297" s="1" t="s">
        <v>442</v>
      </c>
      <c r="F297" s="8">
        <f>IF(TimeEntry[[#This Row],[Date]]=0,F296,C297+(7-Q297))</f>
        <v>43968</v>
      </c>
      <c r="G297" s="35" t="str">
        <f>INDEX(projects[Charge_Code],MATCH(TimeEntry[[#This Row],[Project_ID]],projects[Project_ID],0))</f>
        <v>210035-65 MC VBB WP1: DO-nota West (25-050)</v>
      </c>
      <c r="H297" s="1" t="str">
        <f t="shared" si="14"/>
        <v>Normal Time</v>
      </c>
      <c r="I297" s="1"/>
      <c r="J297" s="15">
        <v>5</v>
      </c>
      <c r="K297" s="15"/>
      <c r="L297" s="15"/>
      <c r="M297" s="15"/>
      <c r="N297" s="15"/>
      <c r="O297" s="15" t="str">
        <f>INDEX(projects[job number],MATCH(TimeEntry[[#This Row],[Project_ID]], projects[Project_ID],0))</f>
        <v>210035-65</v>
      </c>
      <c r="P297" s="15" t="str">
        <f>INDEX(projects[Project_Name],MATCH(TimeEntry[[#This Row],[Project_ID]], projects[Project_ID],0))</f>
        <v>MC VBB WP1: DO-nota West</v>
      </c>
      <c r="Q297" s="6">
        <f>IF(TimeEntry[[#This Row],[Date]]=0,"",WEEKDAY(C297,2))</f>
        <v>5</v>
      </c>
      <c r="R297" s="9">
        <f>YEAR(TimeEntry[[#This Row],[WkEnd]])</f>
        <v>2020</v>
      </c>
      <c r="S297" s="9">
        <f>WEEKNUM(TimeEntry[[#This Row],[WkEnd]])</f>
        <v>21</v>
      </c>
      <c r="T297" s="9" t="str">
        <f>TimeEntry[[#This Row],[Year]]&amp;"-"&amp;TimeEntry[[#This Row],[WkNo]]</f>
        <v>2020-21</v>
      </c>
    </row>
    <row r="298" spans="1:20" x14ac:dyDescent="0.25">
      <c r="A298" s="6">
        <f>MOD(IF(ROW()=2,0.1,IF(INDEX(TimeEntry[WkEnd],ROW()-1)  =  INDEX(TimeEntry[WkEnd],ROW()-2),    INDEX(TimeEntry[format],ROW()-2),    INDEX(TimeEntry[format],ROW()-2)    +1)),2)</f>
        <v>1.1000000000000001</v>
      </c>
      <c r="B298" s="7"/>
      <c r="C298" s="8">
        <v>43966</v>
      </c>
      <c r="D298" s="8"/>
      <c r="E298" s="1" t="s">
        <v>445</v>
      </c>
      <c r="F298" s="8">
        <f>IF(TimeEntry[[#This Row],[Date]]=0,F297,C298+(7-Q298))</f>
        <v>43968</v>
      </c>
      <c r="G298" s="35" t="str">
        <f>INDEX(projects[Charge_Code],MATCH(TimeEntry[[#This Row],[Project_ID]],projects[Project_ID],0))</f>
        <v>257677-59  Melbourne Metro - Latrobe</v>
      </c>
      <c r="H298" s="1" t="str">
        <f t="shared" si="14"/>
        <v>Normal Time</v>
      </c>
      <c r="I298" s="1"/>
      <c r="J298" s="15">
        <v>2.5</v>
      </c>
      <c r="K298" s="15"/>
      <c r="L298" s="15"/>
      <c r="M298" s="15"/>
      <c r="N298" s="15"/>
      <c r="O298" s="15" t="str">
        <f>INDEX(projects[job number],MATCH(TimeEntry[[#This Row],[Project_ID]], projects[Project_ID],0))</f>
        <v xml:space="preserve">257677-59 </v>
      </c>
      <c r="P298" s="15" t="str">
        <f>INDEX(projects[Project_Name],MATCH(TimeEntry[[#This Row],[Project_ID]], projects[Project_ID],0))</f>
        <v>Melbourne Metro - Latrobe</v>
      </c>
      <c r="Q298" s="6">
        <f>IF(TimeEntry[[#This Row],[Date]]=0,"",WEEKDAY(C298,2))</f>
        <v>5</v>
      </c>
      <c r="R298" s="9">
        <f>YEAR(TimeEntry[[#This Row],[WkEnd]])</f>
        <v>2020</v>
      </c>
      <c r="S298" s="9">
        <f>WEEKNUM(TimeEntry[[#This Row],[WkEnd]])</f>
        <v>21</v>
      </c>
      <c r="T298" s="9" t="str">
        <f>TimeEntry[[#This Row],[Year]]&amp;"-"&amp;TimeEntry[[#This Row],[WkNo]]</f>
        <v>2020-21</v>
      </c>
    </row>
    <row r="299" spans="1:20" x14ac:dyDescent="0.25">
      <c r="A299" s="6">
        <f>MOD(IF(ROW()=2,0.1,IF(INDEX(TimeEntry[WkEnd],ROW()-1)  =  INDEX(TimeEntry[WkEnd],ROW()-2),    INDEX(TimeEntry[format],ROW()-2),    INDEX(TimeEntry[format],ROW()-2)    +1)),2)</f>
        <v>1.1000000000000001</v>
      </c>
      <c r="B299" s="7"/>
      <c r="C299" s="8">
        <v>43965</v>
      </c>
      <c r="D299" s="8"/>
      <c r="E299" s="1" t="s">
        <v>442</v>
      </c>
      <c r="F299" s="8">
        <f>IF(TimeEntry[[#This Row],[Date]]=0,F298,C299+(7-Q299))</f>
        <v>43968</v>
      </c>
      <c r="G299" s="35" t="str">
        <f>INDEX(projects[Charge_Code],MATCH(TimeEntry[[#This Row],[Project_ID]],projects[Project_ID],0))</f>
        <v>210035-65 MC VBB WP1: DO-nota West (25-050)</v>
      </c>
      <c r="H299" s="1" t="str">
        <f t="shared" si="14"/>
        <v>Normal Time</v>
      </c>
      <c r="I299" s="1"/>
      <c r="J299" s="15">
        <v>2.5</v>
      </c>
      <c r="K299" s="15"/>
      <c r="L299" s="15"/>
      <c r="M299" s="15"/>
      <c r="N299" s="15"/>
      <c r="O299" s="15" t="str">
        <f>INDEX(projects[job number],MATCH(TimeEntry[[#This Row],[Project_ID]], projects[Project_ID],0))</f>
        <v>210035-65</v>
      </c>
      <c r="P299" s="15" t="str">
        <f>INDEX(projects[Project_Name],MATCH(TimeEntry[[#This Row],[Project_ID]], projects[Project_ID],0))</f>
        <v>MC VBB WP1: DO-nota West</v>
      </c>
      <c r="Q299" s="6">
        <f>IF(TimeEntry[[#This Row],[Date]]=0,"",WEEKDAY(C299,2))</f>
        <v>4</v>
      </c>
      <c r="R299" s="9">
        <f>YEAR(TimeEntry[[#This Row],[WkEnd]])</f>
        <v>2020</v>
      </c>
      <c r="S299" s="9">
        <f>WEEKNUM(TimeEntry[[#This Row],[WkEnd]])</f>
        <v>21</v>
      </c>
      <c r="T299" s="9" t="str">
        <f>TimeEntry[[#This Row],[Year]]&amp;"-"&amp;TimeEntry[[#This Row],[WkNo]]</f>
        <v>2020-21</v>
      </c>
    </row>
    <row r="300" spans="1:20" x14ac:dyDescent="0.25">
      <c r="A300" s="6">
        <f>MOD(IF(ROW()=2,0.1,IF(INDEX(TimeEntry[WkEnd],ROW()-1)  =  INDEX(TimeEntry[WkEnd],ROW()-2),    INDEX(TimeEntry[format],ROW()-2),    INDEX(TimeEntry[format],ROW()-2)    +1)),2)</f>
        <v>1.1000000000000001</v>
      </c>
      <c r="B300" s="7"/>
      <c r="C300" s="8">
        <v>43965</v>
      </c>
      <c r="D300" s="8"/>
      <c r="E300" s="1" t="s">
        <v>445</v>
      </c>
      <c r="F300" s="8">
        <f>IF(TimeEntry[[#This Row],[Date]]=0,F299,C300+(7-Q300))</f>
        <v>43968</v>
      </c>
      <c r="G300" s="35" t="str">
        <f>INDEX(projects[Charge_Code],MATCH(TimeEntry[[#This Row],[Project_ID]],projects[Project_ID],0))</f>
        <v>257677-59  Melbourne Metro - Latrobe</v>
      </c>
      <c r="H300" s="1" t="str">
        <f t="shared" si="14"/>
        <v>Normal Time</v>
      </c>
      <c r="I300" s="1"/>
      <c r="J300" s="15">
        <v>5</v>
      </c>
      <c r="K300" s="15"/>
      <c r="L300" s="15"/>
      <c r="M300" s="15"/>
      <c r="N300" s="15"/>
      <c r="O300" s="15" t="str">
        <f>INDEX(projects[job number],MATCH(TimeEntry[[#This Row],[Project_ID]], projects[Project_ID],0))</f>
        <v xml:space="preserve">257677-59 </v>
      </c>
      <c r="P300" s="15" t="str">
        <f>INDEX(projects[Project_Name],MATCH(TimeEntry[[#This Row],[Project_ID]], projects[Project_ID],0))</f>
        <v>Melbourne Metro - Latrobe</v>
      </c>
      <c r="Q300" s="6">
        <f>IF(TimeEntry[[#This Row],[Date]]=0,"",WEEKDAY(C300,2))</f>
        <v>4</v>
      </c>
      <c r="R300" s="9">
        <f>YEAR(TimeEntry[[#This Row],[WkEnd]])</f>
        <v>2020</v>
      </c>
      <c r="S300" s="9">
        <f>WEEKNUM(TimeEntry[[#This Row],[WkEnd]])</f>
        <v>21</v>
      </c>
      <c r="T300" s="9" t="str">
        <f>TimeEntry[[#This Row],[Year]]&amp;"-"&amp;TimeEntry[[#This Row],[WkNo]]</f>
        <v>2020-21</v>
      </c>
    </row>
    <row r="301" spans="1:20" x14ac:dyDescent="0.25">
      <c r="A301" s="6">
        <f>MOD(IF(ROW()=2,0.1,IF(INDEX(TimeEntry[WkEnd],ROW()-1)  =  INDEX(TimeEntry[WkEnd],ROW()-2),    INDEX(TimeEntry[format],ROW()-2),    INDEX(TimeEntry[format],ROW()-2)    +1)),2)</f>
        <v>1.1000000000000001</v>
      </c>
      <c r="B301" s="7"/>
      <c r="C301" s="8">
        <v>43964</v>
      </c>
      <c r="D301" s="8"/>
      <c r="E301" s="1" t="s">
        <v>442</v>
      </c>
      <c r="F301" s="8">
        <f>IF(TimeEntry[[#This Row],[Date]]=0,F300,C301+(7-Q301))</f>
        <v>43968</v>
      </c>
      <c r="G301" s="35" t="str">
        <f>INDEX(projects[Charge_Code],MATCH(TimeEntry[[#This Row],[Project_ID]],projects[Project_ID],0))</f>
        <v>210035-65 MC VBB WP1: DO-nota West (25-050)</v>
      </c>
      <c r="H301" s="1" t="str">
        <f t="shared" si="14"/>
        <v>Normal Time</v>
      </c>
      <c r="I301" s="1"/>
      <c r="J301" s="15">
        <v>7.5</v>
      </c>
      <c r="K301" s="15"/>
      <c r="L301" s="15"/>
      <c r="M301" s="15"/>
      <c r="N301" s="15"/>
      <c r="O301" s="15" t="str">
        <f>INDEX(projects[job number],MATCH(TimeEntry[[#This Row],[Project_ID]], projects[Project_ID],0))</f>
        <v>210035-65</v>
      </c>
      <c r="P301" s="15" t="str">
        <f>INDEX(projects[Project_Name],MATCH(TimeEntry[[#This Row],[Project_ID]], projects[Project_ID],0))</f>
        <v>MC VBB WP1: DO-nota West</v>
      </c>
      <c r="Q301" s="6">
        <f>IF(TimeEntry[[#This Row],[Date]]=0,"",WEEKDAY(C301,2))</f>
        <v>3</v>
      </c>
      <c r="R301" s="9">
        <f>YEAR(TimeEntry[[#This Row],[WkEnd]])</f>
        <v>2020</v>
      </c>
      <c r="S301" s="9">
        <f>WEEKNUM(TimeEntry[[#This Row],[WkEnd]])</f>
        <v>21</v>
      </c>
      <c r="T301" s="9" t="str">
        <f>TimeEntry[[#This Row],[Year]]&amp;"-"&amp;TimeEntry[[#This Row],[WkNo]]</f>
        <v>2020-21</v>
      </c>
    </row>
    <row r="302" spans="1:20" x14ac:dyDescent="0.25">
      <c r="A302" s="6">
        <f>MOD(IF(ROW()=2,0.1,IF(INDEX(TimeEntry[WkEnd],ROW()-1)  =  INDEX(TimeEntry[WkEnd],ROW()-2),    INDEX(TimeEntry[format],ROW()-2),    INDEX(TimeEntry[format],ROW()-2)    +1)),2)</f>
        <v>1.1000000000000001</v>
      </c>
      <c r="B302" s="7"/>
      <c r="C302" s="8">
        <v>43963</v>
      </c>
      <c r="D302" s="8"/>
      <c r="E302" s="1" t="s">
        <v>442</v>
      </c>
      <c r="F302" s="8">
        <f>IF(TimeEntry[[#This Row],[Date]]=0,F301,C302+(7-Q302))</f>
        <v>43968</v>
      </c>
      <c r="G302" s="35" t="str">
        <f>INDEX(projects[Charge_Code],MATCH(TimeEntry[[#This Row],[Project_ID]],projects[Project_ID],0))</f>
        <v>210035-65 MC VBB WP1: DO-nota West (25-050)</v>
      </c>
      <c r="H302" s="1" t="str">
        <f t="shared" si="14"/>
        <v>Normal Time</v>
      </c>
      <c r="I302" s="1"/>
      <c r="J302" s="15">
        <v>7.5</v>
      </c>
      <c r="K302" s="15"/>
      <c r="L302" s="15"/>
      <c r="M302" s="15"/>
      <c r="N302" s="15"/>
      <c r="O302" s="15" t="str">
        <f>INDEX(projects[job number],MATCH(TimeEntry[[#This Row],[Project_ID]], projects[Project_ID],0))</f>
        <v>210035-65</v>
      </c>
      <c r="P302" s="15" t="str">
        <f>INDEX(projects[Project_Name],MATCH(TimeEntry[[#This Row],[Project_ID]], projects[Project_ID],0))</f>
        <v>MC VBB WP1: DO-nota West</v>
      </c>
      <c r="Q302" s="6">
        <f>IF(TimeEntry[[#This Row],[Date]]=0,"",WEEKDAY(C302,2))</f>
        <v>2</v>
      </c>
      <c r="R302" s="9">
        <f>YEAR(TimeEntry[[#This Row],[WkEnd]])</f>
        <v>2020</v>
      </c>
      <c r="S302" s="9">
        <f>WEEKNUM(TimeEntry[[#This Row],[WkEnd]])</f>
        <v>21</v>
      </c>
      <c r="T302" s="9" t="str">
        <f>TimeEntry[[#This Row],[Year]]&amp;"-"&amp;TimeEntry[[#This Row],[WkNo]]</f>
        <v>2020-21</v>
      </c>
    </row>
    <row r="303" spans="1:20" x14ac:dyDescent="0.25">
      <c r="A303" s="6">
        <f>MOD(IF(ROW()=2,0.1,IF(INDEX(TimeEntry[WkEnd],ROW()-1)  =  INDEX(TimeEntry[WkEnd],ROW()-2),    INDEX(TimeEntry[format],ROW()-2),    INDEX(TimeEntry[format],ROW()-2)    +1)),2)</f>
        <v>1.1000000000000001</v>
      </c>
      <c r="B303" s="7"/>
      <c r="C303" s="8">
        <v>43962</v>
      </c>
      <c r="D303" s="8"/>
      <c r="E303" s="1" t="s">
        <v>442</v>
      </c>
      <c r="F303" s="8">
        <f>IF(TimeEntry[[#This Row],[Date]]=0,F302,C303+(7-Q303))</f>
        <v>43968</v>
      </c>
      <c r="G303" s="35" t="str">
        <f>INDEX(projects[Charge_Code],MATCH(TimeEntry[[#This Row],[Project_ID]],projects[Project_ID],0))</f>
        <v>210035-65 MC VBB WP1: DO-nota West (25-050)</v>
      </c>
      <c r="H303" s="1" t="str">
        <f t="shared" si="14"/>
        <v>Normal Time</v>
      </c>
      <c r="I303" s="1"/>
      <c r="J303" s="15">
        <v>7.5</v>
      </c>
      <c r="K303" s="15"/>
      <c r="L303" s="15"/>
      <c r="M303" s="15"/>
      <c r="N303" s="15"/>
      <c r="O303" s="15" t="str">
        <f>INDEX(projects[job number],MATCH(TimeEntry[[#This Row],[Project_ID]], projects[Project_ID],0))</f>
        <v>210035-65</v>
      </c>
      <c r="P303" s="15" t="str">
        <f>INDEX(projects[Project_Name],MATCH(TimeEntry[[#This Row],[Project_ID]], projects[Project_ID],0))</f>
        <v>MC VBB WP1: DO-nota West</v>
      </c>
      <c r="Q303" s="6">
        <f>IF(TimeEntry[[#This Row],[Date]]=0,"",WEEKDAY(C303,2))</f>
        <v>1</v>
      </c>
      <c r="R303" s="9">
        <f>YEAR(TimeEntry[[#This Row],[WkEnd]])</f>
        <v>2020</v>
      </c>
      <c r="S303" s="9">
        <f>WEEKNUM(TimeEntry[[#This Row],[WkEnd]])</f>
        <v>21</v>
      </c>
      <c r="T303" s="9" t="str">
        <f>TimeEntry[[#This Row],[Year]]&amp;"-"&amp;TimeEntry[[#This Row],[WkNo]]</f>
        <v>2020-21</v>
      </c>
    </row>
    <row r="304" spans="1:20" x14ac:dyDescent="0.25">
      <c r="A304" s="6">
        <f>MOD(IF(ROW()=2,0.1,IF(INDEX(TimeEntry[WkEnd],ROW()-1)  =  INDEX(TimeEntry[WkEnd],ROW()-2),    INDEX(TimeEntry[format],ROW()-2),    INDEX(TimeEntry[format],ROW()-2)    +1)),2)</f>
        <v>0.10000000000000009</v>
      </c>
      <c r="B304" s="7"/>
      <c r="C304" s="8">
        <v>43959</v>
      </c>
      <c r="D304" s="8"/>
      <c r="E304" s="1" t="s">
        <v>449</v>
      </c>
      <c r="F304" s="8">
        <f>IF(TimeEntry[[#This Row],[Date]]=0,F303,C304+(7-Q304))</f>
        <v>43961</v>
      </c>
      <c r="G304" s="35" t="str">
        <f>INDEX(projects[Charge_Code],MATCH(TimeEntry[[#This Row],[Project_ID]],projects[Project_ID],0))</f>
        <v>BANK HOLIDAY Bank Holiday</v>
      </c>
      <c r="H304" s="1" t="str">
        <f t="shared" si="14"/>
        <v>Normal Time</v>
      </c>
      <c r="I304" s="1"/>
      <c r="J304" s="15">
        <v>7.5</v>
      </c>
      <c r="K304" s="15"/>
      <c r="L304" s="15"/>
      <c r="M304" s="15"/>
      <c r="N304" s="15"/>
      <c r="O304" s="15" t="str">
        <f>INDEX(projects[job number],MATCH(TimeEntry[[#This Row],[Project_ID]], projects[Project_ID],0))</f>
        <v>BANK HOLIDAY</v>
      </c>
      <c r="P304" s="15" t="str">
        <f>INDEX(projects[Project_Name],MATCH(TimeEntry[[#This Row],[Project_ID]], projects[Project_ID],0))</f>
        <v>Bank Holiday</v>
      </c>
      <c r="Q304" s="6">
        <f>IF(TimeEntry[[#This Row],[Date]]=0,"",WEEKDAY(C304,2))</f>
        <v>5</v>
      </c>
      <c r="R304" s="9">
        <f>YEAR(TimeEntry[[#This Row],[WkEnd]])</f>
        <v>2020</v>
      </c>
      <c r="S304" s="9">
        <f>WEEKNUM(TimeEntry[[#This Row],[WkEnd]])</f>
        <v>20</v>
      </c>
      <c r="T304" s="9" t="str">
        <f>TimeEntry[[#This Row],[Year]]&amp;"-"&amp;TimeEntry[[#This Row],[WkNo]]</f>
        <v>2020-20</v>
      </c>
    </row>
    <row r="305" spans="1:20" x14ac:dyDescent="0.25">
      <c r="A305" s="6">
        <f>MOD(IF(ROW()=2,0.1,IF(INDEX(TimeEntry[WkEnd],ROW()-1)  =  INDEX(TimeEntry[WkEnd],ROW()-2),    INDEX(TimeEntry[format],ROW()-2),    INDEX(TimeEntry[format],ROW()-2)    +1)),2)</f>
        <v>0.10000000000000009</v>
      </c>
      <c r="B305" s="7"/>
      <c r="C305" s="8">
        <v>43958</v>
      </c>
      <c r="D305" s="8"/>
      <c r="E305" s="1" t="s">
        <v>442</v>
      </c>
      <c r="F305" s="8">
        <f>IF(TimeEntry[[#This Row],[Date]]=0,F304,C305+(7-Q305))</f>
        <v>43961</v>
      </c>
      <c r="G305" s="35" t="str">
        <f>INDEX(projects[Charge_Code],MATCH(TimeEntry[[#This Row],[Project_ID]],projects[Project_ID],0))</f>
        <v>210035-65 MC VBB WP1: DO-nota West (25-050)</v>
      </c>
      <c r="H305" s="1" t="str">
        <f t="shared" si="14"/>
        <v>Normal Time</v>
      </c>
      <c r="I305" s="1"/>
      <c r="J305" s="15">
        <v>7.5</v>
      </c>
      <c r="K305" s="15"/>
      <c r="L305" s="15"/>
      <c r="M305" s="15"/>
      <c r="N305" s="15"/>
      <c r="O305" s="15" t="str">
        <f>INDEX(projects[job number],MATCH(TimeEntry[[#This Row],[Project_ID]], projects[Project_ID],0))</f>
        <v>210035-65</v>
      </c>
      <c r="P305" s="15" t="str">
        <f>INDEX(projects[Project_Name],MATCH(TimeEntry[[#This Row],[Project_ID]], projects[Project_ID],0))</f>
        <v>MC VBB WP1: DO-nota West</v>
      </c>
      <c r="Q305" s="6">
        <f>IF(TimeEntry[[#This Row],[Date]]=0,"",WEEKDAY(C305,2))</f>
        <v>4</v>
      </c>
      <c r="R305" s="9">
        <f>YEAR(TimeEntry[[#This Row],[WkEnd]])</f>
        <v>2020</v>
      </c>
      <c r="S305" s="9">
        <f>WEEKNUM(TimeEntry[[#This Row],[WkEnd]])</f>
        <v>20</v>
      </c>
      <c r="T305" s="9" t="str">
        <f>TimeEntry[[#This Row],[Year]]&amp;"-"&amp;TimeEntry[[#This Row],[WkNo]]</f>
        <v>2020-20</v>
      </c>
    </row>
    <row r="306" spans="1:20" x14ac:dyDescent="0.25">
      <c r="A306" s="6">
        <f>MOD(IF(ROW()=2,0.1,IF(INDEX(TimeEntry[WkEnd],ROW()-1)  =  INDEX(TimeEntry[WkEnd],ROW()-2),    INDEX(TimeEntry[format],ROW()-2),    INDEX(TimeEntry[format],ROW()-2)    +1)),2)</f>
        <v>0.10000000000000009</v>
      </c>
      <c r="B306" s="7"/>
      <c r="C306" s="8">
        <v>43957</v>
      </c>
      <c r="D306" s="8"/>
      <c r="E306" s="1" t="s">
        <v>442</v>
      </c>
      <c r="F306" s="8">
        <f>IF(TimeEntry[[#This Row],[Date]]=0,F305,C306+(7-Q306))</f>
        <v>43961</v>
      </c>
      <c r="G306" s="35" t="str">
        <f>INDEX(projects[Charge_Code],MATCH(TimeEntry[[#This Row],[Project_ID]],projects[Project_ID],0))</f>
        <v>210035-65 MC VBB WP1: DO-nota West (25-050)</v>
      </c>
      <c r="H306" s="1" t="str">
        <f t="shared" si="14"/>
        <v>Normal Time</v>
      </c>
      <c r="I306" s="1"/>
      <c r="J306" s="15">
        <v>7.5</v>
      </c>
      <c r="K306" s="15"/>
      <c r="L306" s="15"/>
      <c r="M306" s="15"/>
      <c r="N306" s="15"/>
      <c r="O306" s="15" t="str">
        <f>INDEX(projects[job number],MATCH(TimeEntry[[#This Row],[Project_ID]], projects[Project_ID],0))</f>
        <v>210035-65</v>
      </c>
      <c r="P306" s="15" t="str">
        <f>INDEX(projects[Project_Name],MATCH(TimeEntry[[#This Row],[Project_ID]], projects[Project_ID],0))</f>
        <v>MC VBB WP1: DO-nota West</v>
      </c>
      <c r="Q306" s="6">
        <f>IF(TimeEntry[[#This Row],[Date]]=0,"",WEEKDAY(C306,2))</f>
        <v>3</v>
      </c>
      <c r="R306" s="9">
        <f>YEAR(TimeEntry[[#This Row],[WkEnd]])</f>
        <v>2020</v>
      </c>
      <c r="S306" s="9">
        <f>WEEKNUM(TimeEntry[[#This Row],[WkEnd]])</f>
        <v>20</v>
      </c>
      <c r="T306" s="9" t="str">
        <f>TimeEntry[[#This Row],[Year]]&amp;"-"&amp;TimeEntry[[#This Row],[WkNo]]</f>
        <v>2020-20</v>
      </c>
    </row>
    <row r="307" spans="1:20" x14ac:dyDescent="0.25">
      <c r="A307" s="6">
        <f>MOD(IF(ROW()=2,0.1,IF(INDEX(TimeEntry[WkEnd],ROW()-1)  =  INDEX(TimeEntry[WkEnd],ROW()-2),    INDEX(TimeEntry[format],ROW()-2),    INDEX(TimeEntry[format],ROW()-2)    +1)),2)</f>
        <v>0.10000000000000009</v>
      </c>
      <c r="B307" s="7"/>
      <c r="C307" s="8">
        <v>43956</v>
      </c>
      <c r="D307" s="8"/>
      <c r="E307" s="1" t="s">
        <v>442</v>
      </c>
      <c r="F307" s="8">
        <f>IF(TimeEntry[[#This Row],[Date]]=0,F306,C307+(7-Q307))</f>
        <v>43961</v>
      </c>
      <c r="G307" s="35" t="str">
        <f>INDEX(projects[Charge_Code],MATCH(TimeEntry[[#This Row],[Project_ID]],projects[Project_ID],0))</f>
        <v>210035-65 MC VBB WP1: DO-nota West (25-050)</v>
      </c>
      <c r="H307" s="1" t="str">
        <f t="shared" si="14"/>
        <v>Normal Time</v>
      </c>
      <c r="I307" s="1"/>
      <c r="J307" s="15">
        <v>7.5</v>
      </c>
      <c r="K307" s="15"/>
      <c r="L307" s="15"/>
      <c r="M307" s="15"/>
      <c r="N307" s="15"/>
      <c r="O307" s="15" t="str">
        <f>INDEX(projects[job number],MATCH(TimeEntry[[#This Row],[Project_ID]], projects[Project_ID],0))</f>
        <v>210035-65</v>
      </c>
      <c r="P307" s="15" t="str">
        <f>INDEX(projects[Project_Name],MATCH(TimeEntry[[#This Row],[Project_ID]], projects[Project_ID],0))</f>
        <v>MC VBB WP1: DO-nota West</v>
      </c>
      <c r="Q307" s="6">
        <f>IF(TimeEntry[[#This Row],[Date]]=0,"",WEEKDAY(C307,2))</f>
        <v>2</v>
      </c>
      <c r="R307" s="9">
        <f>YEAR(TimeEntry[[#This Row],[WkEnd]])</f>
        <v>2020</v>
      </c>
      <c r="S307" s="9">
        <f>WEEKNUM(TimeEntry[[#This Row],[WkEnd]])</f>
        <v>20</v>
      </c>
      <c r="T307" s="9" t="str">
        <f>TimeEntry[[#This Row],[Year]]&amp;"-"&amp;TimeEntry[[#This Row],[WkNo]]</f>
        <v>2020-20</v>
      </c>
    </row>
    <row r="308" spans="1:20" x14ac:dyDescent="0.25">
      <c r="A308" s="6">
        <f>MOD(IF(ROW()=2,0.1,IF(INDEX(TimeEntry[WkEnd],ROW()-1)  =  INDEX(TimeEntry[WkEnd],ROW()-2),    INDEX(TimeEntry[format],ROW()-2),    INDEX(TimeEntry[format],ROW()-2)    +1)),2)</f>
        <v>0.10000000000000009</v>
      </c>
      <c r="B308" s="7"/>
      <c r="C308" s="8">
        <v>43955</v>
      </c>
      <c r="D308" s="8"/>
      <c r="E308" s="1" t="s">
        <v>451</v>
      </c>
      <c r="F308" s="8">
        <f>IF(TimeEntry[[#This Row],[Date]]=0,F307,C308+(7-Q308))</f>
        <v>43961</v>
      </c>
      <c r="G308" s="35" t="str">
        <f>INDEX(projects[Charge_Code],MATCH(TimeEntry[[#This Row],[Project_ID]],projects[Project_ID],0))</f>
        <v>210035-64 VBB 3rd - new bridge VO</v>
      </c>
      <c r="H308" s="1" t="str">
        <f t="shared" si="14"/>
        <v>Normal Time</v>
      </c>
      <c r="I308" s="1"/>
      <c r="J308" s="15">
        <v>7.5</v>
      </c>
      <c r="K308" s="15"/>
      <c r="L308" s="15"/>
      <c r="M308" s="15"/>
      <c r="N308" s="15"/>
      <c r="O308" s="15" t="str">
        <f>INDEX(projects[job number],MATCH(TimeEntry[[#This Row],[Project_ID]], projects[Project_ID],0))</f>
        <v>210035-64</v>
      </c>
      <c r="P308" s="15" t="str">
        <f>INDEX(projects[Project_Name],MATCH(TimeEntry[[#This Row],[Project_ID]], projects[Project_ID],0))</f>
        <v>VBB 3rd - new bridge VO</v>
      </c>
      <c r="Q308" s="6">
        <f>IF(TimeEntry[[#This Row],[Date]]=0,"",WEEKDAY(C308,2))</f>
        <v>1</v>
      </c>
      <c r="R308" s="9">
        <f>YEAR(TimeEntry[[#This Row],[WkEnd]])</f>
        <v>2020</v>
      </c>
      <c r="S308" s="9">
        <f>WEEKNUM(TimeEntry[[#This Row],[WkEnd]])</f>
        <v>20</v>
      </c>
      <c r="T308" s="9" t="str">
        <f>TimeEntry[[#This Row],[Year]]&amp;"-"&amp;TimeEntry[[#This Row],[WkNo]]</f>
        <v>2020-20</v>
      </c>
    </row>
    <row r="309" spans="1:20" x14ac:dyDescent="0.25">
      <c r="A309" s="6">
        <f>MOD(IF(ROW()=2,0.1,IF(INDEX(TimeEntry[WkEnd],ROW()-1)  =  INDEX(TimeEntry[WkEnd],ROW()-2),    INDEX(TimeEntry[format],ROW()-2),    INDEX(TimeEntry[format],ROW()-2)    +1)),2)</f>
        <v>1.1000000000000001</v>
      </c>
      <c r="B309" s="7"/>
      <c r="C309" s="8">
        <v>43952</v>
      </c>
      <c r="D309" s="8"/>
      <c r="E309" s="1" t="s">
        <v>442</v>
      </c>
      <c r="F309" s="8">
        <f>IF(TimeEntry[[#This Row],[Date]]=0,F308,C309+(7-Q309))</f>
        <v>43954</v>
      </c>
      <c r="G309" s="35" t="str">
        <f>INDEX(projects[Charge_Code],MATCH(TimeEntry[[#This Row],[Project_ID]],projects[Project_ID],0))</f>
        <v>210035-65 MC VBB WP1: DO-nota West (25-050)</v>
      </c>
      <c r="H309" s="1" t="str">
        <f t="shared" si="14"/>
        <v>Normal Time</v>
      </c>
      <c r="I309" s="1"/>
      <c r="J309" s="15">
        <v>7.5</v>
      </c>
      <c r="K309" s="15"/>
      <c r="L309" s="15"/>
      <c r="M309" s="15"/>
      <c r="N309" s="15"/>
      <c r="O309" s="15" t="str">
        <f>INDEX(projects[job number],MATCH(TimeEntry[[#This Row],[Project_ID]], projects[Project_ID],0))</f>
        <v>210035-65</v>
      </c>
      <c r="P309" s="15" t="str">
        <f>INDEX(projects[Project_Name],MATCH(TimeEntry[[#This Row],[Project_ID]], projects[Project_ID],0))</f>
        <v>MC VBB WP1: DO-nota West</v>
      </c>
      <c r="Q309" s="6">
        <f>IF(TimeEntry[[#This Row],[Date]]=0,"",WEEKDAY(C309,2))</f>
        <v>5</v>
      </c>
      <c r="R309" s="9">
        <f>YEAR(TimeEntry[[#This Row],[WkEnd]])</f>
        <v>2020</v>
      </c>
      <c r="S309" s="9">
        <f>WEEKNUM(TimeEntry[[#This Row],[WkEnd]])</f>
        <v>19</v>
      </c>
      <c r="T309" s="9" t="str">
        <f>TimeEntry[[#This Row],[Year]]&amp;"-"&amp;TimeEntry[[#This Row],[WkNo]]</f>
        <v>2020-19</v>
      </c>
    </row>
    <row r="310" spans="1:20" x14ac:dyDescent="0.25">
      <c r="A310" s="6">
        <f>MOD(IF(ROW()=2,0.1,IF(INDEX(TimeEntry[WkEnd],ROW()-1)  =  INDEX(TimeEntry[WkEnd],ROW()-2),    INDEX(TimeEntry[format],ROW()-2),    INDEX(TimeEntry[format],ROW()-2)    +1)),2)</f>
        <v>1.1000000000000001</v>
      </c>
      <c r="B310" s="7"/>
      <c r="C310" s="8">
        <v>43951</v>
      </c>
      <c r="D310" s="8"/>
      <c r="E310" s="1" t="s">
        <v>442</v>
      </c>
      <c r="F310" s="8">
        <f>IF(TimeEntry[[#This Row],[Date]]=0,F309,C310+(7-Q310))</f>
        <v>43954</v>
      </c>
      <c r="G310" s="35" t="str">
        <f>INDEX(projects[Charge_Code],MATCH(TimeEntry[[#This Row],[Project_ID]],projects[Project_ID],0))</f>
        <v>210035-65 MC VBB WP1: DO-nota West (25-050)</v>
      </c>
      <c r="H310" s="1" t="str">
        <f t="shared" si="14"/>
        <v>Normal Time</v>
      </c>
      <c r="I310" s="1"/>
      <c r="J310" s="15">
        <v>7.5</v>
      </c>
      <c r="K310" s="15"/>
      <c r="L310" s="15"/>
      <c r="M310" s="15"/>
      <c r="N310" s="15"/>
      <c r="O310" s="15" t="str">
        <f>INDEX(projects[job number],MATCH(TimeEntry[[#This Row],[Project_ID]], projects[Project_ID],0))</f>
        <v>210035-65</v>
      </c>
      <c r="P310" s="15" t="str">
        <f>INDEX(projects[Project_Name],MATCH(TimeEntry[[#This Row],[Project_ID]], projects[Project_ID],0))</f>
        <v>MC VBB WP1: DO-nota West</v>
      </c>
      <c r="Q310" s="6">
        <f>IF(TimeEntry[[#This Row],[Date]]=0,"",WEEKDAY(C310,2))</f>
        <v>4</v>
      </c>
      <c r="R310" s="9">
        <f>YEAR(TimeEntry[[#This Row],[WkEnd]])</f>
        <v>2020</v>
      </c>
      <c r="S310" s="9">
        <f>WEEKNUM(TimeEntry[[#This Row],[WkEnd]])</f>
        <v>19</v>
      </c>
      <c r="T310" s="9" t="str">
        <f>TimeEntry[[#This Row],[Year]]&amp;"-"&amp;TimeEntry[[#This Row],[WkNo]]</f>
        <v>2020-19</v>
      </c>
    </row>
    <row r="311" spans="1:20" x14ac:dyDescent="0.25">
      <c r="A311" s="6">
        <f>MOD(IF(ROW()=2,0.1,IF(INDEX(TimeEntry[WkEnd],ROW()-1)  =  INDEX(TimeEntry[WkEnd],ROW()-2),    INDEX(TimeEntry[format],ROW()-2),    INDEX(TimeEntry[format],ROW()-2)    +1)),2)</f>
        <v>1.1000000000000001</v>
      </c>
      <c r="B311" s="7"/>
      <c r="C311" s="8">
        <v>43950</v>
      </c>
      <c r="D311" s="8"/>
      <c r="E311" s="1" t="s">
        <v>442</v>
      </c>
      <c r="F311" s="8">
        <f>IF(TimeEntry[[#This Row],[Date]]=0,F310,C311+(7-Q311))</f>
        <v>43954</v>
      </c>
      <c r="G311" s="35" t="str">
        <f>INDEX(projects[Charge_Code],MATCH(TimeEntry[[#This Row],[Project_ID]],projects[Project_ID],0))</f>
        <v>210035-65 MC VBB WP1: DO-nota West (25-050)</v>
      </c>
      <c r="H311" s="1" t="str">
        <f t="shared" si="14"/>
        <v>Normal Time</v>
      </c>
      <c r="I311" s="1"/>
      <c r="J311" s="15">
        <v>7.5</v>
      </c>
      <c r="K311" s="15"/>
      <c r="L311" s="15"/>
      <c r="M311" s="15"/>
      <c r="N311" s="15"/>
      <c r="O311" s="15" t="str">
        <f>INDEX(projects[job number],MATCH(TimeEntry[[#This Row],[Project_ID]], projects[Project_ID],0))</f>
        <v>210035-65</v>
      </c>
      <c r="P311" s="15" t="str">
        <f>INDEX(projects[Project_Name],MATCH(TimeEntry[[#This Row],[Project_ID]], projects[Project_ID],0))</f>
        <v>MC VBB WP1: DO-nota West</v>
      </c>
      <c r="Q311" s="6">
        <f>IF(TimeEntry[[#This Row],[Date]]=0,"",WEEKDAY(C311,2))</f>
        <v>3</v>
      </c>
      <c r="R311" s="9">
        <f>YEAR(TimeEntry[[#This Row],[WkEnd]])</f>
        <v>2020</v>
      </c>
      <c r="S311" s="9">
        <f>WEEKNUM(TimeEntry[[#This Row],[WkEnd]])</f>
        <v>19</v>
      </c>
      <c r="T311" s="9" t="str">
        <f>TimeEntry[[#This Row],[Year]]&amp;"-"&amp;TimeEntry[[#This Row],[WkNo]]</f>
        <v>2020-19</v>
      </c>
    </row>
    <row r="312" spans="1:20" x14ac:dyDescent="0.25">
      <c r="A312" s="6">
        <f>MOD(IF(ROW()=2,0.1,IF(INDEX(TimeEntry[WkEnd],ROW()-1)  =  INDEX(TimeEntry[WkEnd],ROW()-2),    INDEX(TimeEntry[format],ROW()-2),    INDEX(TimeEntry[format],ROW()-2)    +1)),2)</f>
        <v>1.1000000000000001</v>
      </c>
      <c r="B312" s="7"/>
      <c r="C312" s="8">
        <v>43949</v>
      </c>
      <c r="D312" s="8"/>
      <c r="E312" s="1" t="s">
        <v>442</v>
      </c>
      <c r="F312" s="8">
        <f>IF(TimeEntry[[#This Row],[Date]]=0,F311,C312+(7-Q312))</f>
        <v>43954</v>
      </c>
      <c r="G312" s="35" t="str">
        <f>INDEX(projects[Charge_Code],MATCH(TimeEntry[[#This Row],[Project_ID]],projects[Project_ID],0))</f>
        <v>210035-65 MC VBB WP1: DO-nota West (25-050)</v>
      </c>
      <c r="H312" s="1" t="str">
        <f t="shared" si="14"/>
        <v>Normal Time</v>
      </c>
      <c r="I312" s="1"/>
      <c r="J312" s="15">
        <v>7.5</v>
      </c>
      <c r="K312" s="15"/>
      <c r="L312" s="15"/>
      <c r="M312" s="15"/>
      <c r="N312" s="15"/>
      <c r="O312" s="15" t="str">
        <f>INDEX(projects[job number],MATCH(TimeEntry[[#This Row],[Project_ID]], projects[Project_ID],0))</f>
        <v>210035-65</v>
      </c>
      <c r="P312" s="15" t="str">
        <f>INDEX(projects[Project_Name],MATCH(TimeEntry[[#This Row],[Project_ID]], projects[Project_ID],0))</f>
        <v>MC VBB WP1: DO-nota West</v>
      </c>
      <c r="Q312" s="6">
        <f>IF(TimeEntry[[#This Row],[Date]]=0,"",WEEKDAY(C312,2))</f>
        <v>2</v>
      </c>
      <c r="R312" s="9">
        <f>YEAR(TimeEntry[[#This Row],[WkEnd]])</f>
        <v>2020</v>
      </c>
      <c r="S312" s="9">
        <f>WEEKNUM(TimeEntry[[#This Row],[WkEnd]])</f>
        <v>19</v>
      </c>
      <c r="T312" s="9" t="str">
        <f>TimeEntry[[#This Row],[Year]]&amp;"-"&amp;TimeEntry[[#This Row],[WkNo]]</f>
        <v>2020-19</v>
      </c>
    </row>
    <row r="313" spans="1:20" x14ac:dyDescent="0.25">
      <c r="A313" s="6">
        <f>MOD(IF(ROW()=2,0.1,IF(INDEX(TimeEntry[WkEnd],ROW()-1)  =  INDEX(TimeEntry[WkEnd],ROW()-2),    INDEX(TimeEntry[format],ROW()-2),    INDEX(TimeEntry[format],ROW()-2)    +1)),2)</f>
        <v>1.1000000000000001</v>
      </c>
      <c r="B313" s="7"/>
      <c r="C313" s="8">
        <v>43948</v>
      </c>
      <c r="D313" s="8"/>
      <c r="E313" s="1" t="s">
        <v>442</v>
      </c>
      <c r="F313" s="8">
        <f>IF(TimeEntry[[#This Row],[Date]]=0,F312,C313+(7-Q313))</f>
        <v>43954</v>
      </c>
      <c r="G313" s="35" t="str">
        <f>INDEX(projects[Charge_Code],MATCH(TimeEntry[[#This Row],[Project_ID]],projects[Project_ID],0))</f>
        <v>210035-65 MC VBB WP1: DO-nota West (25-050)</v>
      </c>
      <c r="H313" s="1" t="str">
        <f t="shared" si="14"/>
        <v>Normal Time</v>
      </c>
      <c r="I313" s="1"/>
      <c r="J313" s="15">
        <v>7.5</v>
      </c>
      <c r="K313" s="15"/>
      <c r="L313" s="15"/>
      <c r="M313" s="15"/>
      <c r="N313" s="15"/>
      <c r="O313" s="15" t="str">
        <f>INDEX(projects[job number],MATCH(TimeEntry[[#This Row],[Project_ID]], projects[Project_ID],0))</f>
        <v>210035-65</v>
      </c>
      <c r="P313" s="15" t="str">
        <f>INDEX(projects[Project_Name],MATCH(TimeEntry[[#This Row],[Project_ID]], projects[Project_ID],0))</f>
        <v>MC VBB WP1: DO-nota West</v>
      </c>
      <c r="Q313" s="6">
        <f>IF(TimeEntry[[#This Row],[Date]]=0,"",WEEKDAY(C313,2))</f>
        <v>1</v>
      </c>
      <c r="R313" s="9">
        <f>YEAR(TimeEntry[[#This Row],[WkEnd]])</f>
        <v>2020</v>
      </c>
      <c r="S313" s="9">
        <f>WEEKNUM(TimeEntry[[#This Row],[WkEnd]])</f>
        <v>19</v>
      </c>
      <c r="T313" s="9" t="str">
        <f>TimeEntry[[#This Row],[Year]]&amp;"-"&amp;TimeEntry[[#This Row],[WkNo]]</f>
        <v>2020-19</v>
      </c>
    </row>
    <row r="314" spans="1:20" x14ac:dyDescent="0.25">
      <c r="A314" s="6">
        <f>MOD(IF(ROW()=2,0.1,IF(INDEX(TimeEntry[WkEnd],ROW()-1)  =  INDEX(TimeEntry[WkEnd],ROW()-2),    INDEX(TimeEntry[format],ROW()-2),    INDEX(TimeEntry[format],ROW()-2)    +1)),2)</f>
        <v>0.10000000000000009</v>
      </c>
      <c r="B314" s="7"/>
      <c r="C314" s="8">
        <v>43945</v>
      </c>
      <c r="D314" s="8"/>
      <c r="E314" s="1" t="s">
        <v>451</v>
      </c>
      <c r="F314" s="8">
        <f>IF(TimeEntry[[#This Row],[Date]]=0,F313,C314+(7-Q314))</f>
        <v>43947</v>
      </c>
      <c r="G314" s="35" t="str">
        <f>INDEX(projects[Charge_Code],MATCH(TimeEntry[[#This Row],[Project_ID]],projects[Project_ID],0))</f>
        <v>210035-64 VBB 3rd - new bridge VO</v>
      </c>
      <c r="H314" s="1" t="str">
        <f t="shared" si="14"/>
        <v>Normal Time</v>
      </c>
      <c r="I314" s="1"/>
      <c r="J314" s="15">
        <v>7.5</v>
      </c>
      <c r="K314" s="15"/>
      <c r="L314" s="15"/>
      <c r="M314" s="15"/>
      <c r="N314" s="15"/>
      <c r="O314" s="15" t="str">
        <f>INDEX(projects[job number],MATCH(TimeEntry[[#This Row],[Project_ID]], projects[Project_ID],0))</f>
        <v>210035-64</v>
      </c>
      <c r="P314" s="15" t="str">
        <f>INDEX(projects[Project_Name],MATCH(TimeEntry[[#This Row],[Project_ID]], projects[Project_ID],0))</f>
        <v>VBB 3rd - new bridge VO</v>
      </c>
      <c r="Q314" s="6">
        <f>IF(TimeEntry[[#This Row],[Date]]=0,"",WEEKDAY(C314,2))</f>
        <v>5</v>
      </c>
      <c r="R314" s="9">
        <f>YEAR(TimeEntry[[#This Row],[WkEnd]])</f>
        <v>2020</v>
      </c>
      <c r="S314" s="9">
        <f>WEEKNUM(TimeEntry[[#This Row],[WkEnd]])</f>
        <v>18</v>
      </c>
      <c r="T314" s="9" t="str">
        <f>TimeEntry[[#This Row],[Year]]&amp;"-"&amp;TimeEntry[[#This Row],[WkNo]]</f>
        <v>2020-18</v>
      </c>
    </row>
    <row r="315" spans="1:20" x14ac:dyDescent="0.25">
      <c r="A315" s="6">
        <f>MOD(IF(ROW()=2,0.1,IF(INDEX(TimeEntry[WkEnd],ROW()-1)  =  INDEX(TimeEntry[WkEnd],ROW()-2),    INDEX(TimeEntry[format],ROW()-2),    INDEX(TimeEntry[format],ROW()-2)    +1)),2)</f>
        <v>0.10000000000000009</v>
      </c>
      <c r="B315" s="7"/>
      <c r="C315" s="8">
        <v>43944</v>
      </c>
      <c r="D315" s="8"/>
      <c r="E315" s="1" t="s">
        <v>444</v>
      </c>
      <c r="F315" s="8">
        <f>IF(TimeEntry[[#This Row],[Date]]=0,F314,C315+(7-Q315))</f>
        <v>43947</v>
      </c>
      <c r="G315" s="35" t="str">
        <f>INDEX(projects[Charge_Code],MATCH(TimeEntry[[#This Row],[Project_ID]],projects[Project_ID],0))</f>
        <v>LEAVE</v>
      </c>
      <c r="H315" s="1" t="str">
        <f t="shared" si="14"/>
        <v>Normal Time</v>
      </c>
      <c r="I315" s="1"/>
      <c r="J315" s="15">
        <v>3.75</v>
      </c>
      <c r="K315" s="15"/>
      <c r="L315" s="15"/>
      <c r="M315" s="15"/>
      <c r="N315" s="15"/>
      <c r="O315" s="15" t="str">
        <f>INDEX(projects[job number],MATCH(TimeEntry[[#This Row],[Project_ID]], projects[Project_ID],0))</f>
        <v>LEAVE</v>
      </c>
      <c r="P315" s="15">
        <f>INDEX(projects[Project_Name],MATCH(TimeEntry[[#This Row],[Project_ID]], projects[Project_ID],0))</f>
        <v>0</v>
      </c>
      <c r="Q315" s="6">
        <f>IF(TimeEntry[[#This Row],[Date]]=0,"",WEEKDAY(C315,2))</f>
        <v>4</v>
      </c>
      <c r="R315" s="9">
        <f>YEAR(TimeEntry[[#This Row],[WkEnd]])</f>
        <v>2020</v>
      </c>
      <c r="S315" s="9">
        <f>WEEKNUM(TimeEntry[[#This Row],[WkEnd]])</f>
        <v>18</v>
      </c>
      <c r="T315" s="9" t="str">
        <f>TimeEntry[[#This Row],[Year]]&amp;"-"&amp;TimeEntry[[#This Row],[WkNo]]</f>
        <v>2020-18</v>
      </c>
    </row>
    <row r="316" spans="1:20" x14ac:dyDescent="0.25">
      <c r="A316" s="6">
        <f>MOD(IF(ROW()=2,0.1,IF(INDEX(TimeEntry[WkEnd],ROW()-1)  =  INDEX(TimeEntry[WkEnd],ROW()-2),    INDEX(TimeEntry[format],ROW()-2),    INDEX(TimeEntry[format],ROW()-2)    +1)),2)</f>
        <v>0.10000000000000009</v>
      </c>
      <c r="B316" s="7"/>
      <c r="C316" s="8">
        <v>43944</v>
      </c>
      <c r="D316" s="8"/>
      <c r="E316" s="1" t="s">
        <v>451</v>
      </c>
      <c r="F316" s="8">
        <f>IF(TimeEntry[[#This Row],[Date]]=0,F315,C316+(7-Q316))</f>
        <v>43947</v>
      </c>
      <c r="G316" s="35" t="str">
        <f>INDEX(projects[Charge_Code],MATCH(TimeEntry[[#This Row],[Project_ID]],projects[Project_ID],0))</f>
        <v>210035-64 VBB 3rd - new bridge VO</v>
      </c>
      <c r="H316" s="1" t="str">
        <f t="shared" si="14"/>
        <v>Normal Time</v>
      </c>
      <c r="I316" s="1"/>
      <c r="J316" s="15">
        <v>3.75</v>
      </c>
      <c r="K316" s="15"/>
      <c r="L316" s="15"/>
      <c r="M316" s="15"/>
      <c r="N316" s="15"/>
      <c r="O316" s="15" t="str">
        <f>INDEX(projects[job number],MATCH(TimeEntry[[#This Row],[Project_ID]], projects[Project_ID],0))</f>
        <v>210035-64</v>
      </c>
      <c r="P316" s="15" t="str">
        <f>INDEX(projects[Project_Name],MATCH(TimeEntry[[#This Row],[Project_ID]], projects[Project_ID],0))</f>
        <v>VBB 3rd - new bridge VO</v>
      </c>
      <c r="Q316" s="6">
        <f>IF(TimeEntry[[#This Row],[Date]]=0,"",WEEKDAY(C316,2))</f>
        <v>4</v>
      </c>
      <c r="R316" s="9">
        <f>YEAR(TimeEntry[[#This Row],[WkEnd]])</f>
        <v>2020</v>
      </c>
      <c r="S316" s="9">
        <f>WEEKNUM(TimeEntry[[#This Row],[WkEnd]])</f>
        <v>18</v>
      </c>
      <c r="T316" s="9" t="str">
        <f>TimeEntry[[#This Row],[Year]]&amp;"-"&amp;TimeEntry[[#This Row],[WkNo]]</f>
        <v>2020-18</v>
      </c>
    </row>
    <row r="317" spans="1:20" x14ac:dyDescent="0.25">
      <c r="A317" s="6">
        <f>MOD(IF(ROW()=2,0.1,IF(INDEX(TimeEntry[WkEnd],ROW()-1)  =  INDEX(TimeEntry[WkEnd],ROW()-2),    INDEX(TimeEntry[format],ROW()-2),    INDEX(TimeEntry[format],ROW()-2)    +1)),2)</f>
        <v>0.10000000000000009</v>
      </c>
      <c r="B317" s="7"/>
      <c r="C317" s="8">
        <v>43943</v>
      </c>
      <c r="D317" s="8"/>
      <c r="E317" s="1" t="s">
        <v>451</v>
      </c>
      <c r="F317" s="8">
        <f>IF(TimeEntry[[#This Row],[Date]]=0,F316,C317+(7-Q317))</f>
        <v>43947</v>
      </c>
      <c r="G317" s="35" t="str">
        <f>INDEX(projects[Charge_Code],MATCH(TimeEntry[[#This Row],[Project_ID]],projects[Project_ID],0))</f>
        <v>210035-64 VBB 3rd - new bridge VO</v>
      </c>
      <c r="H317" s="1" t="str">
        <f t="shared" si="14"/>
        <v>Normal Time</v>
      </c>
      <c r="I317" s="1"/>
      <c r="J317" s="15">
        <v>1</v>
      </c>
      <c r="K317" s="15"/>
      <c r="L317" s="15"/>
      <c r="M317" s="15"/>
      <c r="N317" s="15"/>
      <c r="O317" s="15" t="str">
        <f>INDEX(projects[job number],MATCH(TimeEntry[[#This Row],[Project_ID]], projects[Project_ID],0))</f>
        <v>210035-64</v>
      </c>
      <c r="P317" s="15" t="str">
        <f>INDEX(projects[Project_Name],MATCH(TimeEntry[[#This Row],[Project_ID]], projects[Project_ID],0))</f>
        <v>VBB 3rd - new bridge VO</v>
      </c>
      <c r="Q317" s="6">
        <f>IF(TimeEntry[[#This Row],[Date]]=0,"",WEEKDAY(C317,2))</f>
        <v>3</v>
      </c>
      <c r="R317" s="9">
        <f>YEAR(TimeEntry[[#This Row],[WkEnd]])</f>
        <v>2020</v>
      </c>
      <c r="S317" s="9">
        <f>WEEKNUM(TimeEntry[[#This Row],[WkEnd]])</f>
        <v>18</v>
      </c>
      <c r="T317" s="9" t="str">
        <f>TimeEntry[[#This Row],[Year]]&amp;"-"&amp;TimeEntry[[#This Row],[WkNo]]</f>
        <v>2020-18</v>
      </c>
    </row>
    <row r="318" spans="1:20" x14ac:dyDescent="0.25">
      <c r="A318" s="6">
        <f>MOD(IF(ROW()=2,0.1,IF(INDEX(TimeEntry[WkEnd],ROW()-1)  =  INDEX(TimeEntry[WkEnd],ROW()-2),    INDEX(TimeEntry[format],ROW()-2),    INDEX(TimeEntry[format],ROW()-2)    +1)),2)</f>
        <v>0.10000000000000009</v>
      </c>
      <c r="B318" s="7"/>
      <c r="C318" s="8">
        <v>43943</v>
      </c>
      <c r="D318" s="8"/>
      <c r="E318" s="1" t="s">
        <v>451</v>
      </c>
      <c r="F318" s="8">
        <f>IF(TimeEntry[[#This Row],[Date]]=0,F317,C318+(7-Q318))</f>
        <v>43947</v>
      </c>
      <c r="G318" s="35" t="str">
        <f>INDEX(projects[Charge_Code],MATCH(TimeEntry[[#This Row],[Project_ID]],projects[Project_ID],0))</f>
        <v>210035-64 VBB 3rd - new bridge VO</v>
      </c>
      <c r="H318" s="1" t="str">
        <f t="shared" si="14"/>
        <v>Normal Time</v>
      </c>
      <c r="I318" s="1"/>
      <c r="J318" s="15">
        <v>6.5</v>
      </c>
      <c r="K318" s="15"/>
      <c r="L318" s="15"/>
      <c r="M318" s="15"/>
      <c r="N318" s="15"/>
      <c r="O318" s="15" t="str">
        <f>INDEX(projects[job number],MATCH(TimeEntry[[#This Row],[Project_ID]], projects[Project_ID],0))</f>
        <v>210035-64</v>
      </c>
      <c r="P318" s="15" t="str">
        <f>INDEX(projects[Project_Name],MATCH(TimeEntry[[#This Row],[Project_ID]], projects[Project_ID],0))</f>
        <v>VBB 3rd - new bridge VO</v>
      </c>
      <c r="Q318" s="6">
        <f>IF(TimeEntry[[#This Row],[Date]]=0,"",WEEKDAY(C318,2))</f>
        <v>3</v>
      </c>
      <c r="R318" s="9">
        <f>YEAR(TimeEntry[[#This Row],[WkEnd]])</f>
        <v>2020</v>
      </c>
      <c r="S318" s="9">
        <f>WEEKNUM(TimeEntry[[#This Row],[WkEnd]])</f>
        <v>18</v>
      </c>
      <c r="T318" s="9" t="str">
        <f>TimeEntry[[#This Row],[Year]]&amp;"-"&amp;TimeEntry[[#This Row],[WkNo]]</f>
        <v>2020-18</v>
      </c>
    </row>
    <row r="319" spans="1:20" x14ac:dyDescent="0.25">
      <c r="A319" s="6">
        <f>MOD(IF(ROW()=2,0.1,IF(INDEX(TimeEntry[WkEnd],ROW()-1)  =  INDEX(TimeEntry[WkEnd],ROW()-2),    INDEX(TimeEntry[format],ROW()-2),    INDEX(TimeEntry[format],ROW()-2)    +1)),2)</f>
        <v>0.10000000000000009</v>
      </c>
      <c r="B319" s="7"/>
      <c r="C319" s="8">
        <v>43942</v>
      </c>
      <c r="D319" s="8"/>
      <c r="E319" s="1" t="s">
        <v>451</v>
      </c>
      <c r="F319" s="8">
        <f>IF(TimeEntry[[#This Row],[Date]]=0,F318,C319+(7-Q319))</f>
        <v>43947</v>
      </c>
      <c r="G319" s="35" t="str">
        <f>INDEX(projects[Charge_Code],MATCH(TimeEntry[[#This Row],[Project_ID]],projects[Project_ID],0))</f>
        <v>210035-64 VBB 3rd - new bridge VO</v>
      </c>
      <c r="H319" s="1" t="str">
        <f t="shared" si="14"/>
        <v>Normal Time</v>
      </c>
      <c r="I319" s="1"/>
      <c r="J319" s="15">
        <v>7.5</v>
      </c>
      <c r="K319" s="15"/>
      <c r="L319" s="15"/>
      <c r="M319" s="15"/>
      <c r="N319" s="15"/>
      <c r="O319" s="15" t="str">
        <f>INDEX(projects[job number],MATCH(TimeEntry[[#This Row],[Project_ID]], projects[Project_ID],0))</f>
        <v>210035-64</v>
      </c>
      <c r="P319" s="15" t="str">
        <f>INDEX(projects[Project_Name],MATCH(TimeEntry[[#This Row],[Project_ID]], projects[Project_ID],0))</f>
        <v>VBB 3rd - new bridge VO</v>
      </c>
      <c r="Q319" s="6">
        <f>IF(TimeEntry[[#This Row],[Date]]=0,"",WEEKDAY(C319,2))</f>
        <v>2</v>
      </c>
      <c r="R319" s="9">
        <f>YEAR(TimeEntry[[#This Row],[WkEnd]])</f>
        <v>2020</v>
      </c>
      <c r="S319" s="9">
        <f>WEEKNUM(TimeEntry[[#This Row],[WkEnd]])</f>
        <v>18</v>
      </c>
      <c r="T319" s="9" t="str">
        <f>TimeEntry[[#This Row],[Year]]&amp;"-"&amp;TimeEntry[[#This Row],[WkNo]]</f>
        <v>2020-18</v>
      </c>
    </row>
    <row r="320" spans="1:20" x14ac:dyDescent="0.25">
      <c r="A320" s="6">
        <f>MOD(IF(ROW()=2,0.1,IF(INDEX(TimeEntry[WkEnd],ROW()-1)  =  INDEX(TimeEntry[WkEnd],ROW()-2),    INDEX(TimeEntry[format],ROW()-2),    INDEX(TimeEntry[format],ROW()-2)    +1)),2)</f>
        <v>0.10000000000000009</v>
      </c>
      <c r="B320" s="7"/>
      <c r="C320" s="8">
        <v>43941</v>
      </c>
      <c r="D320" s="8"/>
      <c r="E320" s="1" t="s">
        <v>451</v>
      </c>
      <c r="F320" s="8">
        <f>IF(TimeEntry[[#This Row],[Date]]=0,F319,C320+(7-Q320))</f>
        <v>43947</v>
      </c>
      <c r="G320" s="35" t="str">
        <f>INDEX(projects[Charge_Code],MATCH(TimeEntry[[#This Row],[Project_ID]],projects[Project_ID],0))</f>
        <v>210035-64 VBB 3rd - new bridge VO</v>
      </c>
      <c r="H320" s="1" t="str">
        <f t="shared" si="14"/>
        <v>Normal Time</v>
      </c>
      <c r="I320" s="1"/>
      <c r="J320" s="15">
        <v>7.5</v>
      </c>
      <c r="K320" s="15"/>
      <c r="L320" s="15"/>
      <c r="M320" s="15"/>
      <c r="N320" s="15"/>
      <c r="O320" s="15" t="str">
        <f>INDEX(projects[job number],MATCH(TimeEntry[[#This Row],[Project_ID]], projects[Project_ID],0))</f>
        <v>210035-64</v>
      </c>
      <c r="P320" s="15" t="str">
        <f>INDEX(projects[Project_Name],MATCH(TimeEntry[[#This Row],[Project_ID]], projects[Project_ID],0))</f>
        <v>VBB 3rd - new bridge VO</v>
      </c>
      <c r="Q320" s="6">
        <f>IF(TimeEntry[[#This Row],[Date]]=0,"",WEEKDAY(C320,2))</f>
        <v>1</v>
      </c>
      <c r="R320" s="9">
        <f>YEAR(TimeEntry[[#This Row],[WkEnd]])</f>
        <v>2020</v>
      </c>
      <c r="S320" s="9">
        <f>WEEKNUM(TimeEntry[[#This Row],[WkEnd]])</f>
        <v>18</v>
      </c>
      <c r="T320" s="9" t="str">
        <f>TimeEntry[[#This Row],[Year]]&amp;"-"&amp;TimeEntry[[#This Row],[WkNo]]</f>
        <v>2020-18</v>
      </c>
    </row>
    <row r="321" spans="1:20" x14ac:dyDescent="0.25">
      <c r="A321" s="6">
        <f>MOD(IF(ROW()=2,0.1,IF(INDEX(TimeEntry[WkEnd],ROW()-1)  =  INDEX(TimeEntry[WkEnd],ROW()-2),    INDEX(TimeEntry[format],ROW()-2),    INDEX(TimeEntry[format],ROW()-2)    +1)),2)</f>
        <v>1.1000000000000001</v>
      </c>
      <c r="B321" s="7"/>
      <c r="C321" s="8">
        <v>43938</v>
      </c>
      <c r="D321" s="8"/>
      <c r="E321" s="1" t="s">
        <v>451</v>
      </c>
      <c r="F321" s="8">
        <f>IF(TimeEntry[[#This Row],[Date]]=0,F320,C321+(7-Q321))</f>
        <v>43940</v>
      </c>
      <c r="G321" s="35" t="str">
        <f>INDEX(projects[Charge_Code],MATCH(TimeEntry[[#This Row],[Project_ID]],projects[Project_ID],0))</f>
        <v>210035-64 VBB 3rd - new bridge VO</v>
      </c>
      <c r="H321" s="1" t="str">
        <f t="shared" si="14"/>
        <v>Normal Time</v>
      </c>
      <c r="I321" s="1"/>
      <c r="J321" s="15">
        <v>7.5</v>
      </c>
      <c r="K321" s="15"/>
      <c r="L321" s="15"/>
      <c r="M321" s="15"/>
      <c r="N321" s="15"/>
      <c r="O321" s="15" t="str">
        <f>INDEX(projects[job number],MATCH(TimeEntry[[#This Row],[Project_ID]], projects[Project_ID],0))</f>
        <v>210035-64</v>
      </c>
      <c r="P321" s="15" t="str">
        <f>INDEX(projects[Project_Name],MATCH(TimeEntry[[#This Row],[Project_ID]], projects[Project_ID],0))</f>
        <v>VBB 3rd - new bridge VO</v>
      </c>
      <c r="Q321" s="6">
        <f>IF(TimeEntry[[#This Row],[Date]]=0,"",WEEKDAY(C321,2))</f>
        <v>5</v>
      </c>
      <c r="R321" s="9">
        <f>YEAR(TimeEntry[[#This Row],[WkEnd]])</f>
        <v>2020</v>
      </c>
      <c r="S321" s="9">
        <f>WEEKNUM(TimeEntry[[#This Row],[WkEnd]])</f>
        <v>17</v>
      </c>
      <c r="T321" s="9" t="str">
        <f>TimeEntry[[#This Row],[Year]]&amp;"-"&amp;TimeEntry[[#This Row],[WkNo]]</f>
        <v>2020-17</v>
      </c>
    </row>
    <row r="322" spans="1:20" x14ac:dyDescent="0.25">
      <c r="A322" s="6">
        <f>MOD(IF(ROW()=2,0.1,IF(INDEX(TimeEntry[WkEnd],ROW()-1)  =  INDEX(TimeEntry[WkEnd],ROW()-2),    INDEX(TimeEntry[format],ROW()-2),    INDEX(TimeEntry[format],ROW()-2)    +1)),2)</f>
        <v>1.1000000000000001</v>
      </c>
      <c r="B322" s="7"/>
      <c r="C322" s="8">
        <v>43937</v>
      </c>
      <c r="D322" s="8"/>
      <c r="E322" s="1" t="s">
        <v>451</v>
      </c>
      <c r="F322" s="8">
        <f>IF(TimeEntry[[#This Row],[Date]]=0,F321,C322+(7-Q322))</f>
        <v>43940</v>
      </c>
      <c r="G322" s="35" t="str">
        <f>INDEX(projects[Charge_Code],MATCH(TimeEntry[[#This Row],[Project_ID]],projects[Project_ID],0))</f>
        <v>210035-64 VBB 3rd - new bridge VO</v>
      </c>
      <c r="H322" s="1" t="str">
        <f t="shared" si="14"/>
        <v>Normal Time</v>
      </c>
      <c r="I322" s="1"/>
      <c r="J322" s="15">
        <v>7.5</v>
      </c>
      <c r="K322" s="15"/>
      <c r="L322" s="15"/>
      <c r="M322" s="15"/>
      <c r="N322" s="15"/>
      <c r="O322" s="15" t="str">
        <f>INDEX(projects[job number],MATCH(TimeEntry[[#This Row],[Project_ID]], projects[Project_ID],0))</f>
        <v>210035-64</v>
      </c>
      <c r="P322" s="15" t="str">
        <f>INDEX(projects[Project_Name],MATCH(TimeEntry[[#This Row],[Project_ID]], projects[Project_ID],0))</f>
        <v>VBB 3rd - new bridge VO</v>
      </c>
      <c r="Q322" s="6">
        <f>IF(TimeEntry[[#This Row],[Date]]=0,"",WEEKDAY(C322,2))</f>
        <v>4</v>
      </c>
      <c r="R322" s="9">
        <f>YEAR(TimeEntry[[#This Row],[WkEnd]])</f>
        <v>2020</v>
      </c>
      <c r="S322" s="9">
        <f>WEEKNUM(TimeEntry[[#This Row],[WkEnd]])</f>
        <v>17</v>
      </c>
      <c r="T322" s="9" t="str">
        <f>TimeEntry[[#This Row],[Year]]&amp;"-"&amp;TimeEntry[[#This Row],[WkNo]]</f>
        <v>2020-17</v>
      </c>
    </row>
    <row r="323" spans="1:20" x14ac:dyDescent="0.25">
      <c r="A323" s="6">
        <f>MOD(IF(ROW()=2,0.1,IF(INDEX(TimeEntry[WkEnd],ROW()-1)  =  INDEX(TimeEntry[WkEnd],ROW()-2),    INDEX(TimeEntry[format],ROW()-2),    INDEX(TimeEntry[format],ROW()-2)    +1)),2)</f>
        <v>1.1000000000000001</v>
      </c>
      <c r="B323" s="7"/>
      <c r="C323" s="8">
        <v>43936</v>
      </c>
      <c r="D323" s="8"/>
      <c r="E323" s="1" t="s">
        <v>451</v>
      </c>
      <c r="F323" s="8">
        <f>IF(TimeEntry[[#This Row],[Date]]=0,F322,C323+(7-Q323))</f>
        <v>43940</v>
      </c>
      <c r="G323" s="35" t="str">
        <f>INDEX(projects[Charge_Code],MATCH(TimeEntry[[#This Row],[Project_ID]],projects[Project_ID],0))</f>
        <v>210035-64 VBB 3rd - new bridge VO</v>
      </c>
      <c r="H323" s="1" t="str">
        <f t="shared" si="14"/>
        <v>Normal Time</v>
      </c>
      <c r="I323" s="1"/>
      <c r="J323" s="15">
        <v>7.5</v>
      </c>
      <c r="K323" s="15"/>
      <c r="L323" s="15"/>
      <c r="M323" s="15"/>
      <c r="N323" s="15"/>
      <c r="O323" s="15" t="str">
        <f>INDEX(projects[job number],MATCH(TimeEntry[[#This Row],[Project_ID]], projects[Project_ID],0))</f>
        <v>210035-64</v>
      </c>
      <c r="P323" s="15" t="str">
        <f>INDEX(projects[Project_Name],MATCH(TimeEntry[[#This Row],[Project_ID]], projects[Project_ID],0))</f>
        <v>VBB 3rd - new bridge VO</v>
      </c>
      <c r="Q323" s="6">
        <f>IF(TimeEntry[[#This Row],[Date]]=0,"",WEEKDAY(C323,2))</f>
        <v>3</v>
      </c>
      <c r="R323" s="9">
        <f>YEAR(TimeEntry[[#This Row],[WkEnd]])</f>
        <v>2020</v>
      </c>
      <c r="S323" s="9">
        <f>WEEKNUM(TimeEntry[[#This Row],[WkEnd]])</f>
        <v>17</v>
      </c>
      <c r="T323" s="9" t="str">
        <f>TimeEntry[[#This Row],[Year]]&amp;"-"&amp;TimeEntry[[#This Row],[WkNo]]</f>
        <v>2020-17</v>
      </c>
    </row>
    <row r="324" spans="1:20" x14ac:dyDescent="0.25">
      <c r="A324" s="6">
        <f>MOD(IF(ROW()=2,0.1,IF(INDEX(TimeEntry[WkEnd],ROW()-1)  =  INDEX(TimeEntry[WkEnd],ROW()-2),    INDEX(TimeEntry[format],ROW()-2),    INDEX(TimeEntry[format],ROW()-2)    +1)),2)</f>
        <v>1.1000000000000001</v>
      </c>
      <c r="B324" s="7"/>
      <c r="C324" s="8">
        <v>43935</v>
      </c>
      <c r="D324" s="8"/>
      <c r="E324" s="1" t="s">
        <v>451</v>
      </c>
      <c r="F324" s="8">
        <f>IF(TimeEntry[[#This Row],[Date]]=0,F323,C324+(7-Q324))</f>
        <v>43940</v>
      </c>
      <c r="G324" s="35" t="str">
        <f>INDEX(projects[Charge_Code],MATCH(TimeEntry[[#This Row],[Project_ID]],projects[Project_ID],0))</f>
        <v>210035-64 VBB 3rd - new bridge VO</v>
      </c>
      <c r="H324" s="1" t="str">
        <f t="shared" si="14"/>
        <v>Normal Time</v>
      </c>
      <c r="I324" s="1"/>
      <c r="J324" s="15">
        <v>7.5</v>
      </c>
      <c r="K324" s="15"/>
      <c r="L324" s="15"/>
      <c r="M324" s="15"/>
      <c r="N324" s="15"/>
      <c r="O324" s="15" t="str">
        <f>INDEX(projects[job number],MATCH(TimeEntry[[#This Row],[Project_ID]], projects[Project_ID],0))</f>
        <v>210035-64</v>
      </c>
      <c r="P324" s="15" t="str">
        <f>INDEX(projects[Project_Name],MATCH(TimeEntry[[#This Row],[Project_ID]], projects[Project_ID],0))</f>
        <v>VBB 3rd - new bridge VO</v>
      </c>
      <c r="Q324" s="6">
        <f>IF(TimeEntry[[#This Row],[Date]]=0,"",WEEKDAY(C324,2))</f>
        <v>2</v>
      </c>
      <c r="R324" s="9">
        <f>YEAR(TimeEntry[[#This Row],[WkEnd]])</f>
        <v>2020</v>
      </c>
      <c r="S324" s="9">
        <f>WEEKNUM(TimeEntry[[#This Row],[WkEnd]])</f>
        <v>17</v>
      </c>
      <c r="T324" s="9" t="str">
        <f>TimeEntry[[#This Row],[Year]]&amp;"-"&amp;TimeEntry[[#This Row],[WkNo]]</f>
        <v>2020-17</v>
      </c>
    </row>
    <row r="325" spans="1:20" x14ac:dyDescent="0.25">
      <c r="A325" s="6">
        <f>MOD(IF(ROW()=2,0.1,IF(INDEX(TimeEntry[WkEnd],ROW()-1)  =  INDEX(TimeEntry[WkEnd],ROW()-2),    INDEX(TimeEntry[format],ROW()-2),    INDEX(TimeEntry[format],ROW()-2)    +1)),2)</f>
        <v>1.1000000000000001</v>
      </c>
      <c r="B325" s="7"/>
      <c r="C325" s="8">
        <v>43934</v>
      </c>
      <c r="D325" s="8"/>
      <c r="E325" s="1" t="s">
        <v>449</v>
      </c>
      <c r="F325" s="8">
        <f>IF(TimeEntry[[#This Row],[Date]]=0,F324,C325+(7-Q325))</f>
        <v>43940</v>
      </c>
      <c r="G325" s="35" t="str">
        <f>INDEX(projects[Charge_Code],MATCH(TimeEntry[[#This Row],[Project_ID]],projects[Project_ID],0))</f>
        <v>BANK HOLIDAY Bank Holiday</v>
      </c>
      <c r="H325" s="1" t="str">
        <f t="shared" si="14"/>
        <v>Normal Time</v>
      </c>
      <c r="I325" s="1"/>
      <c r="J325" s="15">
        <v>7.5</v>
      </c>
      <c r="K325" s="15"/>
      <c r="L325" s="15"/>
      <c r="M325" s="15"/>
      <c r="N325" s="15"/>
      <c r="O325" s="15" t="str">
        <f>INDEX(projects[job number],MATCH(TimeEntry[[#This Row],[Project_ID]], projects[Project_ID],0))</f>
        <v>BANK HOLIDAY</v>
      </c>
      <c r="P325" s="15" t="str">
        <f>INDEX(projects[Project_Name],MATCH(TimeEntry[[#This Row],[Project_ID]], projects[Project_ID],0))</f>
        <v>Bank Holiday</v>
      </c>
      <c r="Q325" s="6">
        <f>IF(TimeEntry[[#This Row],[Date]]=0,"",WEEKDAY(C325,2))</f>
        <v>1</v>
      </c>
      <c r="R325" s="9">
        <f>YEAR(TimeEntry[[#This Row],[WkEnd]])</f>
        <v>2020</v>
      </c>
      <c r="S325" s="9">
        <f>WEEKNUM(TimeEntry[[#This Row],[WkEnd]])</f>
        <v>17</v>
      </c>
      <c r="T325" s="9" t="str">
        <f>TimeEntry[[#This Row],[Year]]&amp;"-"&amp;TimeEntry[[#This Row],[WkNo]]</f>
        <v>2020-17</v>
      </c>
    </row>
    <row r="326" spans="1:20" x14ac:dyDescent="0.25">
      <c r="A326" s="6">
        <f>MOD(IF(ROW()=2,0.1,IF(INDEX(TimeEntry[WkEnd],ROW()-1)  =  INDEX(TimeEntry[WkEnd],ROW()-2),    INDEX(TimeEntry[format],ROW()-2),    INDEX(TimeEntry[format],ROW()-2)    +1)),2)</f>
        <v>0.10000000000000009</v>
      </c>
      <c r="B326" s="7"/>
      <c r="C326" s="8">
        <v>43931</v>
      </c>
      <c r="D326" s="8"/>
      <c r="E326" s="1" t="s">
        <v>449</v>
      </c>
      <c r="F326" s="8">
        <f>IF(TimeEntry[[#This Row],[Date]]=0,F325,C326+(7-Q326))</f>
        <v>43933</v>
      </c>
      <c r="G326" s="35" t="str">
        <f>INDEX(projects[Charge_Code],MATCH(TimeEntry[[#This Row],[Project_ID]],projects[Project_ID],0))</f>
        <v>BANK HOLIDAY Bank Holiday</v>
      </c>
      <c r="H326" s="1" t="str">
        <f t="shared" si="14"/>
        <v>Normal Time</v>
      </c>
      <c r="I326" s="1"/>
      <c r="J326" s="15">
        <v>7.5</v>
      </c>
      <c r="K326" s="15"/>
      <c r="L326" s="15"/>
      <c r="M326" s="15"/>
      <c r="N326" s="15"/>
      <c r="O326" s="15" t="str">
        <f>INDEX(projects[job number],MATCH(TimeEntry[[#This Row],[Project_ID]], projects[Project_ID],0))</f>
        <v>BANK HOLIDAY</v>
      </c>
      <c r="P326" s="15" t="str">
        <f>INDEX(projects[Project_Name],MATCH(TimeEntry[[#This Row],[Project_ID]], projects[Project_ID],0))</f>
        <v>Bank Holiday</v>
      </c>
      <c r="Q326" s="6">
        <f>IF(TimeEntry[[#This Row],[Date]]=0,"",WEEKDAY(C326,2))</f>
        <v>5</v>
      </c>
      <c r="R326" s="9">
        <f>YEAR(TimeEntry[[#This Row],[WkEnd]])</f>
        <v>2020</v>
      </c>
      <c r="S326" s="9">
        <f>WEEKNUM(TimeEntry[[#This Row],[WkEnd]])</f>
        <v>16</v>
      </c>
      <c r="T326" s="9" t="str">
        <f>TimeEntry[[#This Row],[Year]]&amp;"-"&amp;TimeEntry[[#This Row],[WkNo]]</f>
        <v>2020-16</v>
      </c>
    </row>
    <row r="327" spans="1:20" x14ac:dyDescent="0.25">
      <c r="A327" s="6">
        <f>MOD(IF(ROW()=2,0.1,IF(INDEX(TimeEntry[WkEnd],ROW()-1)  =  INDEX(TimeEntry[WkEnd],ROW()-2),    INDEX(TimeEntry[format],ROW()-2),    INDEX(TimeEntry[format],ROW()-2)    +1)),2)</f>
        <v>0.10000000000000009</v>
      </c>
      <c r="B327" s="7"/>
      <c r="C327" s="8">
        <v>43930</v>
      </c>
      <c r="D327" s="8"/>
      <c r="E327" s="1" t="s">
        <v>451</v>
      </c>
      <c r="F327" s="8">
        <f>IF(TimeEntry[[#This Row],[Date]]=0,F326,C327+(7-Q327))</f>
        <v>43933</v>
      </c>
      <c r="G327" s="35" t="str">
        <f>INDEX(projects[Charge_Code],MATCH(TimeEntry[[#This Row],[Project_ID]],projects[Project_ID],0))</f>
        <v>210035-64 VBB 3rd - new bridge VO</v>
      </c>
      <c r="H327" s="1" t="str">
        <f t="shared" si="14"/>
        <v>Normal Time</v>
      </c>
      <c r="I327" s="1"/>
      <c r="J327" s="15">
        <v>7.5</v>
      </c>
      <c r="K327" s="15"/>
      <c r="L327" s="15"/>
      <c r="M327" s="15"/>
      <c r="N327" s="15"/>
      <c r="O327" s="15" t="str">
        <f>INDEX(projects[job number],MATCH(TimeEntry[[#This Row],[Project_ID]], projects[Project_ID],0))</f>
        <v>210035-64</v>
      </c>
      <c r="P327" s="15" t="str">
        <f>INDEX(projects[Project_Name],MATCH(TimeEntry[[#This Row],[Project_ID]], projects[Project_ID],0))</f>
        <v>VBB 3rd - new bridge VO</v>
      </c>
      <c r="Q327" s="6">
        <f>IF(TimeEntry[[#This Row],[Date]]=0,"",WEEKDAY(C327,2))</f>
        <v>4</v>
      </c>
      <c r="R327" s="9">
        <f>YEAR(TimeEntry[[#This Row],[WkEnd]])</f>
        <v>2020</v>
      </c>
      <c r="S327" s="9">
        <f>WEEKNUM(TimeEntry[[#This Row],[WkEnd]])</f>
        <v>16</v>
      </c>
      <c r="T327" s="9" t="str">
        <f>TimeEntry[[#This Row],[Year]]&amp;"-"&amp;TimeEntry[[#This Row],[WkNo]]</f>
        <v>2020-16</v>
      </c>
    </row>
    <row r="328" spans="1:20" x14ac:dyDescent="0.25">
      <c r="A328" s="6">
        <f>MOD(IF(ROW()=2,0.1,IF(INDEX(TimeEntry[WkEnd],ROW()-1)  =  INDEX(TimeEntry[WkEnd],ROW()-2),    INDEX(TimeEntry[format],ROW()-2),    INDEX(TimeEntry[format],ROW()-2)    +1)),2)</f>
        <v>0.10000000000000009</v>
      </c>
      <c r="B328" s="7"/>
      <c r="C328" s="8">
        <v>43929</v>
      </c>
      <c r="D328" s="8"/>
      <c r="E328" s="1" t="s">
        <v>451</v>
      </c>
      <c r="F328" s="8">
        <f>IF(TimeEntry[[#This Row],[Date]]=0,F327,C328+(7-Q328))</f>
        <v>43933</v>
      </c>
      <c r="G328" s="35" t="str">
        <f>INDEX(projects[Charge_Code],MATCH(TimeEntry[[#This Row],[Project_ID]],projects[Project_ID],0))</f>
        <v>210035-64 VBB 3rd - new bridge VO</v>
      </c>
      <c r="H328" s="1" t="str">
        <f t="shared" ref="H328:H391" si="15">"Normal Time"</f>
        <v>Normal Time</v>
      </c>
      <c r="I328" s="1"/>
      <c r="J328" s="15">
        <v>7.5</v>
      </c>
      <c r="K328" s="15"/>
      <c r="L328" s="15"/>
      <c r="M328" s="15"/>
      <c r="N328" s="15"/>
      <c r="O328" s="15" t="str">
        <f>INDEX(projects[job number],MATCH(TimeEntry[[#This Row],[Project_ID]], projects[Project_ID],0))</f>
        <v>210035-64</v>
      </c>
      <c r="P328" s="15" t="str">
        <f>INDEX(projects[Project_Name],MATCH(TimeEntry[[#This Row],[Project_ID]], projects[Project_ID],0))</f>
        <v>VBB 3rd - new bridge VO</v>
      </c>
      <c r="Q328" s="6">
        <f>IF(TimeEntry[[#This Row],[Date]]=0,"",WEEKDAY(C328,2))</f>
        <v>3</v>
      </c>
      <c r="R328" s="9">
        <f>YEAR(TimeEntry[[#This Row],[WkEnd]])</f>
        <v>2020</v>
      </c>
      <c r="S328" s="9">
        <f>WEEKNUM(TimeEntry[[#This Row],[WkEnd]])</f>
        <v>16</v>
      </c>
      <c r="T328" s="9" t="str">
        <f>TimeEntry[[#This Row],[Year]]&amp;"-"&amp;TimeEntry[[#This Row],[WkNo]]</f>
        <v>2020-16</v>
      </c>
    </row>
    <row r="329" spans="1:20" x14ac:dyDescent="0.25">
      <c r="A329" s="6">
        <f>MOD(IF(ROW()=2,0.1,IF(INDEX(TimeEntry[WkEnd],ROW()-1)  =  INDEX(TimeEntry[WkEnd],ROW()-2),    INDEX(TimeEntry[format],ROW()-2),    INDEX(TimeEntry[format],ROW()-2)    +1)),2)</f>
        <v>0.10000000000000009</v>
      </c>
      <c r="B329" s="7"/>
      <c r="C329" s="8">
        <v>43928</v>
      </c>
      <c r="D329" s="8"/>
      <c r="E329" s="1" t="s">
        <v>451</v>
      </c>
      <c r="F329" s="8">
        <f>IF(TimeEntry[[#This Row],[Date]]=0,F328,C329+(7-Q329))</f>
        <v>43933</v>
      </c>
      <c r="G329" s="35" t="str">
        <f>INDEX(projects[Charge_Code],MATCH(TimeEntry[[#This Row],[Project_ID]],projects[Project_ID],0))</f>
        <v>210035-64 VBB 3rd - new bridge VO</v>
      </c>
      <c r="H329" s="1" t="str">
        <f t="shared" si="15"/>
        <v>Normal Time</v>
      </c>
      <c r="I329" s="1"/>
      <c r="J329" s="15">
        <v>7.5</v>
      </c>
      <c r="K329" s="15"/>
      <c r="L329" s="15"/>
      <c r="M329" s="15"/>
      <c r="N329" s="15"/>
      <c r="O329" s="15" t="str">
        <f>INDEX(projects[job number],MATCH(TimeEntry[[#This Row],[Project_ID]], projects[Project_ID],0))</f>
        <v>210035-64</v>
      </c>
      <c r="P329" s="15" t="str">
        <f>INDEX(projects[Project_Name],MATCH(TimeEntry[[#This Row],[Project_ID]], projects[Project_ID],0))</f>
        <v>VBB 3rd - new bridge VO</v>
      </c>
      <c r="Q329" s="6">
        <f>IF(TimeEntry[[#This Row],[Date]]=0,"",WEEKDAY(C329,2))</f>
        <v>2</v>
      </c>
      <c r="R329" s="9">
        <f>YEAR(TimeEntry[[#This Row],[WkEnd]])</f>
        <v>2020</v>
      </c>
      <c r="S329" s="9">
        <f>WEEKNUM(TimeEntry[[#This Row],[WkEnd]])</f>
        <v>16</v>
      </c>
      <c r="T329" s="9" t="str">
        <f>TimeEntry[[#This Row],[Year]]&amp;"-"&amp;TimeEntry[[#This Row],[WkNo]]</f>
        <v>2020-16</v>
      </c>
    </row>
    <row r="330" spans="1:20" x14ac:dyDescent="0.25">
      <c r="A330" s="6">
        <f>MOD(IF(ROW()=2,0.1,IF(INDEX(TimeEntry[WkEnd],ROW()-1)  =  INDEX(TimeEntry[WkEnd],ROW()-2),    INDEX(TimeEntry[format],ROW()-2),    INDEX(TimeEntry[format],ROW()-2)    +1)),2)</f>
        <v>0.10000000000000009</v>
      </c>
      <c r="B330" s="7"/>
      <c r="C330" s="8">
        <v>43927</v>
      </c>
      <c r="D330" s="8"/>
      <c r="E330" s="1" t="s">
        <v>451</v>
      </c>
      <c r="F330" s="8">
        <f>IF(TimeEntry[[#This Row],[Date]]=0,F329,C330+(7-Q330))</f>
        <v>43933</v>
      </c>
      <c r="G330" s="35" t="str">
        <f>INDEX(projects[Charge_Code],MATCH(TimeEntry[[#This Row],[Project_ID]],projects[Project_ID],0))</f>
        <v>210035-64 VBB 3rd - new bridge VO</v>
      </c>
      <c r="H330" s="1" t="str">
        <f t="shared" si="15"/>
        <v>Normal Time</v>
      </c>
      <c r="I330" s="1"/>
      <c r="J330" s="15">
        <v>7.5</v>
      </c>
      <c r="K330" s="15"/>
      <c r="L330" s="15"/>
      <c r="M330" s="15"/>
      <c r="N330" s="15"/>
      <c r="O330" s="15" t="str">
        <f>INDEX(projects[job number],MATCH(TimeEntry[[#This Row],[Project_ID]], projects[Project_ID],0))</f>
        <v>210035-64</v>
      </c>
      <c r="P330" s="15" t="str">
        <f>INDEX(projects[Project_Name],MATCH(TimeEntry[[#This Row],[Project_ID]], projects[Project_ID],0))</f>
        <v>VBB 3rd - new bridge VO</v>
      </c>
      <c r="Q330" s="6">
        <f>IF(TimeEntry[[#This Row],[Date]]=0,"",WEEKDAY(C330,2))</f>
        <v>1</v>
      </c>
      <c r="R330" s="9">
        <f>YEAR(TimeEntry[[#This Row],[WkEnd]])</f>
        <v>2020</v>
      </c>
      <c r="S330" s="9">
        <f>WEEKNUM(TimeEntry[[#This Row],[WkEnd]])</f>
        <v>16</v>
      </c>
      <c r="T330" s="9" t="str">
        <f>TimeEntry[[#This Row],[Year]]&amp;"-"&amp;TimeEntry[[#This Row],[WkNo]]</f>
        <v>2020-16</v>
      </c>
    </row>
    <row r="331" spans="1:20" x14ac:dyDescent="0.25">
      <c r="A331" s="6">
        <f>MOD(IF(ROW()=2,0.1,IF(INDEX(TimeEntry[WkEnd],ROW()-1)  =  INDEX(TimeEntry[WkEnd],ROW()-2),    INDEX(TimeEntry[format],ROW()-2),    INDEX(TimeEntry[format],ROW()-2)    +1)),2)</f>
        <v>1.1000000000000001</v>
      </c>
      <c r="B331" s="7"/>
      <c r="C331" s="8">
        <v>43924</v>
      </c>
      <c r="D331" s="8"/>
      <c r="E331" s="1" t="s">
        <v>451</v>
      </c>
      <c r="F331" s="8">
        <f>IF(TimeEntry[[#This Row],[Date]]=0,F330,C331+(7-Q331))</f>
        <v>43926</v>
      </c>
      <c r="G331" s="35" t="str">
        <f>INDEX(projects[Charge_Code],MATCH(TimeEntry[[#This Row],[Project_ID]],projects[Project_ID],0))</f>
        <v>210035-64 VBB 3rd - new bridge VO</v>
      </c>
      <c r="H331" s="1" t="str">
        <f t="shared" si="15"/>
        <v>Normal Time</v>
      </c>
      <c r="I331" s="1"/>
      <c r="J331" s="15">
        <v>7.5</v>
      </c>
      <c r="K331" s="15"/>
      <c r="L331" s="15"/>
      <c r="M331" s="15"/>
      <c r="N331" s="15"/>
      <c r="O331" s="15" t="str">
        <f>INDEX(projects[job number],MATCH(TimeEntry[[#This Row],[Project_ID]], projects[Project_ID],0))</f>
        <v>210035-64</v>
      </c>
      <c r="P331" s="15" t="str">
        <f>INDEX(projects[Project_Name],MATCH(TimeEntry[[#This Row],[Project_ID]], projects[Project_ID],0))</f>
        <v>VBB 3rd - new bridge VO</v>
      </c>
      <c r="Q331" s="6">
        <f>IF(TimeEntry[[#This Row],[Date]]=0,"",WEEKDAY(C331,2))</f>
        <v>5</v>
      </c>
      <c r="R331" s="9">
        <f>YEAR(TimeEntry[[#This Row],[WkEnd]])</f>
        <v>2020</v>
      </c>
      <c r="S331" s="9">
        <f>WEEKNUM(TimeEntry[[#This Row],[WkEnd]])</f>
        <v>15</v>
      </c>
      <c r="T331" s="9" t="str">
        <f>TimeEntry[[#This Row],[Year]]&amp;"-"&amp;TimeEntry[[#This Row],[WkNo]]</f>
        <v>2020-15</v>
      </c>
    </row>
    <row r="332" spans="1:20" x14ac:dyDescent="0.25">
      <c r="A332" s="6">
        <f>MOD(IF(ROW()=2,0.1,IF(INDEX(TimeEntry[WkEnd],ROW()-1)  =  INDEX(TimeEntry[WkEnd],ROW()-2),    INDEX(TimeEntry[format],ROW()-2),    INDEX(TimeEntry[format],ROW()-2)    +1)),2)</f>
        <v>1.1000000000000001</v>
      </c>
      <c r="B332" s="7"/>
      <c r="C332" s="8">
        <v>43923</v>
      </c>
      <c r="D332" s="8"/>
      <c r="E332" s="1" t="s">
        <v>451</v>
      </c>
      <c r="F332" s="8">
        <f>IF(TimeEntry[[#This Row],[Date]]=0,F331,C332+(7-Q332))</f>
        <v>43926</v>
      </c>
      <c r="G332" s="35" t="str">
        <f>INDEX(projects[Charge_Code],MATCH(TimeEntry[[#This Row],[Project_ID]],projects[Project_ID],0))</f>
        <v>210035-64 VBB 3rd - new bridge VO</v>
      </c>
      <c r="H332" s="1" t="str">
        <f t="shared" si="15"/>
        <v>Normal Time</v>
      </c>
      <c r="I332" s="1"/>
      <c r="J332" s="15">
        <v>7.5</v>
      </c>
      <c r="K332" s="15"/>
      <c r="L332" s="15"/>
      <c r="M332" s="15"/>
      <c r="N332" s="15"/>
      <c r="O332" s="15" t="str">
        <f>INDEX(projects[job number],MATCH(TimeEntry[[#This Row],[Project_ID]], projects[Project_ID],0))</f>
        <v>210035-64</v>
      </c>
      <c r="P332" s="15" t="str">
        <f>INDEX(projects[Project_Name],MATCH(TimeEntry[[#This Row],[Project_ID]], projects[Project_ID],0))</f>
        <v>VBB 3rd - new bridge VO</v>
      </c>
      <c r="Q332" s="6">
        <f>IF(TimeEntry[[#This Row],[Date]]=0,"",WEEKDAY(C332,2))</f>
        <v>4</v>
      </c>
      <c r="R332" s="9">
        <f>YEAR(TimeEntry[[#This Row],[WkEnd]])</f>
        <v>2020</v>
      </c>
      <c r="S332" s="9">
        <f>WEEKNUM(TimeEntry[[#This Row],[WkEnd]])</f>
        <v>15</v>
      </c>
      <c r="T332" s="9" t="str">
        <f>TimeEntry[[#This Row],[Year]]&amp;"-"&amp;TimeEntry[[#This Row],[WkNo]]</f>
        <v>2020-15</v>
      </c>
    </row>
    <row r="333" spans="1:20" x14ac:dyDescent="0.25">
      <c r="A333" s="6">
        <f>MOD(IF(ROW()=2,0.1,IF(INDEX(TimeEntry[WkEnd],ROW()-1)  =  INDEX(TimeEntry[WkEnd],ROW()-2),    INDEX(TimeEntry[format],ROW()-2),    INDEX(TimeEntry[format],ROW()-2)    +1)),2)</f>
        <v>1.1000000000000001</v>
      </c>
      <c r="B333" s="7"/>
      <c r="C333" s="8">
        <v>43922</v>
      </c>
      <c r="D333" s="8"/>
      <c r="E333" s="1" t="s">
        <v>451</v>
      </c>
      <c r="F333" s="8">
        <f>IF(TimeEntry[[#This Row],[Date]]=0,F332,C333+(7-Q333))</f>
        <v>43926</v>
      </c>
      <c r="G333" s="35" t="str">
        <f>INDEX(projects[Charge_Code],MATCH(TimeEntry[[#This Row],[Project_ID]],projects[Project_ID],0))</f>
        <v>210035-64 VBB 3rd - new bridge VO</v>
      </c>
      <c r="H333" s="1" t="str">
        <f t="shared" si="15"/>
        <v>Normal Time</v>
      </c>
      <c r="I333" s="1"/>
      <c r="J333" s="15">
        <v>7.5</v>
      </c>
      <c r="K333" s="15"/>
      <c r="L333" s="15"/>
      <c r="M333" s="15"/>
      <c r="N333" s="15"/>
      <c r="O333" s="15" t="str">
        <f>INDEX(projects[job number],MATCH(TimeEntry[[#This Row],[Project_ID]], projects[Project_ID],0))</f>
        <v>210035-64</v>
      </c>
      <c r="P333" s="15" t="str">
        <f>INDEX(projects[Project_Name],MATCH(TimeEntry[[#This Row],[Project_ID]], projects[Project_ID],0))</f>
        <v>VBB 3rd - new bridge VO</v>
      </c>
      <c r="Q333" s="6">
        <f>IF(TimeEntry[[#This Row],[Date]]=0,"",WEEKDAY(C333,2))</f>
        <v>3</v>
      </c>
      <c r="R333" s="9">
        <f>YEAR(TimeEntry[[#This Row],[WkEnd]])</f>
        <v>2020</v>
      </c>
      <c r="S333" s="9">
        <f>WEEKNUM(TimeEntry[[#This Row],[WkEnd]])</f>
        <v>15</v>
      </c>
      <c r="T333" s="9" t="str">
        <f>TimeEntry[[#This Row],[Year]]&amp;"-"&amp;TimeEntry[[#This Row],[WkNo]]</f>
        <v>2020-15</v>
      </c>
    </row>
    <row r="334" spans="1:20" x14ac:dyDescent="0.25">
      <c r="A334" s="6">
        <f>MOD(IF(ROW()=2,0.1,IF(INDEX(TimeEntry[WkEnd],ROW()-1)  =  INDEX(TimeEntry[WkEnd],ROW()-2),    INDEX(TimeEntry[format],ROW()-2),    INDEX(TimeEntry[format],ROW()-2)    +1)),2)</f>
        <v>1.1000000000000001</v>
      </c>
      <c r="B334" s="7"/>
      <c r="C334" s="8">
        <v>43921</v>
      </c>
      <c r="D334" s="8"/>
      <c r="E334" s="1" t="s">
        <v>451</v>
      </c>
      <c r="F334" s="8">
        <f>IF(TimeEntry[[#This Row],[Date]]=0,F333,C334+(7-Q334))</f>
        <v>43926</v>
      </c>
      <c r="G334" s="35" t="str">
        <f>INDEX(projects[Charge_Code],MATCH(TimeEntry[[#This Row],[Project_ID]],projects[Project_ID],0))</f>
        <v>210035-64 VBB 3rd - new bridge VO</v>
      </c>
      <c r="H334" s="1" t="str">
        <f t="shared" si="15"/>
        <v>Normal Time</v>
      </c>
      <c r="I334" s="1"/>
      <c r="J334" s="15">
        <v>7.5</v>
      </c>
      <c r="K334" s="15"/>
      <c r="L334" s="15"/>
      <c r="M334" s="15"/>
      <c r="N334" s="15"/>
      <c r="O334" s="15" t="str">
        <f>INDEX(projects[job number],MATCH(TimeEntry[[#This Row],[Project_ID]], projects[Project_ID],0))</f>
        <v>210035-64</v>
      </c>
      <c r="P334" s="15" t="str">
        <f>INDEX(projects[Project_Name],MATCH(TimeEntry[[#This Row],[Project_ID]], projects[Project_ID],0))</f>
        <v>VBB 3rd - new bridge VO</v>
      </c>
      <c r="Q334" s="6">
        <f>IF(TimeEntry[[#This Row],[Date]]=0,"",WEEKDAY(C334,2))</f>
        <v>2</v>
      </c>
      <c r="R334" s="9">
        <f>YEAR(TimeEntry[[#This Row],[WkEnd]])</f>
        <v>2020</v>
      </c>
      <c r="S334" s="9">
        <f>WEEKNUM(TimeEntry[[#This Row],[WkEnd]])</f>
        <v>15</v>
      </c>
      <c r="T334" s="9" t="str">
        <f>TimeEntry[[#This Row],[Year]]&amp;"-"&amp;TimeEntry[[#This Row],[WkNo]]</f>
        <v>2020-15</v>
      </c>
    </row>
    <row r="335" spans="1:20" x14ac:dyDescent="0.25">
      <c r="A335" s="6">
        <f>MOD(IF(ROW()=2,0.1,IF(INDEX(TimeEntry[WkEnd],ROW()-1)  =  INDEX(TimeEntry[WkEnd],ROW()-2),    INDEX(TimeEntry[format],ROW()-2),    INDEX(TimeEntry[format],ROW()-2)    +1)),2)</f>
        <v>1.1000000000000001</v>
      </c>
      <c r="B335" s="7"/>
      <c r="C335" s="8">
        <v>43920</v>
      </c>
      <c r="D335" s="8"/>
      <c r="E335" s="1" t="s">
        <v>451</v>
      </c>
      <c r="F335" s="8">
        <f>IF(TimeEntry[[#This Row],[Date]]=0,F334,C335+(7-Q335))</f>
        <v>43926</v>
      </c>
      <c r="G335" s="35" t="str">
        <f>INDEX(projects[Charge_Code],MATCH(TimeEntry[[#This Row],[Project_ID]],projects[Project_ID],0))</f>
        <v>210035-64 VBB 3rd - new bridge VO</v>
      </c>
      <c r="H335" s="1" t="str">
        <f t="shared" si="15"/>
        <v>Normal Time</v>
      </c>
      <c r="I335" s="1"/>
      <c r="J335" s="15">
        <v>7.5</v>
      </c>
      <c r="K335" s="15"/>
      <c r="L335" s="15"/>
      <c r="M335" s="15"/>
      <c r="N335" s="15"/>
      <c r="O335" s="15" t="str">
        <f>INDEX(projects[job number],MATCH(TimeEntry[[#This Row],[Project_ID]], projects[Project_ID],0))</f>
        <v>210035-64</v>
      </c>
      <c r="P335" s="15" t="str">
        <f>INDEX(projects[Project_Name],MATCH(TimeEntry[[#This Row],[Project_ID]], projects[Project_ID],0))</f>
        <v>VBB 3rd - new bridge VO</v>
      </c>
      <c r="Q335" s="6">
        <f>IF(TimeEntry[[#This Row],[Date]]=0,"",WEEKDAY(C335,2))</f>
        <v>1</v>
      </c>
      <c r="R335" s="9">
        <f>YEAR(TimeEntry[[#This Row],[WkEnd]])</f>
        <v>2020</v>
      </c>
      <c r="S335" s="9">
        <f>WEEKNUM(TimeEntry[[#This Row],[WkEnd]])</f>
        <v>15</v>
      </c>
      <c r="T335" s="9" t="str">
        <f>TimeEntry[[#This Row],[Year]]&amp;"-"&amp;TimeEntry[[#This Row],[WkNo]]</f>
        <v>2020-15</v>
      </c>
    </row>
    <row r="336" spans="1:20" x14ac:dyDescent="0.25">
      <c r="A336" s="6">
        <f>MOD(IF(ROW()=2,0.1,IF(INDEX(TimeEntry[WkEnd],ROW()-1)  =  INDEX(TimeEntry[WkEnd],ROW()-2),    INDEX(TimeEntry[format],ROW()-2),    INDEX(TimeEntry[format],ROW()-2)    +1)),2)</f>
        <v>0.10000000000000009</v>
      </c>
      <c r="B336" s="7"/>
      <c r="C336" s="8">
        <v>43913</v>
      </c>
      <c r="D336" s="8"/>
      <c r="E336" s="1" t="s">
        <v>451</v>
      </c>
      <c r="F336" s="8">
        <f>IF(TimeEntry[[#This Row],[Date]]=0,F335,C336+(7-Q336))</f>
        <v>43919</v>
      </c>
      <c r="G336" s="35" t="str">
        <f>INDEX(projects[Charge_Code],MATCH(TimeEntry[[#This Row],[Project_ID]],projects[Project_ID],0))</f>
        <v>210035-64 VBB 3rd - new bridge VO</v>
      </c>
      <c r="H336" s="1" t="str">
        <f t="shared" si="15"/>
        <v>Normal Time</v>
      </c>
      <c r="I336" s="1"/>
      <c r="J336" s="15">
        <v>7.5</v>
      </c>
      <c r="K336" s="15"/>
      <c r="L336" s="15"/>
      <c r="M336" s="15"/>
      <c r="N336" s="15"/>
      <c r="O336" s="15" t="str">
        <f>INDEX(projects[job number],MATCH(TimeEntry[[#This Row],[Project_ID]], projects[Project_ID],0))</f>
        <v>210035-64</v>
      </c>
      <c r="P336" s="15" t="str">
        <f>INDEX(projects[Project_Name],MATCH(TimeEntry[[#This Row],[Project_ID]], projects[Project_ID],0))</f>
        <v>VBB 3rd - new bridge VO</v>
      </c>
      <c r="Q336" s="6">
        <f>IF(TimeEntry[[#This Row],[Date]]=0,"",WEEKDAY(C336,2))</f>
        <v>1</v>
      </c>
      <c r="R336" s="9">
        <f>YEAR(TimeEntry[[#This Row],[WkEnd]])</f>
        <v>2020</v>
      </c>
      <c r="S336" s="9">
        <f>WEEKNUM(TimeEntry[[#This Row],[WkEnd]])</f>
        <v>14</v>
      </c>
      <c r="T336" s="9" t="str">
        <f>TimeEntry[[#This Row],[Year]]&amp;"-"&amp;TimeEntry[[#This Row],[WkNo]]</f>
        <v>2020-14</v>
      </c>
    </row>
    <row r="337" spans="1:20" x14ac:dyDescent="0.25">
      <c r="A337" s="6">
        <f>MOD(IF(ROW()=2,0.1,IF(INDEX(TimeEntry[WkEnd],ROW()-1)  =  INDEX(TimeEntry[WkEnd],ROW()-2),    INDEX(TimeEntry[format],ROW()-2),    INDEX(TimeEntry[format],ROW()-2)    +1)),2)</f>
        <v>0.10000000000000009</v>
      </c>
      <c r="B337" s="7"/>
      <c r="C337" s="8">
        <v>43914</v>
      </c>
      <c r="D337" s="8"/>
      <c r="E337" s="1" t="s">
        <v>451</v>
      </c>
      <c r="F337" s="8">
        <f>IF(TimeEntry[[#This Row],[Date]]=0,F336,C337+(7-Q337))</f>
        <v>43919</v>
      </c>
      <c r="G337" s="35" t="str">
        <f>INDEX(projects[Charge_Code],MATCH(TimeEntry[[#This Row],[Project_ID]],projects[Project_ID],0))</f>
        <v>210035-64 VBB 3rd - new bridge VO</v>
      </c>
      <c r="H337" s="1" t="str">
        <f t="shared" si="15"/>
        <v>Normal Time</v>
      </c>
      <c r="I337" s="1"/>
      <c r="J337" s="15">
        <v>7.5</v>
      </c>
      <c r="K337" s="15"/>
      <c r="L337" s="15"/>
      <c r="M337" s="15"/>
      <c r="N337" s="15"/>
      <c r="O337" s="15" t="str">
        <f>INDEX(projects[job number],MATCH(TimeEntry[[#This Row],[Project_ID]], projects[Project_ID],0))</f>
        <v>210035-64</v>
      </c>
      <c r="P337" s="15" t="str">
        <f>INDEX(projects[Project_Name],MATCH(TimeEntry[[#This Row],[Project_ID]], projects[Project_ID],0))</f>
        <v>VBB 3rd - new bridge VO</v>
      </c>
      <c r="Q337" s="6">
        <f>IF(TimeEntry[[#This Row],[Date]]=0,"",WEEKDAY(C337,2))</f>
        <v>2</v>
      </c>
      <c r="R337" s="9">
        <f>YEAR(TimeEntry[[#This Row],[WkEnd]])</f>
        <v>2020</v>
      </c>
      <c r="S337" s="9">
        <f>WEEKNUM(TimeEntry[[#This Row],[WkEnd]])</f>
        <v>14</v>
      </c>
      <c r="T337" s="9" t="str">
        <f>TimeEntry[[#This Row],[Year]]&amp;"-"&amp;TimeEntry[[#This Row],[WkNo]]</f>
        <v>2020-14</v>
      </c>
    </row>
    <row r="338" spans="1:20" x14ac:dyDescent="0.25">
      <c r="A338" s="6">
        <f>MOD(IF(ROW()=2,0.1,IF(INDEX(TimeEntry[WkEnd],ROW()-1)  =  INDEX(TimeEntry[WkEnd],ROW()-2),    INDEX(TimeEntry[format],ROW()-2),    INDEX(TimeEntry[format],ROW()-2)    +1)),2)</f>
        <v>0.10000000000000009</v>
      </c>
      <c r="B338" s="7"/>
      <c r="C338" s="8">
        <v>43915</v>
      </c>
      <c r="D338" s="8"/>
      <c r="E338" s="1" t="s">
        <v>451</v>
      </c>
      <c r="F338" s="8">
        <f>IF(TimeEntry[[#This Row],[Date]]=0,F337,C338+(7-Q338))</f>
        <v>43919</v>
      </c>
      <c r="G338" s="35" t="str">
        <f>INDEX(projects[Charge_Code],MATCH(TimeEntry[[#This Row],[Project_ID]],projects[Project_ID],0))</f>
        <v>210035-64 VBB 3rd - new bridge VO</v>
      </c>
      <c r="H338" s="1" t="str">
        <f t="shared" si="15"/>
        <v>Normal Time</v>
      </c>
      <c r="I338" s="1"/>
      <c r="J338" s="15">
        <v>7.5</v>
      </c>
      <c r="K338" s="15"/>
      <c r="L338" s="15"/>
      <c r="M338" s="15"/>
      <c r="N338" s="15"/>
      <c r="O338" s="15" t="str">
        <f>INDEX(projects[job number],MATCH(TimeEntry[[#This Row],[Project_ID]], projects[Project_ID],0))</f>
        <v>210035-64</v>
      </c>
      <c r="P338" s="15" t="str">
        <f>INDEX(projects[Project_Name],MATCH(TimeEntry[[#This Row],[Project_ID]], projects[Project_ID],0))</f>
        <v>VBB 3rd - new bridge VO</v>
      </c>
      <c r="Q338" s="6">
        <f>IF(TimeEntry[[#This Row],[Date]]=0,"",WEEKDAY(C338,2))</f>
        <v>3</v>
      </c>
      <c r="R338" s="9">
        <f>YEAR(TimeEntry[[#This Row],[WkEnd]])</f>
        <v>2020</v>
      </c>
      <c r="S338" s="9">
        <f>WEEKNUM(TimeEntry[[#This Row],[WkEnd]])</f>
        <v>14</v>
      </c>
      <c r="T338" s="9" t="str">
        <f>TimeEntry[[#This Row],[Year]]&amp;"-"&amp;TimeEntry[[#This Row],[WkNo]]</f>
        <v>2020-14</v>
      </c>
    </row>
    <row r="339" spans="1:20" x14ac:dyDescent="0.25">
      <c r="A339" s="6">
        <f>MOD(IF(ROW()=2,0.1,IF(INDEX(TimeEntry[WkEnd],ROW()-1)  =  INDEX(TimeEntry[WkEnd],ROW()-2),    INDEX(TimeEntry[format],ROW()-2),    INDEX(TimeEntry[format],ROW()-2)    +1)),2)</f>
        <v>0.10000000000000009</v>
      </c>
      <c r="B339" s="7"/>
      <c r="C339" s="8">
        <v>43916</v>
      </c>
      <c r="D339" s="8"/>
      <c r="E339" s="1" t="s">
        <v>451</v>
      </c>
      <c r="F339" s="8">
        <f>IF(TimeEntry[[#This Row],[Date]]=0,F338,C339+(7-Q339))</f>
        <v>43919</v>
      </c>
      <c r="G339" s="35" t="str">
        <f>INDEX(projects[Charge_Code],MATCH(TimeEntry[[#This Row],[Project_ID]],projects[Project_ID],0))</f>
        <v>210035-64 VBB 3rd - new bridge VO</v>
      </c>
      <c r="H339" s="1" t="str">
        <f t="shared" si="15"/>
        <v>Normal Time</v>
      </c>
      <c r="I339" s="1"/>
      <c r="J339" s="15">
        <v>7.5</v>
      </c>
      <c r="K339" s="15"/>
      <c r="L339" s="15"/>
      <c r="M339" s="15"/>
      <c r="N339" s="15"/>
      <c r="O339" s="15" t="str">
        <f>INDEX(projects[job number],MATCH(TimeEntry[[#This Row],[Project_ID]], projects[Project_ID],0))</f>
        <v>210035-64</v>
      </c>
      <c r="P339" s="15" t="str">
        <f>INDEX(projects[Project_Name],MATCH(TimeEntry[[#This Row],[Project_ID]], projects[Project_ID],0))</f>
        <v>VBB 3rd - new bridge VO</v>
      </c>
      <c r="Q339" s="6">
        <f>IF(TimeEntry[[#This Row],[Date]]=0,"",WEEKDAY(C339,2))</f>
        <v>4</v>
      </c>
      <c r="R339" s="9">
        <f>YEAR(TimeEntry[[#This Row],[WkEnd]])</f>
        <v>2020</v>
      </c>
      <c r="S339" s="9">
        <f>WEEKNUM(TimeEntry[[#This Row],[WkEnd]])</f>
        <v>14</v>
      </c>
      <c r="T339" s="9" t="str">
        <f>TimeEntry[[#This Row],[Year]]&amp;"-"&amp;TimeEntry[[#This Row],[WkNo]]</f>
        <v>2020-14</v>
      </c>
    </row>
    <row r="340" spans="1:20" x14ac:dyDescent="0.25">
      <c r="A340" s="6">
        <f>MOD(IF(ROW()=2,0.1,IF(INDEX(TimeEntry[WkEnd],ROW()-1)  =  INDEX(TimeEntry[WkEnd],ROW()-2),    INDEX(TimeEntry[format],ROW()-2),    INDEX(TimeEntry[format],ROW()-2)    +1)),2)</f>
        <v>0.10000000000000009</v>
      </c>
      <c r="B340" s="7"/>
      <c r="C340" s="8">
        <v>43917</v>
      </c>
      <c r="D340" s="8"/>
      <c r="E340" s="1" t="s">
        <v>451</v>
      </c>
      <c r="F340" s="8">
        <f>IF(TimeEntry[[#This Row],[Date]]=0,F339,C340+(7-Q340))</f>
        <v>43919</v>
      </c>
      <c r="G340" s="35" t="str">
        <f>INDEX(projects[Charge_Code],MATCH(TimeEntry[[#This Row],[Project_ID]],projects[Project_ID],0))</f>
        <v>210035-64 VBB 3rd - new bridge VO</v>
      </c>
      <c r="H340" s="1" t="str">
        <f t="shared" si="15"/>
        <v>Normal Time</v>
      </c>
      <c r="I340" s="1"/>
      <c r="J340" s="15">
        <v>7.5</v>
      </c>
      <c r="K340" s="15"/>
      <c r="L340" s="15"/>
      <c r="M340" s="15"/>
      <c r="N340" s="15"/>
      <c r="O340" s="15" t="str">
        <f>INDEX(projects[job number],MATCH(TimeEntry[[#This Row],[Project_ID]], projects[Project_ID],0))</f>
        <v>210035-64</v>
      </c>
      <c r="P340" s="15" t="str">
        <f>INDEX(projects[Project_Name],MATCH(TimeEntry[[#This Row],[Project_ID]], projects[Project_ID],0))</f>
        <v>VBB 3rd - new bridge VO</v>
      </c>
      <c r="Q340" s="6">
        <f>IF(TimeEntry[[#This Row],[Date]]=0,"",WEEKDAY(C340,2))</f>
        <v>5</v>
      </c>
      <c r="R340" s="9">
        <f>YEAR(TimeEntry[[#This Row],[WkEnd]])</f>
        <v>2020</v>
      </c>
      <c r="S340" s="9">
        <f>WEEKNUM(TimeEntry[[#This Row],[WkEnd]])</f>
        <v>14</v>
      </c>
      <c r="T340" s="9" t="str">
        <f>TimeEntry[[#This Row],[Year]]&amp;"-"&amp;TimeEntry[[#This Row],[WkNo]]</f>
        <v>2020-14</v>
      </c>
    </row>
    <row r="341" spans="1:20" x14ac:dyDescent="0.25">
      <c r="A341" s="6">
        <f>MOD(IF(ROW()=2,0.1,IF(INDEX(TimeEntry[WkEnd],ROW()-1)  =  INDEX(TimeEntry[WkEnd],ROW()-2),    INDEX(TimeEntry[format],ROW()-2),    INDEX(TimeEntry[format],ROW()-2)    +1)),2)</f>
        <v>1.1000000000000001</v>
      </c>
      <c r="B341" s="7"/>
      <c r="C341" s="8">
        <v>43910</v>
      </c>
      <c r="D341" s="8"/>
      <c r="E341" s="1" t="s">
        <v>447</v>
      </c>
      <c r="F341" s="8">
        <f>IF(TimeEntry[[#This Row],[Date]]=0,F340,C341+(7-Q341))</f>
        <v>43912</v>
      </c>
      <c r="G341" s="35" t="str">
        <f>INDEX(projects[Charge_Code],MATCH(TimeEntry[[#This Row],[Project_ID]],projects[Project_ID],0))</f>
        <v>255670-17 LOWER KINGS ROAD ASSESSMENT (01-382)</v>
      </c>
      <c r="H341" s="1" t="str">
        <f t="shared" si="15"/>
        <v>Normal Time</v>
      </c>
      <c r="I341" s="1"/>
      <c r="J341" s="15">
        <v>2.5</v>
      </c>
      <c r="K341" s="15"/>
      <c r="L341" s="15"/>
      <c r="M341" s="15"/>
      <c r="N341" s="15"/>
      <c r="O341" s="15" t="str">
        <f>INDEX(projects[job number],MATCH(TimeEntry[[#This Row],[Project_ID]], projects[Project_ID],0))</f>
        <v>255670-17</v>
      </c>
      <c r="P341" s="15" t="str">
        <f>INDEX(projects[Project_Name],MATCH(TimeEntry[[#This Row],[Project_ID]], projects[Project_ID],0))</f>
        <v>LOWER KINGS ROAD ASSESSMENT</v>
      </c>
      <c r="Q341" s="6">
        <f>IF(TimeEntry[[#This Row],[Date]]=0,"",WEEKDAY(C341,2))</f>
        <v>5</v>
      </c>
      <c r="R341" s="9">
        <f>YEAR(TimeEntry[[#This Row],[WkEnd]])</f>
        <v>2020</v>
      </c>
      <c r="S341" s="9">
        <f>WEEKNUM(TimeEntry[[#This Row],[WkEnd]])</f>
        <v>13</v>
      </c>
      <c r="T341" s="9" t="str">
        <f>TimeEntry[[#This Row],[Year]]&amp;"-"&amp;TimeEntry[[#This Row],[WkNo]]</f>
        <v>2020-13</v>
      </c>
    </row>
    <row r="342" spans="1:20" x14ac:dyDescent="0.25">
      <c r="A342" s="6">
        <f>MOD(IF(ROW()=2,0.1,IF(INDEX(TimeEntry[WkEnd],ROW()-1)  =  INDEX(TimeEntry[WkEnd],ROW()-2),    INDEX(TimeEntry[format],ROW()-2),    INDEX(TimeEntry[format],ROW()-2)    +1)),2)</f>
        <v>1.1000000000000001</v>
      </c>
      <c r="B342" s="7"/>
      <c r="C342" s="8">
        <v>43910</v>
      </c>
      <c r="D342" s="8"/>
      <c r="E342" s="1" t="s">
        <v>451</v>
      </c>
      <c r="F342" s="8">
        <f>IF(TimeEntry[[#This Row],[Date]]=0,F341,C342+(7-Q342))</f>
        <v>43912</v>
      </c>
      <c r="G342" s="35" t="str">
        <f>INDEX(projects[Charge_Code],MATCH(TimeEntry[[#This Row],[Project_ID]],projects[Project_ID],0))</f>
        <v>210035-64 VBB 3rd - new bridge VO</v>
      </c>
      <c r="H342" s="1" t="str">
        <f t="shared" si="15"/>
        <v>Normal Time</v>
      </c>
      <c r="I342" s="1"/>
      <c r="J342" s="15">
        <v>5</v>
      </c>
      <c r="K342" s="15"/>
      <c r="L342" s="15"/>
      <c r="M342" s="15"/>
      <c r="N342" s="15"/>
      <c r="O342" s="15" t="str">
        <f>INDEX(projects[job number],MATCH(TimeEntry[[#This Row],[Project_ID]], projects[Project_ID],0))</f>
        <v>210035-64</v>
      </c>
      <c r="P342" s="15" t="str">
        <f>INDEX(projects[Project_Name],MATCH(TimeEntry[[#This Row],[Project_ID]], projects[Project_ID],0))</f>
        <v>VBB 3rd - new bridge VO</v>
      </c>
      <c r="Q342" s="6">
        <f>IF(TimeEntry[[#This Row],[Date]]=0,"",WEEKDAY(C342,2))</f>
        <v>5</v>
      </c>
      <c r="R342" s="9">
        <f>YEAR(TimeEntry[[#This Row],[WkEnd]])</f>
        <v>2020</v>
      </c>
      <c r="S342" s="9">
        <f>WEEKNUM(TimeEntry[[#This Row],[WkEnd]])</f>
        <v>13</v>
      </c>
      <c r="T342" s="9" t="str">
        <f>TimeEntry[[#This Row],[Year]]&amp;"-"&amp;TimeEntry[[#This Row],[WkNo]]</f>
        <v>2020-13</v>
      </c>
    </row>
    <row r="343" spans="1:20" x14ac:dyDescent="0.25">
      <c r="A343" s="6">
        <f>MOD(IF(ROW()=2,0.1,IF(INDEX(TimeEntry[WkEnd],ROW()-1)  =  INDEX(TimeEntry[WkEnd],ROW()-2),    INDEX(TimeEntry[format],ROW()-2),    INDEX(TimeEntry[format],ROW()-2)    +1)),2)</f>
        <v>1.1000000000000001</v>
      </c>
      <c r="B343" s="7"/>
      <c r="C343" s="8">
        <v>43909</v>
      </c>
      <c r="D343" s="8"/>
      <c r="E343" s="1" t="s">
        <v>451</v>
      </c>
      <c r="F343" s="8">
        <f>IF(TimeEntry[[#This Row],[Date]]=0,F342,C343+(7-Q343))</f>
        <v>43912</v>
      </c>
      <c r="G343" s="35" t="str">
        <f>INDEX(projects[Charge_Code],MATCH(TimeEntry[[#This Row],[Project_ID]],projects[Project_ID],0))</f>
        <v>210035-64 VBB 3rd - new bridge VO</v>
      </c>
      <c r="H343" s="1" t="str">
        <f t="shared" si="15"/>
        <v>Normal Time</v>
      </c>
      <c r="I343" s="1"/>
      <c r="J343" s="15">
        <v>7.5</v>
      </c>
      <c r="K343" s="15"/>
      <c r="L343" s="15"/>
      <c r="M343" s="15"/>
      <c r="N343" s="15"/>
      <c r="O343" s="15" t="str">
        <f>INDEX(projects[job number],MATCH(TimeEntry[[#This Row],[Project_ID]], projects[Project_ID],0))</f>
        <v>210035-64</v>
      </c>
      <c r="P343" s="15" t="str">
        <f>INDEX(projects[Project_Name],MATCH(TimeEntry[[#This Row],[Project_ID]], projects[Project_ID],0))</f>
        <v>VBB 3rd - new bridge VO</v>
      </c>
      <c r="Q343" s="6">
        <f>IF(TimeEntry[[#This Row],[Date]]=0,"",WEEKDAY(C343,2))</f>
        <v>4</v>
      </c>
      <c r="R343" s="9">
        <f>YEAR(TimeEntry[[#This Row],[WkEnd]])</f>
        <v>2020</v>
      </c>
      <c r="S343" s="9">
        <f>WEEKNUM(TimeEntry[[#This Row],[WkEnd]])</f>
        <v>13</v>
      </c>
      <c r="T343" s="9" t="str">
        <f>TimeEntry[[#This Row],[Year]]&amp;"-"&amp;TimeEntry[[#This Row],[WkNo]]</f>
        <v>2020-13</v>
      </c>
    </row>
    <row r="344" spans="1:20" x14ac:dyDescent="0.25">
      <c r="A344" s="6">
        <f>MOD(IF(ROW()=2,0.1,IF(INDEX(TimeEntry[WkEnd],ROW()-1)  =  INDEX(TimeEntry[WkEnd],ROW()-2),    INDEX(TimeEntry[format],ROW()-2),    INDEX(TimeEntry[format],ROW()-2)    +1)),2)</f>
        <v>1.1000000000000001</v>
      </c>
      <c r="B344" s="7"/>
      <c r="C344" s="8">
        <v>43908</v>
      </c>
      <c r="D344" s="8"/>
      <c r="E344" s="1" t="s">
        <v>451</v>
      </c>
      <c r="F344" s="8">
        <f>IF(TimeEntry[[#This Row],[Date]]=0,F343,C344+(7-Q344))</f>
        <v>43912</v>
      </c>
      <c r="G344" s="35" t="str">
        <f>INDEX(projects[Charge_Code],MATCH(TimeEntry[[#This Row],[Project_ID]],projects[Project_ID],0))</f>
        <v>210035-64 VBB 3rd - new bridge VO</v>
      </c>
      <c r="H344" s="1" t="str">
        <f t="shared" si="15"/>
        <v>Normal Time</v>
      </c>
      <c r="I344" s="1"/>
      <c r="J344" s="15">
        <v>7.5</v>
      </c>
      <c r="K344" s="15"/>
      <c r="L344" s="15"/>
      <c r="M344" s="15"/>
      <c r="N344" s="15"/>
      <c r="O344" s="15" t="str">
        <f>INDEX(projects[job number],MATCH(TimeEntry[[#This Row],[Project_ID]], projects[Project_ID],0))</f>
        <v>210035-64</v>
      </c>
      <c r="P344" s="15" t="str">
        <f>INDEX(projects[Project_Name],MATCH(TimeEntry[[#This Row],[Project_ID]], projects[Project_ID],0))</f>
        <v>VBB 3rd - new bridge VO</v>
      </c>
      <c r="Q344" s="6">
        <f>IF(TimeEntry[[#This Row],[Date]]=0,"",WEEKDAY(C344,2))</f>
        <v>3</v>
      </c>
      <c r="R344" s="9">
        <f>YEAR(TimeEntry[[#This Row],[WkEnd]])</f>
        <v>2020</v>
      </c>
      <c r="S344" s="9">
        <f>WEEKNUM(TimeEntry[[#This Row],[WkEnd]])</f>
        <v>13</v>
      </c>
      <c r="T344" s="9" t="str">
        <f>TimeEntry[[#This Row],[Year]]&amp;"-"&amp;TimeEntry[[#This Row],[WkNo]]</f>
        <v>2020-13</v>
      </c>
    </row>
    <row r="345" spans="1:20" x14ac:dyDescent="0.25">
      <c r="A345" s="6">
        <f>MOD(IF(ROW()=2,0.1,IF(INDEX(TimeEntry[WkEnd],ROW()-1)  =  INDEX(TimeEntry[WkEnd],ROW()-2),    INDEX(TimeEntry[format],ROW()-2),    INDEX(TimeEntry[format],ROW()-2)    +1)),2)</f>
        <v>1.1000000000000001</v>
      </c>
      <c r="B345" s="7"/>
      <c r="C345" s="8">
        <v>43907</v>
      </c>
      <c r="D345" s="8"/>
      <c r="E345" s="1" t="s">
        <v>451</v>
      </c>
      <c r="F345" s="8">
        <f>IF(TimeEntry[[#This Row],[Date]]=0,F344,C345+(7-Q345))</f>
        <v>43912</v>
      </c>
      <c r="G345" s="35" t="str">
        <f>INDEX(projects[Charge_Code],MATCH(TimeEntry[[#This Row],[Project_ID]],projects[Project_ID],0))</f>
        <v>210035-64 VBB 3rd - new bridge VO</v>
      </c>
      <c r="H345" s="1" t="str">
        <f t="shared" si="15"/>
        <v>Normal Time</v>
      </c>
      <c r="I345" s="1"/>
      <c r="J345" s="15">
        <v>5.5</v>
      </c>
      <c r="K345" s="15"/>
      <c r="L345" s="15"/>
      <c r="M345" s="15"/>
      <c r="N345" s="15"/>
      <c r="O345" s="15" t="str">
        <f>INDEX(projects[job number],MATCH(TimeEntry[[#This Row],[Project_ID]], projects[Project_ID],0))</f>
        <v>210035-64</v>
      </c>
      <c r="P345" s="15" t="str">
        <f>INDEX(projects[Project_Name],MATCH(TimeEntry[[#This Row],[Project_ID]], projects[Project_ID],0))</f>
        <v>VBB 3rd - new bridge VO</v>
      </c>
      <c r="Q345" s="6">
        <f>IF(TimeEntry[[#This Row],[Date]]=0,"",WEEKDAY(C345,2))</f>
        <v>2</v>
      </c>
      <c r="R345" s="9">
        <f>YEAR(TimeEntry[[#This Row],[WkEnd]])</f>
        <v>2020</v>
      </c>
      <c r="S345" s="9">
        <f>WEEKNUM(TimeEntry[[#This Row],[WkEnd]])</f>
        <v>13</v>
      </c>
      <c r="T345" s="9" t="str">
        <f>TimeEntry[[#This Row],[Year]]&amp;"-"&amp;TimeEntry[[#This Row],[WkNo]]</f>
        <v>2020-13</v>
      </c>
    </row>
    <row r="346" spans="1:20" x14ac:dyDescent="0.25">
      <c r="A346" s="6">
        <f>MOD(IF(ROW()=2,0.1,IF(INDEX(TimeEntry[WkEnd],ROW()-1)  =  INDEX(TimeEntry[WkEnd],ROW()-2),    INDEX(TimeEntry[format],ROW()-2),    INDEX(TimeEntry[format],ROW()-2)    +1)),2)</f>
        <v>1.1000000000000001</v>
      </c>
      <c r="B346" s="7"/>
      <c r="C346" s="8">
        <v>43907</v>
      </c>
      <c r="D346" s="8"/>
      <c r="E346" s="1" t="s">
        <v>447</v>
      </c>
      <c r="F346" s="8">
        <f>IF(TimeEntry[[#This Row],[Date]]=0,F345,C346+(7-Q346))</f>
        <v>43912</v>
      </c>
      <c r="G346" s="35" t="str">
        <f>INDEX(projects[Charge_Code],MATCH(TimeEntry[[#This Row],[Project_ID]],projects[Project_ID],0))</f>
        <v>255670-17 LOWER KINGS ROAD ASSESSMENT (01-382)</v>
      </c>
      <c r="H346" s="1" t="str">
        <f t="shared" si="15"/>
        <v>Normal Time</v>
      </c>
      <c r="I346" s="1"/>
      <c r="J346" s="15">
        <v>2</v>
      </c>
      <c r="K346" s="15"/>
      <c r="L346" s="15"/>
      <c r="M346" s="15"/>
      <c r="N346" s="15"/>
      <c r="O346" s="15" t="str">
        <f>INDEX(projects[job number],MATCH(TimeEntry[[#This Row],[Project_ID]], projects[Project_ID],0))</f>
        <v>255670-17</v>
      </c>
      <c r="P346" s="15" t="str">
        <f>INDEX(projects[Project_Name],MATCH(TimeEntry[[#This Row],[Project_ID]], projects[Project_ID],0))</f>
        <v>LOWER KINGS ROAD ASSESSMENT</v>
      </c>
      <c r="Q346" s="6">
        <f>IF(TimeEntry[[#This Row],[Date]]=0,"",WEEKDAY(C346,2))</f>
        <v>2</v>
      </c>
      <c r="R346" s="9">
        <f>YEAR(TimeEntry[[#This Row],[WkEnd]])</f>
        <v>2020</v>
      </c>
      <c r="S346" s="9">
        <f>WEEKNUM(TimeEntry[[#This Row],[WkEnd]])</f>
        <v>13</v>
      </c>
      <c r="T346" s="9" t="str">
        <f>TimeEntry[[#This Row],[Year]]&amp;"-"&amp;TimeEntry[[#This Row],[WkNo]]</f>
        <v>2020-13</v>
      </c>
    </row>
    <row r="347" spans="1:20" x14ac:dyDescent="0.25">
      <c r="A347" s="6">
        <f>MOD(IF(ROW()=2,0.1,IF(INDEX(TimeEntry[WkEnd],ROW()-1)  =  INDEX(TimeEntry[WkEnd],ROW()-2),    INDEX(TimeEntry[format],ROW()-2),    INDEX(TimeEntry[format],ROW()-2)    +1)),2)</f>
        <v>1.1000000000000001</v>
      </c>
      <c r="B347" s="7"/>
      <c r="C347" s="8">
        <v>43906</v>
      </c>
      <c r="D347" s="8"/>
      <c r="E347" s="1" t="s">
        <v>451</v>
      </c>
      <c r="F347" s="8">
        <f>IF(TimeEntry[[#This Row],[Date]]=0,F346,C347+(7-Q347))</f>
        <v>43912</v>
      </c>
      <c r="G347" s="35" t="str">
        <f>INDEX(projects[Charge_Code],MATCH(TimeEntry[[#This Row],[Project_ID]],projects[Project_ID],0))</f>
        <v>210035-64 VBB 3rd - new bridge VO</v>
      </c>
      <c r="H347" s="1" t="str">
        <f t="shared" si="15"/>
        <v>Normal Time</v>
      </c>
      <c r="I347" s="1"/>
      <c r="J347" s="15">
        <v>7.5</v>
      </c>
      <c r="K347" s="15"/>
      <c r="L347" s="15"/>
      <c r="M347" s="15"/>
      <c r="N347" s="15"/>
      <c r="O347" s="15" t="str">
        <f>INDEX(projects[job number],MATCH(TimeEntry[[#This Row],[Project_ID]], projects[Project_ID],0))</f>
        <v>210035-64</v>
      </c>
      <c r="P347" s="15" t="str">
        <f>INDEX(projects[Project_Name],MATCH(TimeEntry[[#This Row],[Project_ID]], projects[Project_ID],0))</f>
        <v>VBB 3rd - new bridge VO</v>
      </c>
      <c r="Q347" s="6">
        <f>IF(TimeEntry[[#This Row],[Date]]=0,"",WEEKDAY(C347,2))</f>
        <v>1</v>
      </c>
      <c r="R347" s="9">
        <f>YEAR(TimeEntry[[#This Row],[WkEnd]])</f>
        <v>2020</v>
      </c>
      <c r="S347" s="9">
        <f>WEEKNUM(TimeEntry[[#This Row],[WkEnd]])</f>
        <v>13</v>
      </c>
      <c r="T347" s="9" t="str">
        <f>TimeEntry[[#This Row],[Year]]&amp;"-"&amp;TimeEntry[[#This Row],[WkNo]]</f>
        <v>2020-13</v>
      </c>
    </row>
    <row r="348" spans="1:20" x14ac:dyDescent="0.25">
      <c r="A348" s="6">
        <f>MOD(IF(ROW()=2,0.1,IF(INDEX(TimeEntry[WkEnd],ROW()-1)  =  INDEX(TimeEntry[WkEnd],ROW()-2),    INDEX(TimeEntry[format],ROW()-2),    INDEX(TimeEntry[format],ROW()-2)    +1)),2)</f>
        <v>0.10000000000000009</v>
      </c>
      <c r="B348" s="7"/>
      <c r="C348" s="8">
        <v>43903</v>
      </c>
      <c r="D348" s="8"/>
      <c r="E348" s="1" t="s">
        <v>447</v>
      </c>
      <c r="F348" s="8">
        <f>IF(TimeEntry[[#This Row],[Date]]=0,F347,C348+(7-Q348))</f>
        <v>43905</v>
      </c>
      <c r="G348" s="35" t="str">
        <f>INDEX(projects[Charge_Code],MATCH(TimeEntry[[#This Row],[Project_ID]],projects[Project_ID],0))</f>
        <v>255670-17 LOWER KINGS ROAD ASSESSMENT (01-382)</v>
      </c>
      <c r="H348" s="1" t="str">
        <f t="shared" si="15"/>
        <v>Normal Time</v>
      </c>
      <c r="I348" s="1"/>
      <c r="J348" s="15">
        <v>5.5</v>
      </c>
      <c r="K348" s="15"/>
      <c r="L348" s="15"/>
      <c r="M348" s="15"/>
      <c r="N348" s="15"/>
      <c r="O348" s="15" t="str">
        <f>INDEX(projects[job number],MATCH(TimeEntry[[#This Row],[Project_ID]], projects[Project_ID],0))</f>
        <v>255670-17</v>
      </c>
      <c r="P348" s="15" t="str">
        <f>INDEX(projects[Project_Name],MATCH(TimeEntry[[#This Row],[Project_ID]], projects[Project_ID],0))</f>
        <v>LOWER KINGS ROAD ASSESSMENT</v>
      </c>
      <c r="Q348" s="6">
        <f>IF(TimeEntry[[#This Row],[Date]]=0,"",WEEKDAY(C348,2))</f>
        <v>5</v>
      </c>
      <c r="R348" s="9">
        <f>YEAR(TimeEntry[[#This Row],[WkEnd]])</f>
        <v>2020</v>
      </c>
      <c r="S348" s="9">
        <f>WEEKNUM(TimeEntry[[#This Row],[WkEnd]])</f>
        <v>12</v>
      </c>
      <c r="T348" s="9" t="str">
        <f>TimeEntry[[#This Row],[Year]]&amp;"-"&amp;TimeEntry[[#This Row],[WkNo]]</f>
        <v>2020-12</v>
      </c>
    </row>
    <row r="349" spans="1:20" x14ac:dyDescent="0.25">
      <c r="A349" s="6">
        <f>MOD(IF(ROW()=2,0.1,IF(INDEX(TimeEntry[WkEnd],ROW()-1)  =  INDEX(TimeEntry[WkEnd],ROW()-2),    INDEX(TimeEntry[format],ROW()-2),    INDEX(TimeEntry[format],ROW()-2)    +1)),2)</f>
        <v>0.10000000000000009</v>
      </c>
      <c r="B349" s="7"/>
      <c r="C349" s="8">
        <v>43903</v>
      </c>
      <c r="D349" s="8"/>
      <c r="E349" s="1" t="s">
        <v>451</v>
      </c>
      <c r="F349" s="8">
        <f>IF(TimeEntry[[#This Row],[Date]]=0,F348,C349+(7-Q349))</f>
        <v>43905</v>
      </c>
      <c r="G349" s="35" t="str">
        <f>INDEX(projects[Charge_Code],MATCH(TimeEntry[[#This Row],[Project_ID]],projects[Project_ID],0))</f>
        <v>210035-64 VBB 3rd - new bridge VO</v>
      </c>
      <c r="H349" s="1" t="str">
        <f t="shared" si="15"/>
        <v>Normal Time</v>
      </c>
      <c r="I349" s="1"/>
      <c r="J349" s="15">
        <v>2</v>
      </c>
      <c r="K349" s="15"/>
      <c r="L349" s="15"/>
      <c r="M349" s="15"/>
      <c r="N349" s="15"/>
      <c r="O349" s="15" t="str">
        <f>INDEX(projects[job number],MATCH(TimeEntry[[#This Row],[Project_ID]], projects[Project_ID],0))</f>
        <v>210035-64</v>
      </c>
      <c r="P349" s="15" t="str">
        <f>INDEX(projects[Project_Name],MATCH(TimeEntry[[#This Row],[Project_ID]], projects[Project_ID],0))</f>
        <v>VBB 3rd - new bridge VO</v>
      </c>
      <c r="Q349" s="6">
        <f>IF(TimeEntry[[#This Row],[Date]]=0,"",WEEKDAY(C349,2))</f>
        <v>5</v>
      </c>
      <c r="R349" s="9">
        <f>YEAR(TimeEntry[[#This Row],[WkEnd]])</f>
        <v>2020</v>
      </c>
      <c r="S349" s="9">
        <f>WEEKNUM(TimeEntry[[#This Row],[WkEnd]])</f>
        <v>12</v>
      </c>
      <c r="T349" s="9" t="str">
        <f>TimeEntry[[#This Row],[Year]]&amp;"-"&amp;TimeEntry[[#This Row],[WkNo]]</f>
        <v>2020-12</v>
      </c>
    </row>
    <row r="350" spans="1:20" x14ac:dyDescent="0.25">
      <c r="A350" s="6">
        <f>MOD(IF(ROW()=2,0.1,IF(INDEX(TimeEntry[WkEnd],ROW()-1)  =  INDEX(TimeEntry[WkEnd],ROW()-2),    INDEX(TimeEntry[format],ROW()-2),    INDEX(TimeEntry[format],ROW()-2)    +1)),2)</f>
        <v>0.10000000000000009</v>
      </c>
      <c r="B350" s="7"/>
      <c r="C350" s="8">
        <v>43902</v>
      </c>
      <c r="D350" s="8"/>
      <c r="E350" s="1" t="s">
        <v>451</v>
      </c>
      <c r="F350" s="8">
        <f>IF(TimeEntry[[#This Row],[Date]]=0,F349,C350+(7-Q350))</f>
        <v>43905</v>
      </c>
      <c r="G350" s="35" t="str">
        <f>INDEX(projects[Charge_Code],MATCH(TimeEntry[[#This Row],[Project_ID]],projects[Project_ID],0))</f>
        <v>210035-64 VBB 3rd - new bridge VO</v>
      </c>
      <c r="H350" s="1" t="str">
        <f t="shared" si="15"/>
        <v>Normal Time</v>
      </c>
      <c r="I350" s="1"/>
      <c r="J350" s="15">
        <v>7.5</v>
      </c>
      <c r="K350" s="15"/>
      <c r="L350" s="15"/>
      <c r="M350" s="15"/>
      <c r="N350" s="15"/>
      <c r="O350" s="15" t="str">
        <f>INDEX(projects[job number],MATCH(TimeEntry[[#This Row],[Project_ID]], projects[Project_ID],0))</f>
        <v>210035-64</v>
      </c>
      <c r="P350" s="15" t="str">
        <f>INDEX(projects[Project_Name],MATCH(TimeEntry[[#This Row],[Project_ID]], projects[Project_ID],0))</f>
        <v>VBB 3rd - new bridge VO</v>
      </c>
      <c r="Q350" s="6">
        <f>IF(TimeEntry[[#This Row],[Date]]=0,"",WEEKDAY(C350,2))</f>
        <v>4</v>
      </c>
      <c r="R350" s="9">
        <f>YEAR(TimeEntry[[#This Row],[WkEnd]])</f>
        <v>2020</v>
      </c>
      <c r="S350" s="9">
        <f>WEEKNUM(TimeEntry[[#This Row],[WkEnd]])</f>
        <v>12</v>
      </c>
      <c r="T350" s="9" t="str">
        <f>TimeEntry[[#This Row],[Year]]&amp;"-"&amp;TimeEntry[[#This Row],[WkNo]]</f>
        <v>2020-12</v>
      </c>
    </row>
    <row r="351" spans="1:20" x14ac:dyDescent="0.25">
      <c r="A351" s="6">
        <f>MOD(IF(ROW()=2,0.1,IF(INDEX(TimeEntry[WkEnd],ROW()-1)  =  INDEX(TimeEntry[WkEnd],ROW()-2),    INDEX(TimeEntry[format],ROW()-2),    INDEX(TimeEntry[format],ROW()-2)    +1)),2)</f>
        <v>0.10000000000000009</v>
      </c>
      <c r="B351" s="7"/>
      <c r="C351" s="8">
        <v>43901</v>
      </c>
      <c r="D351" s="8"/>
      <c r="E351" s="1" t="s">
        <v>451</v>
      </c>
      <c r="F351" s="8">
        <f>IF(TimeEntry[[#This Row],[Date]]=0,F350,C351+(7-Q351))</f>
        <v>43905</v>
      </c>
      <c r="G351" s="35" t="str">
        <f>INDEX(projects[Charge_Code],MATCH(TimeEntry[[#This Row],[Project_ID]],projects[Project_ID],0))</f>
        <v>210035-64 VBB 3rd - new bridge VO</v>
      </c>
      <c r="H351" s="1" t="str">
        <f t="shared" si="15"/>
        <v>Normal Time</v>
      </c>
      <c r="I351" s="1"/>
      <c r="J351" s="15">
        <v>7.5</v>
      </c>
      <c r="K351" s="15"/>
      <c r="L351" s="15"/>
      <c r="M351" s="15"/>
      <c r="N351" s="15"/>
      <c r="O351" s="15" t="str">
        <f>INDEX(projects[job number],MATCH(TimeEntry[[#This Row],[Project_ID]], projects[Project_ID],0))</f>
        <v>210035-64</v>
      </c>
      <c r="P351" s="15" t="str">
        <f>INDEX(projects[Project_Name],MATCH(TimeEntry[[#This Row],[Project_ID]], projects[Project_ID],0))</f>
        <v>VBB 3rd - new bridge VO</v>
      </c>
      <c r="Q351" s="6">
        <f>IF(TimeEntry[[#This Row],[Date]]=0,"",WEEKDAY(C351,2))</f>
        <v>3</v>
      </c>
      <c r="R351" s="9">
        <f>YEAR(TimeEntry[[#This Row],[WkEnd]])</f>
        <v>2020</v>
      </c>
      <c r="S351" s="9">
        <f>WEEKNUM(TimeEntry[[#This Row],[WkEnd]])</f>
        <v>12</v>
      </c>
      <c r="T351" s="9" t="str">
        <f>TimeEntry[[#This Row],[Year]]&amp;"-"&amp;TimeEntry[[#This Row],[WkNo]]</f>
        <v>2020-12</v>
      </c>
    </row>
    <row r="352" spans="1:20" x14ac:dyDescent="0.25">
      <c r="A352" s="6">
        <f>MOD(IF(ROW()=2,0.1,IF(INDEX(TimeEntry[WkEnd],ROW()-1)  =  INDEX(TimeEntry[WkEnd],ROW()-2),    INDEX(TimeEntry[format],ROW()-2),    INDEX(TimeEntry[format],ROW()-2)    +1)),2)</f>
        <v>0.10000000000000009</v>
      </c>
      <c r="B352" s="7"/>
      <c r="C352" s="8">
        <v>43900</v>
      </c>
      <c r="D352" s="8"/>
      <c r="E352" s="1" t="s">
        <v>451</v>
      </c>
      <c r="F352" s="8">
        <f>IF(TimeEntry[[#This Row],[Date]]=0,F351,C352+(7-Q352))</f>
        <v>43905</v>
      </c>
      <c r="G352" s="35" t="str">
        <f>INDEX(projects[Charge_Code],MATCH(TimeEntry[[#This Row],[Project_ID]],projects[Project_ID],0))</f>
        <v>210035-64 VBB 3rd - new bridge VO</v>
      </c>
      <c r="H352" s="1" t="str">
        <f t="shared" si="15"/>
        <v>Normal Time</v>
      </c>
      <c r="I352" s="1"/>
      <c r="J352" s="15">
        <v>7.5</v>
      </c>
      <c r="K352" s="15"/>
      <c r="L352" s="15"/>
      <c r="M352" s="15"/>
      <c r="N352" s="15"/>
      <c r="O352" s="15" t="str">
        <f>INDEX(projects[job number],MATCH(TimeEntry[[#This Row],[Project_ID]], projects[Project_ID],0))</f>
        <v>210035-64</v>
      </c>
      <c r="P352" s="15" t="str">
        <f>INDEX(projects[Project_Name],MATCH(TimeEntry[[#This Row],[Project_ID]], projects[Project_ID],0))</f>
        <v>VBB 3rd - new bridge VO</v>
      </c>
      <c r="Q352" s="6">
        <f>IF(TimeEntry[[#This Row],[Date]]=0,"",WEEKDAY(C352,2))</f>
        <v>2</v>
      </c>
      <c r="R352" s="9">
        <f>YEAR(TimeEntry[[#This Row],[WkEnd]])</f>
        <v>2020</v>
      </c>
      <c r="S352" s="9">
        <f>WEEKNUM(TimeEntry[[#This Row],[WkEnd]])</f>
        <v>12</v>
      </c>
      <c r="T352" s="9" t="str">
        <f>TimeEntry[[#This Row],[Year]]&amp;"-"&amp;TimeEntry[[#This Row],[WkNo]]</f>
        <v>2020-12</v>
      </c>
    </row>
    <row r="353" spans="1:20" x14ac:dyDescent="0.25">
      <c r="A353" s="6">
        <f>MOD(IF(ROW()=2,0.1,IF(INDEX(TimeEntry[WkEnd],ROW()-1)  =  INDEX(TimeEntry[WkEnd],ROW()-2),    INDEX(TimeEntry[format],ROW()-2),    INDEX(TimeEntry[format],ROW()-2)    +1)),2)</f>
        <v>0.10000000000000009</v>
      </c>
      <c r="B353" s="7"/>
      <c r="C353" s="8">
        <v>43899</v>
      </c>
      <c r="D353" s="8"/>
      <c r="E353" s="1" t="s">
        <v>451</v>
      </c>
      <c r="F353" s="8">
        <f>IF(TimeEntry[[#This Row],[Date]]=0,F352,C353+(7-Q353))</f>
        <v>43905</v>
      </c>
      <c r="G353" s="35" t="str">
        <f>INDEX(projects[Charge_Code],MATCH(TimeEntry[[#This Row],[Project_ID]],projects[Project_ID],0))</f>
        <v>210035-64 VBB 3rd - new bridge VO</v>
      </c>
      <c r="H353" s="1" t="str">
        <f t="shared" si="15"/>
        <v>Normal Time</v>
      </c>
      <c r="I353" s="1"/>
      <c r="J353" s="15">
        <v>7.5</v>
      </c>
      <c r="K353" s="15"/>
      <c r="L353" s="15"/>
      <c r="M353" s="15"/>
      <c r="N353" s="15"/>
      <c r="O353" s="15" t="str">
        <f>INDEX(projects[job number],MATCH(TimeEntry[[#This Row],[Project_ID]], projects[Project_ID],0))</f>
        <v>210035-64</v>
      </c>
      <c r="P353" s="15" t="str">
        <f>INDEX(projects[Project_Name],MATCH(TimeEntry[[#This Row],[Project_ID]], projects[Project_ID],0))</f>
        <v>VBB 3rd - new bridge VO</v>
      </c>
      <c r="Q353" s="6">
        <f>IF(TimeEntry[[#This Row],[Date]]=0,"",WEEKDAY(C353,2))</f>
        <v>1</v>
      </c>
      <c r="R353" s="9">
        <f>YEAR(TimeEntry[[#This Row],[WkEnd]])</f>
        <v>2020</v>
      </c>
      <c r="S353" s="9">
        <f>WEEKNUM(TimeEntry[[#This Row],[WkEnd]])</f>
        <v>12</v>
      </c>
      <c r="T353" s="9" t="str">
        <f>TimeEntry[[#This Row],[Year]]&amp;"-"&amp;TimeEntry[[#This Row],[WkNo]]</f>
        <v>2020-12</v>
      </c>
    </row>
    <row r="354" spans="1:20" x14ac:dyDescent="0.25">
      <c r="A354" s="6">
        <f>MOD(IF(ROW()=2,0.1,IF(INDEX(TimeEntry[WkEnd],ROW()-1)  =  INDEX(TimeEntry[WkEnd],ROW()-2),    INDEX(TimeEntry[format],ROW()-2),    INDEX(TimeEntry[format],ROW()-2)    +1)),2)</f>
        <v>1.1000000000000001</v>
      </c>
      <c r="B354" s="7"/>
      <c r="C354" s="8">
        <v>43892</v>
      </c>
      <c r="D354" s="8"/>
      <c r="E354" s="1" t="s">
        <v>451</v>
      </c>
      <c r="F354" s="8">
        <f>IF(TimeEntry[[#This Row],[Date]]=0,F353,C354+(7-Q354))</f>
        <v>43898</v>
      </c>
      <c r="G354" s="35" t="str">
        <f>INDEX(projects[Charge_Code],MATCH(TimeEntry[[#This Row],[Project_ID]],projects[Project_ID],0))</f>
        <v>210035-64 VBB 3rd - new bridge VO</v>
      </c>
      <c r="H354" s="1" t="str">
        <f t="shared" si="15"/>
        <v>Normal Time</v>
      </c>
      <c r="I354" s="1"/>
      <c r="J354" s="15">
        <v>7.5</v>
      </c>
      <c r="K354" s="15"/>
      <c r="L354" s="15"/>
      <c r="M354" s="15"/>
      <c r="N354" s="15"/>
      <c r="O354" s="15" t="str">
        <f>INDEX(projects[job number],MATCH(TimeEntry[[#This Row],[Project_ID]], projects[Project_ID],0))</f>
        <v>210035-64</v>
      </c>
      <c r="P354" s="15" t="str">
        <f>INDEX(projects[Project_Name],MATCH(TimeEntry[[#This Row],[Project_ID]], projects[Project_ID],0))</f>
        <v>VBB 3rd - new bridge VO</v>
      </c>
      <c r="Q354" s="6">
        <f>IF(TimeEntry[[#This Row],[Date]]=0,"",WEEKDAY(C354,2))</f>
        <v>1</v>
      </c>
      <c r="R354" s="9">
        <f>YEAR(TimeEntry[[#This Row],[WkEnd]])</f>
        <v>2020</v>
      </c>
      <c r="S354" s="9">
        <f>WEEKNUM(TimeEntry[[#This Row],[WkEnd]])</f>
        <v>11</v>
      </c>
      <c r="T354" s="9" t="str">
        <f>TimeEntry[[#This Row],[Year]]&amp;"-"&amp;TimeEntry[[#This Row],[WkNo]]</f>
        <v>2020-11</v>
      </c>
    </row>
    <row r="355" spans="1:20" x14ac:dyDescent="0.25">
      <c r="A355" s="6">
        <f>MOD(IF(ROW()=2,0.1,IF(INDEX(TimeEntry[WkEnd],ROW()-1)  =  INDEX(TimeEntry[WkEnd],ROW()-2),    INDEX(TimeEntry[format],ROW()-2),    INDEX(TimeEntry[format],ROW()-2)    +1)),2)</f>
        <v>1.1000000000000001</v>
      </c>
      <c r="B355" s="7"/>
      <c r="C355" s="8">
        <v>43893</v>
      </c>
      <c r="D355" s="8"/>
      <c r="E355" s="1" t="s">
        <v>451</v>
      </c>
      <c r="F355" s="8">
        <f>IF(TimeEntry[[#This Row],[Date]]=0,F354,C355+(7-Q355))</f>
        <v>43898</v>
      </c>
      <c r="G355" s="35" t="str">
        <f>INDEX(projects[Charge_Code],MATCH(TimeEntry[[#This Row],[Project_ID]],projects[Project_ID],0))</f>
        <v>210035-64 VBB 3rd - new bridge VO</v>
      </c>
      <c r="H355" s="1" t="str">
        <f t="shared" si="15"/>
        <v>Normal Time</v>
      </c>
      <c r="I355" s="1"/>
      <c r="J355" s="15">
        <v>7.5</v>
      </c>
      <c r="K355" s="15"/>
      <c r="L355" s="15"/>
      <c r="M355" s="15"/>
      <c r="N355" s="15"/>
      <c r="O355" s="15" t="str">
        <f>INDEX(projects[job number],MATCH(TimeEntry[[#This Row],[Project_ID]], projects[Project_ID],0))</f>
        <v>210035-64</v>
      </c>
      <c r="P355" s="15" t="str">
        <f>INDEX(projects[Project_Name],MATCH(TimeEntry[[#This Row],[Project_ID]], projects[Project_ID],0))</f>
        <v>VBB 3rd - new bridge VO</v>
      </c>
      <c r="Q355" s="6">
        <f>IF(TimeEntry[[#This Row],[Date]]=0,"",WEEKDAY(C355,2))</f>
        <v>2</v>
      </c>
      <c r="R355" s="9">
        <f>YEAR(TimeEntry[[#This Row],[WkEnd]])</f>
        <v>2020</v>
      </c>
      <c r="S355" s="9">
        <f>WEEKNUM(TimeEntry[[#This Row],[WkEnd]])</f>
        <v>11</v>
      </c>
      <c r="T355" s="9" t="str">
        <f>TimeEntry[[#This Row],[Year]]&amp;"-"&amp;TimeEntry[[#This Row],[WkNo]]</f>
        <v>2020-11</v>
      </c>
    </row>
    <row r="356" spans="1:20" x14ac:dyDescent="0.25">
      <c r="A356" s="6">
        <f>MOD(IF(ROW()=2,0.1,IF(INDEX(TimeEntry[WkEnd],ROW()-1)  =  INDEX(TimeEntry[WkEnd],ROW()-2),    INDEX(TimeEntry[format],ROW()-2),    INDEX(TimeEntry[format],ROW()-2)    +1)),2)</f>
        <v>1.1000000000000001</v>
      </c>
      <c r="B356" s="7"/>
      <c r="C356" s="8">
        <v>43894</v>
      </c>
      <c r="D356" s="8"/>
      <c r="E356" s="1" t="s">
        <v>451</v>
      </c>
      <c r="F356" s="8">
        <f>IF(TimeEntry[[#This Row],[Date]]=0,F355,C356+(7-Q356))</f>
        <v>43898</v>
      </c>
      <c r="G356" s="35" t="str">
        <f>INDEX(projects[Charge_Code],MATCH(TimeEntry[[#This Row],[Project_ID]],projects[Project_ID],0))</f>
        <v>210035-64 VBB 3rd - new bridge VO</v>
      </c>
      <c r="H356" s="1" t="str">
        <f t="shared" si="15"/>
        <v>Normal Time</v>
      </c>
      <c r="I356" s="1"/>
      <c r="J356" s="15">
        <v>7.5</v>
      </c>
      <c r="K356" s="15"/>
      <c r="L356" s="15"/>
      <c r="M356" s="15"/>
      <c r="N356" s="15"/>
      <c r="O356" s="15" t="str">
        <f>INDEX(projects[job number],MATCH(TimeEntry[[#This Row],[Project_ID]], projects[Project_ID],0))</f>
        <v>210035-64</v>
      </c>
      <c r="P356" s="15" t="str">
        <f>INDEX(projects[Project_Name],MATCH(TimeEntry[[#This Row],[Project_ID]], projects[Project_ID],0))</f>
        <v>VBB 3rd - new bridge VO</v>
      </c>
      <c r="Q356" s="6">
        <f>IF(TimeEntry[[#This Row],[Date]]=0,"",WEEKDAY(C356,2))</f>
        <v>3</v>
      </c>
      <c r="R356" s="9">
        <f>YEAR(TimeEntry[[#This Row],[WkEnd]])</f>
        <v>2020</v>
      </c>
      <c r="S356" s="9">
        <f>WEEKNUM(TimeEntry[[#This Row],[WkEnd]])</f>
        <v>11</v>
      </c>
      <c r="T356" s="9" t="str">
        <f>TimeEntry[[#This Row],[Year]]&amp;"-"&amp;TimeEntry[[#This Row],[WkNo]]</f>
        <v>2020-11</v>
      </c>
    </row>
    <row r="357" spans="1:20" x14ac:dyDescent="0.25">
      <c r="A357" s="6">
        <f>MOD(IF(ROW()=2,0.1,IF(INDEX(TimeEntry[WkEnd],ROW()-1)  =  INDEX(TimeEntry[WkEnd],ROW()-2),    INDEX(TimeEntry[format],ROW()-2),    INDEX(TimeEntry[format],ROW()-2)    +1)),2)</f>
        <v>1.1000000000000001</v>
      </c>
      <c r="B357" s="7"/>
      <c r="C357" s="8">
        <v>43895</v>
      </c>
      <c r="D357" s="8"/>
      <c r="E357" s="1" t="s">
        <v>451</v>
      </c>
      <c r="F357" s="8">
        <f>IF(TimeEntry[[#This Row],[Date]]=0,F356,C357+(7-Q357))</f>
        <v>43898</v>
      </c>
      <c r="G357" s="35" t="str">
        <f>INDEX(projects[Charge_Code],MATCH(TimeEntry[[#This Row],[Project_ID]],projects[Project_ID],0))</f>
        <v>210035-64 VBB 3rd - new bridge VO</v>
      </c>
      <c r="H357" s="1" t="str">
        <f t="shared" si="15"/>
        <v>Normal Time</v>
      </c>
      <c r="I357" s="1"/>
      <c r="J357" s="15">
        <v>7.5</v>
      </c>
      <c r="K357" s="15"/>
      <c r="L357" s="15"/>
      <c r="M357" s="15"/>
      <c r="N357" s="15"/>
      <c r="O357" s="15" t="str">
        <f>INDEX(projects[job number],MATCH(TimeEntry[[#This Row],[Project_ID]], projects[Project_ID],0))</f>
        <v>210035-64</v>
      </c>
      <c r="P357" s="15" t="str">
        <f>INDEX(projects[Project_Name],MATCH(TimeEntry[[#This Row],[Project_ID]], projects[Project_ID],0))</f>
        <v>VBB 3rd - new bridge VO</v>
      </c>
      <c r="Q357" s="6">
        <f>IF(TimeEntry[[#This Row],[Date]]=0,"",WEEKDAY(C357,2))</f>
        <v>4</v>
      </c>
      <c r="R357" s="9">
        <f>YEAR(TimeEntry[[#This Row],[WkEnd]])</f>
        <v>2020</v>
      </c>
      <c r="S357" s="9">
        <f>WEEKNUM(TimeEntry[[#This Row],[WkEnd]])</f>
        <v>11</v>
      </c>
      <c r="T357" s="9" t="str">
        <f>TimeEntry[[#This Row],[Year]]&amp;"-"&amp;TimeEntry[[#This Row],[WkNo]]</f>
        <v>2020-11</v>
      </c>
    </row>
    <row r="358" spans="1:20" x14ac:dyDescent="0.25">
      <c r="A358" s="6">
        <f>MOD(IF(ROW()=2,0.1,IF(INDEX(TimeEntry[WkEnd],ROW()-1)  =  INDEX(TimeEntry[WkEnd],ROW()-2),    INDEX(TimeEntry[format],ROW()-2),    INDEX(TimeEntry[format],ROW()-2)    +1)),2)</f>
        <v>1.1000000000000001</v>
      </c>
      <c r="B358" s="7"/>
      <c r="C358" s="8">
        <v>43896</v>
      </c>
      <c r="D358" s="8"/>
      <c r="E358" s="1" t="s">
        <v>451</v>
      </c>
      <c r="F358" s="8">
        <f>IF(TimeEntry[[#This Row],[Date]]=0,F357,C358+(7-Q358))</f>
        <v>43898</v>
      </c>
      <c r="G358" s="35" t="str">
        <f>INDEX(projects[Charge_Code],MATCH(TimeEntry[[#This Row],[Project_ID]],projects[Project_ID],0))</f>
        <v>210035-64 VBB 3rd - new bridge VO</v>
      </c>
      <c r="H358" s="1" t="str">
        <f t="shared" si="15"/>
        <v>Normal Time</v>
      </c>
      <c r="I358" s="1"/>
      <c r="J358" s="15">
        <v>7.5</v>
      </c>
      <c r="K358" s="15"/>
      <c r="L358" s="15"/>
      <c r="M358" s="15"/>
      <c r="N358" s="15"/>
      <c r="O358" s="15" t="str">
        <f>INDEX(projects[job number],MATCH(TimeEntry[[#This Row],[Project_ID]], projects[Project_ID],0))</f>
        <v>210035-64</v>
      </c>
      <c r="P358" s="15" t="str">
        <f>INDEX(projects[Project_Name],MATCH(TimeEntry[[#This Row],[Project_ID]], projects[Project_ID],0))</f>
        <v>VBB 3rd - new bridge VO</v>
      </c>
      <c r="Q358" s="6">
        <f>IF(TimeEntry[[#This Row],[Date]]=0,"",WEEKDAY(C358,2))</f>
        <v>5</v>
      </c>
      <c r="R358" s="9">
        <f>YEAR(TimeEntry[[#This Row],[WkEnd]])</f>
        <v>2020</v>
      </c>
      <c r="S358" s="9">
        <f>WEEKNUM(TimeEntry[[#This Row],[WkEnd]])</f>
        <v>11</v>
      </c>
      <c r="T358" s="9" t="str">
        <f>TimeEntry[[#This Row],[Year]]&amp;"-"&amp;TimeEntry[[#This Row],[WkNo]]</f>
        <v>2020-11</v>
      </c>
    </row>
    <row r="359" spans="1:20" x14ac:dyDescent="0.25">
      <c r="A359" s="6">
        <f>MOD(IF(ROW()=2,0.1,IF(INDEX(TimeEntry[WkEnd],ROW()-1)  =  INDEX(TimeEntry[WkEnd],ROW()-2),    INDEX(TimeEntry[format],ROW()-2),    INDEX(TimeEntry[format],ROW()-2)    +1)),2)</f>
        <v>0.10000000000000009</v>
      </c>
      <c r="B359" s="7"/>
      <c r="C359" s="8">
        <v>43885</v>
      </c>
      <c r="D359" s="8"/>
      <c r="E359" s="1" t="s">
        <v>451</v>
      </c>
      <c r="F359" s="8">
        <f>IF(TimeEntry[[#This Row],[Date]]=0,F358,C359+(7-Q359))</f>
        <v>43891</v>
      </c>
      <c r="G359" s="35" t="str">
        <f>INDEX(projects[Charge_Code],MATCH(TimeEntry[[#This Row],[Project_ID]],projects[Project_ID],0))</f>
        <v>210035-64 VBB 3rd - new bridge VO</v>
      </c>
      <c r="H359" s="1" t="str">
        <f t="shared" si="15"/>
        <v>Normal Time</v>
      </c>
      <c r="I359" s="1"/>
      <c r="J359" s="15">
        <v>7.5</v>
      </c>
      <c r="K359" s="15"/>
      <c r="L359" s="15"/>
      <c r="M359" s="15"/>
      <c r="N359" s="15"/>
      <c r="O359" s="15" t="str">
        <f>INDEX(projects[job number],MATCH(TimeEntry[[#This Row],[Project_ID]], projects[Project_ID],0))</f>
        <v>210035-64</v>
      </c>
      <c r="P359" s="15" t="str">
        <f>INDEX(projects[Project_Name],MATCH(TimeEntry[[#This Row],[Project_ID]], projects[Project_ID],0))</f>
        <v>VBB 3rd - new bridge VO</v>
      </c>
      <c r="Q359" s="6">
        <f>IF(TimeEntry[[#This Row],[Date]]=0,"",WEEKDAY(C359,2))</f>
        <v>1</v>
      </c>
      <c r="R359" s="9">
        <f>YEAR(TimeEntry[[#This Row],[WkEnd]])</f>
        <v>2020</v>
      </c>
      <c r="S359" s="9">
        <f>WEEKNUM(TimeEntry[[#This Row],[WkEnd]])</f>
        <v>10</v>
      </c>
      <c r="T359" s="9" t="str">
        <f>TimeEntry[[#This Row],[Year]]&amp;"-"&amp;TimeEntry[[#This Row],[WkNo]]</f>
        <v>2020-10</v>
      </c>
    </row>
    <row r="360" spans="1:20" x14ac:dyDescent="0.25">
      <c r="A360" s="6">
        <f>MOD(IF(ROW()=2,0.1,IF(INDEX(TimeEntry[WkEnd],ROW()-1)  =  INDEX(TimeEntry[WkEnd],ROW()-2),    INDEX(TimeEntry[format],ROW()-2),    INDEX(TimeEntry[format],ROW()-2)    +1)),2)</f>
        <v>0.10000000000000009</v>
      </c>
      <c r="B360" s="7"/>
      <c r="C360" s="8">
        <v>43886</v>
      </c>
      <c r="D360" s="8"/>
      <c r="E360" s="1" t="s">
        <v>451</v>
      </c>
      <c r="F360" s="8">
        <f>IF(TimeEntry[[#This Row],[Date]]=0,F359,C360+(7-Q360))</f>
        <v>43891</v>
      </c>
      <c r="G360" s="35" t="str">
        <f>INDEX(projects[Charge_Code],MATCH(TimeEntry[[#This Row],[Project_ID]],projects[Project_ID],0))</f>
        <v>210035-64 VBB 3rd - new bridge VO</v>
      </c>
      <c r="H360" s="1" t="str">
        <f t="shared" si="15"/>
        <v>Normal Time</v>
      </c>
      <c r="I360" s="1"/>
      <c r="J360" s="15">
        <v>7.5</v>
      </c>
      <c r="K360" s="15"/>
      <c r="L360" s="15"/>
      <c r="M360" s="15"/>
      <c r="N360" s="15"/>
      <c r="O360" s="15" t="str">
        <f>INDEX(projects[job number],MATCH(TimeEntry[[#This Row],[Project_ID]], projects[Project_ID],0))</f>
        <v>210035-64</v>
      </c>
      <c r="P360" s="15" t="str">
        <f>INDEX(projects[Project_Name],MATCH(TimeEntry[[#This Row],[Project_ID]], projects[Project_ID],0))</f>
        <v>VBB 3rd - new bridge VO</v>
      </c>
      <c r="Q360" s="6">
        <f>IF(TimeEntry[[#This Row],[Date]]=0,"",WEEKDAY(C360,2))</f>
        <v>2</v>
      </c>
      <c r="R360" s="9">
        <f>YEAR(TimeEntry[[#This Row],[WkEnd]])</f>
        <v>2020</v>
      </c>
      <c r="S360" s="9">
        <f>WEEKNUM(TimeEntry[[#This Row],[WkEnd]])</f>
        <v>10</v>
      </c>
      <c r="T360" s="9" t="str">
        <f>TimeEntry[[#This Row],[Year]]&amp;"-"&amp;TimeEntry[[#This Row],[WkNo]]</f>
        <v>2020-10</v>
      </c>
    </row>
    <row r="361" spans="1:20" x14ac:dyDescent="0.25">
      <c r="A361" s="6">
        <f>MOD(IF(ROW()=2,0.1,IF(INDEX(TimeEntry[WkEnd],ROW()-1)  =  INDEX(TimeEntry[WkEnd],ROW()-2),    INDEX(TimeEntry[format],ROW()-2),    INDEX(TimeEntry[format],ROW()-2)    +1)),2)</f>
        <v>0.10000000000000009</v>
      </c>
      <c r="B361" s="7"/>
      <c r="C361" s="8">
        <v>43887</v>
      </c>
      <c r="D361" s="8"/>
      <c r="E361" s="1" t="s">
        <v>451</v>
      </c>
      <c r="F361" s="8">
        <f>IF(TimeEntry[[#This Row],[Date]]=0,F360,C361+(7-Q361))</f>
        <v>43891</v>
      </c>
      <c r="G361" s="35" t="str">
        <f>INDEX(projects[Charge_Code],MATCH(TimeEntry[[#This Row],[Project_ID]],projects[Project_ID],0))</f>
        <v>210035-64 VBB 3rd - new bridge VO</v>
      </c>
      <c r="H361" s="1" t="str">
        <f t="shared" si="15"/>
        <v>Normal Time</v>
      </c>
      <c r="I361" s="1"/>
      <c r="J361" s="15">
        <v>7.5</v>
      </c>
      <c r="K361" s="15"/>
      <c r="L361" s="15"/>
      <c r="M361" s="15"/>
      <c r="N361" s="15"/>
      <c r="O361" s="15" t="str">
        <f>INDEX(projects[job number],MATCH(TimeEntry[[#This Row],[Project_ID]], projects[Project_ID],0))</f>
        <v>210035-64</v>
      </c>
      <c r="P361" s="15" t="str">
        <f>INDEX(projects[Project_Name],MATCH(TimeEntry[[#This Row],[Project_ID]], projects[Project_ID],0))</f>
        <v>VBB 3rd - new bridge VO</v>
      </c>
      <c r="Q361" s="6">
        <f>IF(TimeEntry[[#This Row],[Date]]=0,"",WEEKDAY(C361,2))</f>
        <v>3</v>
      </c>
      <c r="R361" s="9">
        <f>YEAR(TimeEntry[[#This Row],[WkEnd]])</f>
        <v>2020</v>
      </c>
      <c r="S361" s="9">
        <f>WEEKNUM(TimeEntry[[#This Row],[WkEnd]])</f>
        <v>10</v>
      </c>
      <c r="T361" s="9" t="str">
        <f>TimeEntry[[#This Row],[Year]]&amp;"-"&amp;TimeEntry[[#This Row],[WkNo]]</f>
        <v>2020-10</v>
      </c>
    </row>
    <row r="362" spans="1:20" x14ac:dyDescent="0.25">
      <c r="A362" s="6">
        <f>MOD(IF(ROW()=2,0.1,IF(INDEX(TimeEntry[WkEnd],ROW()-1)  =  INDEX(TimeEntry[WkEnd],ROW()-2),    INDEX(TimeEntry[format],ROW()-2),    INDEX(TimeEntry[format],ROW()-2)    +1)),2)</f>
        <v>0.10000000000000009</v>
      </c>
      <c r="B362" s="7"/>
      <c r="C362" s="8">
        <v>43888</v>
      </c>
      <c r="D362" s="8"/>
      <c r="E362" s="1" t="s">
        <v>451</v>
      </c>
      <c r="F362" s="8">
        <f>IF(TimeEntry[[#This Row],[Date]]=0,F361,C362+(7-Q362))</f>
        <v>43891</v>
      </c>
      <c r="G362" s="35" t="str">
        <f>INDEX(projects[Charge_Code],MATCH(TimeEntry[[#This Row],[Project_ID]],projects[Project_ID],0))</f>
        <v>210035-64 VBB 3rd - new bridge VO</v>
      </c>
      <c r="H362" s="1" t="str">
        <f t="shared" si="15"/>
        <v>Normal Time</v>
      </c>
      <c r="I362" s="1"/>
      <c r="J362" s="15">
        <v>7.5</v>
      </c>
      <c r="K362" s="15"/>
      <c r="L362" s="15"/>
      <c r="M362" s="15"/>
      <c r="N362" s="15"/>
      <c r="O362" s="15" t="str">
        <f>INDEX(projects[job number],MATCH(TimeEntry[[#This Row],[Project_ID]], projects[Project_ID],0))</f>
        <v>210035-64</v>
      </c>
      <c r="P362" s="15" t="str">
        <f>INDEX(projects[Project_Name],MATCH(TimeEntry[[#This Row],[Project_ID]], projects[Project_ID],0))</f>
        <v>VBB 3rd - new bridge VO</v>
      </c>
      <c r="Q362" s="6">
        <f>IF(TimeEntry[[#This Row],[Date]]=0,"",WEEKDAY(C362,2))</f>
        <v>4</v>
      </c>
      <c r="R362" s="9">
        <f>YEAR(TimeEntry[[#This Row],[WkEnd]])</f>
        <v>2020</v>
      </c>
      <c r="S362" s="9">
        <f>WEEKNUM(TimeEntry[[#This Row],[WkEnd]])</f>
        <v>10</v>
      </c>
      <c r="T362" s="9" t="str">
        <f>TimeEntry[[#This Row],[Year]]&amp;"-"&amp;TimeEntry[[#This Row],[WkNo]]</f>
        <v>2020-10</v>
      </c>
    </row>
    <row r="363" spans="1:20" x14ac:dyDescent="0.25">
      <c r="A363" s="6">
        <f>MOD(IF(ROW()=2,0.1,IF(INDEX(TimeEntry[WkEnd],ROW()-1)  =  INDEX(TimeEntry[WkEnd],ROW()-2),    INDEX(TimeEntry[format],ROW()-2),    INDEX(TimeEntry[format],ROW()-2)    +1)),2)</f>
        <v>0.10000000000000009</v>
      </c>
      <c r="B363" s="7"/>
      <c r="C363" s="8">
        <v>43889</v>
      </c>
      <c r="D363" s="8"/>
      <c r="E363" s="1" t="s">
        <v>451</v>
      </c>
      <c r="F363" s="8">
        <f>IF(TimeEntry[[#This Row],[Date]]=0,F362,C363+(7-Q363))</f>
        <v>43891</v>
      </c>
      <c r="G363" s="35" t="str">
        <f>INDEX(projects[Charge_Code],MATCH(TimeEntry[[#This Row],[Project_ID]],projects[Project_ID],0))</f>
        <v>210035-64 VBB 3rd - new bridge VO</v>
      </c>
      <c r="H363" s="1" t="str">
        <f t="shared" si="15"/>
        <v>Normal Time</v>
      </c>
      <c r="I363" s="1"/>
      <c r="J363" s="15">
        <v>7.5</v>
      </c>
      <c r="K363" s="15"/>
      <c r="L363" s="15"/>
      <c r="M363" s="15"/>
      <c r="N363" s="15"/>
      <c r="O363" s="15" t="str">
        <f>INDEX(projects[job number],MATCH(TimeEntry[[#This Row],[Project_ID]], projects[Project_ID],0))</f>
        <v>210035-64</v>
      </c>
      <c r="P363" s="15" t="str">
        <f>INDEX(projects[Project_Name],MATCH(TimeEntry[[#This Row],[Project_ID]], projects[Project_ID],0))</f>
        <v>VBB 3rd - new bridge VO</v>
      </c>
      <c r="Q363" s="6">
        <f>IF(TimeEntry[[#This Row],[Date]]=0,"",WEEKDAY(C363,2))</f>
        <v>5</v>
      </c>
      <c r="R363" s="9">
        <f>YEAR(TimeEntry[[#This Row],[WkEnd]])</f>
        <v>2020</v>
      </c>
      <c r="S363" s="9">
        <f>WEEKNUM(TimeEntry[[#This Row],[WkEnd]])</f>
        <v>10</v>
      </c>
      <c r="T363" s="9" t="str">
        <f>TimeEntry[[#This Row],[Year]]&amp;"-"&amp;TimeEntry[[#This Row],[WkNo]]</f>
        <v>2020-10</v>
      </c>
    </row>
    <row r="364" spans="1:20" x14ac:dyDescent="0.25">
      <c r="A364" s="6">
        <f>MOD(IF(ROW()=2,0.1,IF(INDEX(TimeEntry[WkEnd],ROW()-1)  =  INDEX(TimeEntry[WkEnd],ROW()-2),    INDEX(TimeEntry[format],ROW()-2),    INDEX(TimeEntry[format],ROW()-2)    +1)),2)</f>
        <v>1.1000000000000001</v>
      </c>
      <c r="B364" s="7"/>
      <c r="C364" s="8">
        <v>43878</v>
      </c>
      <c r="D364" s="8"/>
      <c r="E364" s="1" t="s">
        <v>447</v>
      </c>
      <c r="F364" s="8">
        <f>IF(TimeEntry[[#This Row],[Date]]=0,F363,C364+(7-Q364))</f>
        <v>43884</v>
      </c>
      <c r="G364" s="35" t="str">
        <f>INDEX(projects[Charge_Code],MATCH(TimeEntry[[#This Row],[Project_ID]],projects[Project_ID],0))</f>
        <v>255670-17 LOWER KINGS ROAD ASSESSMENT (01-382)</v>
      </c>
      <c r="H364" s="1" t="str">
        <f t="shared" si="15"/>
        <v>Normal Time</v>
      </c>
      <c r="I364" s="1"/>
      <c r="J364" s="15">
        <v>5</v>
      </c>
      <c r="K364" s="15"/>
      <c r="L364" s="15"/>
      <c r="M364" s="15"/>
      <c r="N364" s="15"/>
      <c r="O364" s="15" t="str">
        <f>INDEX(projects[job number],MATCH(TimeEntry[[#This Row],[Project_ID]], projects[Project_ID],0))</f>
        <v>255670-17</v>
      </c>
      <c r="P364" s="15" t="str">
        <f>INDEX(projects[Project_Name],MATCH(TimeEntry[[#This Row],[Project_ID]], projects[Project_ID],0))</f>
        <v>LOWER KINGS ROAD ASSESSMENT</v>
      </c>
      <c r="Q364" s="6">
        <f>IF(TimeEntry[[#This Row],[Date]]=0,"",WEEKDAY(C364,2))</f>
        <v>1</v>
      </c>
      <c r="R364" s="9">
        <f>YEAR(TimeEntry[[#This Row],[WkEnd]])</f>
        <v>2020</v>
      </c>
      <c r="S364" s="9">
        <f>WEEKNUM(TimeEntry[[#This Row],[WkEnd]])</f>
        <v>9</v>
      </c>
      <c r="T364" s="9" t="str">
        <f>TimeEntry[[#This Row],[Year]]&amp;"-"&amp;TimeEntry[[#This Row],[WkNo]]</f>
        <v>2020-9</v>
      </c>
    </row>
    <row r="365" spans="1:20" x14ac:dyDescent="0.25">
      <c r="A365" s="6">
        <f>MOD(IF(ROW()=2,0.1,IF(INDEX(TimeEntry[WkEnd],ROW()-1)  =  INDEX(TimeEntry[WkEnd],ROW()-2),    INDEX(TimeEntry[format],ROW()-2),    INDEX(TimeEntry[format],ROW()-2)    +1)),2)</f>
        <v>1.1000000000000001</v>
      </c>
      <c r="B365" s="7"/>
      <c r="C365" s="8">
        <v>43878</v>
      </c>
      <c r="D365" s="8"/>
      <c r="E365" s="1" t="s">
        <v>451</v>
      </c>
      <c r="F365" s="8">
        <f>IF(TimeEntry[[#This Row],[Date]]=0,F364,C365+(7-Q365))</f>
        <v>43884</v>
      </c>
      <c r="G365" s="35" t="str">
        <f>INDEX(projects[Charge_Code],MATCH(TimeEntry[[#This Row],[Project_ID]],projects[Project_ID],0))</f>
        <v>210035-64 VBB 3rd - new bridge VO</v>
      </c>
      <c r="H365" s="1" t="str">
        <f t="shared" si="15"/>
        <v>Normal Time</v>
      </c>
      <c r="I365" s="1"/>
      <c r="J365" s="15">
        <v>2.5</v>
      </c>
      <c r="K365" s="15"/>
      <c r="L365" s="15"/>
      <c r="M365" s="15"/>
      <c r="N365" s="15"/>
      <c r="O365" s="15" t="str">
        <f>INDEX(projects[job number],MATCH(TimeEntry[[#This Row],[Project_ID]], projects[Project_ID],0))</f>
        <v>210035-64</v>
      </c>
      <c r="P365" s="15" t="str">
        <f>INDEX(projects[Project_Name],MATCH(TimeEntry[[#This Row],[Project_ID]], projects[Project_ID],0))</f>
        <v>VBB 3rd - new bridge VO</v>
      </c>
      <c r="Q365" s="6">
        <f>IF(TimeEntry[[#This Row],[Date]]=0,"",WEEKDAY(C365,2))</f>
        <v>1</v>
      </c>
      <c r="R365" s="9">
        <f>YEAR(TimeEntry[[#This Row],[WkEnd]])</f>
        <v>2020</v>
      </c>
      <c r="S365" s="9">
        <f>WEEKNUM(TimeEntry[[#This Row],[WkEnd]])</f>
        <v>9</v>
      </c>
      <c r="T365" s="9" t="str">
        <f>TimeEntry[[#This Row],[Year]]&amp;"-"&amp;TimeEntry[[#This Row],[WkNo]]</f>
        <v>2020-9</v>
      </c>
    </row>
    <row r="366" spans="1:20" x14ac:dyDescent="0.25">
      <c r="A366" s="6">
        <f>MOD(IF(ROW()=2,0.1,IF(INDEX(TimeEntry[WkEnd],ROW()-1)  =  INDEX(TimeEntry[WkEnd],ROW()-2),    INDEX(TimeEntry[format],ROW()-2),    INDEX(TimeEntry[format],ROW()-2)    +1)),2)</f>
        <v>1.1000000000000001</v>
      </c>
      <c r="B366" s="7"/>
      <c r="C366" s="8">
        <v>43879</v>
      </c>
      <c r="D366" s="8"/>
      <c r="E366" s="1" t="s">
        <v>451</v>
      </c>
      <c r="F366" s="8">
        <f>IF(TimeEntry[[#This Row],[Date]]=0,F365,C366+(7-Q366))</f>
        <v>43884</v>
      </c>
      <c r="G366" s="35" t="str">
        <f>INDEX(projects[Charge_Code],MATCH(TimeEntry[[#This Row],[Project_ID]],projects[Project_ID],0))</f>
        <v>210035-64 VBB 3rd - new bridge VO</v>
      </c>
      <c r="H366" s="1" t="str">
        <f t="shared" si="15"/>
        <v>Normal Time</v>
      </c>
      <c r="I366" s="1"/>
      <c r="J366" s="15">
        <v>7.5</v>
      </c>
      <c r="K366" s="15"/>
      <c r="L366" s="15"/>
      <c r="M366" s="15"/>
      <c r="N366" s="15"/>
      <c r="O366" s="15" t="str">
        <f>INDEX(projects[job number],MATCH(TimeEntry[[#This Row],[Project_ID]], projects[Project_ID],0))</f>
        <v>210035-64</v>
      </c>
      <c r="P366" s="15" t="str">
        <f>INDEX(projects[Project_Name],MATCH(TimeEntry[[#This Row],[Project_ID]], projects[Project_ID],0))</f>
        <v>VBB 3rd - new bridge VO</v>
      </c>
      <c r="Q366" s="6">
        <f>IF(TimeEntry[[#This Row],[Date]]=0,"",WEEKDAY(C366,2))</f>
        <v>2</v>
      </c>
      <c r="R366" s="9">
        <f>YEAR(TimeEntry[[#This Row],[WkEnd]])</f>
        <v>2020</v>
      </c>
      <c r="S366" s="9">
        <f>WEEKNUM(TimeEntry[[#This Row],[WkEnd]])</f>
        <v>9</v>
      </c>
      <c r="T366" s="9" t="str">
        <f>TimeEntry[[#This Row],[Year]]&amp;"-"&amp;TimeEntry[[#This Row],[WkNo]]</f>
        <v>2020-9</v>
      </c>
    </row>
    <row r="367" spans="1:20" x14ac:dyDescent="0.25">
      <c r="A367" s="6">
        <f>MOD(IF(ROW()=2,0.1,IF(INDEX(TimeEntry[WkEnd],ROW()-1)  =  INDEX(TimeEntry[WkEnd],ROW()-2),    INDEX(TimeEntry[format],ROW()-2),    INDEX(TimeEntry[format],ROW()-2)    +1)),2)</f>
        <v>1.1000000000000001</v>
      </c>
      <c r="B367" s="7"/>
      <c r="C367" s="8">
        <v>43880</v>
      </c>
      <c r="D367" s="8"/>
      <c r="E367" s="1" t="s">
        <v>451</v>
      </c>
      <c r="F367" s="8">
        <f>IF(TimeEntry[[#This Row],[Date]]=0,F366,C367+(7-Q367))</f>
        <v>43884</v>
      </c>
      <c r="G367" s="35" t="str">
        <f>INDEX(projects[Charge_Code],MATCH(TimeEntry[[#This Row],[Project_ID]],projects[Project_ID],0))</f>
        <v>210035-64 VBB 3rd - new bridge VO</v>
      </c>
      <c r="H367" s="1" t="str">
        <f t="shared" si="15"/>
        <v>Normal Time</v>
      </c>
      <c r="I367" s="1"/>
      <c r="J367" s="15">
        <v>7.5</v>
      </c>
      <c r="K367" s="15"/>
      <c r="L367" s="15"/>
      <c r="M367" s="15"/>
      <c r="N367" s="15"/>
      <c r="O367" s="15" t="str">
        <f>INDEX(projects[job number],MATCH(TimeEntry[[#This Row],[Project_ID]], projects[Project_ID],0))</f>
        <v>210035-64</v>
      </c>
      <c r="P367" s="15" t="str">
        <f>INDEX(projects[Project_Name],MATCH(TimeEntry[[#This Row],[Project_ID]], projects[Project_ID],0))</f>
        <v>VBB 3rd - new bridge VO</v>
      </c>
      <c r="Q367" s="6">
        <f>IF(TimeEntry[[#This Row],[Date]]=0,"",WEEKDAY(C367,2))</f>
        <v>3</v>
      </c>
      <c r="R367" s="9">
        <f>YEAR(TimeEntry[[#This Row],[WkEnd]])</f>
        <v>2020</v>
      </c>
      <c r="S367" s="9">
        <f>WEEKNUM(TimeEntry[[#This Row],[WkEnd]])</f>
        <v>9</v>
      </c>
      <c r="T367" s="9" t="str">
        <f>TimeEntry[[#This Row],[Year]]&amp;"-"&amp;TimeEntry[[#This Row],[WkNo]]</f>
        <v>2020-9</v>
      </c>
    </row>
    <row r="368" spans="1:20" x14ac:dyDescent="0.25">
      <c r="A368" s="6">
        <f>MOD(IF(ROW()=2,0.1,IF(INDEX(TimeEntry[WkEnd],ROW()-1)  =  INDEX(TimeEntry[WkEnd],ROW()-2),    INDEX(TimeEntry[format],ROW()-2),    INDEX(TimeEntry[format],ROW()-2)    +1)),2)</f>
        <v>1.1000000000000001</v>
      </c>
      <c r="B368" s="7"/>
      <c r="C368" s="8">
        <v>43881</v>
      </c>
      <c r="D368" s="8"/>
      <c r="E368" s="1" t="s">
        <v>451</v>
      </c>
      <c r="F368" s="8">
        <f>IF(TimeEntry[[#This Row],[Date]]=0,F367,C368+(7-Q368))</f>
        <v>43884</v>
      </c>
      <c r="G368" s="35" t="str">
        <f>INDEX(projects[Charge_Code],MATCH(TimeEntry[[#This Row],[Project_ID]],projects[Project_ID],0))</f>
        <v>210035-64 VBB 3rd - new bridge VO</v>
      </c>
      <c r="H368" s="1" t="str">
        <f t="shared" si="15"/>
        <v>Normal Time</v>
      </c>
      <c r="I368" s="1"/>
      <c r="J368" s="15">
        <v>5</v>
      </c>
      <c r="K368" s="15"/>
      <c r="L368" s="15"/>
      <c r="M368" s="15"/>
      <c r="N368" s="15"/>
      <c r="O368" s="15" t="str">
        <f>INDEX(projects[job number],MATCH(TimeEntry[[#This Row],[Project_ID]], projects[Project_ID],0))</f>
        <v>210035-64</v>
      </c>
      <c r="P368" s="15" t="str">
        <f>INDEX(projects[Project_Name],MATCH(TimeEntry[[#This Row],[Project_ID]], projects[Project_ID],0))</f>
        <v>VBB 3rd - new bridge VO</v>
      </c>
      <c r="Q368" s="6">
        <f>IF(TimeEntry[[#This Row],[Date]]=0,"",WEEKDAY(C368,2))</f>
        <v>4</v>
      </c>
      <c r="R368" s="9">
        <f>YEAR(TimeEntry[[#This Row],[WkEnd]])</f>
        <v>2020</v>
      </c>
      <c r="S368" s="9">
        <f>WEEKNUM(TimeEntry[[#This Row],[WkEnd]])</f>
        <v>9</v>
      </c>
      <c r="T368" s="9" t="str">
        <f>TimeEntry[[#This Row],[Year]]&amp;"-"&amp;TimeEntry[[#This Row],[WkNo]]</f>
        <v>2020-9</v>
      </c>
    </row>
    <row r="369" spans="1:20" x14ac:dyDescent="0.25">
      <c r="A369" s="6">
        <f>MOD(IF(ROW()=2,0.1,IF(INDEX(TimeEntry[WkEnd],ROW()-1)  =  INDEX(TimeEntry[WkEnd],ROW()-2),    INDEX(TimeEntry[format],ROW()-2),    INDEX(TimeEntry[format],ROW()-2)    +1)),2)</f>
        <v>1.1000000000000001</v>
      </c>
      <c r="B369" s="7"/>
      <c r="C369" s="8">
        <v>43881</v>
      </c>
      <c r="D369" s="8"/>
      <c r="E369" s="1" t="s">
        <v>447</v>
      </c>
      <c r="F369" s="8">
        <f>IF(TimeEntry[[#This Row],[Date]]=0,F368,C369+(7-Q369))</f>
        <v>43884</v>
      </c>
      <c r="G369" s="35" t="str">
        <f>INDEX(projects[Charge_Code],MATCH(TimeEntry[[#This Row],[Project_ID]],projects[Project_ID],0))</f>
        <v>255670-17 LOWER KINGS ROAD ASSESSMENT (01-382)</v>
      </c>
      <c r="H369" s="1" t="str">
        <f t="shared" si="15"/>
        <v>Normal Time</v>
      </c>
      <c r="I369" s="1"/>
      <c r="J369" s="15">
        <v>2.5</v>
      </c>
      <c r="K369" s="15"/>
      <c r="L369" s="15"/>
      <c r="M369" s="15"/>
      <c r="N369" s="15"/>
      <c r="O369" s="15" t="str">
        <f>INDEX(projects[job number],MATCH(TimeEntry[[#This Row],[Project_ID]], projects[Project_ID],0))</f>
        <v>255670-17</v>
      </c>
      <c r="P369" s="15" t="str">
        <f>INDEX(projects[Project_Name],MATCH(TimeEntry[[#This Row],[Project_ID]], projects[Project_ID],0))</f>
        <v>LOWER KINGS ROAD ASSESSMENT</v>
      </c>
      <c r="Q369" s="6">
        <f>IF(TimeEntry[[#This Row],[Date]]=0,"",WEEKDAY(C369,2))</f>
        <v>4</v>
      </c>
      <c r="R369" s="9">
        <f>YEAR(TimeEntry[[#This Row],[WkEnd]])</f>
        <v>2020</v>
      </c>
      <c r="S369" s="9">
        <f>WEEKNUM(TimeEntry[[#This Row],[WkEnd]])</f>
        <v>9</v>
      </c>
      <c r="T369" s="9" t="str">
        <f>TimeEntry[[#This Row],[Year]]&amp;"-"&amp;TimeEntry[[#This Row],[WkNo]]</f>
        <v>2020-9</v>
      </c>
    </row>
    <row r="370" spans="1:20" x14ac:dyDescent="0.25">
      <c r="A370" s="6">
        <f>MOD(IF(ROW()=2,0.1,IF(INDEX(TimeEntry[WkEnd],ROW()-1)  =  INDEX(TimeEntry[WkEnd],ROW()-2),    INDEX(TimeEntry[format],ROW()-2),    INDEX(TimeEntry[format],ROW()-2)    +1)),2)</f>
        <v>1.1000000000000001</v>
      </c>
      <c r="B370" s="7"/>
      <c r="C370" s="8">
        <v>43882</v>
      </c>
      <c r="D370" s="8"/>
      <c r="E370" s="1" t="s">
        <v>451</v>
      </c>
      <c r="F370" s="8">
        <f>IF(TimeEntry[[#This Row],[Date]]=0,F369,C370+(7-Q370))</f>
        <v>43884</v>
      </c>
      <c r="G370" s="35" t="str">
        <f>INDEX(projects[Charge_Code],MATCH(TimeEntry[[#This Row],[Project_ID]],projects[Project_ID],0))</f>
        <v>210035-64 VBB 3rd - new bridge VO</v>
      </c>
      <c r="H370" s="1" t="str">
        <f t="shared" si="15"/>
        <v>Normal Time</v>
      </c>
      <c r="I370" s="1"/>
      <c r="J370" s="15">
        <v>7.5</v>
      </c>
      <c r="K370" s="15"/>
      <c r="L370" s="15"/>
      <c r="M370" s="15"/>
      <c r="N370" s="15"/>
      <c r="O370" s="15" t="str">
        <f>INDEX(projects[job number],MATCH(TimeEntry[[#This Row],[Project_ID]], projects[Project_ID],0))</f>
        <v>210035-64</v>
      </c>
      <c r="P370" s="15" t="str">
        <f>INDEX(projects[Project_Name],MATCH(TimeEntry[[#This Row],[Project_ID]], projects[Project_ID],0))</f>
        <v>VBB 3rd - new bridge VO</v>
      </c>
      <c r="Q370" s="6">
        <f>IF(TimeEntry[[#This Row],[Date]]=0,"",WEEKDAY(C370,2))</f>
        <v>5</v>
      </c>
      <c r="R370" s="9">
        <f>YEAR(TimeEntry[[#This Row],[WkEnd]])</f>
        <v>2020</v>
      </c>
      <c r="S370" s="9">
        <f>WEEKNUM(TimeEntry[[#This Row],[WkEnd]])</f>
        <v>9</v>
      </c>
      <c r="T370" s="9" t="str">
        <f>TimeEntry[[#This Row],[Year]]&amp;"-"&amp;TimeEntry[[#This Row],[WkNo]]</f>
        <v>2020-9</v>
      </c>
    </row>
    <row r="371" spans="1:20" x14ac:dyDescent="0.25">
      <c r="A371" s="6">
        <f>MOD(IF(ROW()=2,0.1,IF(INDEX(TimeEntry[WkEnd],ROW()-1)  =  INDEX(TimeEntry[WkEnd],ROW()-2),    INDEX(TimeEntry[format],ROW()-2),    INDEX(TimeEntry[format],ROW()-2)    +1)),2)</f>
        <v>0.10000000000000009</v>
      </c>
      <c r="B371" s="7"/>
      <c r="C371" s="8">
        <v>43871</v>
      </c>
      <c r="D371" s="8"/>
      <c r="E371" s="1" t="s">
        <v>451</v>
      </c>
      <c r="F371" s="8">
        <f>IF(TimeEntry[[#This Row],[Date]]=0,F370,C371+(7-Q371))</f>
        <v>43877</v>
      </c>
      <c r="G371" s="35" t="str">
        <f>INDEX(projects[Charge_Code],MATCH(TimeEntry[[#This Row],[Project_ID]],projects[Project_ID],0))</f>
        <v>210035-64 VBB 3rd - new bridge VO</v>
      </c>
      <c r="H371" s="1" t="str">
        <f t="shared" si="15"/>
        <v>Normal Time</v>
      </c>
      <c r="I371" s="1"/>
      <c r="J371" s="15">
        <v>5</v>
      </c>
      <c r="K371" s="15"/>
      <c r="L371" s="15"/>
      <c r="M371" s="15"/>
      <c r="N371" s="15"/>
      <c r="O371" s="15" t="str">
        <f>INDEX(projects[job number],MATCH(TimeEntry[[#This Row],[Project_ID]], projects[Project_ID],0))</f>
        <v>210035-64</v>
      </c>
      <c r="P371" s="15" t="str">
        <f>INDEX(projects[Project_Name],MATCH(TimeEntry[[#This Row],[Project_ID]], projects[Project_ID],0))</f>
        <v>VBB 3rd - new bridge VO</v>
      </c>
      <c r="Q371" s="6">
        <f>IF(TimeEntry[[#This Row],[Date]]=0,"",WEEKDAY(C371,2))</f>
        <v>1</v>
      </c>
      <c r="R371" s="9">
        <f>YEAR(TimeEntry[[#This Row],[WkEnd]])</f>
        <v>2020</v>
      </c>
      <c r="S371" s="9">
        <f>WEEKNUM(TimeEntry[[#This Row],[WkEnd]])</f>
        <v>8</v>
      </c>
      <c r="T371" s="9" t="str">
        <f>TimeEntry[[#This Row],[Year]]&amp;"-"&amp;TimeEntry[[#This Row],[WkNo]]</f>
        <v>2020-8</v>
      </c>
    </row>
    <row r="372" spans="1:20" x14ac:dyDescent="0.25">
      <c r="A372" s="6">
        <f>MOD(IF(ROW()=2,0.1,IF(INDEX(TimeEntry[WkEnd],ROW()-1)  =  INDEX(TimeEntry[WkEnd],ROW()-2),    INDEX(TimeEntry[format],ROW()-2),    INDEX(TimeEntry[format],ROW()-2)    +1)),2)</f>
        <v>0.10000000000000009</v>
      </c>
      <c r="B372" s="7"/>
      <c r="C372" s="8">
        <v>43871</v>
      </c>
      <c r="D372" s="8"/>
      <c r="E372" s="1" t="s">
        <v>447</v>
      </c>
      <c r="F372" s="8">
        <f>IF(TimeEntry[[#This Row],[Date]]=0,F371,C372+(7-Q372))</f>
        <v>43877</v>
      </c>
      <c r="G372" s="35" t="str">
        <f>INDEX(projects[Charge_Code],MATCH(TimeEntry[[#This Row],[Project_ID]],projects[Project_ID],0))</f>
        <v>255670-17 LOWER KINGS ROAD ASSESSMENT (01-382)</v>
      </c>
      <c r="H372" s="1" t="str">
        <f t="shared" si="15"/>
        <v>Normal Time</v>
      </c>
      <c r="I372" s="1"/>
      <c r="J372" s="15">
        <v>2.5</v>
      </c>
      <c r="K372" s="15"/>
      <c r="L372" s="15"/>
      <c r="M372" s="15"/>
      <c r="N372" s="15"/>
      <c r="O372" s="15" t="str">
        <f>INDEX(projects[job number],MATCH(TimeEntry[[#This Row],[Project_ID]], projects[Project_ID],0))</f>
        <v>255670-17</v>
      </c>
      <c r="P372" s="15" t="str">
        <f>INDEX(projects[Project_Name],MATCH(TimeEntry[[#This Row],[Project_ID]], projects[Project_ID],0))</f>
        <v>LOWER KINGS ROAD ASSESSMENT</v>
      </c>
      <c r="Q372" s="6">
        <f>IF(TimeEntry[[#This Row],[Date]]=0,"",WEEKDAY(C372,2))</f>
        <v>1</v>
      </c>
      <c r="R372" s="9">
        <f>YEAR(TimeEntry[[#This Row],[WkEnd]])</f>
        <v>2020</v>
      </c>
      <c r="S372" s="9">
        <f>WEEKNUM(TimeEntry[[#This Row],[WkEnd]])</f>
        <v>8</v>
      </c>
      <c r="T372" s="9" t="str">
        <f>TimeEntry[[#This Row],[Year]]&amp;"-"&amp;TimeEntry[[#This Row],[WkNo]]</f>
        <v>2020-8</v>
      </c>
    </row>
    <row r="373" spans="1:20" x14ac:dyDescent="0.25">
      <c r="A373" s="6">
        <f>MOD(IF(ROW()=2,0.1,IF(INDEX(TimeEntry[WkEnd],ROW()-1)  =  INDEX(TimeEntry[WkEnd],ROW()-2),    INDEX(TimeEntry[format],ROW()-2),    INDEX(TimeEntry[format],ROW()-2)    +1)),2)</f>
        <v>0.10000000000000009</v>
      </c>
      <c r="B373" s="7"/>
      <c r="C373" s="8">
        <v>43872</v>
      </c>
      <c r="D373" s="8"/>
      <c r="E373" s="1" t="s">
        <v>451</v>
      </c>
      <c r="F373" s="8">
        <f>IF(TimeEntry[[#This Row],[Date]]=0,F372,C373+(7-Q373))</f>
        <v>43877</v>
      </c>
      <c r="G373" s="35" t="str">
        <f>INDEX(projects[Charge_Code],MATCH(TimeEntry[[#This Row],[Project_ID]],projects[Project_ID],0))</f>
        <v>210035-64 VBB 3rd - new bridge VO</v>
      </c>
      <c r="H373" s="1" t="str">
        <f t="shared" si="15"/>
        <v>Normal Time</v>
      </c>
      <c r="I373" s="1"/>
      <c r="J373" s="15">
        <v>7.5</v>
      </c>
      <c r="K373" s="15"/>
      <c r="L373" s="15"/>
      <c r="M373" s="15"/>
      <c r="N373" s="15"/>
      <c r="O373" s="15" t="str">
        <f>INDEX(projects[job number],MATCH(TimeEntry[[#This Row],[Project_ID]], projects[Project_ID],0))</f>
        <v>210035-64</v>
      </c>
      <c r="P373" s="15" t="str">
        <f>INDEX(projects[Project_Name],MATCH(TimeEntry[[#This Row],[Project_ID]], projects[Project_ID],0))</f>
        <v>VBB 3rd - new bridge VO</v>
      </c>
      <c r="Q373" s="6">
        <f>IF(TimeEntry[[#This Row],[Date]]=0,"",WEEKDAY(C373,2))</f>
        <v>2</v>
      </c>
      <c r="R373" s="9">
        <f>YEAR(TimeEntry[[#This Row],[WkEnd]])</f>
        <v>2020</v>
      </c>
      <c r="S373" s="9">
        <f>WEEKNUM(TimeEntry[[#This Row],[WkEnd]])</f>
        <v>8</v>
      </c>
      <c r="T373" s="9" t="str">
        <f>TimeEntry[[#This Row],[Year]]&amp;"-"&amp;TimeEntry[[#This Row],[WkNo]]</f>
        <v>2020-8</v>
      </c>
    </row>
    <row r="374" spans="1:20" x14ac:dyDescent="0.25">
      <c r="A374" s="6">
        <f>MOD(IF(ROW()=2,0.1,IF(INDEX(TimeEntry[WkEnd],ROW()-1)  =  INDEX(TimeEntry[WkEnd],ROW()-2),    INDEX(TimeEntry[format],ROW()-2),    INDEX(TimeEntry[format],ROW()-2)    +1)),2)</f>
        <v>0.10000000000000009</v>
      </c>
      <c r="B374" s="7"/>
      <c r="C374" s="8">
        <v>43873</v>
      </c>
      <c r="D374" s="8"/>
      <c r="E374" s="1" t="s">
        <v>451</v>
      </c>
      <c r="F374" s="8">
        <f>IF(TimeEntry[[#This Row],[Date]]=0,F373,C374+(7-Q374))</f>
        <v>43877</v>
      </c>
      <c r="G374" s="35" t="str">
        <f>INDEX(projects[Charge_Code],MATCH(TimeEntry[[#This Row],[Project_ID]],projects[Project_ID],0))</f>
        <v>210035-64 VBB 3rd - new bridge VO</v>
      </c>
      <c r="H374" s="1" t="str">
        <f t="shared" si="15"/>
        <v>Normal Time</v>
      </c>
      <c r="I374" s="1"/>
      <c r="J374" s="15">
        <v>7.5</v>
      </c>
      <c r="K374" s="15"/>
      <c r="L374" s="15"/>
      <c r="M374" s="15"/>
      <c r="N374" s="15"/>
      <c r="O374" s="15" t="str">
        <f>INDEX(projects[job number],MATCH(TimeEntry[[#This Row],[Project_ID]], projects[Project_ID],0))</f>
        <v>210035-64</v>
      </c>
      <c r="P374" s="15" t="str">
        <f>INDEX(projects[Project_Name],MATCH(TimeEntry[[#This Row],[Project_ID]], projects[Project_ID],0))</f>
        <v>VBB 3rd - new bridge VO</v>
      </c>
      <c r="Q374" s="6">
        <f>IF(TimeEntry[[#This Row],[Date]]=0,"",WEEKDAY(C374,2))</f>
        <v>3</v>
      </c>
      <c r="R374" s="9">
        <f>YEAR(TimeEntry[[#This Row],[WkEnd]])</f>
        <v>2020</v>
      </c>
      <c r="S374" s="9">
        <f>WEEKNUM(TimeEntry[[#This Row],[WkEnd]])</f>
        <v>8</v>
      </c>
      <c r="T374" s="9" t="str">
        <f>TimeEntry[[#This Row],[Year]]&amp;"-"&amp;TimeEntry[[#This Row],[WkNo]]</f>
        <v>2020-8</v>
      </c>
    </row>
    <row r="375" spans="1:20" x14ac:dyDescent="0.25">
      <c r="A375" s="6">
        <f>MOD(IF(ROW()=2,0.1,IF(INDEX(TimeEntry[WkEnd],ROW()-1)  =  INDEX(TimeEntry[WkEnd],ROW()-2),    INDEX(TimeEntry[format],ROW()-2),    INDEX(TimeEntry[format],ROW()-2)    +1)),2)</f>
        <v>0.10000000000000009</v>
      </c>
      <c r="B375" s="7"/>
      <c r="C375" s="8">
        <v>43874</v>
      </c>
      <c r="D375" s="8"/>
      <c r="E375" s="1" t="s">
        <v>451</v>
      </c>
      <c r="F375" s="8">
        <f>IF(TimeEntry[[#This Row],[Date]]=0,F374,C375+(7-Q375))</f>
        <v>43877</v>
      </c>
      <c r="G375" s="35" t="str">
        <f>INDEX(projects[Charge_Code],MATCH(TimeEntry[[#This Row],[Project_ID]],projects[Project_ID],0))</f>
        <v>210035-64 VBB 3rd - new bridge VO</v>
      </c>
      <c r="H375" s="1" t="str">
        <f t="shared" si="15"/>
        <v>Normal Time</v>
      </c>
      <c r="I375" s="1"/>
      <c r="J375" s="15">
        <v>7.5</v>
      </c>
      <c r="K375" s="15"/>
      <c r="L375" s="15"/>
      <c r="M375" s="15"/>
      <c r="N375" s="15"/>
      <c r="O375" s="15" t="str">
        <f>INDEX(projects[job number],MATCH(TimeEntry[[#This Row],[Project_ID]], projects[Project_ID],0))</f>
        <v>210035-64</v>
      </c>
      <c r="P375" s="15" t="str">
        <f>INDEX(projects[Project_Name],MATCH(TimeEntry[[#This Row],[Project_ID]], projects[Project_ID],0))</f>
        <v>VBB 3rd - new bridge VO</v>
      </c>
      <c r="Q375" s="6">
        <f>IF(TimeEntry[[#This Row],[Date]]=0,"",WEEKDAY(C375,2))</f>
        <v>4</v>
      </c>
      <c r="R375" s="9">
        <f>YEAR(TimeEntry[[#This Row],[WkEnd]])</f>
        <v>2020</v>
      </c>
      <c r="S375" s="9">
        <f>WEEKNUM(TimeEntry[[#This Row],[WkEnd]])</f>
        <v>8</v>
      </c>
      <c r="T375" s="9" t="str">
        <f>TimeEntry[[#This Row],[Year]]&amp;"-"&amp;TimeEntry[[#This Row],[WkNo]]</f>
        <v>2020-8</v>
      </c>
    </row>
    <row r="376" spans="1:20" x14ac:dyDescent="0.25">
      <c r="A376" s="6">
        <f>MOD(IF(ROW()=2,0.1,IF(INDEX(TimeEntry[WkEnd],ROW()-1)  =  INDEX(TimeEntry[WkEnd],ROW()-2),    INDEX(TimeEntry[format],ROW()-2),    INDEX(TimeEntry[format],ROW()-2)    +1)),2)</f>
        <v>0.10000000000000009</v>
      </c>
      <c r="B376" s="7"/>
      <c r="C376" s="8">
        <v>43875</v>
      </c>
      <c r="D376" s="8"/>
      <c r="E376" s="1" t="s">
        <v>451</v>
      </c>
      <c r="F376" s="8">
        <f>IF(TimeEntry[[#This Row],[Date]]=0,F375,C376+(7-Q376))</f>
        <v>43877</v>
      </c>
      <c r="G376" s="35" t="str">
        <f>INDEX(projects[Charge_Code],MATCH(TimeEntry[[#This Row],[Project_ID]],projects[Project_ID],0))</f>
        <v>210035-64 VBB 3rd - new bridge VO</v>
      </c>
      <c r="H376" s="1" t="str">
        <f t="shared" si="15"/>
        <v>Normal Time</v>
      </c>
      <c r="I376" s="1"/>
      <c r="J376" s="15">
        <v>2.5</v>
      </c>
      <c r="K376" s="15"/>
      <c r="L376" s="15"/>
      <c r="M376" s="15"/>
      <c r="N376" s="15"/>
      <c r="O376" s="15" t="str">
        <f>INDEX(projects[job number],MATCH(TimeEntry[[#This Row],[Project_ID]], projects[Project_ID],0))</f>
        <v>210035-64</v>
      </c>
      <c r="P376" s="15" t="str">
        <f>INDEX(projects[Project_Name],MATCH(TimeEntry[[#This Row],[Project_ID]], projects[Project_ID],0))</f>
        <v>VBB 3rd - new bridge VO</v>
      </c>
      <c r="Q376" s="6">
        <f>IF(TimeEntry[[#This Row],[Date]]=0,"",WEEKDAY(C376,2))</f>
        <v>5</v>
      </c>
      <c r="R376" s="9">
        <f>YEAR(TimeEntry[[#This Row],[WkEnd]])</f>
        <v>2020</v>
      </c>
      <c r="S376" s="9">
        <f>WEEKNUM(TimeEntry[[#This Row],[WkEnd]])</f>
        <v>8</v>
      </c>
      <c r="T376" s="9" t="str">
        <f>TimeEntry[[#This Row],[Year]]&amp;"-"&amp;TimeEntry[[#This Row],[WkNo]]</f>
        <v>2020-8</v>
      </c>
    </row>
    <row r="377" spans="1:20" x14ac:dyDescent="0.25">
      <c r="A377" s="6">
        <f>MOD(IF(ROW()=2,0.1,IF(INDEX(TimeEntry[WkEnd],ROW()-1)  =  INDEX(TimeEntry[WkEnd],ROW()-2),    INDEX(TimeEntry[format],ROW()-2),    INDEX(TimeEntry[format],ROW()-2)    +1)),2)</f>
        <v>0.10000000000000009</v>
      </c>
      <c r="B377" s="7"/>
      <c r="C377" s="8">
        <v>43875</v>
      </c>
      <c r="D377" s="8"/>
      <c r="E377" s="1" t="s">
        <v>447</v>
      </c>
      <c r="F377" s="8">
        <f>IF(TimeEntry[[#This Row],[Date]]=0,F376,C377+(7-Q377))</f>
        <v>43877</v>
      </c>
      <c r="G377" s="35" t="str">
        <f>INDEX(projects[Charge_Code],MATCH(TimeEntry[[#This Row],[Project_ID]],projects[Project_ID],0))</f>
        <v>255670-17 LOWER KINGS ROAD ASSESSMENT (01-382)</v>
      </c>
      <c r="H377" s="1" t="str">
        <f t="shared" si="15"/>
        <v>Normal Time</v>
      </c>
      <c r="I377" s="1"/>
      <c r="J377" s="15">
        <v>5</v>
      </c>
      <c r="K377" s="15"/>
      <c r="L377" s="15"/>
      <c r="M377" s="15"/>
      <c r="N377" s="15"/>
      <c r="O377" s="15" t="str">
        <f>INDEX(projects[job number],MATCH(TimeEntry[[#This Row],[Project_ID]], projects[Project_ID],0))</f>
        <v>255670-17</v>
      </c>
      <c r="P377" s="15" t="str">
        <f>INDEX(projects[Project_Name],MATCH(TimeEntry[[#This Row],[Project_ID]], projects[Project_ID],0))</f>
        <v>LOWER KINGS ROAD ASSESSMENT</v>
      </c>
      <c r="Q377" s="6">
        <f>IF(TimeEntry[[#This Row],[Date]]=0,"",WEEKDAY(C377,2))</f>
        <v>5</v>
      </c>
      <c r="R377" s="9">
        <f>YEAR(TimeEntry[[#This Row],[WkEnd]])</f>
        <v>2020</v>
      </c>
      <c r="S377" s="9">
        <f>WEEKNUM(TimeEntry[[#This Row],[WkEnd]])</f>
        <v>8</v>
      </c>
      <c r="T377" s="9" t="str">
        <f>TimeEntry[[#This Row],[Year]]&amp;"-"&amp;TimeEntry[[#This Row],[WkNo]]</f>
        <v>2020-8</v>
      </c>
    </row>
    <row r="378" spans="1:20" x14ac:dyDescent="0.25">
      <c r="A378" s="6">
        <f>MOD(IF(ROW()=2,0.1,IF(INDEX(TimeEntry[WkEnd],ROW()-1)  =  INDEX(TimeEntry[WkEnd],ROW()-2),    INDEX(TimeEntry[format],ROW()-2),    INDEX(TimeEntry[format],ROW()-2)    +1)),2)</f>
        <v>1.1000000000000001</v>
      </c>
      <c r="B378" s="7"/>
      <c r="C378" s="8">
        <v>43864</v>
      </c>
      <c r="D378" s="8"/>
      <c r="E378" s="1" t="s">
        <v>451</v>
      </c>
      <c r="F378" s="8">
        <f>IF(TimeEntry[[#This Row],[Date]]=0,F377,C378+(7-Q378))</f>
        <v>43870</v>
      </c>
      <c r="G378" s="35" t="str">
        <f>INDEX(projects[Charge_Code],MATCH(TimeEntry[[#This Row],[Project_ID]],projects[Project_ID],0))</f>
        <v>210035-64 VBB 3rd - new bridge VO</v>
      </c>
      <c r="H378" s="1" t="str">
        <f t="shared" si="15"/>
        <v>Normal Time</v>
      </c>
      <c r="I378" s="1"/>
      <c r="J378" s="15">
        <v>7.5</v>
      </c>
      <c r="K378" s="15"/>
      <c r="L378" s="15"/>
      <c r="M378" s="15"/>
      <c r="N378" s="15"/>
      <c r="O378" s="15" t="str">
        <f>INDEX(projects[job number],MATCH(TimeEntry[[#This Row],[Project_ID]], projects[Project_ID],0))</f>
        <v>210035-64</v>
      </c>
      <c r="P378" s="15" t="str">
        <f>INDEX(projects[Project_Name],MATCH(TimeEntry[[#This Row],[Project_ID]], projects[Project_ID],0))</f>
        <v>VBB 3rd - new bridge VO</v>
      </c>
      <c r="Q378" s="6">
        <f>IF(TimeEntry[[#This Row],[Date]]=0,"",WEEKDAY(C378,2))</f>
        <v>1</v>
      </c>
      <c r="R378" s="9">
        <f>YEAR(TimeEntry[[#This Row],[WkEnd]])</f>
        <v>2020</v>
      </c>
      <c r="S378" s="9">
        <f>WEEKNUM(TimeEntry[[#This Row],[WkEnd]])</f>
        <v>7</v>
      </c>
      <c r="T378" s="9" t="str">
        <f>TimeEntry[[#This Row],[Year]]&amp;"-"&amp;TimeEntry[[#This Row],[WkNo]]</f>
        <v>2020-7</v>
      </c>
    </row>
    <row r="379" spans="1:20" x14ac:dyDescent="0.25">
      <c r="A379" s="6">
        <f>MOD(IF(ROW()=2,0.1,IF(INDEX(TimeEntry[WkEnd],ROW()-1)  =  INDEX(TimeEntry[WkEnd],ROW()-2),    INDEX(TimeEntry[format],ROW()-2),    INDEX(TimeEntry[format],ROW()-2)    +1)),2)</f>
        <v>1.1000000000000001</v>
      </c>
      <c r="B379" s="7"/>
      <c r="C379" s="8">
        <v>43865</v>
      </c>
      <c r="D379" s="8"/>
      <c r="E379" s="1" t="s">
        <v>452</v>
      </c>
      <c r="F379" s="8">
        <f>IF(TimeEntry[[#This Row],[Date]]=0,F378,C379+(7-Q379))</f>
        <v>43870</v>
      </c>
      <c r="G379" s="35" t="str">
        <f>INDEX(projects[Charge_Code],MATCH(TimeEntry[[#This Row],[Project_ID]],projects[Project_ID],0))</f>
        <v>252076-05 Intro to bridges</v>
      </c>
      <c r="H379" s="1" t="str">
        <f t="shared" si="15"/>
        <v>Normal Time</v>
      </c>
      <c r="I379" s="1"/>
      <c r="J379" s="15">
        <v>4</v>
      </c>
      <c r="K379" s="15"/>
      <c r="L379" s="15"/>
      <c r="M379" s="15"/>
      <c r="N379" s="15"/>
      <c r="O379" s="15" t="str">
        <f>INDEX(projects[job number],MATCH(TimeEntry[[#This Row],[Project_ID]], projects[Project_ID],0))</f>
        <v>252076-05</v>
      </c>
      <c r="P379" s="15" t="str">
        <f>INDEX(projects[Project_Name],MATCH(TimeEntry[[#This Row],[Project_ID]], projects[Project_ID],0))</f>
        <v>Intro to bridges</v>
      </c>
      <c r="Q379" s="6">
        <f>IF(TimeEntry[[#This Row],[Date]]=0,"",WEEKDAY(C379,2))</f>
        <v>2</v>
      </c>
      <c r="R379" s="9">
        <f>YEAR(TimeEntry[[#This Row],[WkEnd]])</f>
        <v>2020</v>
      </c>
      <c r="S379" s="9">
        <f>WEEKNUM(TimeEntry[[#This Row],[WkEnd]])</f>
        <v>7</v>
      </c>
      <c r="T379" s="9" t="str">
        <f>TimeEntry[[#This Row],[Year]]&amp;"-"&amp;TimeEntry[[#This Row],[WkNo]]</f>
        <v>2020-7</v>
      </c>
    </row>
    <row r="380" spans="1:20" x14ac:dyDescent="0.25">
      <c r="A380" s="6">
        <f>MOD(IF(ROW()=2,0.1,IF(INDEX(TimeEntry[WkEnd],ROW()-1)  =  INDEX(TimeEntry[WkEnd],ROW()-2),    INDEX(TimeEntry[format],ROW()-2),    INDEX(TimeEntry[format],ROW()-2)    +1)),2)</f>
        <v>1.1000000000000001</v>
      </c>
      <c r="B380" s="7"/>
      <c r="C380" s="8">
        <v>43865</v>
      </c>
      <c r="D380" s="8"/>
      <c r="E380" s="1" t="s">
        <v>447</v>
      </c>
      <c r="F380" s="8">
        <f>IF(TimeEntry[[#This Row],[Date]]=0,F379,C380+(7-Q380))</f>
        <v>43870</v>
      </c>
      <c r="G380" s="35" t="str">
        <f>INDEX(projects[Charge_Code],MATCH(TimeEntry[[#This Row],[Project_ID]],projects[Project_ID],0))</f>
        <v>255670-17 LOWER KINGS ROAD ASSESSMENT (01-382)</v>
      </c>
      <c r="H380" s="1" t="str">
        <f t="shared" si="15"/>
        <v>Normal Time</v>
      </c>
      <c r="I380" s="1"/>
      <c r="J380" s="15">
        <v>3.5</v>
      </c>
      <c r="K380" s="15"/>
      <c r="L380" s="15"/>
      <c r="M380" s="15"/>
      <c r="N380" s="15"/>
      <c r="O380" s="15" t="str">
        <f>INDEX(projects[job number],MATCH(TimeEntry[[#This Row],[Project_ID]], projects[Project_ID],0))</f>
        <v>255670-17</v>
      </c>
      <c r="P380" s="15" t="str">
        <f>INDEX(projects[Project_Name],MATCH(TimeEntry[[#This Row],[Project_ID]], projects[Project_ID],0))</f>
        <v>LOWER KINGS ROAD ASSESSMENT</v>
      </c>
      <c r="Q380" s="6">
        <f>IF(TimeEntry[[#This Row],[Date]]=0,"",WEEKDAY(C380,2))</f>
        <v>2</v>
      </c>
      <c r="R380" s="9">
        <f>YEAR(TimeEntry[[#This Row],[WkEnd]])</f>
        <v>2020</v>
      </c>
      <c r="S380" s="9">
        <f>WEEKNUM(TimeEntry[[#This Row],[WkEnd]])</f>
        <v>7</v>
      </c>
      <c r="T380" s="9" t="str">
        <f>TimeEntry[[#This Row],[Year]]&amp;"-"&amp;TimeEntry[[#This Row],[WkNo]]</f>
        <v>2020-7</v>
      </c>
    </row>
    <row r="381" spans="1:20" x14ac:dyDescent="0.25">
      <c r="A381" s="6">
        <f>MOD(IF(ROW()=2,0.1,IF(INDEX(TimeEntry[WkEnd],ROW()-1)  =  INDEX(TimeEntry[WkEnd],ROW()-2),    INDEX(TimeEntry[format],ROW()-2),    INDEX(TimeEntry[format],ROW()-2)    +1)),2)</f>
        <v>1.1000000000000001</v>
      </c>
      <c r="B381" s="7"/>
      <c r="C381" s="8">
        <v>43866</v>
      </c>
      <c r="D381" s="8"/>
      <c r="E381" s="1" t="s">
        <v>451</v>
      </c>
      <c r="F381" s="8">
        <f>IF(TimeEntry[[#This Row],[Date]]=0,F380,C381+(7-Q381))</f>
        <v>43870</v>
      </c>
      <c r="G381" s="35" t="str">
        <f>INDEX(projects[Charge_Code],MATCH(TimeEntry[[#This Row],[Project_ID]],projects[Project_ID],0))</f>
        <v>210035-64 VBB 3rd - new bridge VO</v>
      </c>
      <c r="H381" s="1" t="str">
        <f t="shared" si="15"/>
        <v>Normal Time</v>
      </c>
      <c r="I381" s="1"/>
      <c r="J381" s="15">
        <v>7.5</v>
      </c>
      <c r="K381" s="15"/>
      <c r="L381" s="15"/>
      <c r="M381" s="15"/>
      <c r="N381" s="15"/>
      <c r="O381" s="15" t="str">
        <f>INDEX(projects[job number],MATCH(TimeEntry[[#This Row],[Project_ID]], projects[Project_ID],0))</f>
        <v>210035-64</v>
      </c>
      <c r="P381" s="15" t="str">
        <f>INDEX(projects[Project_Name],MATCH(TimeEntry[[#This Row],[Project_ID]], projects[Project_ID],0))</f>
        <v>VBB 3rd - new bridge VO</v>
      </c>
      <c r="Q381" s="6">
        <f>IF(TimeEntry[[#This Row],[Date]]=0,"",WEEKDAY(C381,2))</f>
        <v>3</v>
      </c>
      <c r="R381" s="9">
        <f>YEAR(TimeEntry[[#This Row],[WkEnd]])</f>
        <v>2020</v>
      </c>
      <c r="S381" s="9">
        <f>WEEKNUM(TimeEntry[[#This Row],[WkEnd]])</f>
        <v>7</v>
      </c>
      <c r="T381" s="9" t="str">
        <f>TimeEntry[[#This Row],[Year]]&amp;"-"&amp;TimeEntry[[#This Row],[WkNo]]</f>
        <v>2020-7</v>
      </c>
    </row>
    <row r="382" spans="1:20" x14ac:dyDescent="0.25">
      <c r="A382" s="6">
        <f>MOD(IF(ROW()=2,0.1,IF(INDEX(TimeEntry[WkEnd],ROW()-1)  =  INDEX(TimeEntry[WkEnd],ROW()-2),    INDEX(TimeEntry[format],ROW()-2),    INDEX(TimeEntry[format],ROW()-2)    +1)),2)</f>
        <v>1.1000000000000001</v>
      </c>
      <c r="B382" s="7"/>
      <c r="C382" s="8">
        <v>43867</v>
      </c>
      <c r="D382" s="8"/>
      <c r="E382" s="1" t="s">
        <v>451</v>
      </c>
      <c r="F382" s="8">
        <f>IF(TimeEntry[[#This Row],[Date]]=0,F381,C382+(7-Q382))</f>
        <v>43870</v>
      </c>
      <c r="G382" s="35" t="str">
        <f>INDEX(projects[Charge_Code],MATCH(TimeEntry[[#This Row],[Project_ID]],projects[Project_ID],0))</f>
        <v>210035-64 VBB 3rd - new bridge VO</v>
      </c>
      <c r="H382" s="1" t="str">
        <f t="shared" si="15"/>
        <v>Normal Time</v>
      </c>
      <c r="I382" s="1"/>
      <c r="J382" s="15">
        <v>7.5</v>
      </c>
      <c r="K382" s="15"/>
      <c r="L382" s="15"/>
      <c r="M382" s="15"/>
      <c r="N382" s="15"/>
      <c r="O382" s="15" t="str">
        <f>INDEX(projects[job number],MATCH(TimeEntry[[#This Row],[Project_ID]], projects[Project_ID],0))</f>
        <v>210035-64</v>
      </c>
      <c r="P382" s="15" t="str">
        <f>INDEX(projects[Project_Name],MATCH(TimeEntry[[#This Row],[Project_ID]], projects[Project_ID],0))</f>
        <v>VBB 3rd - new bridge VO</v>
      </c>
      <c r="Q382" s="6">
        <f>IF(TimeEntry[[#This Row],[Date]]=0,"",WEEKDAY(C382,2))</f>
        <v>4</v>
      </c>
      <c r="R382" s="9">
        <f>YEAR(TimeEntry[[#This Row],[WkEnd]])</f>
        <v>2020</v>
      </c>
      <c r="S382" s="9">
        <f>WEEKNUM(TimeEntry[[#This Row],[WkEnd]])</f>
        <v>7</v>
      </c>
      <c r="T382" s="9" t="str">
        <f>TimeEntry[[#This Row],[Year]]&amp;"-"&amp;TimeEntry[[#This Row],[WkNo]]</f>
        <v>2020-7</v>
      </c>
    </row>
    <row r="383" spans="1:20" x14ac:dyDescent="0.25">
      <c r="A383" s="6">
        <f>MOD(IF(ROW()=2,0.1,IF(INDEX(TimeEntry[WkEnd],ROW()-1)  =  INDEX(TimeEntry[WkEnd],ROW()-2),    INDEX(TimeEntry[format],ROW()-2),    INDEX(TimeEntry[format],ROW()-2)    +1)),2)</f>
        <v>1.1000000000000001</v>
      </c>
      <c r="B383" s="7"/>
      <c r="C383" s="8">
        <v>43868</v>
      </c>
      <c r="D383" s="8"/>
      <c r="E383" s="1" t="s">
        <v>451</v>
      </c>
      <c r="F383" s="8">
        <f>IF(TimeEntry[[#This Row],[Date]]=0,F382,C383+(7-Q383))</f>
        <v>43870</v>
      </c>
      <c r="G383" s="35" t="str">
        <f>INDEX(projects[Charge_Code],MATCH(TimeEntry[[#This Row],[Project_ID]],projects[Project_ID],0))</f>
        <v>210035-64 VBB 3rd - new bridge VO</v>
      </c>
      <c r="H383" s="1" t="str">
        <f t="shared" si="15"/>
        <v>Normal Time</v>
      </c>
      <c r="I383" s="1"/>
      <c r="J383" s="15">
        <v>5.5</v>
      </c>
      <c r="K383" s="15"/>
      <c r="L383" s="15"/>
      <c r="M383" s="15"/>
      <c r="N383" s="15"/>
      <c r="O383" s="15" t="str">
        <f>INDEX(projects[job number],MATCH(TimeEntry[[#This Row],[Project_ID]], projects[Project_ID],0))</f>
        <v>210035-64</v>
      </c>
      <c r="P383" s="15" t="str">
        <f>INDEX(projects[Project_Name],MATCH(TimeEntry[[#This Row],[Project_ID]], projects[Project_ID],0))</f>
        <v>VBB 3rd - new bridge VO</v>
      </c>
      <c r="Q383" s="6">
        <f>IF(TimeEntry[[#This Row],[Date]]=0,"",WEEKDAY(C383,2))</f>
        <v>5</v>
      </c>
      <c r="R383" s="9">
        <f>YEAR(TimeEntry[[#This Row],[WkEnd]])</f>
        <v>2020</v>
      </c>
      <c r="S383" s="9">
        <f>WEEKNUM(TimeEntry[[#This Row],[WkEnd]])</f>
        <v>7</v>
      </c>
      <c r="T383" s="9" t="str">
        <f>TimeEntry[[#This Row],[Year]]&amp;"-"&amp;TimeEntry[[#This Row],[WkNo]]</f>
        <v>2020-7</v>
      </c>
    </row>
    <row r="384" spans="1:20" x14ac:dyDescent="0.25">
      <c r="A384" s="6">
        <f>MOD(IF(ROW()=2,0.1,IF(INDEX(TimeEntry[WkEnd],ROW()-1)  =  INDEX(TimeEntry[WkEnd],ROW()-2),    INDEX(TimeEntry[format],ROW()-2),    INDEX(TimeEntry[format],ROW()-2)    +1)),2)</f>
        <v>1.1000000000000001</v>
      </c>
      <c r="B384" s="7"/>
      <c r="C384" s="8">
        <v>43868</v>
      </c>
      <c r="D384" s="8"/>
      <c r="E384" s="1" t="s">
        <v>447</v>
      </c>
      <c r="F384" s="8">
        <f>IF(TimeEntry[[#This Row],[Date]]=0,F383,C384+(7-Q384))</f>
        <v>43870</v>
      </c>
      <c r="G384" s="35" t="str">
        <f>INDEX(projects[Charge_Code],MATCH(TimeEntry[[#This Row],[Project_ID]],projects[Project_ID],0))</f>
        <v>255670-17 LOWER KINGS ROAD ASSESSMENT (01-382)</v>
      </c>
      <c r="H384" s="1" t="str">
        <f t="shared" si="15"/>
        <v>Normal Time</v>
      </c>
      <c r="I384" s="1"/>
      <c r="J384" s="15">
        <v>2</v>
      </c>
      <c r="K384" s="15"/>
      <c r="L384" s="15"/>
      <c r="M384" s="15"/>
      <c r="N384" s="15"/>
      <c r="O384" s="15" t="str">
        <f>INDEX(projects[job number],MATCH(TimeEntry[[#This Row],[Project_ID]], projects[Project_ID],0))</f>
        <v>255670-17</v>
      </c>
      <c r="P384" s="15" t="str">
        <f>INDEX(projects[Project_Name],MATCH(TimeEntry[[#This Row],[Project_ID]], projects[Project_ID],0))</f>
        <v>LOWER KINGS ROAD ASSESSMENT</v>
      </c>
      <c r="Q384" s="6">
        <f>IF(TimeEntry[[#This Row],[Date]]=0,"",WEEKDAY(C384,2))</f>
        <v>5</v>
      </c>
      <c r="R384" s="9">
        <f>YEAR(TimeEntry[[#This Row],[WkEnd]])</f>
        <v>2020</v>
      </c>
      <c r="S384" s="9">
        <f>WEEKNUM(TimeEntry[[#This Row],[WkEnd]])</f>
        <v>7</v>
      </c>
      <c r="T384" s="9" t="str">
        <f>TimeEntry[[#This Row],[Year]]&amp;"-"&amp;TimeEntry[[#This Row],[WkNo]]</f>
        <v>2020-7</v>
      </c>
    </row>
    <row r="385" spans="1:20" x14ac:dyDescent="0.25">
      <c r="A385" s="6">
        <f>MOD(IF(ROW()=2,0.1,IF(INDEX(TimeEntry[WkEnd],ROW()-1)  =  INDEX(TimeEntry[WkEnd],ROW()-2),    INDEX(TimeEntry[format],ROW()-2),    INDEX(TimeEntry[format],ROW()-2)    +1)),2)</f>
        <v>0.10000000000000009</v>
      </c>
      <c r="B385" s="7"/>
      <c r="C385" s="8">
        <v>43857</v>
      </c>
      <c r="D385" s="8"/>
      <c r="E385" s="1" t="s">
        <v>453</v>
      </c>
      <c r="F385" s="8">
        <f>IF(TimeEntry[[#This Row],[Date]]=0,F384,C385+(7-Q385))</f>
        <v>43863</v>
      </c>
      <c r="G385" s="35" t="str">
        <f>INDEX(projects[Charge_Code],MATCH(TimeEntry[[#This Row],[Project_ID]],projects[Project_ID],0))</f>
        <v>268017-25  KSC - Tunnel</v>
      </c>
      <c r="H385" s="1" t="str">
        <f t="shared" si="15"/>
        <v>Normal Time</v>
      </c>
      <c r="I385" s="1"/>
      <c r="J385" s="15">
        <v>7.5</v>
      </c>
      <c r="K385" s="15"/>
      <c r="L385" s="15"/>
      <c r="M385" s="15"/>
      <c r="N385" s="15"/>
      <c r="O385" s="15" t="str">
        <f>INDEX(projects[job number],MATCH(TimeEntry[[#This Row],[Project_ID]], projects[Project_ID],0))</f>
        <v xml:space="preserve">268017-25 </v>
      </c>
      <c r="P385" s="15" t="str">
        <f>INDEX(projects[Project_Name],MATCH(TimeEntry[[#This Row],[Project_ID]], projects[Project_ID],0))</f>
        <v>KSC - Tunnel</v>
      </c>
      <c r="Q385" s="6">
        <f>IF(TimeEntry[[#This Row],[Date]]=0,"",WEEKDAY(C385,2))</f>
        <v>1</v>
      </c>
      <c r="R385" s="9">
        <f>YEAR(TimeEntry[[#This Row],[WkEnd]])</f>
        <v>2020</v>
      </c>
      <c r="S385" s="9">
        <f>WEEKNUM(TimeEntry[[#This Row],[WkEnd]])</f>
        <v>6</v>
      </c>
      <c r="T385" s="9" t="str">
        <f>TimeEntry[[#This Row],[Year]]&amp;"-"&amp;TimeEntry[[#This Row],[WkNo]]</f>
        <v>2020-6</v>
      </c>
    </row>
    <row r="386" spans="1:20" x14ac:dyDescent="0.25">
      <c r="A386" s="6">
        <f>MOD(IF(ROW()=2,0.1,IF(INDEX(TimeEntry[WkEnd],ROW()-1)  =  INDEX(TimeEntry[WkEnd],ROW()-2),    INDEX(TimeEntry[format],ROW()-2),    INDEX(TimeEntry[format],ROW()-2)    +1)),2)</f>
        <v>0.10000000000000009</v>
      </c>
      <c r="B386" s="7"/>
      <c r="C386" s="8">
        <v>43858</v>
      </c>
      <c r="D386" s="8"/>
      <c r="E386" s="1" t="s">
        <v>451</v>
      </c>
      <c r="F386" s="8">
        <f>IF(TimeEntry[[#This Row],[Date]]=0,F385,C386+(7-Q386))</f>
        <v>43863</v>
      </c>
      <c r="G386" s="35" t="str">
        <f>INDEX(projects[Charge_Code],MATCH(TimeEntry[[#This Row],[Project_ID]],projects[Project_ID],0))</f>
        <v>210035-64 VBB 3rd - new bridge VO</v>
      </c>
      <c r="H386" s="1" t="str">
        <f t="shared" si="15"/>
        <v>Normal Time</v>
      </c>
      <c r="I386" s="1"/>
      <c r="J386" s="15">
        <v>7.5</v>
      </c>
      <c r="K386" s="15"/>
      <c r="L386" s="15"/>
      <c r="M386" s="15"/>
      <c r="N386" s="15"/>
      <c r="O386" s="15" t="str">
        <f>INDEX(projects[job number],MATCH(TimeEntry[[#This Row],[Project_ID]], projects[Project_ID],0))</f>
        <v>210035-64</v>
      </c>
      <c r="P386" s="15" t="str">
        <f>INDEX(projects[Project_Name],MATCH(TimeEntry[[#This Row],[Project_ID]], projects[Project_ID],0))</f>
        <v>VBB 3rd - new bridge VO</v>
      </c>
      <c r="Q386" s="6">
        <f>IF(TimeEntry[[#This Row],[Date]]=0,"",WEEKDAY(C386,2))</f>
        <v>2</v>
      </c>
      <c r="R386" s="9">
        <f>YEAR(TimeEntry[[#This Row],[WkEnd]])</f>
        <v>2020</v>
      </c>
      <c r="S386" s="9">
        <f>WEEKNUM(TimeEntry[[#This Row],[WkEnd]])</f>
        <v>6</v>
      </c>
      <c r="T386" s="9" t="str">
        <f>TimeEntry[[#This Row],[Year]]&amp;"-"&amp;TimeEntry[[#This Row],[WkNo]]</f>
        <v>2020-6</v>
      </c>
    </row>
    <row r="387" spans="1:20" x14ac:dyDescent="0.25">
      <c r="A387" s="6">
        <f>MOD(IF(ROW()=2,0.1,IF(INDEX(TimeEntry[WkEnd],ROW()-1)  =  INDEX(TimeEntry[WkEnd],ROW()-2),    INDEX(TimeEntry[format],ROW()-2),    INDEX(TimeEntry[format],ROW()-2)    +1)),2)</f>
        <v>0.10000000000000009</v>
      </c>
      <c r="B387" s="7"/>
      <c r="C387" s="8">
        <v>43859</v>
      </c>
      <c r="D387" s="8"/>
      <c r="E387" s="1" t="s">
        <v>453</v>
      </c>
      <c r="F387" s="8">
        <f>IF(TimeEntry[[#This Row],[Date]]=0,F386,C387+(7-Q387))</f>
        <v>43863</v>
      </c>
      <c r="G387" s="35" t="str">
        <f>INDEX(projects[Charge_Code],MATCH(TimeEntry[[#This Row],[Project_ID]],projects[Project_ID],0))</f>
        <v>268017-25  KSC - Tunnel</v>
      </c>
      <c r="H387" s="1" t="str">
        <f t="shared" si="15"/>
        <v>Normal Time</v>
      </c>
      <c r="I387" s="1"/>
      <c r="J387" s="15">
        <v>5</v>
      </c>
      <c r="K387" s="15"/>
      <c r="L387" s="15"/>
      <c r="M387" s="15"/>
      <c r="N387" s="15"/>
      <c r="O387" s="15" t="str">
        <f>INDEX(projects[job number],MATCH(TimeEntry[[#This Row],[Project_ID]], projects[Project_ID],0))</f>
        <v xml:space="preserve">268017-25 </v>
      </c>
      <c r="P387" s="15" t="str">
        <f>INDEX(projects[Project_Name],MATCH(TimeEntry[[#This Row],[Project_ID]], projects[Project_ID],0))</f>
        <v>KSC - Tunnel</v>
      </c>
      <c r="Q387" s="6">
        <f>IF(TimeEntry[[#This Row],[Date]]=0,"",WEEKDAY(C387,2))</f>
        <v>3</v>
      </c>
      <c r="R387" s="9">
        <f>YEAR(TimeEntry[[#This Row],[WkEnd]])</f>
        <v>2020</v>
      </c>
      <c r="S387" s="9">
        <f>WEEKNUM(TimeEntry[[#This Row],[WkEnd]])</f>
        <v>6</v>
      </c>
      <c r="T387" s="9" t="str">
        <f>TimeEntry[[#This Row],[Year]]&amp;"-"&amp;TimeEntry[[#This Row],[WkNo]]</f>
        <v>2020-6</v>
      </c>
    </row>
    <row r="388" spans="1:20" x14ac:dyDescent="0.25">
      <c r="A388" s="6">
        <f>MOD(IF(ROW()=2,0.1,IF(INDEX(TimeEntry[WkEnd],ROW()-1)  =  INDEX(TimeEntry[WkEnd],ROW()-2),    INDEX(TimeEntry[format],ROW()-2),    INDEX(TimeEntry[format],ROW()-2)    +1)),2)</f>
        <v>0.10000000000000009</v>
      </c>
      <c r="B388" s="7"/>
      <c r="C388" s="8">
        <v>43859</v>
      </c>
      <c r="D388" s="8"/>
      <c r="E388" s="1" t="s">
        <v>447</v>
      </c>
      <c r="F388" s="8">
        <f>IF(TimeEntry[[#This Row],[Date]]=0,F387,C388+(7-Q388))</f>
        <v>43863</v>
      </c>
      <c r="G388" s="35" t="str">
        <f>INDEX(projects[Charge_Code],MATCH(TimeEntry[[#This Row],[Project_ID]],projects[Project_ID],0))</f>
        <v>255670-17 LOWER KINGS ROAD ASSESSMENT (01-382)</v>
      </c>
      <c r="H388" s="1" t="str">
        <f t="shared" si="15"/>
        <v>Normal Time</v>
      </c>
      <c r="I388" s="1"/>
      <c r="J388" s="15">
        <v>2.5</v>
      </c>
      <c r="K388" s="15"/>
      <c r="L388" s="15"/>
      <c r="M388" s="15"/>
      <c r="N388" s="15"/>
      <c r="O388" s="15" t="str">
        <f>INDEX(projects[job number],MATCH(TimeEntry[[#This Row],[Project_ID]], projects[Project_ID],0))</f>
        <v>255670-17</v>
      </c>
      <c r="P388" s="15" t="str">
        <f>INDEX(projects[Project_Name],MATCH(TimeEntry[[#This Row],[Project_ID]], projects[Project_ID],0))</f>
        <v>LOWER KINGS ROAD ASSESSMENT</v>
      </c>
      <c r="Q388" s="6">
        <f>IF(TimeEntry[[#This Row],[Date]]=0,"",WEEKDAY(C388,2))</f>
        <v>3</v>
      </c>
      <c r="R388" s="9">
        <f>YEAR(TimeEntry[[#This Row],[WkEnd]])</f>
        <v>2020</v>
      </c>
      <c r="S388" s="9">
        <f>WEEKNUM(TimeEntry[[#This Row],[WkEnd]])</f>
        <v>6</v>
      </c>
      <c r="T388" s="9" t="str">
        <f>TimeEntry[[#This Row],[Year]]&amp;"-"&amp;TimeEntry[[#This Row],[WkNo]]</f>
        <v>2020-6</v>
      </c>
    </row>
    <row r="389" spans="1:20" x14ac:dyDescent="0.25">
      <c r="A389" s="6">
        <f>MOD(IF(ROW()=2,0.1,IF(INDEX(TimeEntry[WkEnd],ROW()-1)  =  INDEX(TimeEntry[WkEnd],ROW()-2),    INDEX(TimeEntry[format],ROW()-2),    INDEX(TimeEntry[format],ROW()-2)    +1)),2)</f>
        <v>0.10000000000000009</v>
      </c>
      <c r="B389" s="7"/>
      <c r="C389" s="8">
        <v>43860</v>
      </c>
      <c r="D389" s="8"/>
      <c r="E389" s="1" t="s">
        <v>451</v>
      </c>
      <c r="F389" s="8">
        <f>IF(TimeEntry[[#This Row],[Date]]=0,F388,C389+(7-Q389))</f>
        <v>43863</v>
      </c>
      <c r="G389" s="35" t="str">
        <f>INDEX(projects[Charge_Code],MATCH(TimeEntry[[#This Row],[Project_ID]],projects[Project_ID],0))</f>
        <v>210035-64 VBB 3rd - new bridge VO</v>
      </c>
      <c r="H389" s="1" t="str">
        <f t="shared" si="15"/>
        <v>Normal Time</v>
      </c>
      <c r="I389" s="1"/>
      <c r="J389" s="15">
        <v>7.5</v>
      </c>
      <c r="K389" s="15"/>
      <c r="L389" s="15"/>
      <c r="M389" s="15"/>
      <c r="N389" s="15"/>
      <c r="O389" s="15" t="str">
        <f>INDEX(projects[job number],MATCH(TimeEntry[[#This Row],[Project_ID]], projects[Project_ID],0))</f>
        <v>210035-64</v>
      </c>
      <c r="P389" s="15" t="str">
        <f>INDEX(projects[Project_Name],MATCH(TimeEntry[[#This Row],[Project_ID]], projects[Project_ID],0))</f>
        <v>VBB 3rd - new bridge VO</v>
      </c>
      <c r="Q389" s="6">
        <f>IF(TimeEntry[[#This Row],[Date]]=0,"",WEEKDAY(C389,2))</f>
        <v>4</v>
      </c>
      <c r="R389" s="9">
        <f>YEAR(TimeEntry[[#This Row],[WkEnd]])</f>
        <v>2020</v>
      </c>
      <c r="S389" s="9">
        <f>WEEKNUM(TimeEntry[[#This Row],[WkEnd]])</f>
        <v>6</v>
      </c>
      <c r="T389" s="9" t="str">
        <f>TimeEntry[[#This Row],[Year]]&amp;"-"&amp;TimeEntry[[#This Row],[WkNo]]</f>
        <v>2020-6</v>
      </c>
    </row>
    <row r="390" spans="1:20" x14ac:dyDescent="0.25">
      <c r="A390" s="6">
        <f>MOD(IF(ROW()=2,0.1,IF(INDEX(TimeEntry[WkEnd],ROW()-1)  =  INDEX(TimeEntry[WkEnd],ROW()-2),    INDEX(TimeEntry[format],ROW()-2),    INDEX(TimeEntry[format],ROW()-2)    +1)),2)</f>
        <v>0.10000000000000009</v>
      </c>
      <c r="B390" s="7"/>
      <c r="C390" s="8">
        <v>43861</v>
      </c>
      <c r="D390" s="8"/>
      <c r="E390" s="1" t="s">
        <v>453</v>
      </c>
      <c r="F390" s="8">
        <f>IF(TimeEntry[[#This Row],[Date]]=0,F389,C390+(7-Q390))</f>
        <v>43863</v>
      </c>
      <c r="G390" s="35" t="str">
        <f>INDEX(projects[Charge_Code],MATCH(TimeEntry[[#This Row],[Project_ID]],projects[Project_ID],0))</f>
        <v>268017-25  KSC - Tunnel</v>
      </c>
      <c r="H390" s="1" t="str">
        <f t="shared" si="15"/>
        <v>Normal Time</v>
      </c>
      <c r="I390" s="1"/>
      <c r="J390" s="15">
        <v>7.5</v>
      </c>
      <c r="K390" s="15"/>
      <c r="L390" s="15"/>
      <c r="M390" s="15"/>
      <c r="N390" s="15"/>
      <c r="O390" s="15" t="str">
        <f>INDEX(projects[job number],MATCH(TimeEntry[[#This Row],[Project_ID]], projects[Project_ID],0))</f>
        <v xml:space="preserve">268017-25 </v>
      </c>
      <c r="P390" s="15" t="str">
        <f>INDEX(projects[Project_Name],MATCH(TimeEntry[[#This Row],[Project_ID]], projects[Project_ID],0))</f>
        <v>KSC - Tunnel</v>
      </c>
      <c r="Q390" s="6">
        <f>IF(TimeEntry[[#This Row],[Date]]=0,"",WEEKDAY(C390,2))</f>
        <v>5</v>
      </c>
      <c r="R390" s="9">
        <f>YEAR(TimeEntry[[#This Row],[WkEnd]])</f>
        <v>2020</v>
      </c>
      <c r="S390" s="9">
        <f>WEEKNUM(TimeEntry[[#This Row],[WkEnd]])</f>
        <v>6</v>
      </c>
      <c r="T390" s="9" t="str">
        <f>TimeEntry[[#This Row],[Year]]&amp;"-"&amp;TimeEntry[[#This Row],[WkNo]]</f>
        <v>2020-6</v>
      </c>
    </row>
    <row r="391" spans="1:20" x14ac:dyDescent="0.25">
      <c r="A391" s="6">
        <f>MOD(IF(ROW()=2,0.1,IF(INDEX(TimeEntry[WkEnd],ROW()-1)  =  INDEX(TimeEntry[WkEnd],ROW()-2),    INDEX(TimeEntry[format],ROW()-2),    INDEX(TimeEntry[format],ROW()-2)    +1)),2)</f>
        <v>1.1000000000000001</v>
      </c>
      <c r="B391" s="7"/>
      <c r="C391" s="8">
        <v>43854</v>
      </c>
      <c r="D391" s="8"/>
      <c r="E391" s="1" t="s">
        <v>453</v>
      </c>
      <c r="F391" s="8">
        <f>IF(TimeEntry[[#This Row],[Date]]=0,F390,C391+(7-Q391))</f>
        <v>43856</v>
      </c>
      <c r="G391" s="35" t="str">
        <f>INDEX(projects[Charge_Code],MATCH(TimeEntry[[#This Row],[Project_ID]],projects[Project_ID],0))</f>
        <v>268017-25  KSC - Tunnel</v>
      </c>
      <c r="H391" s="1" t="str">
        <f t="shared" si="15"/>
        <v>Normal Time</v>
      </c>
      <c r="I391" s="1"/>
      <c r="J391" s="15">
        <v>7.5</v>
      </c>
      <c r="K391" s="15"/>
      <c r="L391" s="15"/>
      <c r="M391" s="15"/>
      <c r="N391" s="15"/>
      <c r="O391" s="15" t="str">
        <f>INDEX(projects[job number],MATCH(TimeEntry[[#This Row],[Project_ID]], projects[Project_ID],0))</f>
        <v xml:space="preserve">268017-25 </v>
      </c>
      <c r="P391" s="15" t="str">
        <f>INDEX(projects[Project_Name],MATCH(TimeEntry[[#This Row],[Project_ID]], projects[Project_ID],0))</f>
        <v>KSC - Tunnel</v>
      </c>
      <c r="Q391" s="6">
        <f>IF(TimeEntry[[#This Row],[Date]]=0,"",WEEKDAY(C391,2))</f>
        <v>5</v>
      </c>
      <c r="R391" s="9">
        <f>YEAR(TimeEntry[[#This Row],[WkEnd]])</f>
        <v>2020</v>
      </c>
      <c r="S391" s="9">
        <f>WEEKNUM(TimeEntry[[#This Row],[WkEnd]])</f>
        <v>5</v>
      </c>
      <c r="T391" s="9" t="str">
        <f>TimeEntry[[#This Row],[Year]]&amp;"-"&amp;TimeEntry[[#This Row],[WkNo]]</f>
        <v>2020-5</v>
      </c>
    </row>
    <row r="392" spans="1:20" x14ac:dyDescent="0.25">
      <c r="A392" s="6">
        <f>MOD(IF(ROW()=2,0.1,IF(INDEX(TimeEntry[WkEnd],ROW()-1)  =  INDEX(TimeEntry[WkEnd],ROW()-2),    INDEX(TimeEntry[format],ROW()-2),    INDEX(TimeEntry[format],ROW()-2)    +1)),2)</f>
        <v>1.1000000000000001</v>
      </c>
      <c r="B392" s="7"/>
      <c r="C392" s="8">
        <v>43853</v>
      </c>
      <c r="D392" s="8"/>
      <c r="E392" s="1" t="s">
        <v>451</v>
      </c>
      <c r="F392" s="8">
        <f>IF(TimeEntry[[#This Row],[Date]]=0,F391,C392+(7-Q392))</f>
        <v>43856</v>
      </c>
      <c r="G392" s="35" t="str">
        <f>INDEX(projects[Charge_Code],MATCH(TimeEntry[[#This Row],[Project_ID]],projects[Project_ID],0))</f>
        <v>210035-64 VBB 3rd - new bridge VO</v>
      </c>
      <c r="H392" s="1" t="str">
        <f t="shared" ref="H392:H455" si="16">"Normal Time"</f>
        <v>Normal Time</v>
      </c>
      <c r="I392" s="1"/>
      <c r="J392" s="15">
        <v>7.5</v>
      </c>
      <c r="K392" s="15"/>
      <c r="L392" s="15"/>
      <c r="M392" s="15"/>
      <c r="N392" s="15"/>
      <c r="O392" s="15" t="str">
        <f>INDEX(projects[job number],MATCH(TimeEntry[[#This Row],[Project_ID]], projects[Project_ID],0))</f>
        <v>210035-64</v>
      </c>
      <c r="P392" s="15" t="str">
        <f>INDEX(projects[Project_Name],MATCH(TimeEntry[[#This Row],[Project_ID]], projects[Project_ID],0))</f>
        <v>VBB 3rd - new bridge VO</v>
      </c>
      <c r="Q392" s="6">
        <f>IF(TimeEntry[[#This Row],[Date]]=0,"",WEEKDAY(C392,2))</f>
        <v>4</v>
      </c>
      <c r="R392" s="9">
        <f>YEAR(TimeEntry[[#This Row],[WkEnd]])</f>
        <v>2020</v>
      </c>
      <c r="S392" s="9">
        <f>WEEKNUM(TimeEntry[[#This Row],[WkEnd]])</f>
        <v>5</v>
      </c>
      <c r="T392" s="9" t="str">
        <f>TimeEntry[[#This Row],[Year]]&amp;"-"&amp;TimeEntry[[#This Row],[WkNo]]</f>
        <v>2020-5</v>
      </c>
    </row>
    <row r="393" spans="1:20" x14ac:dyDescent="0.25">
      <c r="A393" s="6">
        <f>MOD(IF(ROW()=2,0.1,IF(INDEX(TimeEntry[WkEnd],ROW()-1)  =  INDEX(TimeEntry[WkEnd],ROW()-2),    INDEX(TimeEntry[format],ROW()-2),    INDEX(TimeEntry[format],ROW()-2)    +1)),2)</f>
        <v>1.1000000000000001</v>
      </c>
      <c r="B393" s="7"/>
      <c r="C393" s="8">
        <v>43852</v>
      </c>
      <c r="D393" s="8"/>
      <c r="E393" s="1" t="s">
        <v>451</v>
      </c>
      <c r="F393" s="8">
        <f>IF(TimeEntry[[#This Row],[Date]]=0,F392,C393+(7-Q393))</f>
        <v>43856</v>
      </c>
      <c r="G393" s="35" t="str">
        <f>INDEX(projects[Charge_Code],MATCH(TimeEntry[[#This Row],[Project_ID]],projects[Project_ID],0))</f>
        <v>210035-64 VBB 3rd - new bridge VO</v>
      </c>
      <c r="H393" s="1" t="str">
        <f t="shared" si="16"/>
        <v>Normal Time</v>
      </c>
      <c r="I393" s="1"/>
      <c r="J393" s="15">
        <v>7.5</v>
      </c>
      <c r="K393" s="15"/>
      <c r="L393" s="15"/>
      <c r="M393" s="15"/>
      <c r="N393" s="15"/>
      <c r="O393" s="15" t="str">
        <f>INDEX(projects[job number],MATCH(TimeEntry[[#This Row],[Project_ID]], projects[Project_ID],0))</f>
        <v>210035-64</v>
      </c>
      <c r="P393" s="15" t="str">
        <f>INDEX(projects[Project_Name],MATCH(TimeEntry[[#This Row],[Project_ID]], projects[Project_ID],0))</f>
        <v>VBB 3rd - new bridge VO</v>
      </c>
      <c r="Q393" s="6">
        <f>IF(TimeEntry[[#This Row],[Date]]=0,"",WEEKDAY(C393,2))</f>
        <v>3</v>
      </c>
      <c r="R393" s="9">
        <f>YEAR(TimeEntry[[#This Row],[WkEnd]])</f>
        <v>2020</v>
      </c>
      <c r="S393" s="9">
        <f>WEEKNUM(TimeEntry[[#This Row],[WkEnd]])</f>
        <v>5</v>
      </c>
      <c r="T393" s="9" t="str">
        <f>TimeEntry[[#This Row],[Year]]&amp;"-"&amp;TimeEntry[[#This Row],[WkNo]]</f>
        <v>2020-5</v>
      </c>
    </row>
    <row r="394" spans="1:20" x14ac:dyDescent="0.25">
      <c r="A394" s="6">
        <f>MOD(IF(ROW()=2,0.1,IF(INDEX(TimeEntry[WkEnd],ROW()-1)  =  INDEX(TimeEntry[WkEnd],ROW()-2),    INDEX(TimeEntry[format],ROW()-2),    INDEX(TimeEntry[format],ROW()-2)    +1)),2)</f>
        <v>1.1000000000000001</v>
      </c>
      <c r="B394" s="7"/>
      <c r="C394" s="8">
        <v>43851</v>
      </c>
      <c r="D394" s="8"/>
      <c r="E394" s="1" t="s">
        <v>453</v>
      </c>
      <c r="F394" s="8">
        <f>IF(TimeEntry[[#This Row],[Date]]=0,F393,C394+(7-Q394))</f>
        <v>43856</v>
      </c>
      <c r="G394" s="35" t="str">
        <f>INDEX(projects[Charge_Code],MATCH(TimeEntry[[#This Row],[Project_ID]],projects[Project_ID],0))</f>
        <v>268017-25  KSC - Tunnel</v>
      </c>
      <c r="H394" s="1" t="str">
        <f t="shared" si="16"/>
        <v>Normal Time</v>
      </c>
      <c r="I394" s="1"/>
      <c r="J394" s="15">
        <v>7.5</v>
      </c>
      <c r="K394" s="15"/>
      <c r="L394" s="15"/>
      <c r="M394" s="15"/>
      <c r="N394" s="15"/>
      <c r="O394" s="15" t="str">
        <f>INDEX(projects[job number],MATCH(TimeEntry[[#This Row],[Project_ID]], projects[Project_ID],0))</f>
        <v xml:space="preserve">268017-25 </v>
      </c>
      <c r="P394" s="15" t="str">
        <f>INDEX(projects[Project_Name],MATCH(TimeEntry[[#This Row],[Project_ID]], projects[Project_ID],0))</f>
        <v>KSC - Tunnel</v>
      </c>
      <c r="Q394" s="6">
        <f>IF(TimeEntry[[#This Row],[Date]]=0,"",WEEKDAY(C394,2))</f>
        <v>2</v>
      </c>
      <c r="R394" s="9">
        <f>YEAR(TimeEntry[[#This Row],[WkEnd]])</f>
        <v>2020</v>
      </c>
      <c r="S394" s="9">
        <f>WEEKNUM(TimeEntry[[#This Row],[WkEnd]])</f>
        <v>5</v>
      </c>
      <c r="T394" s="9" t="str">
        <f>TimeEntry[[#This Row],[Year]]&amp;"-"&amp;TimeEntry[[#This Row],[WkNo]]</f>
        <v>2020-5</v>
      </c>
    </row>
    <row r="395" spans="1:20" x14ac:dyDescent="0.25">
      <c r="A395" s="6">
        <f>MOD(IF(ROW()=2,0.1,IF(INDEX(TimeEntry[WkEnd],ROW()-1)  =  INDEX(TimeEntry[WkEnd],ROW()-2),    INDEX(TimeEntry[format],ROW()-2),    INDEX(TimeEntry[format],ROW()-2)    +1)),2)</f>
        <v>1.1000000000000001</v>
      </c>
      <c r="B395" s="7"/>
      <c r="C395" s="8">
        <v>43850</v>
      </c>
      <c r="D395" s="8"/>
      <c r="E395" s="1" t="s">
        <v>453</v>
      </c>
      <c r="F395" s="8">
        <f>IF(TimeEntry[[#This Row],[Date]]=0,F394,C395+(7-Q395))</f>
        <v>43856</v>
      </c>
      <c r="G395" s="35" t="str">
        <f>INDEX(projects[Charge_Code],MATCH(TimeEntry[[#This Row],[Project_ID]],projects[Project_ID],0))</f>
        <v>268017-25  KSC - Tunnel</v>
      </c>
      <c r="H395" s="1" t="str">
        <f t="shared" si="16"/>
        <v>Normal Time</v>
      </c>
      <c r="I395" s="1"/>
      <c r="J395" s="15">
        <v>7.5</v>
      </c>
      <c r="K395" s="15"/>
      <c r="L395" s="15"/>
      <c r="M395" s="15"/>
      <c r="N395" s="15"/>
      <c r="O395" s="15" t="str">
        <f>INDEX(projects[job number],MATCH(TimeEntry[[#This Row],[Project_ID]], projects[Project_ID],0))</f>
        <v xml:space="preserve">268017-25 </v>
      </c>
      <c r="P395" s="15" t="str">
        <f>INDEX(projects[Project_Name],MATCH(TimeEntry[[#This Row],[Project_ID]], projects[Project_ID],0))</f>
        <v>KSC - Tunnel</v>
      </c>
      <c r="Q395" s="6">
        <f>IF(TimeEntry[[#This Row],[Date]]=0,"",WEEKDAY(C395,2))</f>
        <v>1</v>
      </c>
      <c r="R395" s="9">
        <f>YEAR(TimeEntry[[#This Row],[WkEnd]])</f>
        <v>2020</v>
      </c>
      <c r="S395" s="9">
        <f>WEEKNUM(TimeEntry[[#This Row],[WkEnd]])</f>
        <v>5</v>
      </c>
      <c r="T395" s="9" t="str">
        <f>TimeEntry[[#This Row],[Year]]&amp;"-"&amp;TimeEntry[[#This Row],[WkNo]]</f>
        <v>2020-5</v>
      </c>
    </row>
    <row r="396" spans="1:20" x14ac:dyDescent="0.25">
      <c r="A396" s="6">
        <f>MOD(IF(ROW()=2,0.1,IF(INDEX(TimeEntry[WkEnd],ROW()-1)  =  INDEX(TimeEntry[WkEnd],ROW()-2),    INDEX(TimeEntry[format],ROW()-2),    INDEX(TimeEntry[format],ROW()-2)    +1)),2)</f>
        <v>0.10000000000000009</v>
      </c>
      <c r="B396" s="7"/>
      <c r="C396" s="8">
        <v>43847</v>
      </c>
      <c r="D396" s="8"/>
      <c r="E396" s="1" t="s">
        <v>453</v>
      </c>
      <c r="F396" s="8">
        <f>IF(TimeEntry[[#This Row],[Date]]=0,F395,C396+(7-Q396))</f>
        <v>43849</v>
      </c>
      <c r="G396" s="35" t="str">
        <f>INDEX(projects[Charge_Code],MATCH(TimeEntry[[#This Row],[Project_ID]],projects[Project_ID],0))</f>
        <v>268017-25  KSC - Tunnel</v>
      </c>
      <c r="H396" s="1" t="str">
        <f t="shared" si="16"/>
        <v>Normal Time</v>
      </c>
      <c r="I396" s="1"/>
      <c r="J396" s="15">
        <v>7.5</v>
      </c>
      <c r="K396" s="15"/>
      <c r="L396" s="15"/>
      <c r="M396" s="15"/>
      <c r="N396" s="15"/>
      <c r="O396" s="15" t="str">
        <f>INDEX(projects[job number],MATCH(TimeEntry[[#This Row],[Project_ID]], projects[Project_ID],0))</f>
        <v xml:space="preserve">268017-25 </v>
      </c>
      <c r="P396" s="15" t="str">
        <f>INDEX(projects[Project_Name],MATCH(TimeEntry[[#This Row],[Project_ID]], projects[Project_ID],0))</f>
        <v>KSC - Tunnel</v>
      </c>
      <c r="Q396" s="6">
        <f>IF(TimeEntry[[#This Row],[Date]]=0,"",WEEKDAY(C396,2))</f>
        <v>5</v>
      </c>
      <c r="R396" s="9">
        <f>YEAR(TimeEntry[[#This Row],[WkEnd]])</f>
        <v>2020</v>
      </c>
      <c r="S396" s="9">
        <f>WEEKNUM(TimeEntry[[#This Row],[WkEnd]])</f>
        <v>4</v>
      </c>
      <c r="T396" s="9" t="str">
        <f>TimeEntry[[#This Row],[Year]]&amp;"-"&amp;TimeEntry[[#This Row],[WkNo]]</f>
        <v>2020-4</v>
      </c>
    </row>
    <row r="397" spans="1:20" x14ac:dyDescent="0.25">
      <c r="A397" s="6">
        <f>MOD(IF(ROW()=2,0.1,IF(INDEX(TimeEntry[WkEnd],ROW()-1)  =  INDEX(TimeEntry[WkEnd],ROW()-2),    INDEX(TimeEntry[format],ROW()-2),    INDEX(TimeEntry[format],ROW()-2)    +1)),2)</f>
        <v>0.10000000000000009</v>
      </c>
      <c r="B397" s="7"/>
      <c r="C397" s="8">
        <v>43846</v>
      </c>
      <c r="D397" s="8"/>
      <c r="E397" s="1" t="s">
        <v>453</v>
      </c>
      <c r="F397" s="8">
        <f>IF(TimeEntry[[#This Row],[Date]]=0,F396,C397+(7-Q397))</f>
        <v>43849</v>
      </c>
      <c r="G397" s="35" t="str">
        <f>INDEX(projects[Charge_Code],MATCH(TimeEntry[[#This Row],[Project_ID]],projects[Project_ID],0))</f>
        <v>268017-25  KSC - Tunnel</v>
      </c>
      <c r="H397" s="1" t="str">
        <f t="shared" si="16"/>
        <v>Normal Time</v>
      </c>
      <c r="I397" s="1"/>
      <c r="J397" s="15">
        <v>7.5</v>
      </c>
      <c r="K397" s="15"/>
      <c r="L397" s="15"/>
      <c r="M397" s="15"/>
      <c r="N397" s="15"/>
      <c r="O397" s="15" t="str">
        <f>INDEX(projects[job number],MATCH(TimeEntry[[#This Row],[Project_ID]], projects[Project_ID],0))</f>
        <v xml:space="preserve">268017-25 </v>
      </c>
      <c r="P397" s="15" t="str">
        <f>INDEX(projects[Project_Name],MATCH(TimeEntry[[#This Row],[Project_ID]], projects[Project_ID],0))</f>
        <v>KSC - Tunnel</v>
      </c>
      <c r="Q397" s="6">
        <f>IF(TimeEntry[[#This Row],[Date]]=0,"",WEEKDAY(C397,2))</f>
        <v>4</v>
      </c>
      <c r="R397" s="9">
        <f>YEAR(TimeEntry[[#This Row],[WkEnd]])</f>
        <v>2020</v>
      </c>
      <c r="S397" s="9">
        <f>WEEKNUM(TimeEntry[[#This Row],[WkEnd]])</f>
        <v>4</v>
      </c>
      <c r="T397" s="9" t="str">
        <f>TimeEntry[[#This Row],[Year]]&amp;"-"&amp;TimeEntry[[#This Row],[WkNo]]</f>
        <v>2020-4</v>
      </c>
    </row>
    <row r="398" spans="1:20" x14ac:dyDescent="0.25">
      <c r="A398" s="6">
        <f>MOD(IF(ROW()=2,0.1,IF(INDEX(TimeEntry[WkEnd],ROW()-1)  =  INDEX(TimeEntry[WkEnd],ROW()-2),    INDEX(TimeEntry[format],ROW()-2),    INDEX(TimeEntry[format],ROW()-2)    +1)),2)</f>
        <v>0.10000000000000009</v>
      </c>
      <c r="B398" s="7"/>
      <c r="C398" s="8">
        <v>43845</v>
      </c>
      <c r="D398" s="8"/>
      <c r="E398" s="1" t="s">
        <v>451</v>
      </c>
      <c r="F398" s="8">
        <f>IF(TimeEntry[[#This Row],[Date]]=0,F397,C398+(7-Q398))</f>
        <v>43849</v>
      </c>
      <c r="G398" s="35" t="str">
        <f>INDEX(projects[Charge_Code],MATCH(TimeEntry[[#This Row],[Project_ID]],projects[Project_ID],0))</f>
        <v>210035-64 VBB 3rd - new bridge VO</v>
      </c>
      <c r="H398" s="1" t="str">
        <f t="shared" si="16"/>
        <v>Normal Time</v>
      </c>
      <c r="I398" s="1"/>
      <c r="J398" s="15">
        <v>7.5</v>
      </c>
      <c r="K398" s="15"/>
      <c r="L398" s="15"/>
      <c r="M398" s="15"/>
      <c r="N398" s="15"/>
      <c r="O398" s="15" t="str">
        <f>INDEX(projects[job number],MATCH(TimeEntry[[#This Row],[Project_ID]], projects[Project_ID],0))</f>
        <v>210035-64</v>
      </c>
      <c r="P398" s="15" t="str">
        <f>INDEX(projects[Project_Name],MATCH(TimeEntry[[#This Row],[Project_ID]], projects[Project_ID],0))</f>
        <v>VBB 3rd - new bridge VO</v>
      </c>
      <c r="Q398" s="6">
        <f>IF(TimeEntry[[#This Row],[Date]]=0,"",WEEKDAY(C398,2))</f>
        <v>3</v>
      </c>
      <c r="R398" s="9">
        <f>YEAR(TimeEntry[[#This Row],[WkEnd]])</f>
        <v>2020</v>
      </c>
      <c r="S398" s="9">
        <f>WEEKNUM(TimeEntry[[#This Row],[WkEnd]])</f>
        <v>4</v>
      </c>
      <c r="T398" s="9" t="str">
        <f>TimeEntry[[#This Row],[Year]]&amp;"-"&amp;TimeEntry[[#This Row],[WkNo]]</f>
        <v>2020-4</v>
      </c>
    </row>
    <row r="399" spans="1:20" x14ac:dyDescent="0.25">
      <c r="A399" s="6">
        <f>MOD(IF(ROW()=2,0.1,IF(INDEX(TimeEntry[WkEnd],ROW()-1)  =  INDEX(TimeEntry[WkEnd],ROW()-2),    INDEX(TimeEntry[format],ROW()-2),    INDEX(TimeEntry[format],ROW()-2)    +1)),2)</f>
        <v>0.10000000000000009</v>
      </c>
      <c r="B399" s="7"/>
      <c r="C399" s="8">
        <v>43844</v>
      </c>
      <c r="D399" s="8"/>
      <c r="E399" s="1" t="s">
        <v>453</v>
      </c>
      <c r="F399" s="8">
        <f>IF(TimeEntry[[#This Row],[Date]]=0,F398,C399+(7-Q399))</f>
        <v>43849</v>
      </c>
      <c r="G399" s="35" t="str">
        <f>INDEX(projects[Charge_Code],MATCH(TimeEntry[[#This Row],[Project_ID]],projects[Project_ID],0))</f>
        <v>268017-25  KSC - Tunnel</v>
      </c>
      <c r="H399" s="1" t="str">
        <f t="shared" si="16"/>
        <v>Normal Time</v>
      </c>
      <c r="I399" s="1"/>
      <c r="J399" s="15">
        <v>7.5</v>
      </c>
      <c r="K399" s="15"/>
      <c r="L399" s="15"/>
      <c r="M399" s="15"/>
      <c r="N399" s="15"/>
      <c r="O399" s="15" t="str">
        <f>INDEX(projects[job number],MATCH(TimeEntry[[#This Row],[Project_ID]], projects[Project_ID],0))</f>
        <v xml:space="preserve">268017-25 </v>
      </c>
      <c r="P399" s="15" t="str">
        <f>INDEX(projects[Project_Name],MATCH(TimeEntry[[#This Row],[Project_ID]], projects[Project_ID],0))</f>
        <v>KSC - Tunnel</v>
      </c>
      <c r="Q399" s="6">
        <f>IF(TimeEntry[[#This Row],[Date]]=0,"",WEEKDAY(C399,2))</f>
        <v>2</v>
      </c>
      <c r="R399" s="9">
        <f>YEAR(TimeEntry[[#This Row],[WkEnd]])</f>
        <v>2020</v>
      </c>
      <c r="S399" s="9">
        <f>WEEKNUM(TimeEntry[[#This Row],[WkEnd]])</f>
        <v>4</v>
      </c>
      <c r="T399" s="9" t="str">
        <f>TimeEntry[[#This Row],[Year]]&amp;"-"&amp;TimeEntry[[#This Row],[WkNo]]</f>
        <v>2020-4</v>
      </c>
    </row>
    <row r="400" spans="1:20" x14ac:dyDescent="0.25">
      <c r="A400" s="6">
        <f>MOD(IF(ROW()=2,0.1,IF(INDEX(TimeEntry[WkEnd],ROW()-1)  =  INDEX(TimeEntry[WkEnd],ROW()-2),    INDEX(TimeEntry[format],ROW()-2),    INDEX(TimeEntry[format],ROW()-2)    +1)),2)</f>
        <v>0.10000000000000009</v>
      </c>
      <c r="B400" s="7"/>
      <c r="C400" s="8">
        <v>43843</v>
      </c>
      <c r="D400" s="8"/>
      <c r="E400" s="1" t="s">
        <v>453</v>
      </c>
      <c r="F400" s="8">
        <f>IF(TimeEntry[[#This Row],[Date]]=0,F399,C400+(7-Q400))</f>
        <v>43849</v>
      </c>
      <c r="G400" s="35" t="str">
        <f>INDEX(projects[Charge_Code],MATCH(TimeEntry[[#This Row],[Project_ID]],projects[Project_ID],0))</f>
        <v>268017-25  KSC - Tunnel</v>
      </c>
      <c r="H400" s="1" t="str">
        <f t="shared" si="16"/>
        <v>Normal Time</v>
      </c>
      <c r="I400" s="1"/>
      <c r="J400" s="15">
        <v>7.5</v>
      </c>
      <c r="K400" s="15"/>
      <c r="L400" s="15"/>
      <c r="M400" s="15"/>
      <c r="N400" s="15"/>
      <c r="O400" s="15" t="str">
        <f>INDEX(projects[job number],MATCH(TimeEntry[[#This Row],[Project_ID]], projects[Project_ID],0))</f>
        <v xml:space="preserve">268017-25 </v>
      </c>
      <c r="P400" s="15" t="str">
        <f>INDEX(projects[Project_Name],MATCH(TimeEntry[[#This Row],[Project_ID]], projects[Project_ID],0))</f>
        <v>KSC - Tunnel</v>
      </c>
      <c r="Q400" s="6">
        <f>IF(TimeEntry[[#This Row],[Date]]=0,"",WEEKDAY(C400,2))</f>
        <v>1</v>
      </c>
      <c r="R400" s="9">
        <f>YEAR(TimeEntry[[#This Row],[WkEnd]])</f>
        <v>2020</v>
      </c>
      <c r="S400" s="9">
        <f>WEEKNUM(TimeEntry[[#This Row],[WkEnd]])</f>
        <v>4</v>
      </c>
      <c r="T400" s="9" t="str">
        <f>TimeEntry[[#This Row],[Year]]&amp;"-"&amp;TimeEntry[[#This Row],[WkNo]]</f>
        <v>2020-4</v>
      </c>
    </row>
    <row r="401" spans="1:20" x14ac:dyDescent="0.25">
      <c r="A401" s="6">
        <f>MOD(IF(ROW()=2,0.1,IF(INDEX(TimeEntry[WkEnd],ROW()-1)  =  INDEX(TimeEntry[WkEnd],ROW()-2),    INDEX(TimeEntry[format],ROW()-2),    INDEX(TimeEntry[format],ROW()-2)    +1)),2)</f>
        <v>1.1000000000000001</v>
      </c>
      <c r="B401" s="7"/>
      <c r="C401" s="8">
        <v>43840</v>
      </c>
      <c r="D401" s="8"/>
      <c r="E401" s="1" t="s">
        <v>453</v>
      </c>
      <c r="F401" s="8">
        <f>IF(TimeEntry[[#This Row],[Date]]=0,F400,C401+(7-Q401))</f>
        <v>43842</v>
      </c>
      <c r="G401" s="35" t="str">
        <f>INDEX(projects[Charge_Code],MATCH(TimeEntry[[#This Row],[Project_ID]],projects[Project_ID],0))</f>
        <v>268017-25  KSC - Tunnel</v>
      </c>
      <c r="H401" s="1" t="str">
        <f t="shared" si="16"/>
        <v>Normal Time</v>
      </c>
      <c r="I401" s="1"/>
      <c r="J401" s="15">
        <v>7.5</v>
      </c>
      <c r="K401" s="15"/>
      <c r="L401" s="15"/>
      <c r="M401" s="15"/>
      <c r="N401" s="15"/>
      <c r="O401" s="15" t="str">
        <f>INDEX(projects[job number],MATCH(TimeEntry[[#This Row],[Project_ID]], projects[Project_ID],0))</f>
        <v xml:space="preserve">268017-25 </v>
      </c>
      <c r="P401" s="15" t="str">
        <f>INDEX(projects[Project_Name],MATCH(TimeEntry[[#This Row],[Project_ID]], projects[Project_ID],0))</f>
        <v>KSC - Tunnel</v>
      </c>
      <c r="Q401" s="6">
        <f>IF(TimeEntry[[#This Row],[Date]]=0,"",WEEKDAY(C401,2))</f>
        <v>5</v>
      </c>
      <c r="R401" s="9">
        <f>YEAR(TimeEntry[[#This Row],[WkEnd]])</f>
        <v>2020</v>
      </c>
      <c r="S401" s="9">
        <f>WEEKNUM(TimeEntry[[#This Row],[WkEnd]])</f>
        <v>3</v>
      </c>
      <c r="T401" s="9" t="str">
        <f>TimeEntry[[#This Row],[Year]]&amp;"-"&amp;TimeEntry[[#This Row],[WkNo]]</f>
        <v>2020-3</v>
      </c>
    </row>
    <row r="402" spans="1:20" x14ac:dyDescent="0.25">
      <c r="A402" s="6">
        <f>MOD(IF(ROW()=2,0.1,IF(INDEX(TimeEntry[WkEnd],ROW()-1)  =  INDEX(TimeEntry[WkEnd],ROW()-2),    INDEX(TimeEntry[format],ROW()-2),    INDEX(TimeEntry[format],ROW()-2)    +1)),2)</f>
        <v>1.1000000000000001</v>
      </c>
      <c r="B402" s="7"/>
      <c r="C402" s="8">
        <v>43839</v>
      </c>
      <c r="D402" s="8"/>
      <c r="E402" s="1" t="s">
        <v>453</v>
      </c>
      <c r="F402" s="8">
        <f>IF(TimeEntry[[#This Row],[Date]]=0,F401,C402+(7-Q402))</f>
        <v>43842</v>
      </c>
      <c r="G402" s="35" t="str">
        <f>INDEX(projects[Charge_Code],MATCH(TimeEntry[[#This Row],[Project_ID]],projects[Project_ID],0))</f>
        <v>268017-25  KSC - Tunnel</v>
      </c>
      <c r="H402" s="1" t="str">
        <f t="shared" si="16"/>
        <v>Normal Time</v>
      </c>
      <c r="I402" s="1"/>
      <c r="J402" s="15">
        <v>3.75</v>
      </c>
      <c r="K402" s="15"/>
      <c r="L402" s="15"/>
      <c r="M402" s="15"/>
      <c r="N402" s="15"/>
      <c r="O402" s="15" t="str">
        <f>INDEX(projects[job number],MATCH(TimeEntry[[#This Row],[Project_ID]], projects[Project_ID],0))</f>
        <v xml:space="preserve">268017-25 </v>
      </c>
      <c r="P402" s="15" t="str">
        <f>INDEX(projects[Project_Name],MATCH(TimeEntry[[#This Row],[Project_ID]], projects[Project_ID],0))</f>
        <v>KSC - Tunnel</v>
      </c>
      <c r="Q402" s="6">
        <f>IF(TimeEntry[[#This Row],[Date]]=0,"",WEEKDAY(C402,2))</f>
        <v>4</v>
      </c>
      <c r="R402" s="9">
        <f>YEAR(TimeEntry[[#This Row],[WkEnd]])</f>
        <v>2020</v>
      </c>
      <c r="S402" s="9">
        <f>WEEKNUM(TimeEntry[[#This Row],[WkEnd]])</f>
        <v>3</v>
      </c>
      <c r="T402" s="9" t="str">
        <f>TimeEntry[[#This Row],[Year]]&amp;"-"&amp;TimeEntry[[#This Row],[WkNo]]</f>
        <v>2020-3</v>
      </c>
    </row>
    <row r="403" spans="1:20" x14ac:dyDescent="0.25">
      <c r="A403" s="6">
        <f>MOD(IF(ROW()=2,0.1,IF(INDEX(TimeEntry[WkEnd],ROW()-1)  =  INDEX(TimeEntry[WkEnd],ROW()-2),    INDEX(TimeEntry[format],ROW()-2),    INDEX(TimeEntry[format],ROW()-2)    +1)),2)</f>
        <v>1.1000000000000001</v>
      </c>
      <c r="B403" s="7"/>
      <c r="C403" s="8">
        <v>43839</v>
      </c>
      <c r="D403" s="8"/>
      <c r="E403" s="1" t="s">
        <v>454</v>
      </c>
      <c r="F403" s="8">
        <f>IF(TimeEntry[[#This Row],[Date]]=0,F402,C403+(7-Q403))</f>
        <v>43842</v>
      </c>
      <c r="G403" s="35" t="str">
        <f>INDEX(projects[Charge_Code],MATCH(TimeEntry[[#This Row],[Project_ID]],projects[Project_ID],0))</f>
        <v>210035-51 VBB 3rd - new bridge</v>
      </c>
      <c r="H403" s="1" t="str">
        <f t="shared" si="16"/>
        <v>Normal Time</v>
      </c>
      <c r="I403" s="1"/>
      <c r="J403" s="15">
        <v>3.75</v>
      </c>
      <c r="K403" s="15"/>
      <c r="L403" s="15"/>
      <c r="M403" s="15"/>
      <c r="N403" s="15"/>
      <c r="O403" s="15" t="str">
        <f>INDEX(projects[job number],MATCH(TimeEntry[[#This Row],[Project_ID]], projects[Project_ID],0))</f>
        <v>210035-51</v>
      </c>
      <c r="P403" s="15" t="str">
        <f>INDEX(projects[Project_Name],MATCH(TimeEntry[[#This Row],[Project_ID]], projects[Project_ID],0))</f>
        <v>VBB 3rd - new bridge</v>
      </c>
      <c r="Q403" s="6">
        <f>IF(TimeEntry[[#This Row],[Date]]=0,"",WEEKDAY(C403,2))</f>
        <v>4</v>
      </c>
      <c r="R403" s="9">
        <f>YEAR(TimeEntry[[#This Row],[WkEnd]])</f>
        <v>2020</v>
      </c>
      <c r="S403" s="9">
        <f>WEEKNUM(TimeEntry[[#This Row],[WkEnd]])</f>
        <v>3</v>
      </c>
      <c r="T403" s="9" t="str">
        <f>TimeEntry[[#This Row],[Year]]&amp;"-"&amp;TimeEntry[[#This Row],[WkNo]]</f>
        <v>2020-3</v>
      </c>
    </row>
    <row r="404" spans="1:20" x14ac:dyDescent="0.25">
      <c r="A404" s="6">
        <f>MOD(IF(ROW()=2,0.1,IF(INDEX(TimeEntry[WkEnd],ROW()-1)  =  INDEX(TimeEntry[WkEnd],ROW()-2),    INDEX(TimeEntry[format],ROW()-2),    INDEX(TimeEntry[format],ROW()-2)    +1)),2)</f>
        <v>1.1000000000000001</v>
      </c>
      <c r="B404" s="7"/>
      <c r="C404" s="8">
        <v>43838</v>
      </c>
      <c r="D404" s="8"/>
      <c r="E404" s="1" t="s">
        <v>454</v>
      </c>
      <c r="F404" s="8">
        <f>IF(TimeEntry[[#This Row],[Date]]=0,F403,C404+(7-Q404))</f>
        <v>43842</v>
      </c>
      <c r="G404" s="35" t="str">
        <f>INDEX(projects[Charge_Code],MATCH(TimeEntry[[#This Row],[Project_ID]],projects[Project_ID],0))</f>
        <v>210035-51 VBB 3rd - new bridge</v>
      </c>
      <c r="H404" s="1" t="str">
        <f t="shared" si="16"/>
        <v>Normal Time</v>
      </c>
      <c r="I404" s="1"/>
      <c r="J404" s="15">
        <v>7.5</v>
      </c>
      <c r="K404" s="15"/>
      <c r="L404" s="15"/>
      <c r="M404" s="15"/>
      <c r="N404" s="15"/>
      <c r="O404" s="15" t="str">
        <f>INDEX(projects[job number],MATCH(TimeEntry[[#This Row],[Project_ID]], projects[Project_ID],0))</f>
        <v>210035-51</v>
      </c>
      <c r="P404" s="15" t="str">
        <f>INDEX(projects[Project_Name],MATCH(TimeEntry[[#This Row],[Project_ID]], projects[Project_ID],0))</f>
        <v>VBB 3rd - new bridge</v>
      </c>
      <c r="Q404" s="6">
        <f>IF(TimeEntry[[#This Row],[Date]]=0,"",WEEKDAY(C404,2))</f>
        <v>3</v>
      </c>
      <c r="R404" s="9">
        <f>YEAR(TimeEntry[[#This Row],[WkEnd]])</f>
        <v>2020</v>
      </c>
      <c r="S404" s="9">
        <f>WEEKNUM(TimeEntry[[#This Row],[WkEnd]])</f>
        <v>3</v>
      </c>
      <c r="T404" s="9" t="str">
        <f>TimeEntry[[#This Row],[Year]]&amp;"-"&amp;TimeEntry[[#This Row],[WkNo]]</f>
        <v>2020-3</v>
      </c>
    </row>
    <row r="405" spans="1:20" x14ac:dyDescent="0.25">
      <c r="A405" s="6">
        <f>MOD(IF(ROW()=2,0.1,IF(INDEX(TimeEntry[WkEnd],ROW()-1)  =  INDEX(TimeEntry[WkEnd],ROW()-2),    INDEX(TimeEntry[format],ROW()-2),    INDEX(TimeEntry[format],ROW()-2)    +1)),2)</f>
        <v>1.1000000000000001</v>
      </c>
      <c r="B405" s="7"/>
      <c r="C405" s="8">
        <v>43837</v>
      </c>
      <c r="D405" s="8"/>
      <c r="E405" s="1" t="s">
        <v>454</v>
      </c>
      <c r="F405" s="8">
        <f>IF(TimeEntry[[#This Row],[Date]]=0,F404,C405+(7-Q405))</f>
        <v>43842</v>
      </c>
      <c r="G405" s="35" t="str">
        <f>INDEX(projects[Charge_Code],MATCH(TimeEntry[[#This Row],[Project_ID]],projects[Project_ID],0))</f>
        <v>210035-51 VBB 3rd - new bridge</v>
      </c>
      <c r="H405" s="1" t="str">
        <f t="shared" si="16"/>
        <v>Normal Time</v>
      </c>
      <c r="I405" s="1"/>
      <c r="J405" s="15">
        <v>3.5</v>
      </c>
      <c r="K405" s="15"/>
      <c r="L405" s="15"/>
      <c r="M405" s="15"/>
      <c r="N405" s="15"/>
      <c r="O405" s="15" t="str">
        <f>INDEX(projects[job number],MATCH(TimeEntry[[#This Row],[Project_ID]], projects[Project_ID],0))</f>
        <v>210035-51</v>
      </c>
      <c r="P405" s="15" t="str">
        <f>INDEX(projects[Project_Name],MATCH(TimeEntry[[#This Row],[Project_ID]], projects[Project_ID],0))</f>
        <v>VBB 3rd - new bridge</v>
      </c>
      <c r="Q405" s="6">
        <f>IF(TimeEntry[[#This Row],[Date]]=0,"",WEEKDAY(C405,2))</f>
        <v>2</v>
      </c>
      <c r="R405" s="9">
        <f>YEAR(TimeEntry[[#This Row],[WkEnd]])</f>
        <v>2020</v>
      </c>
      <c r="S405" s="9">
        <f>WEEKNUM(TimeEntry[[#This Row],[WkEnd]])</f>
        <v>3</v>
      </c>
      <c r="T405" s="9" t="str">
        <f>TimeEntry[[#This Row],[Year]]&amp;"-"&amp;TimeEntry[[#This Row],[WkNo]]</f>
        <v>2020-3</v>
      </c>
    </row>
    <row r="406" spans="1:20" x14ac:dyDescent="0.25">
      <c r="A406" s="6">
        <f>MOD(IF(ROW()=2,0.1,IF(INDEX(TimeEntry[WkEnd],ROW()-1)  =  INDEX(TimeEntry[WkEnd],ROW()-2),    INDEX(TimeEntry[format],ROW()-2),    INDEX(TimeEntry[format],ROW()-2)    +1)),2)</f>
        <v>1.1000000000000001</v>
      </c>
      <c r="B406" s="7"/>
      <c r="C406" s="8">
        <v>43837</v>
      </c>
      <c r="D406" s="8"/>
      <c r="E406" s="1" t="s">
        <v>453</v>
      </c>
      <c r="F406" s="8">
        <f>IF(TimeEntry[[#This Row],[Date]]=0,F405,C406+(7-Q406))</f>
        <v>43842</v>
      </c>
      <c r="G406" s="35" t="str">
        <f>INDEX(projects[Charge_Code],MATCH(TimeEntry[[#This Row],[Project_ID]],projects[Project_ID],0))</f>
        <v>268017-25  KSC - Tunnel</v>
      </c>
      <c r="H406" s="1" t="str">
        <f t="shared" si="16"/>
        <v>Normal Time</v>
      </c>
      <c r="I406" s="1"/>
      <c r="J406" s="15">
        <v>4</v>
      </c>
      <c r="K406" s="15"/>
      <c r="L406" s="15"/>
      <c r="M406" s="15"/>
      <c r="N406" s="15"/>
      <c r="O406" s="15" t="str">
        <f>INDEX(projects[job number],MATCH(TimeEntry[[#This Row],[Project_ID]], projects[Project_ID],0))</f>
        <v xml:space="preserve">268017-25 </v>
      </c>
      <c r="P406" s="15" t="str">
        <f>INDEX(projects[Project_Name],MATCH(TimeEntry[[#This Row],[Project_ID]], projects[Project_ID],0))</f>
        <v>KSC - Tunnel</v>
      </c>
      <c r="Q406" s="6">
        <f>IF(TimeEntry[[#This Row],[Date]]=0,"",WEEKDAY(C406,2))</f>
        <v>2</v>
      </c>
      <c r="R406" s="9">
        <f>YEAR(TimeEntry[[#This Row],[WkEnd]])</f>
        <v>2020</v>
      </c>
      <c r="S406" s="9">
        <f>WEEKNUM(TimeEntry[[#This Row],[WkEnd]])</f>
        <v>3</v>
      </c>
      <c r="T406" s="9" t="str">
        <f>TimeEntry[[#This Row],[Year]]&amp;"-"&amp;TimeEntry[[#This Row],[WkNo]]</f>
        <v>2020-3</v>
      </c>
    </row>
    <row r="407" spans="1:20" x14ac:dyDescent="0.25">
      <c r="A407" s="6">
        <f>MOD(IF(ROW()=2,0.1,IF(INDEX(TimeEntry[WkEnd],ROW()-1)  =  INDEX(TimeEntry[WkEnd],ROW()-2),    INDEX(TimeEntry[format],ROW()-2),    INDEX(TimeEntry[format],ROW()-2)    +1)),2)</f>
        <v>1.1000000000000001</v>
      </c>
      <c r="B407" s="7"/>
      <c r="C407" s="8">
        <v>43836</v>
      </c>
      <c r="D407" s="8"/>
      <c r="E407" s="1" t="s">
        <v>453</v>
      </c>
      <c r="F407" s="8">
        <f>IF(TimeEntry[[#This Row],[Date]]=0,F406,C407+(7-Q407))</f>
        <v>43842</v>
      </c>
      <c r="G407" s="35" t="str">
        <f>INDEX(projects[Charge_Code],MATCH(TimeEntry[[#This Row],[Project_ID]],projects[Project_ID],0))</f>
        <v>268017-25  KSC - Tunnel</v>
      </c>
      <c r="H407" s="1" t="str">
        <f t="shared" si="16"/>
        <v>Normal Time</v>
      </c>
      <c r="I407" s="1"/>
      <c r="J407" s="15">
        <v>7.5</v>
      </c>
      <c r="K407" s="15"/>
      <c r="L407" s="15"/>
      <c r="M407" s="15"/>
      <c r="N407" s="15"/>
      <c r="O407" s="15" t="str">
        <f>INDEX(projects[job number],MATCH(TimeEntry[[#This Row],[Project_ID]], projects[Project_ID],0))</f>
        <v xml:space="preserve">268017-25 </v>
      </c>
      <c r="P407" s="15" t="str">
        <f>INDEX(projects[Project_Name],MATCH(TimeEntry[[#This Row],[Project_ID]], projects[Project_ID],0))</f>
        <v>KSC - Tunnel</v>
      </c>
      <c r="Q407" s="6">
        <f>IF(TimeEntry[[#This Row],[Date]]=0,"",WEEKDAY(C407,2))</f>
        <v>1</v>
      </c>
      <c r="R407" s="9">
        <f>YEAR(TimeEntry[[#This Row],[WkEnd]])</f>
        <v>2020</v>
      </c>
      <c r="S407" s="9">
        <f>WEEKNUM(TimeEntry[[#This Row],[WkEnd]])</f>
        <v>3</v>
      </c>
      <c r="T407" s="9" t="str">
        <f>TimeEntry[[#This Row],[Year]]&amp;"-"&amp;TimeEntry[[#This Row],[WkNo]]</f>
        <v>2020-3</v>
      </c>
    </row>
    <row r="408" spans="1:20" x14ac:dyDescent="0.25">
      <c r="A408" s="6">
        <f>MOD(IF(ROW()=2,0.1,IF(INDEX(TimeEntry[WkEnd],ROW()-1)  =  INDEX(TimeEntry[WkEnd],ROW()-2),    INDEX(TimeEntry[format],ROW()-2),    INDEX(TimeEntry[format],ROW()-2)    +1)),2)</f>
        <v>0.10000000000000009</v>
      </c>
      <c r="B408" s="7"/>
      <c r="C408" s="8">
        <v>43833</v>
      </c>
      <c r="D408" s="8"/>
      <c r="E408" s="1" t="s">
        <v>444</v>
      </c>
      <c r="F408" s="8">
        <f>IF(TimeEntry[[#This Row],[Date]]=0,F407,C408+(7-Q408))</f>
        <v>43835</v>
      </c>
      <c r="G408" s="35" t="str">
        <f>INDEX(projects[Charge_Code],MATCH(TimeEntry[[#This Row],[Project_ID]],projects[Project_ID],0))</f>
        <v>LEAVE</v>
      </c>
      <c r="H408" s="1" t="str">
        <f t="shared" si="16"/>
        <v>Normal Time</v>
      </c>
      <c r="I408" s="1"/>
      <c r="J408" s="15">
        <v>7.5</v>
      </c>
      <c r="K408" s="15"/>
      <c r="L408" s="15"/>
      <c r="M408" s="15"/>
      <c r="N408" s="15"/>
      <c r="O408" s="15" t="str">
        <f>INDEX(projects[job number],MATCH(TimeEntry[[#This Row],[Project_ID]], projects[Project_ID],0))</f>
        <v>LEAVE</v>
      </c>
      <c r="P408" s="15">
        <f>INDEX(projects[Project_Name],MATCH(TimeEntry[[#This Row],[Project_ID]], projects[Project_ID],0))</f>
        <v>0</v>
      </c>
      <c r="Q408" s="6">
        <f>IF(TimeEntry[[#This Row],[Date]]=0,"",WEEKDAY(C408,2))</f>
        <v>5</v>
      </c>
      <c r="R408" s="9">
        <f>YEAR(TimeEntry[[#This Row],[WkEnd]])</f>
        <v>2020</v>
      </c>
      <c r="S408" s="9">
        <f>WEEKNUM(TimeEntry[[#This Row],[WkEnd]])</f>
        <v>2</v>
      </c>
      <c r="T408" s="9" t="str">
        <f>TimeEntry[[#This Row],[Year]]&amp;"-"&amp;TimeEntry[[#This Row],[WkNo]]</f>
        <v>2020-2</v>
      </c>
    </row>
    <row r="409" spans="1:20" x14ac:dyDescent="0.25">
      <c r="A409" s="6">
        <f>MOD(IF(ROW()=2,0.1,IF(INDEX(TimeEntry[WkEnd],ROW()-1)  =  INDEX(TimeEntry[WkEnd],ROW()-2),    INDEX(TimeEntry[format],ROW()-2),    INDEX(TimeEntry[format],ROW()-2)    +1)),2)</f>
        <v>0.10000000000000009</v>
      </c>
      <c r="B409" s="7"/>
      <c r="C409" s="8">
        <v>43832</v>
      </c>
      <c r="D409" s="8"/>
      <c r="E409" s="1" t="s">
        <v>444</v>
      </c>
      <c r="F409" s="8">
        <f>IF(TimeEntry[[#This Row],[Date]]=0,F408,C409+(7-Q409))</f>
        <v>43835</v>
      </c>
      <c r="G409" s="35" t="str">
        <f>INDEX(projects[Charge_Code],MATCH(TimeEntry[[#This Row],[Project_ID]],projects[Project_ID],0))</f>
        <v>LEAVE</v>
      </c>
      <c r="H409" s="1" t="str">
        <f t="shared" si="16"/>
        <v>Normal Time</v>
      </c>
      <c r="I409" s="1"/>
      <c r="J409" s="15">
        <v>7.5</v>
      </c>
      <c r="K409" s="15"/>
      <c r="L409" s="15"/>
      <c r="M409" s="15"/>
      <c r="N409" s="15"/>
      <c r="O409" s="15" t="str">
        <f>INDEX(projects[job number],MATCH(TimeEntry[[#This Row],[Project_ID]], projects[Project_ID],0))</f>
        <v>LEAVE</v>
      </c>
      <c r="P409" s="15">
        <f>INDEX(projects[Project_Name],MATCH(TimeEntry[[#This Row],[Project_ID]], projects[Project_ID],0))</f>
        <v>0</v>
      </c>
      <c r="Q409" s="6">
        <f>IF(TimeEntry[[#This Row],[Date]]=0,"",WEEKDAY(C409,2))</f>
        <v>4</v>
      </c>
      <c r="R409" s="9">
        <f>YEAR(TimeEntry[[#This Row],[WkEnd]])</f>
        <v>2020</v>
      </c>
      <c r="S409" s="9">
        <f>WEEKNUM(TimeEntry[[#This Row],[WkEnd]])</f>
        <v>2</v>
      </c>
      <c r="T409" s="9" t="str">
        <f>TimeEntry[[#This Row],[Year]]&amp;"-"&amp;TimeEntry[[#This Row],[WkNo]]</f>
        <v>2020-2</v>
      </c>
    </row>
    <row r="410" spans="1:20" x14ac:dyDescent="0.25">
      <c r="A410" s="6">
        <f>MOD(IF(ROW()=2,0.1,IF(INDEX(TimeEntry[WkEnd],ROW()-1)  =  INDEX(TimeEntry[WkEnd],ROW()-2),    INDEX(TimeEntry[format],ROW()-2),    INDEX(TimeEntry[format],ROW()-2)    +1)),2)</f>
        <v>0.10000000000000009</v>
      </c>
      <c r="B410" s="7"/>
      <c r="C410" s="8">
        <v>43831</v>
      </c>
      <c r="D410" s="8"/>
      <c r="E410" s="1" t="s">
        <v>449</v>
      </c>
      <c r="F410" s="8">
        <f>IF(TimeEntry[[#This Row],[Date]]=0,F409,C410+(7-Q410))</f>
        <v>43835</v>
      </c>
      <c r="G410" s="35" t="str">
        <f>INDEX(projects[Charge_Code],MATCH(TimeEntry[[#This Row],[Project_ID]],projects[Project_ID],0))</f>
        <v>BANK HOLIDAY Bank Holiday</v>
      </c>
      <c r="H410" s="1" t="str">
        <f t="shared" si="16"/>
        <v>Normal Time</v>
      </c>
      <c r="I410" s="1"/>
      <c r="J410" s="15">
        <v>7.5</v>
      </c>
      <c r="K410" s="15"/>
      <c r="L410" s="15"/>
      <c r="M410" s="15"/>
      <c r="N410" s="15"/>
      <c r="O410" s="15" t="str">
        <f>INDEX(projects[job number],MATCH(TimeEntry[[#This Row],[Project_ID]], projects[Project_ID],0))</f>
        <v>BANK HOLIDAY</v>
      </c>
      <c r="P410" s="15" t="str">
        <f>INDEX(projects[Project_Name],MATCH(TimeEntry[[#This Row],[Project_ID]], projects[Project_ID],0))</f>
        <v>Bank Holiday</v>
      </c>
      <c r="Q410" s="6">
        <f>IF(TimeEntry[[#This Row],[Date]]=0,"",WEEKDAY(C410,2))</f>
        <v>3</v>
      </c>
      <c r="R410" s="9">
        <f>YEAR(TimeEntry[[#This Row],[WkEnd]])</f>
        <v>2020</v>
      </c>
      <c r="S410" s="9">
        <f>WEEKNUM(TimeEntry[[#This Row],[WkEnd]])</f>
        <v>2</v>
      </c>
      <c r="T410" s="9" t="str">
        <f>TimeEntry[[#This Row],[Year]]&amp;"-"&amp;TimeEntry[[#This Row],[WkNo]]</f>
        <v>2020-2</v>
      </c>
    </row>
    <row r="411" spans="1:20" x14ac:dyDescent="0.25">
      <c r="A411" s="6">
        <f>MOD(IF(ROW()=2,0.1,IF(INDEX(TimeEntry[WkEnd],ROW()-1)  =  INDEX(TimeEntry[WkEnd],ROW()-2),    INDEX(TimeEntry[format],ROW()-2),    INDEX(TimeEntry[format],ROW()-2)    +1)),2)</f>
        <v>0.10000000000000009</v>
      </c>
      <c r="B411" s="7"/>
      <c r="C411" s="8">
        <v>43830</v>
      </c>
      <c r="D411" s="8"/>
      <c r="E411" s="1" t="s">
        <v>444</v>
      </c>
      <c r="F411" s="8">
        <f>IF(TimeEntry[[#This Row],[Date]]=0,F410,C411+(7-Q411))</f>
        <v>43835</v>
      </c>
      <c r="G411" s="35" t="str">
        <f>INDEX(projects[Charge_Code],MATCH(TimeEntry[[#This Row],[Project_ID]],projects[Project_ID],0))</f>
        <v>LEAVE</v>
      </c>
      <c r="H411" s="1" t="str">
        <f t="shared" si="16"/>
        <v>Normal Time</v>
      </c>
      <c r="I411" s="1"/>
      <c r="J411" s="15">
        <v>7.5</v>
      </c>
      <c r="K411" s="15"/>
      <c r="L411" s="15"/>
      <c r="M411" s="15"/>
      <c r="N411" s="15"/>
      <c r="O411" s="15" t="str">
        <f>INDEX(projects[job number],MATCH(TimeEntry[[#This Row],[Project_ID]], projects[Project_ID],0))</f>
        <v>LEAVE</v>
      </c>
      <c r="P411" s="15">
        <f>INDEX(projects[Project_Name],MATCH(TimeEntry[[#This Row],[Project_ID]], projects[Project_ID],0))</f>
        <v>0</v>
      </c>
      <c r="Q411" s="6">
        <f>IF(TimeEntry[[#This Row],[Date]]=0,"",WEEKDAY(C411,2))</f>
        <v>2</v>
      </c>
      <c r="R411" s="9">
        <f>YEAR(TimeEntry[[#This Row],[WkEnd]])</f>
        <v>2020</v>
      </c>
      <c r="S411" s="9">
        <f>WEEKNUM(TimeEntry[[#This Row],[WkEnd]])</f>
        <v>2</v>
      </c>
      <c r="T411" s="9" t="str">
        <f>TimeEntry[[#This Row],[Year]]&amp;"-"&amp;TimeEntry[[#This Row],[WkNo]]</f>
        <v>2020-2</v>
      </c>
    </row>
    <row r="412" spans="1:20" x14ac:dyDescent="0.25">
      <c r="A412" s="6">
        <f>MOD(IF(ROW()=2,0.1,IF(INDEX(TimeEntry[WkEnd],ROW()-1)  =  INDEX(TimeEntry[WkEnd],ROW()-2),    INDEX(TimeEntry[format],ROW()-2),    INDEX(TimeEntry[format],ROW()-2)    +1)),2)</f>
        <v>0.10000000000000009</v>
      </c>
      <c r="B412" s="7"/>
      <c r="C412" s="8">
        <v>43829</v>
      </c>
      <c r="D412" s="8"/>
      <c r="E412" s="1" t="s">
        <v>444</v>
      </c>
      <c r="F412" s="8">
        <f>IF(TimeEntry[[#This Row],[Date]]=0,F411,C412+(7-Q412))</f>
        <v>43835</v>
      </c>
      <c r="G412" s="35" t="str">
        <f>INDEX(projects[Charge_Code],MATCH(TimeEntry[[#This Row],[Project_ID]],projects[Project_ID],0))</f>
        <v>LEAVE</v>
      </c>
      <c r="H412" s="1" t="str">
        <f t="shared" si="16"/>
        <v>Normal Time</v>
      </c>
      <c r="I412" s="1"/>
      <c r="J412" s="15">
        <v>7.5</v>
      </c>
      <c r="K412" s="15"/>
      <c r="L412" s="15"/>
      <c r="M412" s="15"/>
      <c r="N412" s="15"/>
      <c r="O412" s="15" t="str">
        <f>INDEX(projects[job number],MATCH(TimeEntry[[#This Row],[Project_ID]], projects[Project_ID],0))</f>
        <v>LEAVE</v>
      </c>
      <c r="P412" s="15">
        <f>INDEX(projects[Project_Name],MATCH(TimeEntry[[#This Row],[Project_ID]], projects[Project_ID],0))</f>
        <v>0</v>
      </c>
      <c r="Q412" s="6">
        <f>IF(TimeEntry[[#This Row],[Date]]=0,"",WEEKDAY(C412,2))</f>
        <v>1</v>
      </c>
      <c r="R412" s="9">
        <f>YEAR(TimeEntry[[#This Row],[WkEnd]])</f>
        <v>2020</v>
      </c>
      <c r="S412" s="9">
        <f>WEEKNUM(TimeEntry[[#This Row],[WkEnd]])</f>
        <v>2</v>
      </c>
      <c r="T412" s="9" t="str">
        <f>TimeEntry[[#This Row],[Year]]&amp;"-"&amp;TimeEntry[[#This Row],[WkNo]]</f>
        <v>2020-2</v>
      </c>
    </row>
    <row r="413" spans="1:20" x14ac:dyDescent="0.25">
      <c r="A413" s="6">
        <f>MOD(IF(ROW()=2,0.1,IF(INDEX(TimeEntry[WkEnd],ROW()-1)  =  INDEX(TimeEntry[WkEnd],ROW()-2),    INDEX(TimeEntry[format],ROW()-2),    INDEX(TimeEntry[format],ROW()-2)    +1)),2)</f>
        <v>1.1000000000000001</v>
      </c>
      <c r="B413" s="7"/>
      <c r="C413" s="8">
        <v>43826</v>
      </c>
      <c r="D413" s="8"/>
      <c r="E413" s="1" t="s">
        <v>444</v>
      </c>
      <c r="F413" s="8">
        <f>IF(TimeEntry[[#This Row],[Date]]=0,F412,C413+(7-Q413))</f>
        <v>43828</v>
      </c>
      <c r="G413" s="35" t="str">
        <f>INDEX(projects[Charge_Code],MATCH(TimeEntry[[#This Row],[Project_ID]],projects[Project_ID],0))</f>
        <v>LEAVE</v>
      </c>
      <c r="H413" s="1" t="str">
        <f t="shared" si="16"/>
        <v>Normal Time</v>
      </c>
      <c r="I413" s="1"/>
      <c r="J413" s="15">
        <v>7.5</v>
      </c>
      <c r="K413" s="15"/>
      <c r="L413" s="15"/>
      <c r="M413" s="15"/>
      <c r="N413" s="15"/>
      <c r="O413" s="15" t="str">
        <f>INDEX(projects[job number],MATCH(TimeEntry[[#This Row],[Project_ID]], projects[Project_ID],0))</f>
        <v>LEAVE</v>
      </c>
      <c r="P413" s="15">
        <f>INDEX(projects[Project_Name],MATCH(TimeEntry[[#This Row],[Project_ID]], projects[Project_ID],0))</f>
        <v>0</v>
      </c>
      <c r="Q413" s="6">
        <f>IF(TimeEntry[[#This Row],[Date]]=0,"",WEEKDAY(C413,2))</f>
        <v>5</v>
      </c>
      <c r="R413" s="9">
        <f>YEAR(TimeEntry[[#This Row],[WkEnd]])</f>
        <v>2019</v>
      </c>
      <c r="S413" s="9">
        <f>WEEKNUM(TimeEntry[[#This Row],[WkEnd]])</f>
        <v>53</v>
      </c>
      <c r="T413" s="9" t="str">
        <f>TimeEntry[[#This Row],[Year]]&amp;"-"&amp;TimeEntry[[#This Row],[WkNo]]</f>
        <v>2019-53</v>
      </c>
    </row>
    <row r="414" spans="1:20" x14ac:dyDescent="0.25">
      <c r="A414" s="6">
        <f>MOD(IF(ROW()=2,0.1,IF(INDEX(TimeEntry[WkEnd],ROW()-1)  =  INDEX(TimeEntry[WkEnd],ROW()-2),    INDEX(TimeEntry[format],ROW()-2),    INDEX(TimeEntry[format],ROW()-2)    +1)),2)</f>
        <v>1.1000000000000001</v>
      </c>
      <c r="B414" s="7"/>
      <c r="C414" s="8">
        <v>43825</v>
      </c>
      <c r="D414" s="8"/>
      <c r="E414" s="1" t="s">
        <v>449</v>
      </c>
      <c r="F414" s="8">
        <f>IF(TimeEntry[[#This Row],[Date]]=0,F413,C414+(7-Q414))</f>
        <v>43828</v>
      </c>
      <c r="G414" s="35" t="str">
        <f>INDEX(projects[Charge_Code],MATCH(TimeEntry[[#This Row],[Project_ID]],projects[Project_ID],0))</f>
        <v>BANK HOLIDAY Bank Holiday</v>
      </c>
      <c r="H414" s="1" t="str">
        <f t="shared" si="16"/>
        <v>Normal Time</v>
      </c>
      <c r="I414" s="1"/>
      <c r="J414" s="15">
        <v>7.5</v>
      </c>
      <c r="K414" s="15"/>
      <c r="L414" s="15"/>
      <c r="M414" s="15"/>
      <c r="N414" s="15"/>
      <c r="O414" s="15" t="str">
        <f>INDEX(projects[job number],MATCH(TimeEntry[[#This Row],[Project_ID]], projects[Project_ID],0))</f>
        <v>BANK HOLIDAY</v>
      </c>
      <c r="P414" s="15" t="str">
        <f>INDEX(projects[Project_Name],MATCH(TimeEntry[[#This Row],[Project_ID]], projects[Project_ID],0))</f>
        <v>Bank Holiday</v>
      </c>
      <c r="Q414" s="6">
        <f>IF(TimeEntry[[#This Row],[Date]]=0,"",WEEKDAY(C414,2))</f>
        <v>4</v>
      </c>
      <c r="R414" s="9">
        <f>YEAR(TimeEntry[[#This Row],[WkEnd]])</f>
        <v>2019</v>
      </c>
      <c r="S414" s="9">
        <f>WEEKNUM(TimeEntry[[#This Row],[WkEnd]])</f>
        <v>53</v>
      </c>
      <c r="T414" s="9" t="str">
        <f>TimeEntry[[#This Row],[Year]]&amp;"-"&amp;TimeEntry[[#This Row],[WkNo]]</f>
        <v>2019-53</v>
      </c>
    </row>
    <row r="415" spans="1:20" x14ac:dyDescent="0.25">
      <c r="A415" s="6">
        <f>MOD(IF(ROW()=2,0.1,IF(INDEX(TimeEntry[WkEnd],ROW()-1)  =  INDEX(TimeEntry[WkEnd],ROW()-2),    INDEX(TimeEntry[format],ROW()-2),    INDEX(TimeEntry[format],ROW()-2)    +1)),2)</f>
        <v>1.1000000000000001</v>
      </c>
      <c r="B415" s="7"/>
      <c r="C415" s="8">
        <v>43824</v>
      </c>
      <c r="D415" s="8"/>
      <c r="E415" s="1" t="s">
        <v>449</v>
      </c>
      <c r="F415" s="8">
        <f>IF(TimeEntry[[#This Row],[Date]]=0,F414,C415+(7-Q415))</f>
        <v>43828</v>
      </c>
      <c r="G415" s="35" t="str">
        <f>INDEX(projects[Charge_Code],MATCH(TimeEntry[[#This Row],[Project_ID]],projects[Project_ID],0))</f>
        <v>BANK HOLIDAY Bank Holiday</v>
      </c>
      <c r="H415" s="1" t="str">
        <f t="shared" si="16"/>
        <v>Normal Time</v>
      </c>
      <c r="I415" s="1"/>
      <c r="J415" s="15">
        <v>7.5</v>
      </c>
      <c r="K415" s="15"/>
      <c r="L415" s="15"/>
      <c r="M415" s="15"/>
      <c r="N415" s="15"/>
      <c r="O415" s="15" t="str">
        <f>INDEX(projects[job number],MATCH(TimeEntry[[#This Row],[Project_ID]], projects[Project_ID],0))</f>
        <v>BANK HOLIDAY</v>
      </c>
      <c r="P415" s="15" t="str">
        <f>INDEX(projects[Project_Name],MATCH(TimeEntry[[#This Row],[Project_ID]], projects[Project_ID],0))</f>
        <v>Bank Holiday</v>
      </c>
      <c r="Q415" s="6">
        <f>IF(TimeEntry[[#This Row],[Date]]=0,"",WEEKDAY(C415,2))</f>
        <v>3</v>
      </c>
      <c r="R415" s="9">
        <f>YEAR(TimeEntry[[#This Row],[WkEnd]])</f>
        <v>2019</v>
      </c>
      <c r="S415" s="9">
        <f>WEEKNUM(TimeEntry[[#This Row],[WkEnd]])</f>
        <v>53</v>
      </c>
      <c r="T415" s="9" t="str">
        <f>TimeEntry[[#This Row],[Year]]&amp;"-"&amp;TimeEntry[[#This Row],[WkNo]]</f>
        <v>2019-53</v>
      </c>
    </row>
    <row r="416" spans="1:20" x14ac:dyDescent="0.25">
      <c r="A416" s="6">
        <f>MOD(IF(ROW()=2,0.1,IF(INDEX(TimeEntry[WkEnd],ROW()-1)  =  INDEX(TimeEntry[WkEnd],ROW()-2),    INDEX(TimeEntry[format],ROW()-2),    INDEX(TimeEntry[format],ROW()-2)    +1)),2)</f>
        <v>1.1000000000000001</v>
      </c>
      <c r="B416" s="7"/>
      <c r="C416" s="8">
        <v>43823</v>
      </c>
      <c r="D416" s="8"/>
      <c r="E416" s="1" t="s">
        <v>453</v>
      </c>
      <c r="F416" s="8">
        <f>IF(TimeEntry[[#This Row],[Date]]=0,F415,C416+(7-Q416))</f>
        <v>43828</v>
      </c>
      <c r="G416" s="35" t="str">
        <f>INDEX(projects[Charge_Code],MATCH(TimeEntry[[#This Row],[Project_ID]],projects[Project_ID],0))</f>
        <v>268017-25  KSC - Tunnel</v>
      </c>
      <c r="H416" s="1" t="str">
        <f t="shared" si="16"/>
        <v>Normal Time</v>
      </c>
      <c r="I416" s="1"/>
      <c r="J416" s="15">
        <v>7.5</v>
      </c>
      <c r="K416" s="15"/>
      <c r="L416" s="15"/>
      <c r="M416" s="15"/>
      <c r="N416" s="15"/>
      <c r="O416" s="15" t="str">
        <f>INDEX(projects[job number],MATCH(TimeEntry[[#This Row],[Project_ID]], projects[Project_ID],0))</f>
        <v xml:space="preserve">268017-25 </v>
      </c>
      <c r="P416" s="15" t="str">
        <f>INDEX(projects[Project_Name],MATCH(TimeEntry[[#This Row],[Project_ID]], projects[Project_ID],0))</f>
        <v>KSC - Tunnel</v>
      </c>
      <c r="Q416" s="6">
        <f>IF(TimeEntry[[#This Row],[Date]]=0,"",WEEKDAY(C416,2))</f>
        <v>2</v>
      </c>
      <c r="R416" s="9">
        <f>YEAR(TimeEntry[[#This Row],[WkEnd]])</f>
        <v>2019</v>
      </c>
      <c r="S416" s="9">
        <f>WEEKNUM(TimeEntry[[#This Row],[WkEnd]])</f>
        <v>53</v>
      </c>
      <c r="T416" s="9" t="str">
        <f>TimeEntry[[#This Row],[Year]]&amp;"-"&amp;TimeEntry[[#This Row],[WkNo]]</f>
        <v>2019-53</v>
      </c>
    </row>
    <row r="417" spans="1:20" x14ac:dyDescent="0.25">
      <c r="A417" s="6">
        <f>MOD(IF(ROW()=2,0.1,IF(INDEX(TimeEntry[WkEnd],ROW()-1)  =  INDEX(TimeEntry[WkEnd],ROW()-2),    INDEX(TimeEntry[format],ROW()-2),    INDEX(TimeEntry[format],ROW()-2)    +1)),2)</f>
        <v>1.1000000000000001</v>
      </c>
      <c r="B417" s="7"/>
      <c r="C417" s="8">
        <v>43822</v>
      </c>
      <c r="D417" s="8"/>
      <c r="E417" s="1" t="s">
        <v>453</v>
      </c>
      <c r="F417" s="8">
        <f>IF(TimeEntry[[#This Row],[Date]]=0,F416,C417+(7-Q417))</f>
        <v>43828</v>
      </c>
      <c r="G417" s="35" t="str">
        <f>INDEX(projects[Charge_Code],MATCH(TimeEntry[[#This Row],[Project_ID]],projects[Project_ID],0))</f>
        <v>268017-25  KSC - Tunnel</v>
      </c>
      <c r="H417" s="1" t="str">
        <f t="shared" si="16"/>
        <v>Normal Time</v>
      </c>
      <c r="I417" s="1"/>
      <c r="J417" s="15">
        <v>7.5</v>
      </c>
      <c r="K417" s="15"/>
      <c r="L417" s="15"/>
      <c r="M417" s="15"/>
      <c r="N417" s="15"/>
      <c r="O417" s="15" t="str">
        <f>INDEX(projects[job number],MATCH(TimeEntry[[#This Row],[Project_ID]], projects[Project_ID],0))</f>
        <v xml:space="preserve">268017-25 </v>
      </c>
      <c r="P417" s="15" t="str">
        <f>INDEX(projects[Project_Name],MATCH(TimeEntry[[#This Row],[Project_ID]], projects[Project_ID],0))</f>
        <v>KSC - Tunnel</v>
      </c>
      <c r="Q417" s="6">
        <f>IF(TimeEntry[[#This Row],[Date]]=0,"",WEEKDAY(C417,2))</f>
        <v>1</v>
      </c>
      <c r="R417" s="9">
        <f>YEAR(TimeEntry[[#This Row],[WkEnd]])</f>
        <v>2019</v>
      </c>
      <c r="S417" s="9">
        <f>WEEKNUM(TimeEntry[[#This Row],[WkEnd]])</f>
        <v>53</v>
      </c>
      <c r="T417" s="9" t="str">
        <f>TimeEntry[[#This Row],[Year]]&amp;"-"&amp;TimeEntry[[#This Row],[WkNo]]</f>
        <v>2019-53</v>
      </c>
    </row>
    <row r="418" spans="1:20" x14ac:dyDescent="0.25">
      <c r="A418" s="6">
        <f>MOD(IF(ROW()=2,0.1,IF(INDEX(TimeEntry[WkEnd],ROW()-1)  =  INDEX(TimeEntry[WkEnd],ROW()-2),    INDEX(TimeEntry[format],ROW()-2),    INDEX(TimeEntry[format],ROW()-2)    +1)),2)</f>
        <v>0.10000000000000009</v>
      </c>
      <c r="B418" s="7"/>
      <c r="C418" s="8">
        <v>43815</v>
      </c>
      <c r="D418" s="8"/>
      <c r="E418" s="1" t="s">
        <v>453</v>
      </c>
      <c r="F418" s="8">
        <f>IF(TimeEntry[[#This Row],[Date]]=0,F417,C418+(7-Q418))</f>
        <v>43821</v>
      </c>
      <c r="G418" s="35" t="str">
        <f>INDEX(projects[Charge_Code],MATCH(TimeEntry[[#This Row],[Project_ID]],projects[Project_ID],0))</f>
        <v>268017-25  KSC - Tunnel</v>
      </c>
      <c r="H418" s="1" t="str">
        <f t="shared" si="16"/>
        <v>Normal Time</v>
      </c>
      <c r="I418" s="1"/>
      <c r="J418" s="15">
        <v>5.5</v>
      </c>
      <c r="K418" s="15"/>
      <c r="L418" s="15"/>
      <c r="M418" s="15"/>
      <c r="N418" s="15"/>
      <c r="O418" s="15" t="str">
        <f>INDEX(projects[job number],MATCH(TimeEntry[[#This Row],[Project_ID]], projects[Project_ID],0))</f>
        <v xml:space="preserve">268017-25 </v>
      </c>
      <c r="P418" s="15" t="str">
        <f>INDEX(projects[Project_Name],MATCH(TimeEntry[[#This Row],[Project_ID]], projects[Project_ID],0))</f>
        <v>KSC - Tunnel</v>
      </c>
      <c r="Q418" s="6">
        <f>IF(TimeEntry[[#This Row],[Date]]=0,"",WEEKDAY(C418,2))</f>
        <v>1</v>
      </c>
      <c r="R418" s="9">
        <f>YEAR(TimeEntry[[#This Row],[WkEnd]])</f>
        <v>2019</v>
      </c>
      <c r="S418" s="9">
        <f>WEEKNUM(TimeEntry[[#This Row],[WkEnd]])</f>
        <v>52</v>
      </c>
      <c r="T418" s="9" t="str">
        <f>TimeEntry[[#This Row],[Year]]&amp;"-"&amp;TimeEntry[[#This Row],[WkNo]]</f>
        <v>2019-52</v>
      </c>
    </row>
    <row r="419" spans="1:20" x14ac:dyDescent="0.25">
      <c r="A419" s="6">
        <f>MOD(IF(ROW()=2,0.1,IF(INDEX(TimeEntry[WkEnd],ROW()-1)  =  INDEX(TimeEntry[WkEnd],ROW()-2),    INDEX(TimeEntry[format],ROW()-2),    INDEX(TimeEntry[format],ROW()-2)    +1)),2)</f>
        <v>0.10000000000000009</v>
      </c>
      <c r="B419" s="7"/>
      <c r="C419" s="8">
        <v>43815</v>
      </c>
      <c r="D419" s="8"/>
      <c r="E419" s="1" t="s">
        <v>453</v>
      </c>
      <c r="F419" s="8">
        <f>IF(TimeEntry[[#This Row],[Date]]=0,F418,C419+(7-Q419))</f>
        <v>43821</v>
      </c>
      <c r="G419" s="35" t="str">
        <f>INDEX(projects[Charge_Code],MATCH(TimeEntry[[#This Row],[Project_ID]],projects[Project_ID],0))</f>
        <v>268017-25  KSC - Tunnel</v>
      </c>
      <c r="H419" s="1" t="str">
        <f t="shared" si="16"/>
        <v>Normal Time</v>
      </c>
      <c r="I419" s="1"/>
      <c r="J419" s="15">
        <v>2</v>
      </c>
      <c r="K419" s="15"/>
      <c r="L419" s="15"/>
      <c r="M419" s="15"/>
      <c r="N419" s="15"/>
      <c r="O419" s="15" t="str">
        <f>INDEX(projects[job number],MATCH(TimeEntry[[#This Row],[Project_ID]], projects[Project_ID],0))</f>
        <v xml:space="preserve">268017-25 </v>
      </c>
      <c r="P419" s="15" t="str">
        <f>INDEX(projects[Project_Name],MATCH(TimeEntry[[#This Row],[Project_ID]], projects[Project_ID],0))</f>
        <v>KSC - Tunnel</v>
      </c>
      <c r="Q419" s="6">
        <f>IF(TimeEntry[[#This Row],[Date]]=0,"",WEEKDAY(C419,2))</f>
        <v>1</v>
      </c>
      <c r="R419" s="9">
        <f>YEAR(TimeEntry[[#This Row],[WkEnd]])</f>
        <v>2019</v>
      </c>
      <c r="S419" s="9">
        <f>WEEKNUM(TimeEntry[[#This Row],[WkEnd]])</f>
        <v>52</v>
      </c>
      <c r="T419" s="9" t="str">
        <f>TimeEntry[[#This Row],[Year]]&amp;"-"&amp;TimeEntry[[#This Row],[WkNo]]</f>
        <v>2019-52</v>
      </c>
    </row>
    <row r="420" spans="1:20" x14ac:dyDescent="0.25">
      <c r="A420" s="6">
        <f>MOD(IF(ROW()=2,0.1,IF(INDEX(TimeEntry[WkEnd],ROW()-1)  =  INDEX(TimeEntry[WkEnd],ROW()-2),    INDEX(TimeEntry[format],ROW()-2),    INDEX(TimeEntry[format],ROW()-2)    +1)),2)</f>
        <v>0.10000000000000009</v>
      </c>
      <c r="B420" s="7"/>
      <c r="C420" s="8">
        <v>43816</v>
      </c>
      <c r="D420" s="8"/>
      <c r="E420" s="1" t="s">
        <v>453</v>
      </c>
      <c r="F420" s="8">
        <f>IF(TimeEntry[[#This Row],[Date]]=0,F419,C420+(7-Q420))</f>
        <v>43821</v>
      </c>
      <c r="G420" s="35" t="str">
        <f>INDEX(projects[Charge_Code],MATCH(TimeEntry[[#This Row],[Project_ID]],projects[Project_ID],0))</f>
        <v>268017-25  KSC - Tunnel</v>
      </c>
      <c r="H420" s="1" t="str">
        <f t="shared" si="16"/>
        <v>Normal Time</v>
      </c>
      <c r="I420" s="1"/>
      <c r="J420" s="15">
        <v>7.5</v>
      </c>
      <c r="K420" s="15"/>
      <c r="L420" s="15"/>
      <c r="M420" s="15"/>
      <c r="N420" s="15"/>
      <c r="O420" s="15" t="str">
        <f>INDEX(projects[job number],MATCH(TimeEntry[[#This Row],[Project_ID]], projects[Project_ID],0))</f>
        <v xml:space="preserve">268017-25 </v>
      </c>
      <c r="P420" s="15" t="str">
        <f>INDEX(projects[Project_Name],MATCH(TimeEntry[[#This Row],[Project_ID]], projects[Project_ID],0))</f>
        <v>KSC - Tunnel</v>
      </c>
      <c r="Q420" s="6">
        <f>IF(TimeEntry[[#This Row],[Date]]=0,"",WEEKDAY(C420,2))</f>
        <v>2</v>
      </c>
      <c r="R420" s="9">
        <f>YEAR(TimeEntry[[#This Row],[WkEnd]])</f>
        <v>2019</v>
      </c>
      <c r="S420" s="9">
        <f>WEEKNUM(TimeEntry[[#This Row],[WkEnd]])</f>
        <v>52</v>
      </c>
      <c r="T420" s="9" t="str">
        <f>TimeEntry[[#This Row],[Year]]&amp;"-"&amp;TimeEntry[[#This Row],[WkNo]]</f>
        <v>2019-52</v>
      </c>
    </row>
    <row r="421" spans="1:20" x14ac:dyDescent="0.25">
      <c r="A421" s="6">
        <f>MOD(IF(ROW()=2,0.1,IF(INDEX(TimeEntry[WkEnd],ROW()-1)  =  INDEX(TimeEntry[WkEnd],ROW()-2),    INDEX(TimeEntry[format],ROW()-2),    INDEX(TimeEntry[format],ROW()-2)    +1)),2)</f>
        <v>0.10000000000000009</v>
      </c>
      <c r="B421" s="7"/>
      <c r="C421" s="8">
        <v>43817</v>
      </c>
      <c r="D421" s="8"/>
      <c r="E421" s="1" t="s">
        <v>454</v>
      </c>
      <c r="F421" s="8">
        <f>IF(TimeEntry[[#This Row],[Date]]=0,F420,C421+(7-Q421))</f>
        <v>43821</v>
      </c>
      <c r="G421" s="35" t="str">
        <f>INDEX(projects[Charge_Code],MATCH(TimeEntry[[#This Row],[Project_ID]],projects[Project_ID],0))</f>
        <v>210035-51 VBB 3rd - new bridge</v>
      </c>
      <c r="H421" s="1" t="str">
        <f t="shared" si="16"/>
        <v>Normal Time</v>
      </c>
      <c r="I421" s="1"/>
      <c r="J421" s="15">
        <v>7.5</v>
      </c>
      <c r="K421" s="15"/>
      <c r="L421" s="15"/>
      <c r="M421" s="15"/>
      <c r="N421" s="15"/>
      <c r="O421" s="15" t="str">
        <f>INDEX(projects[job number],MATCH(TimeEntry[[#This Row],[Project_ID]], projects[Project_ID],0))</f>
        <v>210035-51</v>
      </c>
      <c r="P421" s="15" t="str">
        <f>INDEX(projects[Project_Name],MATCH(TimeEntry[[#This Row],[Project_ID]], projects[Project_ID],0))</f>
        <v>VBB 3rd - new bridge</v>
      </c>
      <c r="Q421" s="6">
        <f>IF(TimeEntry[[#This Row],[Date]]=0,"",WEEKDAY(C421,2))</f>
        <v>3</v>
      </c>
      <c r="R421" s="9">
        <f>YEAR(TimeEntry[[#This Row],[WkEnd]])</f>
        <v>2019</v>
      </c>
      <c r="S421" s="9">
        <f>WEEKNUM(TimeEntry[[#This Row],[WkEnd]])</f>
        <v>52</v>
      </c>
      <c r="T421" s="9" t="str">
        <f>TimeEntry[[#This Row],[Year]]&amp;"-"&amp;TimeEntry[[#This Row],[WkNo]]</f>
        <v>2019-52</v>
      </c>
    </row>
    <row r="422" spans="1:20" x14ac:dyDescent="0.25">
      <c r="A422" s="6">
        <f>MOD(IF(ROW()=2,0.1,IF(INDEX(TimeEntry[WkEnd],ROW()-1)  =  INDEX(TimeEntry[WkEnd],ROW()-2),    INDEX(TimeEntry[format],ROW()-2),    INDEX(TimeEntry[format],ROW()-2)    +1)),2)</f>
        <v>0.10000000000000009</v>
      </c>
      <c r="B422" s="7"/>
      <c r="C422" s="8">
        <v>43818</v>
      </c>
      <c r="D422" s="8"/>
      <c r="E422" s="1" t="s">
        <v>453</v>
      </c>
      <c r="F422" s="8">
        <f>IF(TimeEntry[[#This Row],[Date]]=0,F421,C422+(7-Q422))</f>
        <v>43821</v>
      </c>
      <c r="G422" s="35" t="str">
        <f>INDEX(projects[Charge_Code],MATCH(TimeEntry[[#This Row],[Project_ID]],projects[Project_ID],0))</f>
        <v>268017-25  KSC - Tunnel</v>
      </c>
      <c r="H422" s="1" t="str">
        <f t="shared" si="16"/>
        <v>Normal Time</v>
      </c>
      <c r="I422" s="1"/>
      <c r="J422" s="15">
        <v>7.5</v>
      </c>
      <c r="K422" s="15"/>
      <c r="L422" s="15"/>
      <c r="M422" s="15"/>
      <c r="N422" s="15"/>
      <c r="O422" s="15" t="str">
        <f>INDEX(projects[job number],MATCH(TimeEntry[[#This Row],[Project_ID]], projects[Project_ID],0))</f>
        <v xml:space="preserve">268017-25 </v>
      </c>
      <c r="P422" s="15" t="str">
        <f>INDEX(projects[Project_Name],MATCH(TimeEntry[[#This Row],[Project_ID]], projects[Project_ID],0))</f>
        <v>KSC - Tunnel</v>
      </c>
      <c r="Q422" s="6">
        <f>IF(TimeEntry[[#This Row],[Date]]=0,"",WEEKDAY(C422,2))</f>
        <v>4</v>
      </c>
      <c r="R422" s="9">
        <f>YEAR(TimeEntry[[#This Row],[WkEnd]])</f>
        <v>2019</v>
      </c>
      <c r="S422" s="9">
        <f>WEEKNUM(TimeEntry[[#This Row],[WkEnd]])</f>
        <v>52</v>
      </c>
      <c r="T422" s="9" t="str">
        <f>TimeEntry[[#This Row],[Year]]&amp;"-"&amp;TimeEntry[[#This Row],[WkNo]]</f>
        <v>2019-52</v>
      </c>
    </row>
    <row r="423" spans="1:20" x14ac:dyDescent="0.25">
      <c r="A423" s="6">
        <f>MOD(IF(ROW()=2,0.1,IF(INDEX(TimeEntry[WkEnd],ROW()-1)  =  INDEX(TimeEntry[WkEnd],ROW()-2),    INDEX(TimeEntry[format],ROW()-2),    INDEX(TimeEntry[format],ROW()-2)    +1)),2)</f>
        <v>0.10000000000000009</v>
      </c>
      <c r="B423" s="7"/>
      <c r="C423" s="8">
        <v>43819</v>
      </c>
      <c r="D423" s="8"/>
      <c r="E423" s="1" t="s">
        <v>455</v>
      </c>
      <c r="F423" s="8">
        <f>IF(TimeEntry[[#This Row],[Date]]=0,F422,C423+(7-Q423))</f>
        <v>43821</v>
      </c>
      <c r="G423" s="35" t="str">
        <f>INDEX(projects[Charge_Code],MATCH(TimeEntry[[#This Row],[Project_ID]],projects[Project_ID],0))</f>
        <v>255375-00 M25 West MSA</v>
      </c>
      <c r="H423" s="1" t="str">
        <f t="shared" si="16"/>
        <v>Normal Time</v>
      </c>
      <c r="I423" s="1"/>
      <c r="J423" s="15">
        <v>4</v>
      </c>
      <c r="K423" s="15"/>
      <c r="L423" s="15"/>
      <c r="M423" s="15"/>
      <c r="N423" s="15"/>
      <c r="O423" s="15" t="str">
        <f>INDEX(projects[job number],MATCH(TimeEntry[[#This Row],[Project_ID]], projects[Project_ID],0))</f>
        <v>255375-00</v>
      </c>
      <c r="P423" s="15" t="str">
        <f>INDEX(projects[Project_Name],MATCH(TimeEntry[[#This Row],[Project_ID]], projects[Project_ID],0))</f>
        <v>M25 West MSA</v>
      </c>
      <c r="Q423" s="6">
        <f>IF(TimeEntry[[#This Row],[Date]]=0,"",WEEKDAY(C423,2))</f>
        <v>5</v>
      </c>
      <c r="R423" s="9">
        <f>YEAR(TimeEntry[[#This Row],[WkEnd]])</f>
        <v>2019</v>
      </c>
      <c r="S423" s="9">
        <f>WEEKNUM(TimeEntry[[#This Row],[WkEnd]])</f>
        <v>52</v>
      </c>
      <c r="T423" s="9" t="str">
        <f>TimeEntry[[#This Row],[Year]]&amp;"-"&amp;TimeEntry[[#This Row],[WkNo]]</f>
        <v>2019-52</v>
      </c>
    </row>
    <row r="424" spans="1:20" x14ac:dyDescent="0.25">
      <c r="A424" s="6">
        <f>MOD(IF(ROW()=2,0.1,IF(INDEX(TimeEntry[WkEnd],ROW()-1)  =  INDEX(TimeEntry[WkEnd],ROW()-2),    INDEX(TimeEntry[format],ROW()-2),    INDEX(TimeEntry[format],ROW()-2)    +1)),2)</f>
        <v>0.10000000000000009</v>
      </c>
      <c r="B424" s="7"/>
      <c r="C424" s="8">
        <v>43819</v>
      </c>
      <c r="D424" s="8"/>
      <c r="E424" s="1" t="s">
        <v>453</v>
      </c>
      <c r="F424" s="8">
        <f>IF(TimeEntry[[#This Row],[Date]]=0,F423,C424+(7-Q424))</f>
        <v>43821</v>
      </c>
      <c r="G424" s="35" t="str">
        <f>INDEX(projects[Charge_Code],MATCH(TimeEntry[[#This Row],[Project_ID]],projects[Project_ID],0))</f>
        <v>268017-25  KSC - Tunnel</v>
      </c>
      <c r="H424" s="1" t="str">
        <f t="shared" si="16"/>
        <v>Normal Time</v>
      </c>
      <c r="I424" s="1"/>
      <c r="J424" s="15">
        <v>3.5</v>
      </c>
      <c r="K424" s="15"/>
      <c r="L424" s="15"/>
      <c r="M424" s="15"/>
      <c r="N424" s="15"/>
      <c r="O424" s="15" t="str">
        <f>INDEX(projects[job number],MATCH(TimeEntry[[#This Row],[Project_ID]], projects[Project_ID],0))</f>
        <v xml:space="preserve">268017-25 </v>
      </c>
      <c r="P424" s="15" t="str">
        <f>INDEX(projects[Project_Name],MATCH(TimeEntry[[#This Row],[Project_ID]], projects[Project_ID],0))</f>
        <v>KSC - Tunnel</v>
      </c>
      <c r="Q424" s="6">
        <f>IF(TimeEntry[[#This Row],[Date]]=0,"",WEEKDAY(C424,2))</f>
        <v>5</v>
      </c>
      <c r="R424" s="9">
        <f>YEAR(TimeEntry[[#This Row],[WkEnd]])</f>
        <v>2019</v>
      </c>
      <c r="S424" s="9">
        <f>WEEKNUM(TimeEntry[[#This Row],[WkEnd]])</f>
        <v>52</v>
      </c>
      <c r="T424" s="9" t="str">
        <f>TimeEntry[[#This Row],[Year]]&amp;"-"&amp;TimeEntry[[#This Row],[WkNo]]</f>
        <v>2019-52</v>
      </c>
    </row>
    <row r="425" spans="1:20" x14ac:dyDescent="0.25">
      <c r="A425" s="6">
        <f>MOD(IF(ROW()=2,0.1,IF(INDEX(TimeEntry[WkEnd],ROW()-1)  =  INDEX(TimeEntry[WkEnd],ROW()-2),    INDEX(TimeEntry[format],ROW()-2),    INDEX(TimeEntry[format],ROW()-2)    +1)),2)</f>
        <v>1.1000000000000001</v>
      </c>
      <c r="B425" s="7"/>
      <c r="C425" s="8">
        <v>43808</v>
      </c>
      <c r="D425" s="8"/>
      <c r="E425" s="1" t="s">
        <v>453</v>
      </c>
      <c r="F425" s="8">
        <f>IF(TimeEntry[[#This Row],[Date]]=0,F424,C425+(7-Q425))</f>
        <v>43814</v>
      </c>
      <c r="G425" s="35" t="str">
        <f>INDEX(projects[Charge_Code],MATCH(TimeEntry[[#This Row],[Project_ID]],projects[Project_ID],0))</f>
        <v>268017-25  KSC - Tunnel</v>
      </c>
      <c r="H425" s="1" t="str">
        <f t="shared" si="16"/>
        <v>Normal Time</v>
      </c>
      <c r="I425" s="1"/>
      <c r="J425" s="15">
        <v>7.5</v>
      </c>
      <c r="K425" s="15"/>
      <c r="L425" s="15"/>
      <c r="M425" s="15"/>
      <c r="N425" s="15"/>
      <c r="O425" s="15" t="str">
        <f>INDEX(projects[job number],MATCH(TimeEntry[[#This Row],[Project_ID]], projects[Project_ID],0))</f>
        <v xml:space="preserve">268017-25 </v>
      </c>
      <c r="P425" s="15" t="str">
        <f>INDEX(projects[Project_Name],MATCH(TimeEntry[[#This Row],[Project_ID]], projects[Project_ID],0))</f>
        <v>KSC - Tunnel</v>
      </c>
      <c r="Q425" s="6">
        <f>IF(TimeEntry[[#This Row],[Date]]=0,"",WEEKDAY(C425,2))</f>
        <v>1</v>
      </c>
      <c r="R425" s="9">
        <f>YEAR(TimeEntry[[#This Row],[WkEnd]])</f>
        <v>2019</v>
      </c>
      <c r="S425" s="9">
        <f>WEEKNUM(TimeEntry[[#This Row],[WkEnd]])</f>
        <v>51</v>
      </c>
      <c r="T425" s="9" t="str">
        <f>TimeEntry[[#This Row],[Year]]&amp;"-"&amp;TimeEntry[[#This Row],[WkNo]]</f>
        <v>2019-51</v>
      </c>
    </row>
    <row r="426" spans="1:20" x14ac:dyDescent="0.25">
      <c r="A426" s="6">
        <f>MOD(IF(ROW()=2,0.1,IF(INDEX(TimeEntry[WkEnd],ROW()-1)  =  INDEX(TimeEntry[WkEnd],ROW()-2),    INDEX(TimeEntry[format],ROW()-2),    INDEX(TimeEntry[format],ROW()-2)    +1)),2)</f>
        <v>1.1000000000000001</v>
      </c>
      <c r="B426" s="7"/>
      <c r="C426" s="8">
        <v>43809</v>
      </c>
      <c r="D426" s="8"/>
      <c r="E426" s="1" t="s">
        <v>453</v>
      </c>
      <c r="F426" s="8">
        <f>IF(TimeEntry[[#This Row],[Date]]=0,F425,C426+(7-Q426))</f>
        <v>43814</v>
      </c>
      <c r="G426" s="35" t="str">
        <f>INDEX(projects[Charge_Code],MATCH(TimeEntry[[#This Row],[Project_ID]],projects[Project_ID],0))</f>
        <v>268017-25  KSC - Tunnel</v>
      </c>
      <c r="H426" s="1" t="str">
        <f t="shared" si="16"/>
        <v>Normal Time</v>
      </c>
      <c r="I426" s="1"/>
      <c r="J426" s="15">
        <v>7.5</v>
      </c>
      <c r="K426" s="15"/>
      <c r="L426" s="15"/>
      <c r="M426" s="15"/>
      <c r="N426" s="15"/>
      <c r="O426" s="15" t="str">
        <f>INDEX(projects[job number],MATCH(TimeEntry[[#This Row],[Project_ID]], projects[Project_ID],0))</f>
        <v xml:space="preserve">268017-25 </v>
      </c>
      <c r="P426" s="15" t="str">
        <f>INDEX(projects[Project_Name],MATCH(TimeEntry[[#This Row],[Project_ID]], projects[Project_ID],0))</f>
        <v>KSC - Tunnel</v>
      </c>
      <c r="Q426" s="6">
        <f>IF(TimeEntry[[#This Row],[Date]]=0,"",WEEKDAY(C426,2))</f>
        <v>2</v>
      </c>
      <c r="R426" s="9">
        <f>YEAR(TimeEntry[[#This Row],[WkEnd]])</f>
        <v>2019</v>
      </c>
      <c r="S426" s="9">
        <f>WEEKNUM(TimeEntry[[#This Row],[WkEnd]])</f>
        <v>51</v>
      </c>
      <c r="T426" s="9" t="str">
        <f>TimeEntry[[#This Row],[Year]]&amp;"-"&amp;TimeEntry[[#This Row],[WkNo]]</f>
        <v>2019-51</v>
      </c>
    </row>
    <row r="427" spans="1:20" x14ac:dyDescent="0.25">
      <c r="A427" s="6">
        <f>MOD(IF(ROW()=2,0.1,IF(INDEX(TimeEntry[WkEnd],ROW()-1)  =  INDEX(TimeEntry[WkEnd],ROW()-2),    INDEX(TimeEntry[format],ROW()-2),    INDEX(TimeEntry[format],ROW()-2)    +1)),2)</f>
        <v>1.1000000000000001</v>
      </c>
      <c r="B427" s="7"/>
      <c r="C427" s="8">
        <v>43810</v>
      </c>
      <c r="D427" s="8"/>
      <c r="E427" s="1" t="s">
        <v>454</v>
      </c>
      <c r="F427" s="8">
        <f>IF(TimeEntry[[#This Row],[Date]]=0,F426,C427+(7-Q427))</f>
        <v>43814</v>
      </c>
      <c r="G427" s="35" t="str">
        <f>INDEX(projects[Charge_Code],MATCH(TimeEntry[[#This Row],[Project_ID]],projects[Project_ID],0))</f>
        <v>210035-51 VBB 3rd - new bridge</v>
      </c>
      <c r="H427" s="1" t="str">
        <f t="shared" si="16"/>
        <v>Normal Time</v>
      </c>
      <c r="I427" s="1"/>
      <c r="J427" s="15">
        <v>7.5</v>
      </c>
      <c r="K427" s="15"/>
      <c r="L427" s="15"/>
      <c r="M427" s="15"/>
      <c r="N427" s="15"/>
      <c r="O427" s="15" t="str">
        <f>INDEX(projects[job number],MATCH(TimeEntry[[#This Row],[Project_ID]], projects[Project_ID],0))</f>
        <v>210035-51</v>
      </c>
      <c r="P427" s="15" t="str">
        <f>INDEX(projects[Project_Name],MATCH(TimeEntry[[#This Row],[Project_ID]], projects[Project_ID],0))</f>
        <v>VBB 3rd - new bridge</v>
      </c>
      <c r="Q427" s="6">
        <f>IF(TimeEntry[[#This Row],[Date]]=0,"",WEEKDAY(C427,2))</f>
        <v>3</v>
      </c>
      <c r="R427" s="9">
        <f>YEAR(TimeEntry[[#This Row],[WkEnd]])</f>
        <v>2019</v>
      </c>
      <c r="S427" s="9">
        <f>WEEKNUM(TimeEntry[[#This Row],[WkEnd]])</f>
        <v>51</v>
      </c>
      <c r="T427" s="9" t="str">
        <f>TimeEntry[[#This Row],[Year]]&amp;"-"&amp;TimeEntry[[#This Row],[WkNo]]</f>
        <v>2019-51</v>
      </c>
    </row>
    <row r="428" spans="1:20" x14ac:dyDescent="0.25">
      <c r="A428" s="6">
        <f>MOD(IF(ROW()=2,0.1,IF(INDEX(TimeEntry[WkEnd],ROW()-1)  =  INDEX(TimeEntry[WkEnd],ROW()-2),    INDEX(TimeEntry[format],ROW()-2),    INDEX(TimeEntry[format],ROW()-2)    +1)),2)</f>
        <v>1.1000000000000001</v>
      </c>
      <c r="B428" s="7"/>
      <c r="C428" s="8">
        <v>43811</v>
      </c>
      <c r="D428" s="8"/>
      <c r="E428" s="1" t="s">
        <v>455</v>
      </c>
      <c r="F428" s="8">
        <f>IF(TimeEntry[[#This Row],[Date]]=0,F427,C428+(7-Q428))</f>
        <v>43814</v>
      </c>
      <c r="G428" s="35" t="str">
        <f>INDEX(projects[Charge_Code],MATCH(TimeEntry[[#This Row],[Project_ID]],projects[Project_ID],0))</f>
        <v>255375-00 M25 West MSA</v>
      </c>
      <c r="H428" s="1" t="str">
        <f t="shared" si="16"/>
        <v>Normal Time</v>
      </c>
      <c r="I428" s="1"/>
      <c r="J428" s="15">
        <v>7.5</v>
      </c>
      <c r="K428" s="15"/>
      <c r="L428" s="15"/>
      <c r="M428" s="15"/>
      <c r="N428" s="15"/>
      <c r="O428" s="15" t="str">
        <f>INDEX(projects[job number],MATCH(TimeEntry[[#This Row],[Project_ID]], projects[Project_ID],0))</f>
        <v>255375-00</v>
      </c>
      <c r="P428" s="15" t="str">
        <f>INDEX(projects[Project_Name],MATCH(TimeEntry[[#This Row],[Project_ID]], projects[Project_ID],0))</f>
        <v>M25 West MSA</v>
      </c>
      <c r="Q428" s="6">
        <f>IF(TimeEntry[[#This Row],[Date]]=0,"",WEEKDAY(C428,2))</f>
        <v>4</v>
      </c>
      <c r="R428" s="9">
        <f>YEAR(TimeEntry[[#This Row],[WkEnd]])</f>
        <v>2019</v>
      </c>
      <c r="S428" s="9">
        <f>WEEKNUM(TimeEntry[[#This Row],[WkEnd]])</f>
        <v>51</v>
      </c>
      <c r="T428" s="9" t="str">
        <f>TimeEntry[[#This Row],[Year]]&amp;"-"&amp;TimeEntry[[#This Row],[WkNo]]</f>
        <v>2019-51</v>
      </c>
    </row>
    <row r="429" spans="1:20" x14ac:dyDescent="0.25">
      <c r="A429" s="6">
        <f>MOD(IF(ROW()=2,0.1,IF(INDEX(TimeEntry[WkEnd],ROW()-1)  =  INDEX(TimeEntry[WkEnd],ROW()-2),    INDEX(TimeEntry[format],ROW()-2),    INDEX(TimeEntry[format],ROW()-2)    +1)),2)</f>
        <v>1.1000000000000001</v>
      </c>
      <c r="B429" s="7"/>
      <c r="C429" s="8">
        <v>43812</v>
      </c>
      <c r="D429" s="8"/>
      <c r="E429" s="1" t="s">
        <v>453</v>
      </c>
      <c r="F429" s="8">
        <f>IF(TimeEntry[[#This Row],[Date]]=0,F428,C429+(7-Q429))</f>
        <v>43814</v>
      </c>
      <c r="G429" s="35" t="str">
        <f>INDEX(projects[Charge_Code],MATCH(TimeEntry[[#This Row],[Project_ID]],projects[Project_ID],0))</f>
        <v>268017-25  KSC - Tunnel</v>
      </c>
      <c r="H429" s="1" t="str">
        <f t="shared" si="16"/>
        <v>Normal Time</v>
      </c>
      <c r="I429" s="1"/>
      <c r="J429" s="15">
        <v>7.5</v>
      </c>
      <c r="K429" s="15"/>
      <c r="L429" s="15"/>
      <c r="M429" s="15"/>
      <c r="N429" s="15"/>
      <c r="O429" s="15" t="str">
        <f>INDEX(projects[job number],MATCH(TimeEntry[[#This Row],[Project_ID]], projects[Project_ID],0))</f>
        <v xml:space="preserve">268017-25 </v>
      </c>
      <c r="P429" s="15" t="str">
        <f>INDEX(projects[Project_Name],MATCH(TimeEntry[[#This Row],[Project_ID]], projects[Project_ID],0))</f>
        <v>KSC - Tunnel</v>
      </c>
      <c r="Q429" s="6">
        <f>IF(TimeEntry[[#This Row],[Date]]=0,"",WEEKDAY(C429,2))</f>
        <v>5</v>
      </c>
      <c r="R429" s="9">
        <f>YEAR(TimeEntry[[#This Row],[WkEnd]])</f>
        <v>2019</v>
      </c>
      <c r="S429" s="9">
        <f>WEEKNUM(TimeEntry[[#This Row],[WkEnd]])</f>
        <v>51</v>
      </c>
      <c r="T429" s="9" t="str">
        <f>TimeEntry[[#This Row],[Year]]&amp;"-"&amp;TimeEntry[[#This Row],[WkNo]]</f>
        <v>2019-51</v>
      </c>
    </row>
    <row r="430" spans="1:20" x14ac:dyDescent="0.25">
      <c r="A430" s="6">
        <f>MOD(IF(ROW()=2,0.1,IF(INDEX(TimeEntry[WkEnd],ROW()-1)  =  INDEX(TimeEntry[WkEnd],ROW()-2),    INDEX(TimeEntry[format],ROW()-2),    INDEX(TimeEntry[format],ROW()-2)    +1)),2)</f>
        <v>0.10000000000000009</v>
      </c>
      <c r="B430" s="7"/>
      <c r="C430" s="8">
        <v>43801</v>
      </c>
      <c r="D430" s="8"/>
      <c r="E430" s="1" t="s">
        <v>453</v>
      </c>
      <c r="F430" s="8">
        <f>IF(TimeEntry[[#This Row],[Date]]=0,F429,C430+(7-Q430))</f>
        <v>43807</v>
      </c>
      <c r="G430" s="35" t="str">
        <f>INDEX(projects[Charge_Code],MATCH(TimeEntry[[#This Row],[Project_ID]],projects[Project_ID],0))</f>
        <v>268017-25  KSC - Tunnel</v>
      </c>
      <c r="H430" s="1" t="str">
        <f t="shared" si="16"/>
        <v>Normal Time</v>
      </c>
      <c r="I430" s="1"/>
      <c r="J430" s="15">
        <v>5.5</v>
      </c>
      <c r="K430" s="15"/>
      <c r="L430" s="15"/>
      <c r="M430" s="15"/>
      <c r="N430" s="15"/>
      <c r="O430" s="15" t="str">
        <f>INDEX(projects[job number],MATCH(TimeEntry[[#This Row],[Project_ID]], projects[Project_ID],0))</f>
        <v xml:space="preserve">268017-25 </v>
      </c>
      <c r="P430" s="15" t="str">
        <f>INDEX(projects[Project_Name],MATCH(TimeEntry[[#This Row],[Project_ID]], projects[Project_ID],0))</f>
        <v>KSC - Tunnel</v>
      </c>
      <c r="Q430" s="6">
        <f>IF(TimeEntry[[#This Row],[Date]]=0,"",WEEKDAY(C430,2))</f>
        <v>1</v>
      </c>
      <c r="R430" s="9">
        <f>YEAR(TimeEntry[[#This Row],[WkEnd]])</f>
        <v>2019</v>
      </c>
      <c r="S430" s="9">
        <f>WEEKNUM(TimeEntry[[#This Row],[WkEnd]])</f>
        <v>50</v>
      </c>
      <c r="T430" s="9" t="str">
        <f>TimeEntry[[#This Row],[Year]]&amp;"-"&amp;TimeEntry[[#This Row],[WkNo]]</f>
        <v>2019-50</v>
      </c>
    </row>
    <row r="431" spans="1:20" x14ac:dyDescent="0.25">
      <c r="A431" s="6">
        <f>MOD(IF(ROW()=2,0.1,IF(INDEX(TimeEntry[WkEnd],ROW()-1)  =  INDEX(TimeEntry[WkEnd],ROW()-2),    INDEX(TimeEntry[format],ROW()-2),    INDEX(TimeEntry[format],ROW()-2)    +1)),2)</f>
        <v>0.10000000000000009</v>
      </c>
      <c r="B431" s="7"/>
      <c r="C431" s="8">
        <v>43801</v>
      </c>
      <c r="D431" s="8"/>
      <c r="E431" s="1" t="s">
        <v>453</v>
      </c>
      <c r="F431" s="8">
        <f>IF(TimeEntry[[#This Row],[Date]]=0,F430,C431+(7-Q431))</f>
        <v>43807</v>
      </c>
      <c r="G431" s="35" t="str">
        <f>INDEX(projects[Charge_Code],MATCH(TimeEntry[[#This Row],[Project_ID]],projects[Project_ID],0))</f>
        <v>268017-25  KSC - Tunnel</v>
      </c>
      <c r="H431" s="1" t="str">
        <f t="shared" si="16"/>
        <v>Normal Time</v>
      </c>
      <c r="I431" s="1"/>
      <c r="J431" s="15">
        <v>2</v>
      </c>
      <c r="K431" s="15"/>
      <c r="L431" s="15"/>
      <c r="M431" s="15"/>
      <c r="N431" s="15"/>
      <c r="O431" s="15" t="str">
        <f>INDEX(projects[job number],MATCH(TimeEntry[[#This Row],[Project_ID]], projects[Project_ID],0))</f>
        <v xml:space="preserve">268017-25 </v>
      </c>
      <c r="P431" s="15" t="str">
        <f>INDEX(projects[Project_Name],MATCH(TimeEntry[[#This Row],[Project_ID]], projects[Project_ID],0))</f>
        <v>KSC - Tunnel</v>
      </c>
      <c r="Q431" s="6">
        <f>IF(TimeEntry[[#This Row],[Date]]=0,"",WEEKDAY(C431,2))</f>
        <v>1</v>
      </c>
      <c r="R431" s="9">
        <f>YEAR(TimeEntry[[#This Row],[WkEnd]])</f>
        <v>2019</v>
      </c>
      <c r="S431" s="9">
        <f>WEEKNUM(TimeEntry[[#This Row],[WkEnd]])</f>
        <v>50</v>
      </c>
      <c r="T431" s="9" t="str">
        <f>TimeEntry[[#This Row],[Year]]&amp;"-"&amp;TimeEntry[[#This Row],[WkNo]]</f>
        <v>2019-50</v>
      </c>
    </row>
    <row r="432" spans="1:20" x14ac:dyDescent="0.25">
      <c r="A432" s="6">
        <f>MOD(IF(ROW()=2,0.1,IF(INDEX(TimeEntry[WkEnd],ROW()-1)  =  INDEX(TimeEntry[WkEnd],ROW()-2),    INDEX(TimeEntry[format],ROW()-2),    INDEX(TimeEntry[format],ROW()-2)    +1)),2)</f>
        <v>0.10000000000000009</v>
      </c>
      <c r="B432" s="7"/>
      <c r="C432" s="8">
        <v>43802</v>
      </c>
      <c r="D432" s="8"/>
      <c r="E432" s="1" t="s">
        <v>454</v>
      </c>
      <c r="F432" s="8">
        <f>IF(TimeEntry[[#This Row],[Date]]=0,F431,C432+(7-Q432))</f>
        <v>43807</v>
      </c>
      <c r="G432" s="35" t="str">
        <f>INDEX(projects[Charge_Code],MATCH(TimeEntry[[#This Row],[Project_ID]],projects[Project_ID],0))</f>
        <v>210035-51 VBB 3rd - new bridge</v>
      </c>
      <c r="H432" s="1" t="str">
        <f t="shared" si="16"/>
        <v>Normal Time</v>
      </c>
      <c r="I432" s="1"/>
      <c r="J432" s="15">
        <v>2.5</v>
      </c>
      <c r="K432" s="15"/>
      <c r="L432" s="15"/>
      <c r="M432" s="15"/>
      <c r="N432" s="15"/>
      <c r="O432" s="15" t="str">
        <f>INDEX(projects[job number],MATCH(TimeEntry[[#This Row],[Project_ID]], projects[Project_ID],0))</f>
        <v>210035-51</v>
      </c>
      <c r="P432" s="15" t="str">
        <f>INDEX(projects[Project_Name],MATCH(TimeEntry[[#This Row],[Project_ID]], projects[Project_ID],0))</f>
        <v>VBB 3rd - new bridge</v>
      </c>
      <c r="Q432" s="6">
        <f>IF(TimeEntry[[#This Row],[Date]]=0,"",WEEKDAY(C432,2))</f>
        <v>2</v>
      </c>
      <c r="R432" s="9">
        <f>YEAR(TimeEntry[[#This Row],[WkEnd]])</f>
        <v>2019</v>
      </c>
      <c r="S432" s="9">
        <f>WEEKNUM(TimeEntry[[#This Row],[WkEnd]])</f>
        <v>50</v>
      </c>
      <c r="T432" s="9" t="str">
        <f>TimeEntry[[#This Row],[Year]]&amp;"-"&amp;TimeEntry[[#This Row],[WkNo]]</f>
        <v>2019-50</v>
      </c>
    </row>
    <row r="433" spans="1:20" x14ac:dyDescent="0.25">
      <c r="A433" s="6">
        <f>MOD(IF(ROW()=2,0.1,IF(INDEX(TimeEntry[WkEnd],ROW()-1)  =  INDEX(TimeEntry[WkEnd],ROW()-2),    INDEX(TimeEntry[format],ROW()-2),    INDEX(TimeEntry[format],ROW()-2)    +1)),2)</f>
        <v>0.10000000000000009</v>
      </c>
      <c r="B433" s="7"/>
      <c r="C433" s="8">
        <v>43802</v>
      </c>
      <c r="D433" s="8"/>
      <c r="E433" s="1" t="s">
        <v>454</v>
      </c>
      <c r="F433" s="8">
        <f>IF(TimeEntry[[#This Row],[Date]]=0,F432,C433+(7-Q433))</f>
        <v>43807</v>
      </c>
      <c r="G433" s="35" t="str">
        <f>INDEX(projects[Charge_Code],MATCH(TimeEntry[[#This Row],[Project_ID]],projects[Project_ID],0))</f>
        <v>210035-51 VBB 3rd - new bridge</v>
      </c>
      <c r="H433" s="1" t="str">
        <f t="shared" si="16"/>
        <v>Normal Time</v>
      </c>
      <c r="I433" s="1"/>
      <c r="J433" s="15">
        <v>2</v>
      </c>
      <c r="K433" s="15"/>
      <c r="L433" s="15"/>
      <c r="M433" s="15"/>
      <c r="N433" s="15"/>
      <c r="O433" s="15" t="str">
        <f>INDEX(projects[job number],MATCH(TimeEntry[[#This Row],[Project_ID]], projects[Project_ID],0))</f>
        <v>210035-51</v>
      </c>
      <c r="P433" s="15" t="str">
        <f>INDEX(projects[Project_Name],MATCH(TimeEntry[[#This Row],[Project_ID]], projects[Project_ID],0))</f>
        <v>VBB 3rd - new bridge</v>
      </c>
      <c r="Q433" s="6">
        <f>IF(TimeEntry[[#This Row],[Date]]=0,"",WEEKDAY(C433,2))</f>
        <v>2</v>
      </c>
      <c r="R433" s="9">
        <f>YEAR(TimeEntry[[#This Row],[WkEnd]])</f>
        <v>2019</v>
      </c>
      <c r="S433" s="9">
        <f>WEEKNUM(TimeEntry[[#This Row],[WkEnd]])</f>
        <v>50</v>
      </c>
      <c r="T433" s="9" t="str">
        <f>TimeEntry[[#This Row],[Year]]&amp;"-"&amp;TimeEntry[[#This Row],[WkNo]]</f>
        <v>2019-50</v>
      </c>
    </row>
    <row r="434" spans="1:20" x14ac:dyDescent="0.25">
      <c r="A434" s="6">
        <f>MOD(IF(ROW()=2,0.1,IF(INDEX(TimeEntry[WkEnd],ROW()-1)  =  INDEX(TimeEntry[WkEnd],ROW()-2),    INDEX(TimeEntry[format],ROW()-2),    INDEX(TimeEntry[format],ROW()-2)    +1)),2)</f>
        <v>0.10000000000000009</v>
      </c>
      <c r="B434" s="7"/>
      <c r="C434" s="8">
        <v>43802</v>
      </c>
      <c r="D434" s="8"/>
      <c r="E434" s="1" t="s">
        <v>453</v>
      </c>
      <c r="F434" s="8">
        <f>IF(TimeEntry[[#This Row],[Date]]=0,F433,C434+(7-Q434))</f>
        <v>43807</v>
      </c>
      <c r="G434" s="35" t="str">
        <f>INDEX(projects[Charge_Code],MATCH(TimeEntry[[#This Row],[Project_ID]],projects[Project_ID],0))</f>
        <v>268017-25  KSC - Tunnel</v>
      </c>
      <c r="H434" s="1" t="str">
        <f t="shared" si="16"/>
        <v>Normal Time</v>
      </c>
      <c r="I434" s="1"/>
      <c r="J434" s="15">
        <v>3</v>
      </c>
      <c r="K434" s="15"/>
      <c r="L434" s="15"/>
      <c r="M434" s="15"/>
      <c r="N434" s="15"/>
      <c r="O434" s="15" t="str">
        <f>INDEX(projects[job number],MATCH(TimeEntry[[#This Row],[Project_ID]], projects[Project_ID],0))</f>
        <v xml:space="preserve">268017-25 </v>
      </c>
      <c r="P434" s="15" t="str">
        <f>INDEX(projects[Project_Name],MATCH(TimeEntry[[#This Row],[Project_ID]], projects[Project_ID],0))</f>
        <v>KSC - Tunnel</v>
      </c>
      <c r="Q434" s="6">
        <f>IF(TimeEntry[[#This Row],[Date]]=0,"",WEEKDAY(C434,2))</f>
        <v>2</v>
      </c>
      <c r="R434" s="9">
        <f>YEAR(TimeEntry[[#This Row],[WkEnd]])</f>
        <v>2019</v>
      </c>
      <c r="S434" s="9">
        <f>WEEKNUM(TimeEntry[[#This Row],[WkEnd]])</f>
        <v>50</v>
      </c>
      <c r="T434" s="9" t="str">
        <f>TimeEntry[[#This Row],[Year]]&amp;"-"&amp;TimeEntry[[#This Row],[WkNo]]</f>
        <v>2019-50</v>
      </c>
    </row>
    <row r="435" spans="1:20" x14ac:dyDescent="0.25">
      <c r="A435" s="6">
        <f>MOD(IF(ROW()=2,0.1,IF(INDEX(TimeEntry[WkEnd],ROW()-1)  =  INDEX(TimeEntry[WkEnd],ROW()-2),    INDEX(TimeEntry[format],ROW()-2),    INDEX(TimeEntry[format],ROW()-2)    +1)),2)</f>
        <v>0.10000000000000009</v>
      </c>
      <c r="B435" s="7"/>
      <c r="C435" s="8">
        <v>43803</v>
      </c>
      <c r="D435" s="8"/>
      <c r="E435" s="1" t="s">
        <v>453</v>
      </c>
      <c r="F435" s="8">
        <f>IF(TimeEntry[[#This Row],[Date]]=0,F434,C435+(7-Q435))</f>
        <v>43807</v>
      </c>
      <c r="G435" s="35" t="str">
        <f>INDEX(projects[Charge_Code],MATCH(TimeEntry[[#This Row],[Project_ID]],projects[Project_ID],0))</f>
        <v>268017-25  KSC - Tunnel</v>
      </c>
      <c r="H435" s="1" t="str">
        <f t="shared" si="16"/>
        <v>Normal Time</v>
      </c>
      <c r="I435" s="1"/>
      <c r="J435" s="15">
        <v>2</v>
      </c>
      <c r="K435" s="15"/>
      <c r="L435" s="15"/>
      <c r="M435" s="15"/>
      <c r="N435" s="15"/>
      <c r="O435" s="15" t="str">
        <f>INDEX(projects[job number],MATCH(TimeEntry[[#This Row],[Project_ID]], projects[Project_ID],0))</f>
        <v xml:space="preserve">268017-25 </v>
      </c>
      <c r="P435" s="15" t="str">
        <f>INDEX(projects[Project_Name],MATCH(TimeEntry[[#This Row],[Project_ID]], projects[Project_ID],0))</f>
        <v>KSC - Tunnel</v>
      </c>
      <c r="Q435" s="6">
        <f>IF(TimeEntry[[#This Row],[Date]]=0,"",WEEKDAY(C435,2))</f>
        <v>3</v>
      </c>
      <c r="R435" s="9">
        <f>YEAR(TimeEntry[[#This Row],[WkEnd]])</f>
        <v>2019</v>
      </c>
      <c r="S435" s="9">
        <f>WEEKNUM(TimeEntry[[#This Row],[WkEnd]])</f>
        <v>50</v>
      </c>
      <c r="T435" s="9" t="str">
        <f>TimeEntry[[#This Row],[Year]]&amp;"-"&amp;TimeEntry[[#This Row],[WkNo]]</f>
        <v>2019-50</v>
      </c>
    </row>
    <row r="436" spans="1:20" x14ac:dyDescent="0.25">
      <c r="A436" s="6">
        <f>MOD(IF(ROW()=2,0.1,IF(INDEX(TimeEntry[WkEnd],ROW()-1)  =  INDEX(TimeEntry[WkEnd],ROW()-2),    INDEX(TimeEntry[format],ROW()-2),    INDEX(TimeEntry[format],ROW()-2)    +1)),2)</f>
        <v>0.10000000000000009</v>
      </c>
      <c r="B436" s="7"/>
      <c r="C436" s="8">
        <v>43803</v>
      </c>
      <c r="D436" s="8"/>
      <c r="E436" s="1" t="s">
        <v>454</v>
      </c>
      <c r="F436" s="8">
        <f>IF(TimeEntry[[#This Row],[Date]]=0,F435,C436+(7-Q436))</f>
        <v>43807</v>
      </c>
      <c r="G436" s="35" t="str">
        <f>INDEX(projects[Charge_Code],MATCH(TimeEntry[[#This Row],[Project_ID]],projects[Project_ID],0))</f>
        <v>210035-51 VBB 3rd - new bridge</v>
      </c>
      <c r="H436" s="1" t="str">
        <f t="shared" si="16"/>
        <v>Normal Time</v>
      </c>
      <c r="I436" s="1"/>
      <c r="J436" s="15">
        <v>5.5</v>
      </c>
      <c r="K436" s="15"/>
      <c r="L436" s="15"/>
      <c r="M436" s="15"/>
      <c r="N436" s="15"/>
      <c r="O436" s="15" t="str">
        <f>INDEX(projects[job number],MATCH(TimeEntry[[#This Row],[Project_ID]], projects[Project_ID],0))</f>
        <v>210035-51</v>
      </c>
      <c r="P436" s="15" t="str">
        <f>INDEX(projects[Project_Name],MATCH(TimeEntry[[#This Row],[Project_ID]], projects[Project_ID],0))</f>
        <v>VBB 3rd - new bridge</v>
      </c>
      <c r="Q436" s="6">
        <f>IF(TimeEntry[[#This Row],[Date]]=0,"",WEEKDAY(C436,2))</f>
        <v>3</v>
      </c>
      <c r="R436" s="9">
        <f>YEAR(TimeEntry[[#This Row],[WkEnd]])</f>
        <v>2019</v>
      </c>
      <c r="S436" s="9">
        <f>WEEKNUM(TimeEntry[[#This Row],[WkEnd]])</f>
        <v>50</v>
      </c>
      <c r="T436" s="9" t="str">
        <f>TimeEntry[[#This Row],[Year]]&amp;"-"&amp;TimeEntry[[#This Row],[WkNo]]</f>
        <v>2019-50</v>
      </c>
    </row>
    <row r="437" spans="1:20" x14ac:dyDescent="0.25">
      <c r="A437" s="6">
        <f>MOD(IF(ROW()=2,0.1,IF(INDEX(TimeEntry[WkEnd],ROW()-1)  =  INDEX(TimeEntry[WkEnd],ROW()-2),    INDEX(TimeEntry[format],ROW()-2),    INDEX(TimeEntry[format],ROW()-2)    +1)),2)</f>
        <v>0.10000000000000009</v>
      </c>
      <c r="B437" s="7"/>
      <c r="C437" s="8">
        <v>43804</v>
      </c>
      <c r="D437" s="8"/>
      <c r="E437" s="1" t="s">
        <v>454</v>
      </c>
      <c r="F437" s="8">
        <f>IF(TimeEntry[[#This Row],[Date]]=0,F436,C437+(7-Q437))</f>
        <v>43807</v>
      </c>
      <c r="G437" s="35" t="str">
        <f>INDEX(projects[Charge_Code],MATCH(TimeEntry[[#This Row],[Project_ID]],projects[Project_ID],0))</f>
        <v>210035-51 VBB 3rd - new bridge</v>
      </c>
      <c r="H437" s="1" t="str">
        <f t="shared" si="16"/>
        <v>Normal Time</v>
      </c>
      <c r="I437" s="1"/>
      <c r="J437" s="15">
        <v>2.5</v>
      </c>
      <c r="K437" s="15"/>
      <c r="L437" s="15"/>
      <c r="M437" s="15"/>
      <c r="N437" s="15"/>
      <c r="O437" s="15" t="str">
        <f>INDEX(projects[job number],MATCH(TimeEntry[[#This Row],[Project_ID]], projects[Project_ID],0))</f>
        <v>210035-51</v>
      </c>
      <c r="P437" s="15" t="str">
        <f>INDEX(projects[Project_Name],MATCH(TimeEntry[[#This Row],[Project_ID]], projects[Project_ID],0))</f>
        <v>VBB 3rd - new bridge</v>
      </c>
      <c r="Q437" s="6">
        <f>IF(TimeEntry[[#This Row],[Date]]=0,"",WEEKDAY(C437,2))</f>
        <v>4</v>
      </c>
      <c r="R437" s="9">
        <f>YEAR(TimeEntry[[#This Row],[WkEnd]])</f>
        <v>2019</v>
      </c>
      <c r="S437" s="9">
        <f>WEEKNUM(TimeEntry[[#This Row],[WkEnd]])</f>
        <v>50</v>
      </c>
      <c r="T437" s="9" t="str">
        <f>TimeEntry[[#This Row],[Year]]&amp;"-"&amp;TimeEntry[[#This Row],[WkNo]]</f>
        <v>2019-50</v>
      </c>
    </row>
    <row r="438" spans="1:20" x14ac:dyDescent="0.25">
      <c r="A438" s="6">
        <f>MOD(IF(ROW()=2,0.1,IF(INDEX(TimeEntry[WkEnd],ROW()-1)  =  INDEX(TimeEntry[WkEnd],ROW()-2),    INDEX(TimeEntry[format],ROW()-2),    INDEX(TimeEntry[format],ROW()-2)    +1)),2)</f>
        <v>0.10000000000000009</v>
      </c>
      <c r="B438" s="7"/>
      <c r="C438" s="8">
        <v>43804</v>
      </c>
      <c r="D438" s="8"/>
      <c r="E438" s="1" t="s">
        <v>454</v>
      </c>
      <c r="F438" s="8">
        <f>IF(TimeEntry[[#This Row],[Date]]=0,F437,C438+(7-Q438))</f>
        <v>43807</v>
      </c>
      <c r="G438" s="35" t="str">
        <f>INDEX(projects[Charge_Code],MATCH(TimeEntry[[#This Row],[Project_ID]],projects[Project_ID],0))</f>
        <v>210035-51 VBB 3rd - new bridge</v>
      </c>
      <c r="H438" s="1" t="str">
        <f t="shared" si="16"/>
        <v>Normal Time</v>
      </c>
      <c r="I438" s="1"/>
      <c r="J438" s="15">
        <v>2</v>
      </c>
      <c r="K438" s="15"/>
      <c r="L438" s="15"/>
      <c r="M438" s="15"/>
      <c r="N438" s="15"/>
      <c r="O438" s="15" t="str">
        <f>INDEX(projects[job number],MATCH(TimeEntry[[#This Row],[Project_ID]], projects[Project_ID],0))</f>
        <v>210035-51</v>
      </c>
      <c r="P438" s="15" t="str">
        <f>INDEX(projects[Project_Name],MATCH(TimeEntry[[#This Row],[Project_ID]], projects[Project_ID],0))</f>
        <v>VBB 3rd - new bridge</v>
      </c>
      <c r="Q438" s="6">
        <f>IF(TimeEntry[[#This Row],[Date]]=0,"",WEEKDAY(C438,2))</f>
        <v>4</v>
      </c>
      <c r="R438" s="9">
        <f>YEAR(TimeEntry[[#This Row],[WkEnd]])</f>
        <v>2019</v>
      </c>
      <c r="S438" s="9">
        <f>WEEKNUM(TimeEntry[[#This Row],[WkEnd]])</f>
        <v>50</v>
      </c>
      <c r="T438" s="9" t="str">
        <f>TimeEntry[[#This Row],[Year]]&amp;"-"&amp;TimeEntry[[#This Row],[WkNo]]</f>
        <v>2019-50</v>
      </c>
    </row>
    <row r="439" spans="1:20" x14ac:dyDescent="0.25">
      <c r="A439" s="6">
        <f>MOD(IF(ROW()=2,0.1,IF(INDEX(TimeEntry[WkEnd],ROW()-1)  =  INDEX(TimeEntry[WkEnd],ROW()-2),    INDEX(TimeEntry[format],ROW()-2),    INDEX(TimeEntry[format],ROW()-2)    +1)),2)</f>
        <v>0.10000000000000009</v>
      </c>
      <c r="B439" s="7"/>
      <c r="C439" s="8">
        <v>43804</v>
      </c>
      <c r="D439" s="8"/>
      <c r="E439" s="1" t="s">
        <v>453</v>
      </c>
      <c r="F439" s="8">
        <f>IF(TimeEntry[[#This Row],[Date]]=0,F438,C439+(7-Q439))</f>
        <v>43807</v>
      </c>
      <c r="G439" s="35" t="str">
        <f>INDEX(projects[Charge_Code],MATCH(TimeEntry[[#This Row],[Project_ID]],projects[Project_ID],0))</f>
        <v>268017-25  KSC - Tunnel</v>
      </c>
      <c r="H439" s="1" t="str">
        <f t="shared" si="16"/>
        <v>Normal Time</v>
      </c>
      <c r="I439" s="1"/>
      <c r="J439" s="15">
        <v>3</v>
      </c>
      <c r="K439" s="15"/>
      <c r="L439" s="15"/>
      <c r="M439" s="15"/>
      <c r="N439" s="15"/>
      <c r="O439" s="15" t="str">
        <f>INDEX(projects[job number],MATCH(TimeEntry[[#This Row],[Project_ID]], projects[Project_ID],0))</f>
        <v xml:space="preserve">268017-25 </v>
      </c>
      <c r="P439" s="15" t="str">
        <f>INDEX(projects[Project_Name],MATCH(TimeEntry[[#This Row],[Project_ID]], projects[Project_ID],0))</f>
        <v>KSC - Tunnel</v>
      </c>
      <c r="Q439" s="6">
        <f>IF(TimeEntry[[#This Row],[Date]]=0,"",WEEKDAY(C439,2))</f>
        <v>4</v>
      </c>
      <c r="R439" s="9">
        <f>YEAR(TimeEntry[[#This Row],[WkEnd]])</f>
        <v>2019</v>
      </c>
      <c r="S439" s="9">
        <f>WEEKNUM(TimeEntry[[#This Row],[WkEnd]])</f>
        <v>50</v>
      </c>
      <c r="T439" s="9" t="str">
        <f>TimeEntry[[#This Row],[Year]]&amp;"-"&amp;TimeEntry[[#This Row],[WkNo]]</f>
        <v>2019-50</v>
      </c>
    </row>
    <row r="440" spans="1:20" x14ac:dyDescent="0.25">
      <c r="A440" s="6">
        <f>MOD(IF(ROW()=2,0.1,IF(INDEX(TimeEntry[WkEnd],ROW()-1)  =  INDEX(TimeEntry[WkEnd],ROW()-2),    INDEX(TimeEntry[format],ROW()-2),    INDEX(TimeEntry[format],ROW()-2)    +1)),2)</f>
        <v>0.10000000000000009</v>
      </c>
      <c r="B440" s="7"/>
      <c r="C440" s="8">
        <v>43805</v>
      </c>
      <c r="D440" s="8"/>
      <c r="E440" s="1" t="s">
        <v>453</v>
      </c>
      <c r="F440" s="8">
        <f>IF(TimeEntry[[#This Row],[Date]]=0,F439,C440+(7-Q440))</f>
        <v>43807</v>
      </c>
      <c r="G440" s="35" t="str">
        <f>INDEX(projects[Charge_Code],MATCH(TimeEntry[[#This Row],[Project_ID]],projects[Project_ID],0))</f>
        <v>268017-25  KSC - Tunnel</v>
      </c>
      <c r="H440" s="1" t="str">
        <f t="shared" si="16"/>
        <v>Normal Time</v>
      </c>
      <c r="I440" s="1"/>
      <c r="J440" s="15">
        <v>4.5</v>
      </c>
      <c r="K440" s="15"/>
      <c r="L440" s="15"/>
      <c r="M440" s="15"/>
      <c r="N440" s="15"/>
      <c r="O440" s="15" t="str">
        <f>INDEX(projects[job number],MATCH(TimeEntry[[#This Row],[Project_ID]], projects[Project_ID],0))</f>
        <v xml:space="preserve">268017-25 </v>
      </c>
      <c r="P440" s="15" t="str">
        <f>INDEX(projects[Project_Name],MATCH(TimeEntry[[#This Row],[Project_ID]], projects[Project_ID],0))</f>
        <v>KSC - Tunnel</v>
      </c>
      <c r="Q440" s="6">
        <f>IF(TimeEntry[[#This Row],[Date]]=0,"",WEEKDAY(C440,2))</f>
        <v>5</v>
      </c>
      <c r="R440" s="9">
        <f>YEAR(TimeEntry[[#This Row],[WkEnd]])</f>
        <v>2019</v>
      </c>
      <c r="S440" s="9">
        <f>WEEKNUM(TimeEntry[[#This Row],[WkEnd]])</f>
        <v>50</v>
      </c>
      <c r="T440" s="9" t="str">
        <f>TimeEntry[[#This Row],[Year]]&amp;"-"&amp;TimeEntry[[#This Row],[WkNo]]</f>
        <v>2019-50</v>
      </c>
    </row>
    <row r="441" spans="1:20" x14ac:dyDescent="0.25">
      <c r="A441" s="6">
        <f>MOD(IF(ROW()=2,0.1,IF(INDEX(TimeEntry[WkEnd],ROW()-1)  =  INDEX(TimeEntry[WkEnd],ROW()-2),    INDEX(TimeEntry[format],ROW()-2),    INDEX(TimeEntry[format],ROW()-2)    +1)),2)</f>
        <v>0.10000000000000009</v>
      </c>
      <c r="B441" s="7"/>
      <c r="C441" s="8">
        <v>43805</v>
      </c>
      <c r="D441" s="8"/>
      <c r="E441" s="1" t="s">
        <v>454</v>
      </c>
      <c r="F441" s="8">
        <f>IF(TimeEntry[[#This Row],[Date]]=0,F440,C441+(7-Q441))</f>
        <v>43807</v>
      </c>
      <c r="G441" s="35" t="str">
        <f>INDEX(projects[Charge_Code],MATCH(TimeEntry[[#This Row],[Project_ID]],projects[Project_ID],0))</f>
        <v>210035-51 VBB 3rd - new bridge</v>
      </c>
      <c r="H441" s="1" t="str">
        <f t="shared" si="16"/>
        <v>Normal Time</v>
      </c>
      <c r="I441" s="1"/>
      <c r="J441" s="15">
        <v>3</v>
      </c>
      <c r="K441" s="15"/>
      <c r="L441" s="15"/>
      <c r="M441" s="15"/>
      <c r="N441" s="15"/>
      <c r="O441" s="15" t="str">
        <f>INDEX(projects[job number],MATCH(TimeEntry[[#This Row],[Project_ID]], projects[Project_ID],0))</f>
        <v>210035-51</v>
      </c>
      <c r="P441" s="15" t="str">
        <f>INDEX(projects[Project_Name],MATCH(TimeEntry[[#This Row],[Project_ID]], projects[Project_ID],0))</f>
        <v>VBB 3rd - new bridge</v>
      </c>
      <c r="Q441" s="6">
        <f>IF(TimeEntry[[#This Row],[Date]]=0,"",WEEKDAY(C441,2))</f>
        <v>5</v>
      </c>
      <c r="R441" s="9">
        <f>YEAR(TimeEntry[[#This Row],[WkEnd]])</f>
        <v>2019</v>
      </c>
      <c r="S441" s="9">
        <f>WEEKNUM(TimeEntry[[#This Row],[WkEnd]])</f>
        <v>50</v>
      </c>
      <c r="T441" s="9" t="str">
        <f>TimeEntry[[#This Row],[Year]]&amp;"-"&amp;TimeEntry[[#This Row],[WkNo]]</f>
        <v>2019-50</v>
      </c>
    </row>
    <row r="442" spans="1:20" x14ac:dyDescent="0.25">
      <c r="A442" s="6">
        <f>MOD(IF(ROW()=2,0.1,IF(INDEX(TimeEntry[WkEnd],ROW()-1)  =  INDEX(TimeEntry[WkEnd],ROW()-2),    INDEX(TimeEntry[format],ROW()-2),    INDEX(TimeEntry[format],ROW()-2)    +1)),2)</f>
        <v>1.1000000000000001</v>
      </c>
      <c r="B442" s="7"/>
      <c r="C442" s="8">
        <v>43794</v>
      </c>
      <c r="D442" s="8"/>
      <c r="E442" s="1" t="s">
        <v>453</v>
      </c>
      <c r="F442" s="8">
        <f>IF(TimeEntry[[#This Row],[Date]]=0,F441,C442+(7-Q442))</f>
        <v>43800</v>
      </c>
      <c r="G442" s="35" t="str">
        <f>INDEX(projects[Charge_Code],MATCH(TimeEntry[[#This Row],[Project_ID]],projects[Project_ID],0))</f>
        <v>268017-25  KSC - Tunnel</v>
      </c>
      <c r="H442" s="1" t="str">
        <f t="shared" si="16"/>
        <v>Normal Time</v>
      </c>
      <c r="I442" s="1"/>
      <c r="J442" s="15">
        <v>5.5</v>
      </c>
      <c r="K442" s="15"/>
      <c r="L442" s="15"/>
      <c r="M442" s="15"/>
      <c r="N442" s="15"/>
      <c r="O442" s="15" t="str">
        <f>INDEX(projects[job number],MATCH(TimeEntry[[#This Row],[Project_ID]], projects[Project_ID],0))</f>
        <v xml:space="preserve">268017-25 </v>
      </c>
      <c r="P442" s="15" t="str">
        <f>INDEX(projects[Project_Name],MATCH(TimeEntry[[#This Row],[Project_ID]], projects[Project_ID],0))</f>
        <v>KSC - Tunnel</v>
      </c>
      <c r="Q442" s="6">
        <f>IF(TimeEntry[[#This Row],[Date]]=0,"",WEEKDAY(C442,2))</f>
        <v>1</v>
      </c>
      <c r="R442" s="9">
        <f>YEAR(TimeEntry[[#This Row],[WkEnd]])</f>
        <v>2019</v>
      </c>
      <c r="S442" s="9">
        <f>WEEKNUM(TimeEntry[[#This Row],[WkEnd]])</f>
        <v>49</v>
      </c>
      <c r="T442" s="9" t="str">
        <f>TimeEntry[[#This Row],[Year]]&amp;"-"&amp;TimeEntry[[#This Row],[WkNo]]</f>
        <v>2019-49</v>
      </c>
    </row>
    <row r="443" spans="1:20" x14ac:dyDescent="0.25">
      <c r="A443" s="6">
        <f>MOD(IF(ROW()=2,0.1,IF(INDEX(TimeEntry[WkEnd],ROW()-1)  =  INDEX(TimeEntry[WkEnd],ROW()-2),    INDEX(TimeEntry[format],ROW()-2),    INDEX(TimeEntry[format],ROW()-2)    +1)),2)</f>
        <v>1.1000000000000001</v>
      </c>
      <c r="B443" s="7"/>
      <c r="C443" s="8">
        <v>43794</v>
      </c>
      <c r="D443" s="8"/>
      <c r="E443" s="1" t="s">
        <v>453</v>
      </c>
      <c r="F443" s="8">
        <f>IF(TimeEntry[[#This Row],[Date]]=0,F442,C443+(7-Q443))</f>
        <v>43800</v>
      </c>
      <c r="G443" s="35" t="str">
        <f>INDEX(projects[Charge_Code],MATCH(TimeEntry[[#This Row],[Project_ID]],projects[Project_ID],0))</f>
        <v>268017-25  KSC - Tunnel</v>
      </c>
      <c r="H443" s="1" t="str">
        <f t="shared" si="16"/>
        <v>Normal Time</v>
      </c>
      <c r="I443" s="1"/>
      <c r="J443" s="15">
        <v>2</v>
      </c>
      <c r="K443" s="15"/>
      <c r="L443" s="15"/>
      <c r="M443" s="15"/>
      <c r="N443" s="15"/>
      <c r="O443" s="15" t="str">
        <f>INDEX(projects[job number],MATCH(TimeEntry[[#This Row],[Project_ID]], projects[Project_ID],0))</f>
        <v xml:space="preserve">268017-25 </v>
      </c>
      <c r="P443" s="15" t="str">
        <f>INDEX(projects[Project_Name],MATCH(TimeEntry[[#This Row],[Project_ID]], projects[Project_ID],0))</f>
        <v>KSC - Tunnel</v>
      </c>
      <c r="Q443" s="6">
        <f>IF(TimeEntry[[#This Row],[Date]]=0,"",WEEKDAY(C443,2))</f>
        <v>1</v>
      </c>
      <c r="R443" s="9">
        <f>YEAR(TimeEntry[[#This Row],[WkEnd]])</f>
        <v>2019</v>
      </c>
      <c r="S443" s="9">
        <f>WEEKNUM(TimeEntry[[#This Row],[WkEnd]])</f>
        <v>49</v>
      </c>
      <c r="T443" s="9" t="str">
        <f>TimeEntry[[#This Row],[Year]]&amp;"-"&amp;TimeEntry[[#This Row],[WkNo]]</f>
        <v>2019-49</v>
      </c>
    </row>
    <row r="444" spans="1:20" x14ac:dyDescent="0.25">
      <c r="A444" s="6">
        <f>MOD(IF(ROW()=2,0.1,IF(INDEX(TimeEntry[WkEnd],ROW()-1)  =  INDEX(TimeEntry[WkEnd],ROW()-2),    INDEX(TimeEntry[format],ROW()-2),    INDEX(TimeEntry[format],ROW()-2)    +1)),2)</f>
        <v>1.1000000000000001</v>
      </c>
      <c r="B444" s="7"/>
      <c r="C444" s="8">
        <v>43795</v>
      </c>
      <c r="D444" s="8"/>
      <c r="E444" s="1" t="s">
        <v>454</v>
      </c>
      <c r="F444" s="8">
        <f>IF(TimeEntry[[#This Row],[Date]]=0,F443,C444+(7-Q444))</f>
        <v>43800</v>
      </c>
      <c r="G444" s="35" t="str">
        <f>INDEX(projects[Charge_Code],MATCH(TimeEntry[[#This Row],[Project_ID]],projects[Project_ID],0))</f>
        <v>210035-51 VBB 3rd - new bridge</v>
      </c>
      <c r="H444" s="1" t="str">
        <f t="shared" si="16"/>
        <v>Normal Time</v>
      </c>
      <c r="I444" s="1"/>
      <c r="J444" s="15">
        <v>5.5</v>
      </c>
      <c r="K444" s="15"/>
      <c r="L444" s="15"/>
      <c r="M444" s="15"/>
      <c r="N444" s="15"/>
      <c r="O444" s="15" t="str">
        <f>INDEX(projects[job number],MATCH(TimeEntry[[#This Row],[Project_ID]], projects[Project_ID],0))</f>
        <v>210035-51</v>
      </c>
      <c r="P444" s="15" t="str">
        <f>INDEX(projects[Project_Name],MATCH(TimeEntry[[#This Row],[Project_ID]], projects[Project_ID],0))</f>
        <v>VBB 3rd - new bridge</v>
      </c>
      <c r="Q444" s="6">
        <f>IF(TimeEntry[[#This Row],[Date]]=0,"",WEEKDAY(C444,2))</f>
        <v>2</v>
      </c>
      <c r="R444" s="9">
        <f>YEAR(TimeEntry[[#This Row],[WkEnd]])</f>
        <v>2019</v>
      </c>
      <c r="S444" s="9">
        <f>WEEKNUM(TimeEntry[[#This Row],[WkEnd]])</f>
        <v>49</v>
      </c>
      <c r="T444" s="9" t="str">
        <f>TimeEntry[[#This Row],[Year]]&amp;"-"&amp;TimeEntry[[#This Row],[WkNo]]</f>
        <v>2019-49</v>
      </c>
    </row>
    <row r="445" spans="1:20" x14ac:dyDescent="0.25">
      <c r="A445" s="6">
        <f>MOD(IF(ROW()=2,0.1,IF(INDEX(TimeEntry[WkEnd],ROW()-1)  =  INDEX(TimeEntry[WkEnd],ROW()-2),    INDEX(TimeEntry[format],ROW()-2),    INDEX(TimeEntry[format],ROW()-2)    +1)),2)</f>
        <v>1.1000000000000001</v>
      </c>
      <c r="B445" s="7"/>
      <c r="C445" s="8">
        <v>43795</v>
      </c>
      <c r="D445" s="8"/>
      <c r="E445" s="1" t="s">
        <v>676</v>
      </c>
      <c r="F445" s="8">
        <f>IF(TimeEntry[[#This Row],[Date]]=0,F444,C445+(7-Q445))</f>
        <v>43800</v>
      </c>
      <c r="G445" s="35" t="str">
        <f>INDEX(projects[Charge_Code],MATCH(TimeEntry[[#This Row],[Project_ID]],projects[Project_ID],0))</f>
        <v>074097-29 BCST Appraisal (01-124)</v>
      </c>
      <c r="H445" s="1" t="str">
        <f t="shared" si="16"/>
        <v>Normal Time</v>
      </c>
      <c r="I445" s="1"/>
      <c r="J445" s="15">
        <v>2</v>
      </c>
      <c r="K445" s="15"/>
      <c r="L445" s="15"/>
      <c r="M445" s="15"/>
      <c r="N445" s="15"/>
      <c r="O445" s="15" t="str">
        <f>INDEX(projects[job number],MATCH(TimeEntry[[#This Row],[Project_ID]], projects[Project_ID],0))</f>
        <v>074097-29</v>
      </c>
      <c r="P445" s="15" t="str">
        <f>INDEX(projects[Project_Name],MATCH(TimeEntry[[#This Row],[Project_ID]], projects[Project_ID],0))</f>
        <v>BCST Appraisal</v>
      </c>
      <c r="Q445" s="6">
        <f>IF(TimeEntry[[#This Row],[Date]]=0,"",WEEKDAY(C445,2))</f>
        <v>2</v>
      </c>
      <c r="R445" s="9">
        <f>YEAR(TimeEntry[[#This Row],[WkEnd]])</f>
        <v>2019</v>
      </c>
      <c r="S445" s="9">
        <f>WEEKNUM(TimeEntry[[#This Row],[WkEnd]])</f>
        <v>49</v>
      </c>
      <c r="T445" s="9" t="str">
        <f>TimeEntry[[#This Row],[Year]]&amp;"-"&amp;TimeEntry[[#This Row],[WkNo]]</f>
        <v>2019-49</v>
      </c>
    </row>
    <row r="446" spans="1:20" x14ac:dyDescent="0.25">
      <c r="A446" s="6">
        <f>MOD(IF(ROW()=2,0.1,IF(INDEX(TimeEntry[WkEnd],ROW()-1)  =  INDEX(TimeEntry[WkEnd],ROW()-2),    INDEX(TimeEntry[format],ROW()-2),    INDEX(TimeEntry[format],ROW()-2)    +1)),2)</f>
        <v>1.1000000000000001</v>
      </c>
      <c r="B446" s="7"/>
      <c r="C446" s="8">
        <v>43796</v>
      </c>
      <c r="D446" s="8"/>
      <c r="E446" s="1" t="s">
        <v>453</v>
      </c>
      <c r="F446" s="8">
        <f>IF(TimeEntry[[#This Row],[Date]]=0,F445,C446+(7-Q446))</f>
        <v>43800</v>
      </c>
      <c r="G446" s="35" t="str">
        <f>INDEX(projects[Charge_Code],MATCH(TimeEntry[[#This Row],[Project_ID]],projects[Project_ID],0))</f>
        <v>268017-25  KSC - Tunnel</v>
      </c>
      <c r="H446" s="1" t="str">
        <f t="shared" si="16"/>
        <v>Normal Time</v>
      </c>
      <c r="I446" s="1"/>
      <c r="J446" s="15">
        <v>1</v>
      </c>
      <c r="K446" s="15"/>
      <c r="L446" s="15"/>
      <c r="M446" s="15"/>
      <c r="N446" s="15"/>
      <c r="O446" s="15" t="str">
        <f>INDEX(projects[job number],MATCH(TimeEntry[[#This Row],[Project_ID]], projects[Project_ID],0))</f>
        <v xml:space="preserve">268017-25 </v>
      </c>
      <c r="P446" s="15" t="str">
        <f>INDEX(projects[Project_Name],MATCH(TimeEntry[[#This Row],[Project_ID]], projects[Project_ID],0))</f>
        <v>KSC - Tunnel</v>
      </c>
      <c r="Q446" s="6">
        <f>IF(TimeEntry[[#This Row],[Date]]=0,"",WEEKDAY(C446,2))</f>
        <v>3</v>
      </c>
      <c r="R446" s="9">
        <f>YEAR(TimeEntry[[#This Row],[WkEnd]])</f>
        <v>2019</v>
      </c>
      <c r="S446" s="9">
        <f>WEEKNUM(TimeEntry[[#This Row],[WkEnd]])</f>
        <v>49</v>
      </c>
      <c r="T446" s="9" t="str">
        <f>TimeEntry[[#This Row],[Year]]&amp;"-"&amp;TimeEntry[[#This Row],[WkNo]]</f>
        <v>2019-49</v>
      </c>
    </row>
    <row r="447" spans="1:20" x14ac:dyDescent="0.25">
      <c r="A447" s="6">
        <f>MOD(IF(ROW()=2,0.1,IF(INDEX(TimeEntry[WkEnd],ROW()-1)  =  INDEX(TimeEntry[WkEnd],ROW()-2),    INDEX(TimeEntry[format],ROW()-2),    INDEX(TimeEntry[format],ROW()-2)    +1)),2)</f>
        <v>1.1000000000000001</v>
      </c>
      <c r="B447" s="7"/>
      <c r="C447" s="8">
        <v>43796</v>
      </c>
      <c r="D447" s="8"/>
      <c r="E447" s="1" t="s">
        <v>454</v>
      </c>
      <c r="F447" s="8">
        <f>IF(TimeEntry[[#This Row],[Date]]=0,F446,C447+(7-Q447))</f>
        <v>43800</v>
      </c>
      <c r="G447" s="35" t="str">
        <f>INDEX(projects[Charge_Code],MATCH(TimeEntry[[#This Row],[Project_ID]],projects[Project_ID],0))</f>
        <v>210035-51 VBB 3rd - new bridge</v>
      </c>
      <c r="H447" s="1" t="str">
        <f t="shared" si="16"/>
        <v>Normal Time</v>
      </c>
      <c r="I447" s="1"/>
      <c r="J447" s="15">
        <v>2.5</v>
      </c>
      <c r="K447" s="15"/>
      <c r="L447" s="15"/>
      <c r="M447" s="15"/>
      <c r="N447" s="15"/>
      <c r="O447" s="15" t="str">
        <f>INDEX(projects[job number],MATCH(TimeEntry[[#This Row],[Project_ID]], projects[Project_ID],0))</f>
        <v>210035-51</v>
      </c>
      <c r="P447" s="15" t="str">
        <f>INDEX(projects[Project_Name],MATCH(TimeEntry[[#This Row],[Project_ID]], projects[Project_ID],0))</f>
        <v>VBB 3rd - new bridge</v>
      </c>
      <c r="Q447" s="6">
        <f>IF(TimeEntry[[#This Row],[Date]]=0,"",WEEKDAY(C447,2))</f>
        <v>3</v>
      </c>
      <c r="R447" s="9">
        <f>YEAR(TimeEntry[[#This Row],[WkEnd]])</f>
        <v>2019</v>
      </c>
      <c r="S447" s="9">
        <f>WEEKNUM(TimeEntry[[#This Row],[WkEnd]])</f>
        <v>49</v>
      </c>
      <c r="T447" s="9" t="str">
        <f>TimeEntry[[#This Row],[Year]]&amp;"-"&amp;TimeEntry[[#This Row],[WkNo]]</f>
        <v>2019-49</v>
      </c>
    </row>
    <row r="448" spans="1:20" x14ac:dyDescent="0.25">
      <c r="A448" s="6">
        <f>MOD(IF(ROW()=2,0.1,IF(INDEX(TimeEntry[WkEnd],ROW()-1)  =  INDEX(TimeEntry[WkEnd],ROW()-2),    INDEX(TimeEntry[format],ROW()-2),    INDEX(TimeEntry[format],ROW()-2)    +1)),2)</f>
        <v>1.1000000000000001</v>
      </c>
      <c r="B448" s="7"/>
      <c r="C448" s="8">
        <v>43796</v>
      </c>
      <c r="D448" s="8"/>
      <c r="E448" s="1" t="s">
        <v>453</v>
      </c>
      <c r="F448" s="8">
        <f>IF(TimeEntry[[#This Row],[Date]]=0,F447,C448+(7-Q448))</f>
        <v>43800</v>
      </c>
      <c r="G448" s="35" t="str">
        <f>INDEX(projects[Charge_Code],MATCH(TimeEntry[[#This Row],[Project_ID]],projects[Project_ID],0))</f>
        <v>268017-25  KSC - Tunnel</v>
      </c>
      <c r="H448" s="1" t="str">
        <f t="shared" si="16"/>
        <v>Normal Time</v>
      </c>
      <c r="I448" s="1"/>
      <c r="J448" s="15">
        <v>4</v>
      </c>
      <c r="K448" s="15"/>
      <c r="L448" s="15"/>
      <c r="M448" s="15"/>
      <c r="N448" s="15"/>
      <c r="O448" s="15" t="str">
        <f>INDEX(projects[job number],MATCH(TimeEntry[[#This Row],[Project_ID]], projects[Project_ID],0))</f>
        <v xml:space="preserve">268017-25 </v>
      </c>
      <c r="P448" s="15" t="str">
        <f>INDEX(projects[Project_Name],MATCH(TimeEntry[[#This Row],[Project_ID]], projects[Project_ID],0))</f>
        <v>KSC - Tunnel</v>
      </c>
      <c r="Q448" s="6">
        <f>IF(TimeEntry[[#This Row],[Date]]=0,"",WEEKDAY(C448,2))</f>
        <v>3</v>
      </c>
      <c r="R448" s="9">
        <f>YEAR(TimeEntry[[#This Row],[WkEnd]])</f>
        <v>2019</v>
      </c>
      <c r="S448" s="9">
        <f>WEEKNUM(TimeEntry[[#This Row],[WkEnd]])</f>
        <v>49</v>
      </c>
      <c r="T448" s="9" t="str">
        <f>TimeEntry[[#This Row],[Year]]&amp;"-"&amp;TimeEntry[[#This Row],[WkNo]]</f>
        <v>2019-49</v>
      </c>
    </row>
    <row r="449" spans="1:20" x14ac:dyDescent="0.25">
      <c r="A449" s="6">
        <f>MOD(IF(ROW()=2,0.1,IF(INDEX(TimeEntry[WkEnd],ROW()-1)  =  INDEX(TimeEntry[WkEnd],ROW()-2),    INDEX(TimeEntry[format],ROW()-2),    INDEX(TimeEntry[format],ROW()-2)    +1)),2)</f>
        <v>1.1000000000000001</v>
      </c>
      <c r="B449" s="7"/>
      <c r="C449" s="8">
        <v>43797</v>
      </c>
      <c r="D449" s="8"/>
      <c r="E449" s="1" t="s">
        <v>453</v>
      </c>
      <c r="F449" s="8">
        <f>IF(TimeEntry[[#This Row],[Date]]=0,F448,C449+(7-Q449))</f>
        <v>43800</v>
      </c>
      <c r="G449" s="35" t="str">
        <f>INDEX(projects[Charge_Code],MATCH(TimeEntry[[#This Row],[Project_ID]],projects[Project_ID],0))</f>
        <v>268017-25  KSC - Tunnel</v>
      </c>
      <c r="H449" s="1" t="str">
        <f t="shared" si="16"/>
        <v>Normal Time</v>
      </c>
      <c r="I449" s="1"/>
      <c r="J449" s="15">
        <v>7.5</v>
      </c>
      <c r="K449" s="15"/>
      <c r="L449" s="15"/>
      <c r="M449" s="15"/>
      <c r="N449" s="15"/>
      <c r="O449" s="15" t="str">
        <f>INDEX(projects[job number],MATCH(TimeEntry[[#This Row],[Project_ID]], projects[Project_ID],0))</f>
        <v xml:space="preserve">268017-25 </v>
      </c>
      <c r="P449" s="15" t="str">
        <f>INDEX(projects[Project_Name],MATCH(TimeEntry[[#This Row],[Project_ID]], projects[Project_ID],0))</f>
        <v>KSC - Tunnel</v>
      </c>
      <c r="Q449" s="6">
        <f>IF(TimeEntry[[#This Row],[Date]]=0,"",WEEKDAY(C449,2))</f>
        <v>4</v>
      </c>
      <c r="R449" s="9">
        <f>YEAR(TimeEntry[[#This Row],[WkEnd]])</f>
        <v>2019</v>
      </c>
      <c r="S449" s="9">
        <f>WEEKNUM(TimeEntry[[#This Row],[WkEnd]])</f>
        <v>49</v>
      </c>
      <c r="T449" s="9" t="str">
        <f>TimeEntry[[#This Row],[Year]]&amp;"-"&amp;TimeEntry[[#This Row],[WkNo]]</f>
        <v>2019-49</v>
      </c>
    </row>
    <row r="450" spans="1:20" x14ac:dyDescent="0.25">
      <c r="A450" s="6">
        <f>MOD(IF(ROW()=2,0.1,IF(INDEX(TimeEntry[WkEnd],ROW()-1)  =  INDEX(TimeEntry[WkEnd],ROW()-2),    INDEX(TimeEntry[format],ROW()-2),    INDEX(TimeEntry[format],ROW()-2)    +1)),2)</f>
        <v>1.1000000000000001</v>
      </c>
      <c r="B450" s="7"/>
      <c r="C450" s="8">
        <v>43798</v>
      </c>
      <c r="D450" s="8"/>
      <c r="E450" s="1" t="s">
        <v>454</v>
      </c>
      <c r="F450" s="8">
        <f>IF(TimeEntry[[#This Row],[Date]]=0,F449,C450+(7-Q450))</f>
        <v>43800</v>
      </c>
      <c r="G450" s="35" t="str">
        <f>INDEX(projects[Charge_Code],MATCH(TimeEntry[[#This Row],[Project_ID]],projects[Project_ID],0))</f>
        <v>210035-51 VBB 3rd - new bridge</v>
      </c>
      <c r="H450" s="1" t="str">
        <f t="shared" si="16"/>
        <v>Normal Time</v>
      </c>
      <c r="I450" s="1"/>
      <c r="J450" s="15">
        <v>7.5</v>
      </c>
      <c r="K450" s="15"/>
      <c r="L450" s="15"/>
      <c r="M450" s="15"/>
      <c r="N450" s="15"/>
      <c r="O450" s="15" t="str">
        <f>INDEX(projects[job number],MATCH(TimeEntry[[#This Row],[Project_ID]], projects[Project_ID],0))</f>
        <v>210035-51</v>
      </c>
      <c r="P450" s="15" t="str">
        <f>INDEX(projects[Project_Name],MATCH(TimeEntry[[#This Row],[Project_ID]], projects[Project_ID],0))</f>
        <v>VBB 3rd - new bridge</v>
      </c>
      <c r="Q450" s="6">
        <f>IF(TimeEntry[[#This Row],[Date]]=0,"",WEEKDAY(C450,2))</f>
        <v>5</v>
      </c>
      <c r="R450" s="9">
        <f>YEAR(TimeEntry[[#This Row],[WkEnd]])</f>
        <v>2019</v>
      </c>
      <c r="S450" s="9">
        <f>WEEKNUM(TimeEntry[[#This Row],[WkEnd]])</f>
        <v>49</v>
      </c>
      <c r="T450" s="9" t="str">
        <f>TimeEntry[[#This Row],[Year]]&amp;"-"&amp;TimeEntry[[#This Row],[WkNo]]</f>
        <v>2019-49</v>
      </c>
    </row>
    <row r="451" spans="1:20" x14ac:dyDescent="0.25">
      <c r="A451" s="6">
        <f>MOD(IF(ROW()=2,0.1,IF(INDEX(TimeEntry[WkEnd],ROW()-1)  =  INDEX(TimeEntry[WkEnd],ROW()-2),    INDEX(TimeEntry[format],ROW()-2),    INDEX(TimeEntry[format],ROW()-2)    +1)),2)</f>
        <v>0.10000000000000009</v>
      </c>
      <c r="B451" s="7"/>
      <c r="C451" s="8">
        <v>43787</v>
      </c>
      <c r="D451" s="8"/>
      <c r="E451" s="1" t="s">
        <v>453</v>
      </c>
      <c r="F451" s="8">
        <f>IF(TimeEntry[[#This Row],[Date]]=0,F450,C451+(7-Q451))</f>
        <v>43793</v>
      </c>
      <c r="G451" s="35" t="str">
        <f>INDEX(projects[Charge_Code],MATCH(TimeEntry[[#This Row],[Project_ID]],projects[Project_ID],0))</f>
        <v>268017-25  KSC - Tunnel</v>
      </c>
      <c r="H451" s="1" t="str">
        <f t="shared" si="16"/>
        <v>Normal Time</v>
      </c>
      <c r="I451" s="1"/>
      <c r="J451" s="15">
        <v>5.5</v>
      </c>
      <c r="K451" s="15"/>
      <c r="L451" s="15"/>
      <c r="M451" s="15"/>
      <c r="N451" s="15"/>
      <c r="O451" s="15" t="str">
        <f>INDEX(projects[job number],MATCH(TimeEntry[[#This Row],[Project_ID]], projects[Project_ID],0))</f>
        <v xml:space="preserve">268017-25 </v>
      </c>
      <c r="P451" s="15" t="str">
        <f>INDEX(projects[Project_Name],MATCH(TimeEntry[[#This Row],[Project_ID]], projects[Project_ID],0))</f>
        <v>KSC - Tunnel</v>
      </c>
      <c r="Q451" s="6">
        <f>IF(TimeEntry[[#This Row],[Date]]=0,"",WEEKDAY(C451,2))</f>
        <v>1</v>
      </c>
      <c r="R451" s="9">
        <f>YEAR(TimeEntry[[#This Row],[WkEnd]])</f>
        <v>2019</v>
      </c>
      <c r="S451" s="9">
        <f>WEEKNUM(TimeEntry[[#This Row],[WkEnd]])</f>
        <v>48</v>
      </c>
      <c r="T451" s="9" t="str">
        <f>TimeEntry[[#This Row],[Year]]&amp;"-"&amp;TimeEntry[[#This Row],[WkNo]]</f>
        <v>2019-48</v>
      </c>
    </row>
    <row r="452" spans="1:20" x14ac:dyDescent="0.25">
      <c r="A452" s="6">
        <f>MOD(IF(ROW()=2,0.1,IF(INDEX(TimeEntry[WkEnd],ROW()-1)  =  INDEX(TimeEntry[WkEnd],ROW()-2),    INDEX(TimeEntry[format],ROW()-2),    INDEX(TimeEntry[format],ROW()-2)    +1)),2)</f>
        <v>0.10000000000000009</v>
      </c>
      <c r="B452" s="7"/>
      <c r="C452" s="8">
        <v>43787</v>
      </c>
      <c r="D452" s="8"/>
      <c r="E452" s="1" t="s">
        <v>453</v>
      </c>
      <c r="F452" s="8">
        <f>IF(TimeEntry[[#This Row],[Date]]=0,F451,C452+(7-Q452))</f>
        <v>43793</v>
      </c>
      <c r="G452" s="35" t="str">
        <f>INDEX(projects[Charge_Code],MATCH(TimeEntry[[#This Row],[Project_ID]],projects[Project_ID],0))</f>
        <v>268017-25  KSC - Tunnel</v>
      </c>
      <c r="H452" s="1" t="str">
        <f t="shared" si="16"/>
        <v>Normal Time</v>
      </c>
      <c r="I452" s="1"/>
      <c r="J452" s="15">
        <v>2</v>
      </c>
      <c r="K452" s="15"/>
      <c r="L452" s="15"/>
      <c r="M452" s="15"/>
      <c r="N452" s="15"/>
      <c r="O452" s="15" t="str">
        <f>INDEX(projects[job number],MATCH(TimeEntry[[#This Row],[Project_ID]], projects[Project_ID],0))</f>
        <v xml:space="preserve">268017-25 </v>
      </c>
      <c r="P452" s="15" t="str">
        <f>INDEX(projects[Project_Name],MATCH(TimeEntry[[#This Row],[Project_ID]], projects[Project_ID],0))</f>
        <v>KSC - Tunnel</v>
      </c>
      <c r="Q452" s="6">
        <f>IF(TimeEntry[[#This Row],[Date]]=0,"",WEEKDAY(C452,2))</f>
        <v>1</v>
      </c>
      <c r="R452" s="9">
        <f>YEAR(TimeEntry[[#This Row],[WkEnd]])</f>
        <v>2019</v>
      </c>
      <c r="S452" s="9">
        <f>WEEKNUM(TimeEntry[[#This Row],[WkEnd]])</f>
        <v>48</v>
      </c>
      <c r="T452" s="9" t="str">
        <f>TimeEntry[[#This Row],[Year]]&amp;"-"&amp;TimeEntry[[#This Row],[WkNo]]</f>
        <v>2019-48</v>
      </c>
    </row>
    <row r="453" spans="1:20" x14ac:dyDescent="0.25">
      <c r="A453" s="6">
        <f>MOD(IF(ROW()=2,0.1,IF(INDEX(TimeEntry[WkEnd],ROW()-1)  =  INDEX(TimeEntry[WkEnd],ROW()-2),    INDEX(TimeEntry[format],ROW()-2),    INDEX(TimeEntry[format],ROW()-2)    +1)),2)</f>
        <v>0.10000000000000009</v>
      </c>
      <c r="B453" s="7"/>
      <c r="C453" s="8">
        <v>43788</v>
      </c>
      <c r="D453" s="8"/>
      <c r="E453" s="1" t="s">
        <v>456</v>
      </c>
      <c r="F453" s="8">
        <f>IF(TimeEntry[[#This Row],[Date]]=0,F452,C453+(7-Q453))</f>
        <v>43793</v>
      </c>
      <c r="G453" s="35" t="str">
        <f>INDEX(projects[Charge_Code],MATCH(TimeEntry[[#This Row],[Project_ID]],projects[Project_ID],0))</f>
        <v>210035-58  VBB Afkeurmemo Oostbrug</v>
      </c>
      <c r="H453" s="1" t="str">
        <f t="shared" si="16"/>
        <v>Normal Time</v>
      </c>
      <c r="I453" s="1"/>
      <c r="J453" s="15">
        <v>2</v>
      </c>
      <c r="K453" s="15"/>
      <c r="L453" s="15"/>
      <c r="M453" s="15"/>
      <c r="N453" s="15"/>
      <c r="O453" s="15" t="str">
        <f>INDEX(projects[job number],MATCH(TimeEntry[[#This Row],[Project_ID]], projects[Project_ID],0))</f>
        <v xml:space="preserve">210035-58 </v>
      </c>
      <c r="P453" s="15" t="str">
        <f>INDEX(projects[Project_Name],MATCH(TimeEntry[[#This Row],[Project_ID]], projects[Project_ID],0))</f>
        <v>VBB Afkeurmemo Oostbrug</v>
      </c>
      <c r="Q453" s="6">
        <f>IF(TimeEntry[[#This Row],[Date]]=0,"",WEEKDAY(C453,2))</f>
        <v>2</v>
      </c>
      <c r="R453" s="9">
        <f>YEAR(TimeEntry[[#This Row],[WkEnd]])</f>
        <v>2019</v>
      </c>
      <c r="S453" s="9">
        <f>WEEKNUM(TimeEntry[[#This Row],[WkEnd]])</f>
        <v>48</v>
      </c>
      <c r="T453" s="9" t="str">
        <f>TimeEntry[[#This Row],[Year]]&amp;"-"&amp;TimeEntry[[#This Row],[WkNo]]</f>
        <v>2019-48</v>
      </c>
    </row>
    <row r="454" spans="1:20" x14ac:dyDescent="0.25">
      <c r="A454" s="6">
        <f>MOD(IF(ROW()=2,0.1,IF(INDEX(TimeEntry[WkEnd],ROW()-1)  =  INDEX(TimeEntry[WkEnd],ROW()-2),    INDEX(TimeEntry[format],ROW()-2),    INDEX(TimeEntry[format],ROW()-2)    +1)),2)</f>
        <v>0.10000000000000009</v>
      </c>
      <c r="B454" s="7"/>
      <c r="C454" s="8">
        <v>43788</v>
      </c>
      <c r="D454" s="8"/>
      <c r="E454" s="1" t="s">
        <v>454</v>
      </c>
      <c r="F454" s="8">
        <f>IF(TimeEntry[[#This Row],[Date]]=0,F453,C454+(7-Q454))</f>
        <v>43793</v>
      </c>
      <c r="G454" s="35" t="str">
        <f>INDEX(projects[Charge_Code],MATCH(TimeEntry[[#This Row],[Project_ID]],projects[Project_ID],0))</f>
        <v>210035-51 VBB 3rd - new bridge</v>
      </c>
      <c r="H454" s="1" t="str">
        <f t="shared" si="16"/>
        <v>Normal Time</v>
      </c>
      <c r="I454" s="1"/>
      <c r="J454" s="15">
        <v>5.5</v>
      </c>
      <c r="K454" s="15"/>
      <c r="L454" s="15"/>
      <c r="M454" s="15"/>
      <c r="N454" s="15"/>
      <c r="O454" s="15" t="str">
        <f>INDEX(projects[job number],MATCH(TimeEntry[[#This Row],[Project_ID]], projects[Project_ID],0))</f>
        <v>210035-51</v>
      </c>
      <c r="P454" s="15" t="str">
        <f>INDEX(projects[Project_Name],MATCH(TimeEntry[[#This Row],[Project_ID]], projects[Project_ID],0))</f>
        <v>VBB 3rd - new bridge</v>
      </c>
      <c r="Q454" s="6">
        <f>IF(TimeEntry[[#This Row],[Date]]=0,"",WEEKDAY(C454,2))</f>
        <v>2</v>
      </c>
      <c r="R454" s="9">
        <f>YEAR(TimeEntry[[#This Row],[WkEnd]])</f>
        <v>2019</v>
      </c>
      <c r="S454" s="9">
        <f>WEEKNUM(TimeEntry[[#This Row],[WkEnd]])</f>
        <v>48</v>
      </c>
      <c r="T454" s="9" t="str">
        <f>TimeEntry[[#This Row],[Year]]&amp;"-"&amp;TimeEntry[[#This Row],[WkNo]]</f>
        <v>2019-48</v>
      </c>
    </row>
    <row r="455" spans="1:20" x14ac:dyDescent="0.25">
      <c r="A455" s="6">
        <f>MOD(IF(ROW()=2,0.1,IF(INDEX(TimeEntry[WkEnd],ROW()-1)  =  INDEX(TimeEntry[WkEnd],ROW()-2),    INDEX(TimeEntry[format],ROW()-2),    INDEX(TimeEntry[format],ROW()-2)    +1)),2)</f>
        <v>0.10000000000000009</v>
      </c>
      <c r="B455" s="7"/>
      <c r="C455" s="8">
        <v>43789</v>
      </c>
      <c r="D455" s="8"/>
      <c r="E455" s="1" t="s">
        <v>456</v>
      </c>
      <c r="F455" s="8">
        <f>IF(TimeEntry[[#This Row],[Date]]=0,F454,C455+(7-Q455))</f>
        <v>43793</v>
      </c>
      <c r="G455" s="35" t="str">
        <f>INDEX(projects[Charge_Code],MATCH(TimeEntry[[#This Row],[Project_ID]],projects[Project_ID],0))</f>
        <v>210035-58  VBB Afkeurmemo Oostbrug</v>
      </c>
      <c r="H455" s="1" t="str">
        <f t="shared" si="16"/>
        <v>Normal Time</v>
      </c>
      <c r="I455" s="1"/>
      <c r="J455" s="15">
        <v>3.75</v>
      </c>
      <c r="K455" s="15"/>
      <c r="L455" s="15"/>
      <c r="M455" s="15"/>
      <c r="N455" s="15"/>
      <c r="O455" s="15" t="str">
        <f>INDEX(projects[job number],MATCH(TimeEntry[[#This Row],[Project_ID]], projects[Project_ID],0))</f>
        <v xml:space="preserve">210035-58 </v>
      </c>
      <c r="P455" s="15" t="str">
        <f>INDEX(projects[Project_Name],MATCH(TimeEntry[[#This Row],[Project_ID]], projects[Project_ID],0))</f>
        <v>VBB Afkeurmemo Oostbrug</v>
      </c>
      <c r="Q455" s="6">
        <f>IF(TimeEntry[[#This Row],[Date]]=0,"",WEEKDAY(C455,2))</f>
        <v>3</v>
      </c>
      <c r="R455" s="9">
        <f>YEAR(TimeEntry[[#This Row],[WkEnd]])</f>
        <v>2019</v>
      </c>
      <c r="S455" s="9">
        <f>WEEKNUM(TimeEntry[[#This Row],[WkEnd]])</f>
        <v>48</v>
      </c>
      <c r="T455" s="9" t="str">
        <f>TimeEntry[[#This Row],[Year]]&amp;"-"&amp;TimeEntry[[#This Row],[WkNo]]</f>
        <v>2019-48</v>
      </c>
    </row>
    <row r="456" spans="1:20" x14ac:dyDescent="0.25">
      <c r="A456" s="6">
        <f>MOD(IF(ROW()=2,0.1,IF(INDEX(TimeEntry[WkEnd],ROW()-1)  =  INDEX(TimeEntry[WkEnd],ROW()-2),    INDEX(TimeEntry[format],ROW()-2),    INDEX(TimeEntry[format],ROW()-2)    +1)),2)</f>
        <v>0.10000000000000009</v>
      </c>
      <c r="B456" s="7"/>
      <c r="C456" s="8">
        <v>43789</v>
      </c>
      <c r="D456" s="8"/>
      <c r="E456" s="1" t="s">
        <v>454</v>
      </c>
      <c r="F456" s="8">
        <f>IF(TimeEntry[[#This Row],[Date]]=0,F455,C456+(7-Q456))</f>
        <v>43793</v>
      </c>
      <c r="G456" s="35" t="str">
        <f>INDEX(projects[Charge_Code],MATCH(TimeEntry[[#This Row],[Project_ID]],projects[Project_ID],0))</f>
        <v>210035-51 VBB 3rd - new bridge</v>
      </c>
      <c r="H456" s="1" t="str">
        <f t="shared" ref="H456:H519" si="17">"Normal Time"</f>
        <v>Normal Time</v>
      </c>
      <c r="I456" s="1"/>
      <c r="J456" s="15">
        <v>3.75</v>
      </c>
      <c r="K456" s="15"/>
      <c r="L456" s="15"/>
      <c r="M456" s="15"/>
      <c r="N456" s="15"/>
      <c r="O456" s="15" t="str">
        <f>INDEX(projects[job number],MATCH(TimeEntry[[#This Row],[Project_ID]], projects[Project_ID],0))</f>
        <v>210035-51</v>
      </c>
      <c r="P456" s="15" t="str">
        <f>INDEX(projects[Project_Name],MATCH(TimeEntry[[#This Row],[Project_ID]], projects[Project_ID],0))</f>
        <v>VBB 3rd - new bridge</v>
      </c>
      <c r="Q456" s="6">
        <f>IF(TimeEntry[[#This Row],[Date]]=0,"",WEEKDAY(C456,2))</f>
        <v>3</v>
      </c>
      <c r="R456" s="9">
        <f>YEAR(TimeEntry[[#This Row],[WkEnd]])</f>
        <v>2019</v>
      </c>
      <c r="S456" s="9">
        <f>WEEKNUM(TimeEntry[[#This Row],[WkEnd]])</f>
        <v>48</v>
      </c>
      <c r="T456" s="9" t="str">
        <f>TimeEntry[[#This Row],[Year]]&amp;"-"&amp;TimeEntry[[#This Row],[WkNo]]</f>
        <v>2019-48</v>
      </c>
    </row>
    <row r="457" spans="1:20" x14ac:dyDescent="0.25">
      <c r="A457" s="6">
        <f>MOD(IF(ROW()=2,0.1,IF(INDEX(TimeEntry[WkEnd],ROW()-1)  =  INDEX(TimeEntry[WkEnd],ROW()-2),    INDEX(TimeEntry[format],ROW()-2),    INDEX(TimeEntry[format],ROW()-2)    +1)),2)</f>
        <v>0.10000000000000009</v>
      </c>
      <c r="B457" s="7"/>
      <c r="C457" s="8">
        <v>43790</v>
      </c>
      <c r="D457" s="8"/>
      <c r="E457" s="1" t="s">
        <v>453</v>
      </c>
      <c r="F457" s="8">
        <f>IF(TimeEntry[[#This Row],[Date]]=0,F456,C457+(7-Q457))</f>
        <v>43793</v>
      </c>
      <c r="G457" s="35" t="str">
        <f>INDEX(projects[Charge_Code],MATCH(TimeEntry[[#This Row],[Project_ID]],projects[Project_ID],0))</f>
        <v>268017-25  KSC - Tunnel</v>
      </c>
      <c r="H457" s="1" t="str">
        <f t="shared" si="17"/>
        <v>Normal Time</v>
      </c>
      <c r="I457" s="1"/>
      <c r="J457" s="15">
        <v>3.75</v>
      </c>
      <c r="K457" s="15"/>
      <c r="L457" s="15"/>
      <c r="M457" s="15"/>
      <c r="N457" s="15"/>
      <c r="O457" s="15" t="str">
        <f>INDEX(projects[job number],MATCH(TimeEntry[[#This Row],[Project_ID]], projects[Project_ID],0))</f>
        <v xml:space="preserve">268017-25 </v>
      </c>
      <c r="P457" s="15" t="str">
        <f>INDEX(projects[Project_Name],MATCH(TimeEntry[[#This Row],[Project_ID]], projects[Project_ID],0))</f>
        <v>KSC - Tunnel</v>
      </c>
      <c r="Q457" s="6">
        <f>IF(TimeEntry[[#This Row],[Date]]=0,"",WEEKDAY(C457,2))</f>
        <v>4</v>
      </c>
      <c r="R457" s="9">
        <f>YEAR(TimeEntry[[#This Row],[WkEnd]])</f>
        <v>2019</v>
      </c>
      <c r="S457" s="9">
        <f>WEEKNUM(TimeEntry[[#This Row],[WkEnd]])</f>
        <v>48</v>
      </c>
      <c r="T457" s="9" t="str">
        <f>TimeEntry[[#This Row],[Year]]&amp;"-"&amp;TimeEntry[[#This Row],[WkNo]]</f>
        <v>2019-48</v>
      </c>
    </row>
    <row r="458" spans="1:20" x14ac:dyDescent="0.25">
      <c r="A458" s="6">
        <f>MOD(IF(ROW()=2,0.1,IF(INDEX(TimeEntry[WkEnd],ROW()-1)  =  INDEX(TimeEntry[WkEnd],ROW()-2),    INDEX(TimeEntry[format],ROW()-2),    INDEX(TimeEntry[format],ROW()-2)    +1)),2)</f>
        <v>0.10000000000000009</v>
      </c>
      <c r="B458" s="7"/>
      <c r="C458" s="8">
        <v>43790</v>
      </c>
      <c r="D458" s="8"/>
      <c r="E458" s="1" t="s">
        <v>454</v>
      </c>
      <c r="F458" s="8">
        <f>IF(TimeEntry[[#This Row],[Date]]=0,F457,C458+(7-Q458))</f>
        <v>43793</v>
      </c>
      <c r="G458" s="35" t="str">
        <f>INDEX(projects[Charge_Code],MATCH(TimeEntry[[#This Row],[Project_ID]],projects[Project_ID],0))</f>
        <v>210035-51 VBB 3rd - new bridge</v>
      </c>
      <c r="H458" s="1" t="str">
        <f t="shared" si="17"/>
        <v>Normal Time</v>
      </c>
      <c r="I458" s="1"/>
      <c r="J458" s="15">
        <v>3.75</v>
      </c>
      <c r="K458" s="15"/>
      <c r="L458" s="15"/>
      <c r="M458" s="15"/>
      <c r="N458" s="15"/>
      <c r="O458" s="15" t="str">
        <f>INDEX(projects[job number],MATCH(TimeEntry[[#This Row],[Project_ID]], projects[Project_ID],0))</f>
        <v>210035-51</v>
      </c>
      <c r="P458" s="15" t="str">
        <f>INDEX(projects[Project_Name],MATCH(TimeEntry[[#This Row],[Project_ID]], projects[Project_ID],0))</f>
        <v>VBB 3rd - new bridge</v>
      </c>
      <c r="Q458" s="6">
        <f>IF(TimeEntry[[#This Row],[Date]]=0,"",WEEKDAY(C458,2))</f>
        <v>4</v>
      </c>
      <c r="R458" s="9">
        <f>YEAR(TimeEntry[[#This Row],[WkEnd]])</f>
        <v>2019</v>
      </c>
      <c r="S458" s="9">
        <f>WEEKNUM(TimeEntry[[#This Row],[WkEnd]])</f>
        <v>48</v>
      </c>
      <c r="T458" s="9" t="str">
        <f>TimeEntry[[#This Row],[Year]]&amp;"-"&amp;TimeEntry[[#This Row],[WkNo]]</f>
        <v>2019-48</v>
      </c>
    </row>
    <row r="459" spans="1:20" x14ac:dyDescent="0.25">
      <c r="A459" s="6">
        <f>MOD(IF(ROW()=2,0.1,IF(INDEX(TimeEntry[WkEnd],ROW()-1)  =  INDEX(TimeEntry[WkEnd],ROW()-2),    INDEX(TimeEntry[format],ROW()-2),    INDEX(TimeEntry[format],ROW()-2)    +1)),2)</f>
        <v>0.10000000000000009</v>
      </c>
      <c r="B459" s="7"/>
      <c r="C459" s="8">
        <v>43791</v>
      </c>
      <c r="D459" s="8"/>
      <c r="E459" s="1" t="s">
        <v>453</v>
      </c>
      <c r="F459" s="8">
        <f>IF(TimeEntry[[#This Row],[Date]]=0,F458,C459+(7-Q459))</f>
        <v>43793</v>
      </c>
      <c r="G459" s="35" t="str">
        <f>INDEX(projects[Charge_Code],MATCH(TimeEntry[[#This Row],[Project_ID]],projects[Project_ID],0))</f>
        <v>268017-25  KSC - Tunnel</v>
      </c>
      <c r="H459" s="1" t="str">
        <f t="shared" si="17"/>
        <v>Normal Time</v>
      </c>
      <c r="I459" s="1"/>
      <c r="J459" s="15">
        <v>5.5</v>
      </c>
      <c r="K459" s="15"/>
      <c r="L459" s="15"/>
      <c r="M459" s="15"/>
      <c r="N459" s="15"/>
      <c r="O459" s="15" t="str">
        <f>INDEX(projects[job number],MATCH(TimeEntry[[#This Row],[Project_ID]], projects[Project_ID],0))</f>
        <v xml:space="preserve">268017-25 </v>
      </c>
      <c r="P459" s="15" t="str">
        <f>INDEX(projects[Project_Name],MATCH(TimeEntry[[#This Row],[Project_ID]], projects[Project_ID],0))</f>
        <v>KSC - Tunnel</v>
      </c>
      <c r="Q459" s="6">
        <f>IF(TimeEntry[[#This Row],[Date]]=0,"",WEEKDAY(C459,2))</f>
        <v>5</v>
      </c>
      <c r="R459" s="9">
        <f>YEAR(TimeEntry[[#This Row],[WkEnd]])</f>
        <v>2019</v>
      </c>
      <c r="S459" s="9">
        <f>WEEKNUM(TimeEntry[[#This Row],[WkEnd]])</f>
        <v>48</v>
      </c>
      <c r="T459" s="9" t="str">
        <f>TimeEntry[[#This Row],[Year]]&amp;"-"&amp;TimeEntry[[#This Row],[WkNo]]</f>
        <v>2019-48</v>
      </c>
    </row>
    <row r="460" spans="1:20" x14ac:dyDescent="0.25">
      <c r="A460" s="6">
        <f>MOD(IF(ROW()=2,0.1,IF(INDEX(TimeEntry[WkEnd],ROW()-1)  =  INDEX(TimeEntry[WkEnd],ROW()-2),    INDEX(TimeEntry[format],ROW()-2),    INDEX(TimeEntry[format],ROW()-2)    +1)),2)</f>
        <v>0.10000000000000009</v>
      </c>
      <c r="B460" s="7"/>
      <c r="C460" s="8">
        <v>43791</v>
      </c>
      <c r="D460" s="8"/>
      <c r="E460" s="1" t="s">
        <v>676</v>
      </c>
      <c r="F460" s="8">
        <f>IF(TimeEntry[[#This Row],[Date]]=0,F459,C460+(7-Q460))</f>
        <v>43793</v>
      </c>
      <c r="G460" s="35" t="str">
        <f>INDEX(projects[Charge_Code],MATCH(TimeEntry[[#This Row],[Project_ID]],projects[Project_ID],0))</f>
        <v>074097-29 BCST Appraisal (01-124)</v>
      </c>
      <c r="H460" s="1" t="str">
        <f t="shared" si="17"/>
        <v>Normal Time</v>
      </c>
      <c r="I460" s="1"/>
      <c r="J460" s="15">
        <v>2</v>
      </c>
      <c r="K460" s="15"/>
      <c r="L460" s="15"/>
      <c r="M460" s="15"/>
      <c r="N460" s="15"/>
      <c r="O460" s="15" t="str">
        <f>INDEX(projects[job number],MATCH(TimeEntry[[#This Row],[Project_ID]], projects[Project_ID],0))</f>
        <v>074097-29</v>
      </c>
      <c r="P460" s="15" t="str">
        <f>INDEX(projects[Project_Name],MATCH(TimeEntry[[#This Row],[Project_ID]], projects[Project_ID],0))</f>
        <v>BCST Appraisal</v>
      </c>
      <c r="Q460" s="6">
        <f>IF(TimeEntry[[#This Row],[Date]]=0,"",WEEKDAY(C460,2))</f>
        <v>5</v>
      </c>
      <c r="R460" s="9">
        <f>YEAR(TimeEntry[[#This Row],[WkEnd]])</f>
        <v>2019</v>
      </c>
      <c r="S460" s="9">
        <f>WEEKNUM(TimeEntry[[#This Row],[WkEnd]])</f>
        <v>48</v>
      </c>
      <c r="T460" s="9" t="str">
        <f>TimeEntry[[#This Row],[Year]]&amp;"-"&amp;TimeEntry[[#This Row],[WkNo]]</f>
        <v>2019-48</v>
      </c>
    </row>
    <row r="461" spans="1:20" x14ac:dyDescent="0.25">
      <c r="A461" s="6">
        <f>MOD(IF(ROW()=2,0.1,IF(INDEX(TimeEntry[WkEnd],ROW()-1)  =  INDEX(TimeEntry[WkEnd],ROW()-2),    INDEX(TimeEntry[format],ROW()-2),    INDEX(TimeEntry[format],ROW()-2)    +1)),2)</f>
        <v>1.1000000000000001</v>
      </c>
      <c r="B461" s="7"/>
      <c r="C461" s="8">
        <v>43780</v>
      </c>
      <c r="D461" s="8"/>
      <c r="E461" s="1" t="s">
        <v>454</v>
      </c>
      <c r="F461" s="8">
        <f>IF(TimeEntry[[#This Row],[Date]]=0,F460,C461+(7-Q461))</f>
        <v>43786</v>
      </c>
      <c r="G461" s="35" t="str">
        <f>INDEX(projects[Charge_Code],MATCH(TimeEntry[[#This Row],[Project_ID]],projects[Project_ID],0))</f>
        <v>210035-51 VBB 3rd - new bridge</v>
      </c>
      <c r="H461" s="1" t="str">
        <f t="shared" si="17"/>
        <v>Normal Time</v>
      </c>
      <c r="I461" s="1"/>
      <c r="J461" s="15">
        <v>2.5</v>
      </c>
      <c r="K461" s="15"/>
      <c r="L461" s="15"/>
      <c r="M461" s="15"/>
      <c r="N461" s="15"/>
      <c r="O461" s="15" t="str">
        <f>INDEX(projects[job number],MATCH(TimeEntry[[#This Row],[Project_ID]], projects[Project_ID],0))</f>
        <v>210035-51</v>
      </c>
      <c r="P461" s="15" t="str">
        <f>INDEX(projects[Project_Name],MATCH(TimeEntry[[#This Row],[Project_ID]], projects[Project_ID],0))</f>
        <v>VBB 3rd - new bridge</v>
      </c>
      <c r="Q461" s="6">
        <f>IF(TimeEntry[[#This Row],[Date]]=0,"",WEEKDAY(C461,2))</f>
        <v>1</v>
      </c>
      <c r="R461" s="9">
        <f>YEAR(TimeEntry[[#This Row],[WkEnd]])</f>
        <v>2019</v>
      </c>
      <c r="S461" s="9">
        <f>WEEKNUM(TimeEntry[[#This Row],[WkEnd]])</f>
        <v>47</v>
      </c>
      <c r="T461" s="9" t="str">
        <f>TimeEntry[[#This Row],[Year]]&amp;"-"&amp;TimeEntry[[#This Row],[WkNo]]</f>
        <v>2019-47</v>
      </c>
    </row>
    <row r="462" spans="1:20" x14ac:dyDescent="0.25">
      <c r="A462" s="6">
        <f>MOD(IF(ROW()=2,0.1,IF(INDEX(TimeEntry[WkEnd],ROW()-1)  =  INDEX(TimeEntry[WkEnd],ROW()-2),    INDEX(TimeEntry[format],ROW()-2),    INDEX(TimeEntry[format],ROW()-2)    +1)),2)</f>
        <v>1.1000000000000001</v>
      </c>
      <c r="B462" s="7"/>
      <c r="C462" s="8">
        <v>43781</v>
      </c>
      <c r="D462" s="8"/>
      <c r="E462" s="1" t="s">
        <v>453</v>
      </c>
      <c r="F462" s="8">
        <f>IF(TimeEntry[[#This Row],[Date]]=0,F461,C462+(7-Q462))</f>
        <v>43786</v>
      </c>
      <c r="G462" s="35" t="str">
        <f>INDEX(projects[Charge_Code],MATCH(TimeEntry[[#This Row],[Project_ID]],projects[Project_ID],0))</f>
        <v>268017-25  KSC - Tunnel</v>
      </c>
      <c r="H462" s="1" t="str">
        <f t="shared" si="17"/>
        <v>Normal Time</v>
      </c>
      <c r="I462" s="1"/>
      <c r="J462" s="15">
        <v>5</v>
      </c>
      <c r="K462" s="15"/>
      <c r="L462" s="15"/>
      <c r="M462" s="15"/>
      <c r="N462" s="15"/>
      <c r="O462" s="15" t="str">
        <f>INDEX(projects[job number],MATCH(TimeEntry[[#This Row],[Project_ID]], projects[Project_ID],0))</f>
        <v xml:space="preserve">268017-25 </v>
      </c>
      <c r="P462" s="15" t="str">
        <f>INDEX(projects[Project_Name],MATCH(TimeEntry[[#This Row],[Project_ID]], projects[Project_ID],0))</f>
        <v>KSC - Tunnel</v>
      </c>
      <c r="Q462" s="6">
        <f>IF(TimeEntry[[#This Row],[Date]]=0,"",WEEKDAY(C462,2))</f>
        <v>2</v>
      </c>
      <c r="R462" s="9">
        <f>YEAR(TimeEntry[[#This Row],[WkEnd]])</f>
        <v>2019</v>
      </c>
      <c r="S462" s="9">
        <f>WEEKNUM(TimeEntry[[#This Row],[WkEnd]])</f>
        <v>47</v>
      </c>
      <c r="T462" s="9" t="str">
        <f>TimeEntry[[#This Row],[Year]]&amp;"-"&amp;TimeEntry[[#This Row],[WkNo]]</f>
        <v>2019-47</v>
      </c>
    </row>
    <row r="463" spans="1:20" x14ac:dyDescent="0.25">
      <c r="A463" s="6">
        <f>MOD(IF(ROW()=2,0.1,IF(INDEX(TimeEntry[WkEnd],ROW()-1)  =  INDEX(TimeEntry[WkEnd],ROW()-2),    INDEX(TimeEntry[format],ROW()-2),    INDEX(TimeEntry[format],ROW()-2)    +1)),2)</f>
        <v>1.1000000000000001</v>
      </c>
      <c r="B463" s="7"/>
      <c r="C463" s="8">
        <v>43781</v>
      </c>
      <c r="D463" s="8"/>
      <c r="E463" s="1" t="s">
        <v>453</v>
      </c>
      <c r="F463" s="8">
        <f>IF(TimeEntry[[#This Row],[Date]]=0,F462,C463+(7-Q463))</f>
        <v>43786</v>
      </c>
      <c r="G463" s="35" t="str">
        <f>INDEX(projects[Charge_Code],MATCH(TimeEntry[[#This Row],[Project_ID]],projects[Project_ID],0))</f>
        <v>268017-25  KSC - Tunnel</v>
      </c>
      <c r="H463" s="1" t="str">
        <f t="shared" si="17"/>
        <v>Normal Time</v>
      </c>
      <c r="I463" s="1"/>
      <c r="J463" s="15">
        <v>7.5</v>
      </c>
      <c r="K463" s="15"/>
      <c r="L463" s="15"/>
      <c r="M463" s="15"/>
      <c r="N463" s="15"/>
      <c r="O463" s="15" t="str">
        <f>INDEX(projects[job number],MATCH(TimeEntry[[#This Row],[Project_ID]], projects[Project_ID],0))</f>
        <v xml:space="preserve">268017-25 </v>
      </c>
      <c r="P463" s="15" t="str">
        <f>INDEX(projects[Project_Name],MATCH(TimeEntry[[#This Row],[Project_ID]], projects[Project_ID],0))</f>
        <v>KSC - Tunnel</v>
      </c>
      <c r="Q463" s="6">
        <f>IF(TimeEntry[[#This Row],[Date]]=0,"",WEEKDAY(C463,2))</f>
        <v>2</v>
      </c>
      <c r="R463" s="9">
        <f>YEAR(TimeEntry[[#This Row],[WkEnd]])</f>
        <v>2019</v>
      </c>
      <c r="S463" s="9">
        <f>WEEKNUM(TimeEntry[[#This Row],[WkEnd]])</f>
        <v>47</v>
      </c>
      <c r="T463" s="9" t="str">
        <f>TimeEntry[[#This Row],[Year]]&amp;"-"&amp;TimeEntry[[#This Row],[WkNo]]</f>
        <v>2019-47</v>
      </c>
    </row>
    <row r="464" spans="1:20" x14ac:dyDescent="0.25">
      <c r="A464" s="6">
        <f>MOD(IF(ROW()=2,0.1,IF(INDEX(TimeEntry[WkEnd],ROW()-1)  =  INDEX(TimeEntry[WkEnd],ROW()-2),    INDEX(TimeEntry[format],ROW()-2),    INDEX(TimeEntry[format],ROW()-2)    +1)),2)</f>
        <v>1.1000000000000001</v>
      </c>
      <c r="B464" s="7"/>
      <c r="C464" s="8">
        <v>43782</v>
      </c>
      <c r="D464" s="8"/>
      <c r="E464" s="1" t="s">
        <v>454</v>
      </c>
      <c r="F464" s="8">
        <f>IF(TimeEntry[[#This Row],[Date]]=0,F463,C464+(7-Q464))</f>
        <v>43786</v>
      </c>
      <c r="G464" s="35" t="str">
        <f>INDEX(projects[Charge_Code],MATCH(TimeEntry[[#This Row],[Project_ID]],projects[Project_ID],0))</f>
        <v>210035-51 VBB 3rd - new bridge</v>
      </c>
      <c r="H464" s="1" t="str">
        <f t="shared" si="17"/>
        <v>Normal Time</v>
      </c>
      <c r="I464" s="1"/>
      <c r="J464" s="15">
        <v>7.5</v>
      </c>
      <c r="K464" s="15"/>
      <c r="L464" s="15"/>
      <c r="M464" s="15"/>
      <c r="N464" s="15"/>
      <c r="O464" s="15" t="str">
        <f>INDEX(projects[job number],MATCH(TimeEntry[[#This Row],[Project_ID]], projects[Project_ID],0))</f>
        <v>210035-51</v>
      </c>
      <c r="P464" s="15" t="str">
        <f>INDEX(projects[Project_Name],MATCH(TimeEntry[[#This Row],[Project_ID]], projects[Project_ID],0))</f>
        <v>VBB 3rd - new bridge</v>
      </c>
      <c r="Q464" s="6">
        <f>IF(TimeEntry[[#This Row],[Date]]=0,"",WEEKDAY(C464,2))</f>
        <v>3</v>
      </c>
      <c r="R464" s="9">
        <f>YEAR(TimeEntry[[#This Row],[WkEnd]])</f>
        <v>2019</v>
      </c>
      <c r="S464" s="9">
        <f>WEEKNUM(TimeEntry[[#This Row],[WkEnd]])</f>
        <v>47</v>
      </c>
      <c r="T464" s="9" t="str">
        <f>TimeEntry[[#This Row],[Year]]&amp;"-"&amp;TimeEntry[[#This Row],[WkNo]]</f>
        <v>2019-47</v>
      </c>
    </row>
    <row r="465" spans="1:20" x14ac:dyDescent="0.25">
      <c r="A465" s="6">
        <f>MOD(IF(ROW()=2,0.1,IF(INDEX(TimeEntry[WkEnd],ROW()-1)  =  INDEX(TimeEntry[WkEnd],ROW()-2),    INDEX(TimeEntry[format],ROW()-2),    INDEX(TimeEntry[format],ROW()-2)    +1)),2)</f>
        <v>1.1000000000000001</v>
      </c>
      <c r="B465" s="7"/>
      <c r="C465" s="8">
        <v>43783</v>
      </c>
      <c r="D465" s="8"/>
      <c r="E465" s="1" t="s">
        <v>453</v>
      </c>
      <c r="F465" s="8">
        <f>IF(TimeEntry[[#This Row],[Date]]=0,F464,C465+(7-Q465))</f>
        <v>43786</v>
      </c>
      <c r="G465" s="35" t="str">
        <f>INDEX(projects[Charge_Code],MATCH(TimeEntry[[#This Row],[Project_ID]],projects[Project_ID],0))</f>
        <v>268017-25  KSC - Tunnel</v>
      </c>
      <c r="H465" s="1" t="str">
        <f t="shared" si="17"/>
        <v>Normal Time</v>
      </c>
      <c r="I465" s="1"/>
      <c r="J465" s="15">
        <v>7.5</v>
      </c>
      <c r="K465" s="15"/>
      <c r="L465" s="15"/>
      <c r="M465" s="15"/>
      <c r="N465" s="15"/>
      <c r="O465" s="15" t="str">
        <f>INDEX(projects[job number],MATCH(TimeEntry[[#This Row],[Project_ID]], projects[Project_ID],0))</f>
        <v xml:space="preserve">268017-25 </v>
      </c>
      <c r="P465" s="15" t="str">
        <f>INDEX(projects[Project_Name],MATCH(TimeEntry[[#This Row],[Project_ID]], projects[Project_ID],0))</f>
        <v>KSC - Tunnel</v>
      </c>
      <c r="Q465" s="6">
        <f>IF(TimeEntry[[#This Row],[Date]]=0,"",WEEKDAY(C465,2))</f>
        <v>4</v>
      </c>
      <c r="R465" s="9">
        <f>YEAR(TimeEntry[[#This Row],[WkEnd]])</f>
        <v>2019</v>
      </c>
      <c r="S465" s="9">
        <f>WEEKNUM(TimeEntry[[#This Row],[WkEnd]])</f>
        <v>47</v>
      </c>
      <c r="T465" s="9" t="str">
        <f>TimeEntry[[#This Row],[Year]]&amp;"-"&amp;TimeEntry[[#This Row],[WkNo]]</f>
        <v>2019-47</v>
      </c>
    </row>
    <row r="466" spans="1:20" x14ac:dyDescent="0.25">
      <c r="A466" s="6">
        <f>MOD(IF(ROW()=2,0.1,IF(INDEX(TimeEntry[WkEnd],ROW()-1)  =  INDEX(TimeEntry[WkEnd],ROW()-2),    INDEX(TimeEntry[format],ROW()-2),    INDEX(TimeEntry[format],ROW()-2)    +1)),2)</f>
        <v>1.1000000000000001</v>
      </c>
      <c r="B466" s="7"/>
      <c r="C466" s="8">
        <v>43784</v>
      </c>
      <c r="D466" s="8"/>
      <c r="E466" s="1" t="s">
        <v>453</v>
      </c>
      <c r="F466" s="8">
        <f>IF(TimeEntry[[#This Row],[Date]]=0,F465,C466+(7-Q466))</f>
        <v>43786</v>
      </c>
      <c r="G466" s="35" t="str">
        <f>INDEX(projects[Charge_Code],MATCH(TimeEntry[[#This Row],[Project_ID]],projects[Project_ID],0))</f>
        <v>268017-25  KSC - Tunnel</v>
      </c>
      <c r="H466" s="1" t="str">
        <f t="shared" si="17"/>
        <v>Normal Time</v>
      </c>
      <c r="I466" s="1"/>
      <c r="J466" s="15">
        <v>7.5</v>
      </c>
      <c r="K466" s="15"/>
      <c r="L466" s="15"/>
      <c r="M466" s="15"/>
      <c r="N466" s="15"/>
      <c r="O466" s="15" t="str">
        <f>INDEX(projects[job number],MATCH(TimeEntry[[#This Row],[Project_ID]], projects[Project_ID],0))</f>
        <v xml:space="preserve">268017-25 </v>
      </c>
      <c r="P466" s="15" t="str">
        <f>INDEX(projects[Project_Name],MATCH(TimeEntry[[#This Row],[Project_ID]], projects[Project_ID],0))</f>
        <v>KSC - Tunnel</v>
      </c>
      <c r="Q466" s="6">
        <f>IF(TimeEntry[[#This Row],[Date]]=0,"",WEEKDAY(C466,2))</f>
        <v>5</v>
      </c>
      <c r="R466" s="9">
        <f>YEAR(TimeEntry[[#This Row],[WkEnd]])</f>
        <v>2019</v>
      </c>
      <c r="S466" s="9">
        <f>WEEKNUM(TimeEntry[[#This Row],[WkEnd]])</f>
        <v>47</v>
      </c>
      <c r="T466" s="9" t="str">
        <f>TimeEntry[[#This Row],[Year]]&amp;"-"&amp;TimeEntry[[#This Row],[WkNo]]</f>
        <v>2019-47</v>
      </c>
    </row>
    <row r="467" spans="1:20" x14ac:dyDescent="0.25">
      <c r="A467" s="6">
        <f>MOD(IF(ROW()=2,0.1,IF(INDEX(TimeEntry[WkEnd],ROW()-1)  =  INDEX(TimeEntry[WkEnd],ROW()-2),    INDEX(TimeEntry[format],ROW()-2),    INDEX(TimeEntry[format],ROW()-2)    +1)),2)</f>
        <v>0.10000000000000009</v>
      </c>
      <c r="B467" s="7"/>
      <c r="C467" s="8">
        <v>43773</v>
      </c>
      <c r="D467" s="8"/>
      <c r="E467" s="1" t="s">
        <v>453</v>
      </c>
      <c r="F467" s="8">
        <f>IF(TimeEntry[[#This Row],[Date]]=0,F466,C467+(7-Q467))</f>
        <v>43779</v>
      </c>
      <c r="G467" s="35" t="str">
        <f>INDEX(projects[Charge_Code],MATCH(TimeEntry[[#This Row],[Project_ID]],projects[Project_ID],0))</f>
        <v>268017-25  KSC - Tunnel</v>
      </c>
      <c r="H467" s="1" t="str">
        <f t="shared" si="17"/>
        <v>Normal Time</v>
      </c>
      <c r="I467" s="1"/>
      <c r="J467" s="15">
        <v>5.5</v>
      </c>
      <c r="K467" s="15"/>
      <c r="L467" s="15"/>
      <c r="M467" s="15"/>
      <c r="N467" s="15"/>
      <c r="O467" s="15" t="str">
        <f>INDEX(projects[job number],MATCH(TimeEntry[[#This Row],[Project_ID]], projects[Project_ID],0))</f>
        <v xml:space="preserve">268017-25 </v>
      </c>
      <c r="P467" s="15" t="str">
        <f>INDEX(projects[Project_Name],MATCH(TimeEntry[[#This Row],[Project_ID]], projects[Project_ID],0))</f>
        <v>KSC - Tunnel</v>
      </c>
      <c r="Q467" s="6">
        <f>IF(TimeEntry[[#This Row],[Date]]=0,"",WEEKDAY(C467,2))</f>
        <v>1</v>
      </c>
      <c r="R467" s="9">
        <f>YEAR(TimeEntry[[#This Row],[WkEnd]])</f>
        <v>2019</v>
      </c>
      <c r="S467" s="9">
        <f>WEEKNUM(TimeEntry[[#This Row],[WkEnd]])</f>
        <v>46</v>
      </c>
      <c r="T467" s="9" t="str">
        <f>TimeEntry[[#This Row],[Year]]&amp;"-"&amp;TimeEntry[[#This Row],[WkNo]]</f>
        <v>2019-46</v>
      </c>
    </row>
    <row r="468" spans="1:20" x14ac:dyDescent="0.25">
      <c r="A468" s="6">
        <f>MOD(IF(ROW()=2,0.1,IF(INDEX(TimeEntry[WkEnd],ROW()-1)  =  INDEX(TimeEntry[WkEnd],ROW()-2),    INDEX(TimeEntry[format],ROW()-2),    INDEX(TimeEntry[format],ROW()-2)    +1)),2)</f>
        <v>0.10000000000000009</v>
      </c>
      <c r="B468" s="7"/>
      <c r="C468" s="8">
        <v>43773</v>
      </c>
      <c r="D468" s="8"/>
      <c r="E468" s="1" t="s">
        <v>453</v>
      </c>
      <c r="F468" s="8">
        <f>IF(TimeEntry[[#This Row],[Date]]=0,F467,C468+(7-Q468))</f>
        <v>43779</v>
      </c>
      <c r="G468" s="35" t="str">
        <f>INDEX(projects[Charge_Code],MATCH(TimeEntry[[#This Row],[Project_ID]],projects[Project_ID],0))</f>
        <v>268017-25  KSC - Tunnel</v>
      </c>
      <c r="H468" s="1" t="str">
        <f t="shared" si="17"/>
        <v>Normal Time</v>
      </c>
      <c r="I468" s="1"/>
      <c r="J468" s="15">
        <v>2</v>
      </c>
      <c r="K468" s="15"/>
      <c r="L468" s="15"/>
      <c r="M468" s="15"/>
      <c r="N468" s="15"/>
      <c r="O468" s="15" t="str">
        <f>INDEX(projects[job number],MATCH(TimeEntry[[#This Row],[Project_ID]], projects[Project_ID],0))</f>
        <v xml:space="preserve">268017-25 </v>
      </c>
      <c r="P468" s="15" t="str">
        <f>INDEX(projects[Project_Name],MATCH(TimeEntry[[#This Row],[Project_ID]], projects[Project_ID],0))</f>
        <v>KSC - Tunnel</v>
      </c>
      <c r="Q468" s="6">
        <f>IF(TimeEntry[[#This Row],[Date]]=0,"",WEEKDAY(C468,2))</f>
        <v>1</v>
      </c>
      <c r="R468" s="9">
        <f>YEAR(TimeEntry[[#This Row],[WkEnd]])</f>
        <v>2019</v>
      </c>
      <c r="S468" s="9">
        <f>WEEKNUM(TimeEntry[[#This Row],[WkEnd]])</f>
        <v>46</v>
      </c>
      <c r="T468" s="9" t="str">
        <f>TimeEntry[[#This Row],[Year]]&amp;"-"&amp;TimeEntry[[#This Row],[WkNo]]</f>
        <v>2019-46</v>
      </c>
    </row>
    <row r="469" spans="1:20" x14ac:dyDescent="0.25">
      <c r="A469" s="6">
        <f>MOD(IF(ROW()=2,0.1,IF(INDEX(TimeEntry[WkEnd],ROW()-1)  =  INDEX(TimeEntry[WkEnd],ROW()-2),    INDEX(TimeEntry[format],ROW()-2),    INDEX(TimeEntry[format],ROW()-2)    +1)),2)</f>
        <v>0.10000000000000009</v>
      </c>
      <c r="B469" s="7"/>
      <c r="C469" s="8">
        <v>43774</v>
      </c>
      <c r="D469" s="8"/>
      <c r="E469" s="1" t="s">
        <v>677</v>
      </c>
      <c r="F469" s="8">
        <f>IF(TimeEntry[[#This Row],[Date]]=0,F468,C469+(7-Q469))</f>
        <v>43779</v>
      </c>
      <c r="G469" s="35" t="str">
        <f>INDEX(projects[Charge_Code],MATCH(TimeEntry[[#This Row],[Project_ID]],projects[Project_ID],0))</f>
        <v>074097-30 LEADERSHIP &amp; MANAGEMENT CC124 (01-124)</v>
      </c>
      <c r="H469" s="1" t="str">
        <f t="shared" si="17"/>
        <v>Normal Time</v>
      </c>
      <c r="I469" s="1"/>
      <c r="J469" s="15">
        <v>2</v>
      </c>
      <c r="K469" s="15"/>
      <c r="L469" s="15"/>
      <c r="M469" s="15"/>
      <c r="N469" s="15"/>
      <c r="O469" s="15" t="str">
        <f>INDEX(projects[job number],MATCH(TimeEntry[[#This Row],[Project_ID]], projects[Project_ID],0))</f>
        <v>074097-30</v>
      </c>
      <c r="P469" s="15" t="str">
        <f>INDEX(projects[Project_Name],MATCH(TimeEntry[[#This Row],[Project_ID]], projects[Project_ID],0))</f>
        <v>LEADERSHIP &amp; MANAGEMENT CC124</v>
      </c>
      <c r="Q469" s="6">
        <f>IF(TimeEntry[[#This Row],[Date]]=0,"",WEEKDAY(C469,2))</f>
        <v>2</v>
      </c>
      <c r="R469" s="9">
        <f>YEAR(TimeEntry[[#This Row],[WkEnd]])</f>
        <v>2019</v>
      </c>
      <c r="S469" s="9">
        <f>WEEKNUM(TimeEntry[[#This Row],[WkEnd]])</f>
        <v>46</v>
      </c>
      <c r="T469" s="9" t="str">
        <f>TimeEntry[[#This Row],[Year]]&amp;"-"&amp;TimeEntry[[#This Row],[WkNo]]</f>
        <v>2019-46</v>
      </c>
    </row>
    <row r="470" spans="1:20" x14ac:dyDescent="0.25">
      <c r="A470" s="6">
        <f>MOD(IF(ROW()=2,0.1,IF(INDEX(TimeEntry[WkEnd],ROW()-1)  =  INDEX(TimeEntry[WkEnd],ROW()-2),    INDEX(TimeEntry[format],ROW()-2),    INDEX(TimeEntry[format],ROW()-2)    +1)),2)</f>
        <v>0.10000000000000009</v>
      </c>
      <c r="B470" s="7"/>
      <c r="C470" s="8">
        <v>43774</v>
      </c>
      <c r="D470" s="8"/>
      <c r="E470" s="1" t="s">
        <v>453</v>
      </c>
      <c r="F470" s="8">
        <f>IF(TimeEntry[[#This Row],[Date]]=0,F469,C470+(7-Q470))</f>
        <v>43779</v>
      </c>
      <c r="G470" s="35" t="str">
        <f>INDEX(projects[Charge_Code],MATCH(TimeEntry[[#This Row],[Project_ID]],projects[Project_ID],0))</f>
        <v>268017-25  KSC - Tunnel</v>
      </c>
      <c r="H470" s="1" t="str">
        <f t="shared" si="17"/>
        <v>Normal Time</v>
      </c>
      <c r="I470" s="1"/>
      <c r="J470" s="15">
        <v>5.5</v>
      </c>
      <c r="K470" s="15"/>
      <c r="L470" s="15"/>
      <c r="M470" s="15"/>
      <c r="N470" s="15"/>
      <c r="O470" s="15" t="str">
        <f>INDEX(projects[job number],MATCH(TimeEntry[[#This Row],[Project_ID]], projects[Project_ID],0))</f>
        <v xml:space="preserve">268017-25 </v>
      </c>
      <c r="P470" s="15" t="str">
        <f>INDEX(projects[Project_Name],MATCH(TimeEntry[[#This Row],[Project_ID]], projects[Project_ID],0))</f>
        <v>KSC - Tunnel</v>
      </c>
      <c r="Q470" s="6">
        <f>IF(TimeEntry[[#This Row],[Date]]=0,"",WEEKDAY(C470,2))</f>
        <v>2</v>
      </c>
      <c r="R470" s="9">
        <f>YEAR(TimeEntry[[#This Row],[WkEnd]])</f>
        <v>2019</v>
      </c>
      <c r="S470" s="9">
        <f>WEEKNUM(TimeEntry[[#This Row],[WkEnd]])</f>
        <v>46</v>
      </c>
      <c r="T470" s="9" t="str">
        <f>TimeEntry[[#This Row],[Year]]&amp;"-"&amp;TimeEntry[[#This Row],[WkNo]]</f>
        <v>2019-46</v>
      </c>
    </row>
    <row r="471" spans="1:20" x14ac:dyDescent="0.25">
      <c r="A471" s="6">
        <f>MOD(IF(ROW()=2,0.1,IF(INDEX(TimeEntry[WkEnd],ROW()-1)  =  INDEX(TimeEntry[WkEnd],ROW()-2),    INDEX(TimeEntry[format],ROW()-2),    INDEX(TimeEntry[format],ROW()-2)    +1)),2)</f>
        <v>0.10000000000000009</v>
      </c>
      <c r="B471" s="7"/>
      <c r="C471" s="8">
        <v>43775</v>
      </c>
      <c r="D471" s="8"/>
      <c r="E471" s="1" t="s">
        <v>454</v>
      </c>
      <c r="F471" s="8">
        <f>IF(TimeEntry[[#This Row],[Date]]=0,F470,C471+(7-Q471))</f>
        <v>43779</v>
      </c>
      <c r="G471" s="35" t="str">
        <f>INDEX(projects[Charge_Code],MATCH(TimeEntry[[#This Row],[Project_ID]],projects[Project_ID],0))</f>
        <v>210035-51 VBB 3rd - new bridge</v>
      </c>
      <c r="H471" s="1" t="str">
        <f t="shared" si="17"/>
        <v>Normal Time</v>
      </c>
      <c r="I471" s="1"/>
      <c r="J471" s="15">
        <v>3.75</v>
      </c>
      <c r="K471" s="15"/>
      <c r="L471" s="15"/>
      <c r="M471" s="15"/>
      <c r="N471" s="15"/>
      <c r="O471" s="15" t="str">
        <f>INDEX(projects[job number],MATCH(TimeEntry[[#This Row],[Project_ID]], projects[Project_ID],0))</f>
        <v>210035-51</v>
      </c>
      <c r="P471" s="15" t="str">
        <f>INDEX(projects[Project_Name],MATCH(TimeEntry[[#This Row],[Project_ID]], projects[Project_ID],0))</f>
        <v>VBB 3rd - new bridge</v>
      </c>
      <c r="Q471" s="6">
        <f>IF(TimeEntry[[#This Row],[Date]]=0,"",WEEKDAY(C471,2))</f>
        <v>3</v>
      </c>
      <c r="R471" s="9">
        <f>YEAR(TimeEntry[[#This Row],[WkEnd]])</f>
        <v>2019</v>
      </c>
      <c r="S471" s="9">
        <f>WEEKNUM(TimeEntry[[#This Row],[WkEnd]])</f>
        <v>46</v>
      </c>
      <c r="T471" s="9" t="str">
        <f>TimeEntry[[#This Row],[Year]]&amp;"-"&amp;TimeEntry[[#This Row],[WkNo]]</f>
        <v>2019-46</v>
      </c>
    </row>
    <row r="472" spans="1:20" x14ac:dyDescent="0.25">
      <c r="A472" s="6">
        <f>MOD(IF(ROW()=2,0.1,IF(INDEX(TimeEntry[WkEnd],ROW()-1)  =  INDEX(TimeEntry[WkEnd],ROW()-2),    INDEX(TimeEntry[format],ROW()-2),    INDEX(TimeEntry[format],ROW()-2)    +1)),2)</f>
        <v>0.10000000000000009</v>
      </c>
      <c r="B472" s="7"/>
      <c r="C472" s="8">
        <v>43775</v>
      </c>
      <c r="D472" s="8"/>
      <c r="E472" s="1" t="s">
        <v>453</v>
      </c>
      <c r="F472" s="8">
        <f>IF(TimeEntry[[#This Row],[Date]]=0,F471,C472+(7-Q472))</f>
        <v>43779</v>
      </c>
      <c r="G472" s="35" t="str">
        <f>INDEX(projects[Charge_Code],MATCH(TimeEntry[[#This Row],[Project_ID]],projects[Project_ID],0))</f>
        <v>268017-25  KSC - Tunnel</v>
      </c>
      <c r="H472" s="1" t="str">
        <f t="shared" si="17"/>
        <v>Normal Time</v>
      </c>
      <c r="I472" s="1"/>
      <c r="J472" s="15">
        <v>3.75</v>
      </c>
      <c r="K472" s="15"/>
      <c r="L472" s="15"/>
      <c r="M472" s="15"/>
      <c r="N472" s="15"/>
      <c r="O472" s="15" t="str">
        <f>INDEX(projects[job number],MATCH(TimeEntry[[#This Row],[Project_ID]], projects[Project_ID],0))</f>
        <v xml:space="preserve">268017-25 </v>
      </c>
      <c r="P472" s="15" t="str">
        <f>INDEX(projects[Project_Name],MATCH(TimeEntry[[#This Row],[Project_ID]], projects[Project_ID],0))</f>
        <v>KSC - Tunnel</v>
      </c>
      <c r="Q472" s="6">
        <f>IF(TimeEntry[[#This Row],[Date]]=0,"",WEEKDAY(C472,2))</f>
        <v>3</v>
      </c>
      <c r="R472" s="9">
        <f>YEAR(TimeEntry[[#This Row],[WkEnd]])</f>
        <v>2019</v>
      </c>
      <c r="S472" s="9">
        <f>WEEKNUM(TimeEntry[[#This Row],[WkEnd]])</f>
        <v>46</v>
      </c>
      <c r="T472" s="9" t="str">
        <f>TimeEntry[[#This Row],[Year]]&amp;"-"&amp;TimeEntry[[#This Row],[WkNo]]</f>
        <v>2019-46</v>
      </c>
    </row>
    <row r="473" spans="1:20" x14ac:dyDescent="0.25">
      <c r="A473" s="6">
        <f>MOD(IF(ROW()=2,0.1,IF(INDEX(TimeEntry[WkEnd],ROW()-1)  =  INDEX(TimeEntry[WkEnd],ROW()-2),    INDEX(TimeEntry[format],ROW()-2),    INDEX(TimeEntry[format],ROW()-2)    +1)),2)</f>
        <v>0.10000000000000009</v>
      </c>
      <c r="B473" s="7"/>
      <c r="C473" s="8">
        <v>43776</v>
      </c>
      <c r="D473" s="8"/>
      <c r="E473" s="1" t="s">
        <v>453</v>
      </c>
      <c r="F473" s="8">
        <f>IF(TimeEntry[[#This Row],[Date]]=0,F472,C473+(7-Q473))</f>
        <v>43779</v>
      </c>
      <c r="G473" s="35" t="str">
        <f>INDEX(projects[Charge_Code],MATCH(TimeEntry[[#This Row],[Project_ID]],projects[Project_ID],0))</f>
        <v>268017-25  KSC - Tunnel</v>
      </c>
      <c r="H473" s="1" t="str">
        <f t="shared" si="17"/>
        <v>Normal Time</v>
      </c>
      <c r="I473" s="1"/>
      <c r="J473" s="15">
        <v>3.75</v>
      </c>
      <c r="K473" s="15"/>
      <c r="L473" s="15"/>
      <c r="M473" s="15"/>
      <c r="N473" s="15"/>
      <c r="O473" s="15" t="str">
        <f>INDEX(projects[job number],MATCH(TimeEntry[[#This Row],[Project_ID]], projects[Project_ID],0))</f>
        <v xml:space="preserve">268017-25 </v>
      </c>
      <c r="P473" s="15" t="str">
        <f>INDEX(projects[Project_Name],MATCH(TimeEntry[[#This Row],[Project_ID]], projects[Project_ID],0))</f>
        <v>KSC - Tunnel</v>
      </c>
      <c r="Q473" s="6">
        <f>IF(TimeEntry[[#This Row],[Date]]=0,"",WEEKDAY(C473,2))</f>
        <v>4</v>
      </c>
      <c r="R473" s="9">
        <f>YEAR(TimeEntry[[#This Row],[WkEnd]])</f>
        <v>2019</v>
      </c>
      <c r="S473" s="9">
        <f>WEEKNUM(TimeEntry[[#This Row],[WkEnd]])</f>
        <v>46</v>
      </c>
      <c r="T473" s="9" t="str">
        <f>TimeEntry[[#This Row],[Year]]&amp;"-"&amp;TimeEntry[[#This Row],[WkNo]]</f>
        <v>2019-46</v>
      </c>
    </row>
    <row r="474" spans="1:20" x14ac:dyDescent="0.25">
      <c r="A474" s="6">
        <f>MOD(IF(ROW()=2,0.1,IF(INDEX(TimeEntry[WkEnd],ROW()-1)  =  INDEX(TimeEntry[WkEnd],ROW()-2),    INDEX(TimeEntry[format],ROW()-2),    INDEX(TimeEntry[format],ROW()-2)    +1)),2)</f>
        <v>0.10000000000000009</v>
      </c>
      <c r="B474" s="7"/>
      <c r="C474" s="8">
        <v>43776</v>
      </c>
      <c r="D474" s="8"/>
      <c r="E474" s="1" t="s">
        <v>454</v>
      </c>
      <c r="F474" s="8">
        <f>IF(TimeEntry[[#This Row],[Date]]=0,F473,C474+(7-Q474))</f>
        <v>43779</v>
      </c>
      <c r="G474" s="35" t="str">
        <f>INDEX(projects[Charge_Code],MATCH(TimeEntry[[#This Row],[Project_ID]],projects[Project_ID],0))</f>
        <v>210035-51 VBB 3rd - new bridge</v>
      </c>
      <c r="H474" s="1" t="str">
        <f t="shared" si="17"/>
        <v>Normal Time</v>
      </c>
      <c r="I474" s="1"/>
      <c r="J474" s="15">
        <v>3.75</v>
      </c>
      <c r="K474" s="15"/>
      <c r="L474" s="15"/>
      <c r="M474" s="15"/>
      <c r="N474" s="15"/>
      <c r="O474" s="15" t="str">
        <f>INDEX(projects[job number],MATCH(TimeEntry[[#This Row],[Project_ID]], projects[Project_ID],0))</f>
        <v>210035-51</v>
      </c>
      <c r="P474" s="15" t="str">
        <f>INDEX(projects[Project_Name],MATCH(TimeEntry[[#This Row],[Project_ID]], projects[Project_ID],0))</f>
        <v>VBB 3rd - new bridge</v>
      </c>
      <c r="Q474" s="6">
        <f>IF(TimeEntry[[#This Row],[Date]]=0,"",WEEKDAY(C474,2))</f>
        <v>4</v>
      </c>
      <c r="R474" s="9">
        <f>YEAR(TimeEntry[[#This Row],[WkEnd]])</f>
        <v>2019</v>
      </c>
      <c r="S474" s="9">
        <f>WEEKNUM(TimeEntry[[#This Row],[WkEnd]])</f>
        <v>46</v>
      </c>
      <c r="T474" s="9" t="str">
        <f>TimeEntry[[#This Row],[Year]]&amp;"-"&amp;TimeEntry[[#This Row],[WkNo]]</f>
        <v>2019-46</v>
      </c>
    </row>
    <row r="475" spans="1:20" x14ac:dyDescent="0.25">
      <c r="A475" s="6">
        <f>MOD(IF(ROW()=2,0.1,IF(INDEX(TimeEntry[WkEnd],ROW()-1)  =  INDEX(TimeEntry[WkEnd],ROW()-2),    INDEX(TimeEntry[format],ROW()-2),    INDEX(TimeEntry[format],ROW()-2)    +1)),2)</f>
        <v>0.10000000000000009</v>
      </c>
      <c r="B475" s="7"/>
      <c r="C475" s="8">
        <v>43777</v>
      </c>
      <c r="D475" s="8"/>
      <c r="E475" s="1" t="s">
        <v>454</v>
      </c>
      <c r="F475" s="8">
        <f>IF(TimeEntry[[#This Row],[Date]]=0,F474,C475+(7-Q475))</f>
        <v>43779</v>
      </c>
      <c r="G475" s="35" t="str">
        <f>INDEX(projects[Charge_Code],MATCH(TimeEntry[[#This Row],[Project_ID]],projects[Project_ID],0))</f>
        <v>210035-51 VBB 3rd - new bridge</v>
      </c>
      <c r="H475" s="1" t="str">
        <f t="shared" si="17"/>
        <v>Normal Time</v>
      </c>
      <c r="I475" s="1"/>
      <c r="J475" s="15">
        <v>3.75</v>
      </c>
      <c r="K475" s="15"/>
      <c r="L475" s="15"/>
      <c r="M475" s="15"/>
      <c r="N475" s="15"/>
      <c r="O475" s="15" t="str">
        <f>INDEX(projects[job number],MATCH(TimeEntry[[#This Row],[Project_ID]], projects[Project_ID],0))</f>
        <v>210035-51</v>
      </c>
      <c r="P475" s="15" t="str">
        <f>INDEX(projects[Project_Name],MATCH(TimeEntry[[#This Row],[Project_ID]], projects[Project_ID],0))</f>
        <v>VBB 3rd - new bridge</v>
      </c>
      <c r="Q475" s="6">
        <f>IF(TimeEntry[[#This Row],[Date]]=0,"",WEEKDAY(C475,2))</f>
        <v>5</v>
      </c>
      <c r="R475" s="9">
        <f>YEAR(TimeEntry[[#This Row],[WkEnd]])</f>
        <v>2019</v>
      </c>
      <c r="S475" s="9">
        <f>WEEKNUM(TimeEntry[[#This Row],[WkEnd]])</f>
        <v>46</v>
      </c>
      <c r="T475" s="9" t="str">
        <f>TimeEntry[[#This Row],[Year]]&amp;"-"&amp;TimeEntry[[#This Row],[WkNo]]</f>
        <v>2019-46</v>
      </c>
    </row>
    <row r="476" spans="1:20" x14ac:dyDescent="0.25">
      <c r="A476" s="6">
        <f>MOD(IF(ROW()=2,0.1,IF(INDEX(TimeEntry[WkEnd],ROW()-1)  =  INDEX(TimeEntry[WkEnd],ROW()-2),    INDEX(TimeEntry[format],ROW()-2),    INDEX(TimeEntry[format],ROW()-2)    +1)),2)</f>
        <v>0.10000000000000009</v>
      </c>
      <c r="B476" s="7"/>
      <c r="C476" s="8">
        <v>43777</v>
      </c>
      <c r="D476" s="8"/>
      <c r="E476" s="1" t="s">
        <v>453</v>
      </c>
      <c r="F476" s="8">
        <f>IF(TimeEntry[[#This Row],[Date]]=0,F475,C476+(7-Q476))</f>
        <v>43779</v>
      </c>
      <c r="G476" s="35" t="str">
        <f>INDEX(projects[Charge_Code],MATCH(TimeEntry[[#This Row],[Project_ID]],projects[Project_ID],0))</f>
        <v>268017-25  KSC - Tunnel</v>
      </c>
      <c r="H476" s="1" t="str">
        <f t="shared" si="17"/>
        <v>Normal Time</v>
      </c>
      <c r="I476" s="1"/>
      <c r="J476" s="15">
        <v>3.75</v>
      </c>
      <c r="K476" s="15"/>
      <c r="L476" s="15"/>
      <c r="M476" s="15"/>
      <c r="N476" s="15"/>
      <c r="O476" s="15" t="str">
        <f>INDEX(projects[job number],MATCH(TimeEntry[[#This Row],[Project_ID]], projects[Project_ID],0))</f>
        <v xml:space="preserve">268017-25 </v>
      </c>
      <c r="P476" s="15" t="str">
        <f>INDEX(projects[Project_Name],MATCH(TimeEntry[[#This Row],[Project_ID]], projects[Project_ID],0))</f>
        <v>KSC - Tunnel</v>
      </c>
      <c r="Q476" s="6">
        <f>IF(TimeEntry[[#This Row],[Date]]=0,"",WEEKDAY(C476,2))</f>
        <v>5</v>
      </c>
      <c r="R476" s="9">
        <f>YEAR(TimeEntry[[#This Row],[WkEnd]])</f>
        <v>2019</v>
      </c>
      <c r="S476" s="9">
        <f>WEEKNUM(TimeEntry[[#This Row],[WkEnd]])</f>
        <v>46</v>
      </c>
      <c r="T476" s="9" t="str">
        <f>TimeEntry[[#This Row],[Year]]&amp;"-"&amp;TimeEntry[[#This Row],[WkNo]]</f>
        <v>2019-46</v>
      </c>
    </row>
    <row r="477" spans="1:20" x14ac:dyDescent="0.25">
      <c r="A477" s="6">
        <f>MOD(IF(ROW()=2,0.1,IF(INDEX(TimeEntry[WkEnd],ROW()-1)  =  INDEX(TimeEntry[WkEnd],ROW()-2),    INDEX(TimeEntry[format],ROW()-2),    INDEX(TimeEntry[format],ROW()-2)    +1)),2)</f>
        <v>1.1000000000000001</v>
      </c>
      <c r="B477" s="7"/>
      <c r="C477" s="8">
        <v>43766</v>
      </c>
      <c r="D477" s="8"/>
      <c r="E477" s="1" t="s">
        <v>453</v>
      </c>
      <c r="F477" s="8">
        <f>IF(TimeEntry[[#This Row],[Date]]=0,F476,C477+(7-Q477))</f>
        <v>43772</v>
      </c>
      <c r="G477" s="35" t="str">
        <f>INDEX(projects[Charge_Code],MATCH(TimeEntry[[#This Row],[Project_ID]],projects[Project_ID],0))</f>
        <v>268017-25  KSC - Tunnel</v>
      </c>
      <c r="H477" s="1" t="str">
        <f t="shared" si="17"/>
        <v>Normal Time</v>
      </c>
      <c r="I477" s="1"/>
      <c r="J477" s="15">
        <v>5</v>
      </c>
      <c r="K477" s="15"/>
      <c r="L477" s="15"/>
      <c r="M477" s="15"/>
      <c r="N477" s="15"/>
      <c r="O477" s="15" t="str">
        <f>INDEX(projects[job number],MATCH(TimeEntry[[#This Row],[Project_ID]], projects[Project_ID],0))</f>
        <v xml:space="preserve">268017-25 </v>
      </c>
      <c r="P477" s="15" t="str">
        <f>INDEX(projects[Project_Name],MATCH(TimeEntry[[#This Row],[Project_ID]], projects[Project_ID],0))</f>
        <v>KSC - Tunnel</v>
      </c>
      <c r="Q477" s="6">
        <f>IF(TimeEntry[[#This Row],[Date]]=0,"",WEEKDAY(C477,2))</f>
        <v>1</v>
      </c>
      <c r="R477" s="9">
        <f>YEAR(TimeEntry[[#This Row],[WkEnd]])</f>
        <v>2019</v>
      </c>
      <c r="S477" s="9">
        <f>WEEKNUM(TimeEntry[[#This Row],[WkEnd]])</f>
        <v>45</v>
      </c>
      <c r="T477" s="9" t="str">
        <f>TimeEntry[[#This Row],[Year]]&amp;"-"&amp;TimeEntry[[#This Row],[WkNo]]</f>
        <v>2019-45</v>
      </c>
    </row>
    <row r="478" spans="1:20" x14ac:dyDescent="0.25">
      <c r="A478" s="6">
        <f>MOD(IF(ROW()=2,0.1,IF(INDEX(TimeEntry[WkEnd],ROW()-1)  =  INDEX(TimeEntry[WkEnd],ROW()-2),    INDEX(TimeEntry[format],ROW()-2),    INDEX(TimeEntry[format],ROW()-2)    +1)),2)</f>
        <v>1.1000000000000001</v>
      </c>
      <c r="B478" s="7"/>
      <c r="C478" s="8">
        <v>43766</v>
      </c>
      <c r="D478" s="8"/>
      <c r="E478" s="1" t="s">
        <v>453</v>
      </c>
      <c r="F478" s="8">
        <f>IF(TimeEntry[[#This Row],[Date]]=0,F477,C478+(7-Q478))</f>
        <v>43772</v>
      </c>
      <c r="G478" s="35" t="str">
        <f>INDEX(projects[Charge_Code],MATCH(TimeEntry[[#This Row],[Project_ID]],projects[Project_ID],0))</f>
        <v>268017-25  KSC - Tunnel</v>
      </c>
      <c r="H478" s="1" t="str">
        <f t="shared" si="17"/>
        <v>Normal Time</v>
      </c>
      <c r="I478" s="1"/>
      <c r="J478" s="15">
        <v>2.5</v>
      </c>
      <c r="K478" s="15"/>
      <c r="L478" s="15"/>
      <c r="M478" s="15"/>
      <c r="N478" s="15"/>
      <c r="O478" s="15" t="str">
        <f>INDEX(projects[job number],MATCH(TimeEntry[[#This Row],[Project_ID]], projects[Project_ID],0))</f>
        <v xml:space="preserve">268017-25 </v>
      </c>
      <c r="P478" s="15" t="str">
        <f>INDEX(projects[Project_Name],MATCH(TimeEntry[[#This Row],[Project_ID]], projects[Project_ID],0))</f>
        <v>KSC - Tunnel</v>
      </c>
      <c r="Q478" s="6">
        <f>IF(TimeEntry[[#This Row],[Date]]=0,"",WEEKDAY(C478,2))</f>
        <v>1</v>
      </c>
      <c r="R478" s="9">
        <f>YEAR(TimeEntry[[#This Row],[WkEnd]])</f>
        <v>2019</v>
      </c>
      <c r="S478" s="9">
        <f>WEEKNUM(TimeEntry[[#This Row],[WkEnd]])</f>
        <v>45</v>
      </c>
      <c r="T478" s="9" t="str">
        <f>TimeEntry[[#This Row],[Year]]&amp;"-"&amp;TimeEntry[[#This Row],[WkNo]]</f>
        <v>2019-45</v>
      </c>
    </row>
    <row r="479" spans="1:20" x14ac:dyDescent="0.25">
      <c r="A479" s="6">
        <f>MOD(IF(ROW()=2,0.1,IF(INDEX(TimeEntry[WkEnd],ROW()-1)  =  INDEX(TimeEntry[WkEnd],ROW()-2),    INDEX(TimeEntry[format],ROW()-2),    INDEX(TimeEntry[format],ROW()-2)    +1)),2)</f>
        <v>1.1000000000000001</v>
      </c>
      <c r="B479" s="7"/>
      <c r="C479" s="8">
        <v>43767</v>
      </c>
      <c r="D479" s="8"/>
      <c r="E479" s="1" t="s">
        <v>453</v>
      </c>
      <c r="F479" s="8">
        <f>IF(TimeEntry[[#This Row],[Date]]=0,F478,C479+(7-Q479))</f>
        <v>43772</v>
      </c>
      <c r="G479" s="35" t="str">
        <f>INDEX(projects[Charge_Code],MATCH(TimeEntry[[#This Row],[Project_ID]],projects[Project_ID],0))</f>
        <v>268017-25  KSC - Tunnel</v>
      </c>
      <c r="H479" s="1" t="str">
        <f t="shared" si="17"/>
        <v>Normal Time</v>
      </c>
      <c r="I479" s="1"/>
      <c r="J479" s="15">
        <v>7.5</v>
      </c>
      <c r="K479" s="15"/>
      <c r="L479" s="15"/>
      <c r="M479" s="15"/>
      <c r="N479" s="15"/>
      <c r="O479" s="15" t="str">
        <f>INDEX(projects[job number],MATCH(TimeEntry[[#This Row],[Project_ID]], projects[Project_ID],0))</f>
        <v xml:space="preserve">268017-25 </v>
      </c>
      <c r="P479" s="15" t="str">
        <f>INDEX(projects[Project_Name],MATCH(TimeEntry[[#This Row],[Project_ID]], projects[Project_ID],0))</f>
        <v>KSC - Tunnel</v>
      </c>
      <c r="Q479" s="6">
        <f>IF(TimeEntry[[#This Row],[Date]]=0,"",WEEKDAY(C479,2))</f>
        <v>2</v>
      </c>
      <c r="R479" s="9">
        <f>YEAR(TimeEntry[[#This Row],[WkEnd]])</f>
        <v>2019</v>
      </c>
      <c r="S479" s="9">
        <f>WEEKNUM(TimeEntry[[#This Row],[WkEnd]])</f>
        <v>45</v>
      </c>
      <c r="T479" s="9" t="str">
        <f>TimeEntry[[#This Row],[Year]]&amp;"-"&amp;TimeEntry[[#This Row],[WkNo]]</f>
        <v>2019-45</v>
      </c>
    </row>
    <row r="480" spans="1:20" x14ac:dyDescent="0.25">
      <c r="A480" s="6">
        <f>MOD(IF(ROW()=2,0.1,IF(INDEX(TimeEntry[WkEnd],ROW()-1)  =  INDEX(TimeEntry[WkEnd],ROW()-2),    INDEX(TimeEntry[format],ROW()-2),    INDEX(TimeEntry[format],ROW()-2)    +1)),2)</f>
        <v>1.1000000000000001</v>
      </c>
      <c r="B480" s="7"/>
      <c r="C480" s="8">
        <v>43768</v>
      </c>
      <c r="D480" s="8"/>
      <c r="E480" s="1" t="s">
        <v>453</v>
      </c>
      <c r="F480" s="8">
        <f>IF(TimeEntry[[#This Row],[Date]]=0,F479,C480+(7-Q480))</f>
        <v>43772</v>
      </c>
      <c r="G480" s="35" t="str">
        <f>INDEX(projects[Charge_Code],MATCH(TimeEntry[[#This Row],[Project_ID]],projects[Project_ID],0))</f>
        <v>268017-25  KSC - Tunnel</v>
      </c>
      <c r="H480" s="1" t="str">
        <f t="shared" si="17"/>
        <v>Normal Time</v>
      </c>
      <c r="I480" s="1"/>
      <c r="J480" s="15">
        <v>7.5</v>
      </c>
      <c r="K480" s="15"/>
      <c r="L480" s="15"/>
      <c r="M480" s="15"/>
      <c r="N480" s="15"/>
      <c r="O480" s="15" t="str">
        <f>INDEX(projects[job number],MATCH(TimeEntry[[#This Row],[Project_ID]], projects[Project_ID],0))</f>
        <v xml:space="preserve">268017-25 </v>
      </c>
      <c r="P480" s="15" t="str">
        <f>INDEX(projects[Project_Name],MATCH(TimeEntry[[#This Row],[Project_ID]], projects[Project_ID],0))</f>
        <v>KSC - Tunnel</v>
      </c>
      <c r="Q480" s="6">
        <f>IF(TimeEntry[[#This Row],[Date]]=0,"",WEEKDAY(C480,2))</f>
        <v>3</v>
      </c>
      <c r="R480" s="9">
        <f>YEAR(TimeEntry[[#This Row],[WkEnd]])</f>
        <v>2019</v>
      </c>
      <c r="S480" s="9">
        <f>WEEKNUM(TimeEntry[[#This Row],[WkEnd]])</f>
        <v>45</v>
      </c>
      <c r="T480" s="9" t="str">
        <f>TimeEntry[[#This Row],[Year]]&amp;"-"&amp;TimeEntry[[#This Row],[WkNo]]</f>
        <v>2019-45</v>
      </c>
    </row>
    <row r="481" spans="1:20" x14ac:dyDescent="0.25">
      <c r="A481" s="6">
        <f>MOD(IF(ROW()=2,0.1,IF(INDEX(TimeEntry[WkEnd],ROW()-1)  =  INDEX(TimeEntry[WkEnd],ROW()-2),    INDEX(TimeEntry[format],ROW()-2),    INDEX(TimeEntry[format],ROW()-2)    +1)),2)</f>
        <v>1.1000000000000001</v>
      </c>
      <c r="B481" s="7"/>
      <c r="C481" s="8">
        <v>43769</v>
      </c>
      <c r="D481" s="8"/>
      <c r="E481" s="1" t="s">
        <v>454</v>
      </c>
      <c r="F481" s="8">
        <f>IF(TimeEntry[[#This Row],[Date]]=0,F480,C481+(7-Q481))</f>
        <v>43772</v>
      </c>
      <c r="G481" s="35" t="str">
        <f>INDEX(projects[Charge_Code],MATCH(TimeEntry[[#This Row],[Project_ID]],projects[Project_ID],0))</f>
        <v>210035-51 VBB 3rd - new bridge</v>
      </c>
      <c r="H481" s="1" t="str">
        <f t="shared" si="17"/>
        <v>Normal Time</v>
      </c>
      <c r="I481" s="1"/>
      <c r="J481" s="15">
        <v>2</v>
      </c>
      <c r="K481" s="15"/>
      <c r="L481" s="15"/>
      <c r="M481" s="15"/>
      <c r="N481" s="15"/>
      <c r="O481" s="15" t="str">
        <f>INDEX(projects[job number],MATCH(TimeEntry[[#This Row],[Project_ID]], projects[Project_ID],0))</f>
        <v>210035-51</v>
      </c>
      <c r="P481" s="15" t="str">
        <f>INDEX(projects[Project_Name],MATCH(TimeEntry[[#This Row],[Project_ID]], projects[Project_ID],0))</f>
        <v>VBB 3rd - new bridge</v>
      </c>
      <c r="Q481" s="6">
        <f>IF(TimeEntry[[#This Row],[Date]]=0,"",WEEKDAY(C481,2))</f>
        <v>4</v>
      </c>
      <c r="R481" s="9">
        <f>YEAR(TimeEntry[[#This Row],[WkEnd]])</f>
        <v>2019</v>
      </c>
      <c r="S481" s="9">
        <f>WEEKNUM(TimeEntry[[#This Row],[WkEnd]])</f>
        <v>45</v>
      </c>
      <c r="T481" s="9" t="str">
        <f>TimeEntry[[#This Row],[Year]]&amp;"-"&amp;TimeEntry[[#This Row],[WkNo]]</f>
        <v>2019-45</v>
      </c>
    </row>
    <row r="482" spans="1:20" x14ac:dyDescent="0.25">
      <c r="A482" s="6">
        <f>MOD(IF(ROW()=2,0.1,IF(INDEX(TimeEntry[WkEnd],ROW()-1)  =  INDEX(TimeEntry[WkEnd],ROW()-2),    INDEX(TimeEntry[format],ROW()-2),    INDEX(TimeEntry[format],ROW()-2)    +1)),2)</f>
        <v>1.1000000000000001</v>
      </c>
      <c r="B482" s="7"/>
      <c r="C482" s="8">
        <v>43769</v>
      </c>
      <c r="D482" s="8"/>
      <c r="E482" s="1" t="s">
        <v>454</v>
      </c>
      <c r="F482" s="8">
        <f>IF(TimeEntry[[#This Row],[Date]]=0,F481,C482+(7-Q482))</f>
        <v>43772</v>
      </c>
      <c r="G482" s="35" t="str">
        <f>INDEX(projects[Charge_Code],MATCH(TimeEntry[[#This Row],[Project_ID]],projects[Project_ID],0))</f>
        <v>210035-51 VBB 3rd - new bridge</v>
      </c>
      <c r="H482" s="1" t="str">
        <f t="shared" si="17"/>
        <v>Normal Time</v>
      </c>
      <c r="I482" s="1"/>
      <c r="J482" s="15">
        <v>5.5</v>
      </c>
      <c r="K482" s="15"/>
      <c r="L482" s="15"/>
      <c r="M482" s="15"/>
      <c r="N482" s="15"/>
      <c r="O482" s="15" t="str">
        <f>INDEX(projects[job number],MATCH(TimeEntry[[#This Row],[Project_ID]], projects[Project_ID],0))</f>
        <v>210035-51</v>
      </c>
      <c r="P482" s="15" t="str">
        <f>INDEX(projects[Project_Name],MATCH(TimeEntry[[#This Row],[Project_ID]], projects[Project_ID],0))</f>
        <v>VBB 3rd - new bridge</v>
      </c>
      <c r="Q482" s="6">
        <f>IF(TimeEntry[[#This Row],[Date]]=0,"",WEEKDAY(C482,2))</f>
        <v>4</v>
      </c>
      <c r="R482" s="9">
        <f>YEAR(TimeEntry[[#This Row],[WkEnd]])</f>
        <v>2019</v>
      </c>
      <c r="S482" s="9">
        <f>WEEKNUM(TimeEntry[[#This Row],[WkEnd]])</f>
        <v>45</v>
      </c>
      <c r="T482" s="9" t="str">
        <f>TimeEntry[[#This Row],[Year]]&amp;"-"&amp;TimeEntry[[#This Row],[WkNo]]</f>
        <v>2019-45</v>
      </c>
    </row>
    <row r="483" spans="1:20" x14ac:dyDescent="0.25">
      <c r="A483" s="6">
        <f>MOD(IF(ROW()=2,0.1,IF(INDEX(TimeEntry[WkEnd],ROW()-1)  =  INDEX(TimeEntry[WkEnd],ROW()-2),    INDEX(TimeEntry[format],ROW()-2),    INDEX(TimeEntry[format],ROW()-2)    +1)),2)</f>
        <v>1.1000000000000001</v>
      </c>
      <c r="B483" s="7"/>
      <c r="C483" s="8">
        <v>43770</v>
      </c>
      <c r="D483" s="8"/>
      <c r="E483" s="1" t="s">
        <v>453</v>
      </c>
      <c r="F483" s="8">
        <f>IF(TimeEntry[[#This Row],[Date]]=0,F482,C483+(7-Q483))</f>
        <v>43772</v>
      </c>
      <c r="G483" s="35" t="str">
        <f>INDEX(projects[Charge_Code],MATCH(TimeEntry[[#This Row],[Project_ID]],projects[Project_ID],0))</f>
        <v>268017-25  KSC - Tunnel</v>
      </c>
      <c r="H483" s="1" t="str">
        <f t="shared" si="17"/>
        <v>Normal Time</v>
      </c>
      <c r="I483" s="1"/>
      <c r="J483" s="15">
        <v>7.5</v>
      </c>
      <c r="K483" s="15"/>
      <c r="L483" s="15"/>
      <c r="M483" s="15"/>
      <c r="N483" s="15"/>
      <c r="O483" s="15" t="str">
        <f>INDEX(projects[job number],MATCH(TimeEntry[[#This Row],[Project_ID]], projects[Project_ID],0))</f>
        <v xml:space="preserve">268017-25 </v>
      </c>
      <c r="P483" s="15" t="str">
        <f>INDEX(projects[Project_Name],MATCH(TimeEntry[[#This Row],[Project_ID]], projects[Project_ID],0))</f>
        <v>KSC - Tunnel</v>
      </c>
      <c r="Q483" s="6">
        <f>IF(TimeEntry[[#This Row],[Date]]=0,"",WEEKDAY(C483,2))</f>
        <v>5</v>
      </c>
      <c r="R483" s="9">
        <f>YEAR(TimeEntry[[#This Row],[WkEnd]])</f>
        <v>2019</v>
      </c>
      <c r="S483" s="9">
        <f>WEEKNUM(TimeEntry[[#This Row],[WkEnd]])</f>
        <v>45</v>
      </c>
      <c r="T483" s="9" t="str">
        <f>TimeEntry[[#This Row],[Year]]&amp;"-"&amp;TimeEntry[[#This Row],[WkNo]]</f>
        <v>2019-45</v>
      </c>
    </row>
    <row r="484" spans="1:20" x14ac:dyDescent="0.25">
      <c r="A484" s="6">
        <f>MOD(IF(ROW()=2,0.1,IF(INDEX(TimeEntry[WkEnd],ROW()-1)  =  INDEX(TimeEntry[WkEnd],ROW()-2),    INDEX(TimeEntry[format],ROW()-2),    INDEX(TimeEntry[format],ROW()-2)    +1)),2)</f>
        <v>0.10000000000000009</v>
      </c>
      <c r="B484" s="7"/>
      <c r="C484" s="8">
        <v>43759</v>
      </c>
      <c r="D484" s="8"/>
      <c r="E484" s="1" t="s">
        <v>453</v>
      </c>
      <c r="F484" s="8">
        <f>IF(TimeEntry[[#This Row],[Date]]=0,F483,C484+(7-Q484))</f>
        <v>43765</v>
      </c>
      <c r="G484" s="35" t="str">
        <f>INDEX(projects[Charge_Code],MATCH(TimeEntry[[#This Row],[Project_ID]],projects[Project_ID],0))</f>
        <v>268017-25  KSC - Tunnel</v>
      </c>
      <c r="H484" s="1" t="str">
        <f t="shared" si="17"/>
        <v>Normal Time</v>
      </c>
      <c r="I484" s="1"/>
      <c r="J484" s="15">
        <v>5</v>
      </c>
      <c r="K484" s="15"/>
      <c r="L484" s="15"/>
      <c r="M484" s="15"/>
      <c r="N484" s="15"/>
      <c r="O484" s="15" t="str">
        <f>INDEX(projects[job number],MATCH(TimeEntry[[#This Row],[Project_ID]], projects[Project_ID],0))</f>
        <v xml:space="preserve">268017-25 </v>
      </c>
      <c r="P484" s="15" t="str">
        <f>INDEX(projects[Project_Name],MATCH(TimeEntry[[#This Row],[Project_ID]], projects[Project_ID],0))</f>
        <v>KSC - Tunnel</v>
      </c>
      <c r="Q484" s="6">
        <f>IF(TimeEntry[[#This Row],[Date]]=0,"",WEEKDAY(C484,2))</f>
        <v>1</v>
      </c>
      <c r="R484" s="9">
        <f>YEAR(TimeEntry[[#This Row],[WkEnd]])</f>
        <v>2019</v>
      </c>
      <c r="S484" s="9">
        <f>WEEKNUM(TimeEntry[[#This Row],[WkEnd]])</f>
        <v>44</v>
      </c>
      <c r="T484" s="9" t="str">
        <f>TimeEntry[[#This Row],[Year]]&amp;"-"&amp;TimeEntry[[#This Row],[WkNo]]</f>
        <v>2019-44</v>
      </c>
    </row>
    <row r="485" spans="1:20" x14ac:dyDescent="0.25">
      <c r="A485" s="6">
        <f>MOD(IF(ROW()=2,0.1,IF(INDEX(TimeEntry[WkEnd],ROW()-1)  =  INDEX(TimeEntry[WkEnd],ROW()-2),    INDEX(TimeEntry[format],ROW()-2),    INDEX(TimeEntry[format],ROW()-2)    +1)),2)</f>
        <v>0.10000000000000009</v>
      </c>
      <c r="B485" s="7"/>
      <c r="C485" s="8">
        <v>43760</v>
      </c>
      <c r="D485" s="8"/>
      <c r="E485" s="1" t="s">
        <v>457</v>
      </c>
      <c r="F485" s="8">
        <f>IF(TimeEntry[[#This Row],[Date]]=0,F484,C485+(7-Q485))</f>
        <v>43765</v>
      </c>
      <c r="G485" s="35" t="str">
        <f>INDEX(projects[Charge_Code],MATCH(TimeEntry[[#This Row],[Project_ID]],projects[Project_ID],0))</f>
        <v>268017-10 KSC - PM</v>
      </c>
      <c r="H485" s="1" t="str">
        <f t="shared" si="17"/>
        <v>Normal Time</v>
      </c>
      <c r="I485" s="1"/>
      <c r="J485" s="15">
        <v>2.5</v>
      </c>
      <c r="K485" s="15"/>
      <c r="L485" s="15"/>
      <c r="M485" s="15"/>
      <c r="N485" s="15"/>
      <c r="O485" s="15" t="str">
        <f>INDEX(projects[job number],MATCH(TimeEntry[[#This Row],[Project_ID]], projects[Project_ID],0))</f>
        <v>268017-10</v>
      </c>
      <c r="P485" s="15" t="str">
        <f>INDEX(projects[Project_Name],MATCH(TimeEntry[[#This Row],[Project_ID]], projects[Project_ID],0))</f>
        <v>KSC - PM</v>
      </c>
      <c r="Q485" s="6">
        <f>IF(TimeEntry[[#This Row],[Date]]=0,"",WEEKDAY(C485,2))</f>
        <v>2</v>
      </c>
      <c r="R485" s="9">
        <f>YEAR(TimeEntry[[#This Row],[WkEnd]])</f>
        <v>2019</v>
      </c>
      <c r="S485" s="9">
        <f>WEEKNUM(TimeEntry[[#This Row],[WkEnd]])</f>
        <v>44</v>
      </c>
      <c r="T485" s="9" t="str">
        <f>TimeEntry[[#This Row],[Year]]&amp;"-"&amp;TimeEntry[[#This Row],[WkNo]]</f>
        <v>2019-44</v>
      </c>
    </row>
    <row r="486" spans="1:20" x14ac:dyDescent="0.25">
      <c r="A486" s="6">
        <f>MOD(IF(ROW()=2,0.1,IF(INDEX(TimeEntry[WkEnd],ROW()-1)  =  INDEX(TimeEntry[WkEnd],ROW()-2),    INDEX(TimeEntry[format],ROW()-2),    INDEX(TimeEntry[format],ROW()-2)    +1)),2)</f>
        <v>0.10000000000000009</v>
      </c>
      <c r="B486" s="7"/>
      <c r="C486" s="8">
        <v>43760</v>
      </c>
      <c r="D486" s="8"/>
      <c r="E486" s="1" t="s">
        <v>453</v>
      </c>
      <c r="F486" s="8">
        <f>IF(TimeEntry[[#This Row],[Date]]=0,F485,C486+(7-Q486))</f>
        <v>43765</v>
      </c>
      <c r="G486" s="35" t="str">
        <f>INDEX(projects[Charge_Code],MATCH(TimeEntry[[#This Row],[Project_ID]],projects[Project_ID],0))</f>
        <v>268017-25  KSC - Tunnel</v>
      </c>
      <c r="H486" s="1" t="str">
        <f t="shared" si="17"/>
        <v>Normal Time</v>
      </c>
      <c r="I486" s="1"/>
      <c r="J486" s="15">
        <v>7.5</v>
      </c>
      <c r="K486" s="15"/>
      <c r="L486" s="15"/>
      <c r="M486" s="15"/>
      <c r="N486" s="15"/>
      <c r="O486" s="15" t="str">
        <f>INDEX(projects[job number],MATCH(TimeEntry[[#This Row],[Project_ID]], projects[Project_ID],0))</f>
        <v xml:space="preserve">268017-25 </v>
      </c>
      <c r="P486" s="15" t="str">
        <f>INDEX(projects[Project_Name],MATCH(TimeEntry[[#This Row],[Project_ID]], projects[Project_ID],0))</f>
        <v>KSC - Tunnel</v>
      </c>
      <c r="Q486" s="6">
        <f>IF(TimeEntry[[#This Row],[Date]]=0,"",WEEKDAY(C486,2))</f>
        <v>2</v>
      </c>
      <c r="R486" s="9">
        <f>YEAR(TimeEntry[[#This Row],[WkEnd]])</f>
        <v>2019</v>
      </c>
      <c r="S486" s="9">
        <f>WEEKNUM(TimeEntry[[#This Row],[WkEnd]])</f>
        <v>44</v>
      </c>
      <c r="T486" s="9" t="str">
        <f>TimeEntry[[#This Row],[Year]]&amp;"-"&amp;TimeEntry[[#This Row],[WkNo]]</f>
        <v>2019-44</v>
      </c>
    </row>
    <row r="487" spans="1:20" x14ac:dyDescent="0.25">
      <c r="A487" s="6">
        <f>MOD(IF(ROW()=2,0.1,IF(INDEX(TimeEntry[WkEnd],ROW()-1)  =  INDEX(TimeEntry[WkEnd],ROW()-2),    INDEX(TimeEntry[format],ROW()-2),    INDEX(TimeEntry[format],ROW()-2)    +1)),2)</f>
        <v>0.10000000000000009</v>
      </c>
      <c r="B487" s="7"/>
      <c r="C487" s="8">
        <v>43761</v>
      </c>
      <c r="D487" s="8"/>
      <c r="E487" s="1" t="s">
        <v>458</v>
      </c>
      <c r="F487" s="8">
        <f>IF(TimeEntry[[#This Row],[Date]]=0,F486,C487+(7-Q487))</f>
        <v>43765</v>
      </c>
      <c r="G487" s="35" t="str">
        <f>INDEX(projects[Charge_Code],MATCH(TimeEntry[[#This Row],[Project_ID]],projects[Project_ID],0))</f>
        <v>265720-20 VBB - Assessment</v>
      </c>
      <c r="H487" s="1" t="str">
        <f t="shared" si="17"/>
        <v>Normal Time</v>
      </c>
      <c r="I487" s="1"/>
      <c r="J487" s="15">
        <v>7.5</v>
      </c>
      <c r="K487" s="15"/>
      <c r="L487" s="15"/>
      <c r="M487" s="15"/>
      <c r="N487" s="15"/>
      <c r="O487" s="15" t="str">
        <f>INDEX(projects[job number],MATCH(TimeEntry[[#This Row],[Project_ID]], projects[Project_ID],0))</f>
        <v>265720-20</v>
      </c>
      <c r="P487" s="15" t="str">
        <f>INDEX(projects[Project_Name],MATCH(TimeEntry[[#This Row],[Project_ID]], projects[Project_ID],0))</f>
        <v>VBB - Assessment</v>
      </c>
      <c r="Q487" s="6">
        <f>IF(TimeEntry[[#This Row],[Date]]=0,"",WEEKDAY(C487,2))</f>
        <v>3</v>
      </c>
      <c r="R487" s="9">
        <f>YEAR(TimeEntry[[#This Row],[WkEnd]])</f>
        <v>2019</v>
      </c>
      <c r="S487" s="9">
        <f>WEEKNUM(TimeEntry[[#This Row],[WkEnd]])</f>
        <v>44</v>
      </c>
      <c r="T487" s="9" t="str">
        <f>TimeEntry[[#This Row],[Year]]&amp;"-"&amp;TimeEntry[[#This Row],[WkNo]]</f>
        <v>2019-44</v>
      </c>
    </row>
    <row r="488" spans="1:20" x14ac:dyDescent="0.25">
      <c r="A488" s="6">
        <f>MOD(IF(ROW()=2,0.1,IF(INDEX(TimeEntry[WkEnd],ROW()-1)  =  INDEX(TimeEntry[WkEnd],ROW()-2),    INDEX(TimeEntry[format],ROW()-2),    INDEX(TimeEntry[format],ROW()-2)    +1)),2)</f>
        <v>0.10000000000000009</v>
      </c>
      <c r="B488" s="7"/>
      <c r="C488" s="8">
        <v>43762</v>
      </c>
      <c r="D488" s="8"/>
      <c r="E488" s="1" t="s">
        <v>454</v>
      </c>
      <c r="F488" s="8">
        <f>IF(TimeEntry[[#This Row],[Date]]=0,F487,C488+(7-Q488))</f>
        <v>43765</v>
      </c>
      <c r="G488" s="35" t="str">
        <f>INDEX(projects[Charge_Code],MATCH(TimeEntry[[#This Row],[Project_ID]],projects[Project_ID],0))</f>
        <v>210035-51 VBB 3rd - new bridge</v>
      </c>
      <c r="H488" s="1" t="str">
        <f t="shared" si="17"/>
        <v>Normal Time</v>
      </c>
      <c r="I488" s="1"/>
      <c r="J488" s="15">
        <v>7.5</v>
      </c>
      <c r="K488" s="15"/>
      <c r="L488" s="15"/>
      <c r="M488" s="15"/>
      <c r="N488" s="15"/>
      <c r="O488" s="15" t="str">
        <f>INDEX(projects[job number],MATCH(TimeEntry[[#This Row],[Project_ID]], projects[Project_ID],0))</f>
        <v>210035-51</v>
      </c>
      <c r="P488" s="15" t="str">
        <f>INDEX(projects[Project_Name],MATCH(TimeEntry[[#This Row],[Project_ID]], projects[Project_ID],0))</f>
        <v>VBB 3rd - new bridge</v>
      </c>
      <c r="Q488" s="6">
        <f>IF(TimeEntry[[#This Row],[Date]]=0,"",WEEKDAY(C488,2))</f>
        <v>4</v>
      </c>
      <c r="R488" s="9">
        <f>YEAR(TimeEntry[[#This Row],[WkEnd]])</f>
        <v>2019</v>
      </c>
      <c r="S488" s="9">
        <f>WEEKNUM(TimeEntry[[#This Row],[WkEnd]])</f>
        <v>44</v>
      </c>
      <c r="T488" s="9" t="str">
        <f>TimeEntry[[#This Row],[Year]]&amp;"-"&amp;TimeEntry[[#This Row],[WkNo]]</f>
        <v>2019-44</v>
      </c>
    </row>
    <row r="489" spans="1:20" x14ac:dyDescent="0.25">
      <c r="A489" s="6">
        <f>MOD(IF(ROW()=2,0.1,IF(INDEX(TimeEntry[WkEnd],ROW()-1)  =  INDEX(TimeEntry[WkEnd],ROW()-2),    INDEX(TimeEntry[format],ROW()-2),    INDEX(TimeEntry[format],ROW()-2)    +1)),2)</f>
        <v>0.10000000000000009</v>
      </c>
      <c r="B489" s="7"/>
      <c r="C489" s="8">
        <v>43763</v>
      </c>
      <c r="D489" s="8"/>
      <c r="E489" s="1" t="s">
        <v>453</v>
      </c>
      <c r="F489" s="8">
        <f>IF(TimeEntry[[#This Row],[Date]]=0,F488,C489+(7-Q489))</f>
        <v>43765</v>
      </c>
      <c r="G489" s="35" t="str">
        <f>INDEX(projects[Charge_Code],MATCH(TimeEntry[[#This Row],[Project_ID]],projects[Project_ID],0))</f>
        <v>268017-25  KSC - Tunnel</v>
      </c>
      <c r="H489" s="1" t="str">
        <f t="shared" si="17"/>
        <v>Normal Time</v>
      </c>
      <c r="I489" s="1"/>
      <c r="J489" s="15">
        <v>7.5</v>
      </c>
      <c r="K489" s="15"/>
      <c r="L489" s="15"/>
      <c r="M489" s="15"/>
      <c r="N489" s="15"/>
      <c r="O489" s="15" t="str">
        <f>INDEX(projects[job number],MATCH(TimeEntry[[#This Row],[Project_ID]], projects[Project_ID],0))</f>
        <v xml:space="preserve">268017-25 </v>
      </c>
      <c r="P489" s="15" t="str">
        <f>INDEX(projects[Project_Name],MATCH(TimeEntry[[#This Row],[Project_ID]], projects[Project_ID],0))</f>
        <v>KSC - Tunnel</v>
      </c>
      <c r="Q489" s="6">
        <f>IF(TimeEntry[[#This Row],[Date]]=0,"",WEEKDAY(C489,2))</f>
        <v>5</v>
      </c>
      <c r="R489" s="9">
        <f>YEAR(TimeEntry[[#This Row],[WkEnd]])</f>
        <v>2019</v>
      </c>
      <c r="S489" s="9">
        <f>WEEKNUM(TimeEntry[[#This Row],[WkEnd]])</f>
        <v>44</v>
      </c>
      <c r="T489" s="9" t="str">
        <f>TimeEntry[[#This Row],[Year]]&amp;"-"&amp;TimeEntry[[#This Row],[WkNo]]</f>
        <v>2019-44</v>
      </c>
    </row>
    <row r="490" spans="1:20" x14ac:dyDescent="0.25">
      <c r="A490" s="6">
        <f>MOD(IF(ROW()=2,0.1,IF(INDEX(TimeEntry[WkEnd],ROW()-1)  =  INDEX(TimeEntry[WkEnd],ROW()-2),    INDEX(TimeEntry[format],ROW()-2),    INDEX(TimeEntry[format],ROW()-2)    +1)),2)</f>
        <v>1.1000000000000001</v>
      </c>
      <c r="B490" s="7"/>
      <c r="C490" s="8">
        <v>43752</v>
      </c>
      <c r="D490" s="8"/>
      <c r="E490" s="1" t="s">
        <v>453</v>
      </c>
      <c r="F490" s="8">
        <f>IF(TimeEntry[[#This Row],[Date]]=0,F489,C490+(7-Q490))</f>
        <v>43758</v>
      </c>
      <c r="G490" s="35" t="str">
        <f>INDEX(projects[Charge_Code],MATCH(TimeEntry[[#This Row],[Project_ID]],projects[Project_ID],0))</f>
        <v>268017-25  KSC - Tunnel</v>
      </c>
      <c r="H490" s="1" t="str">
        <f t="shared" si="17"/>
        <v>Normal Time</v>
      </c>
      <c r="I490" s="1"/>
      <c r="J490" s="15">
        <v>3.75</v>
      </c>
      <c r="K490" s="15"/>
      <c r="L490" s="15"/>
      <c r="M490" s="15"/>
      <c r="N490" s="15"/>
      <c r="O490" s="15" t="str">
        <f>INDEX(projects[job number],MATCH(TimeEntry[[#This Row],[Project_ID]], projects[Project_ID],0))</f>
        <v xml:space="preserve">268017-25 </v>
      </c>
      <c r="P490" s="15" t="str">
        <f>INDEX(projects[Project_Name],MATCH(TimeEntry[[#This Row],[Project_ID]], projects[Project_ID],0))</f>
        <v>KSC - Tunnel</v>
      </c>
      <c r="Q490" s="6">
        <f>IF(TimeEntry[[#This Row],[Date]]=0,"",WEEKDAY(C490,2))</f>
        <v>1</v>
      </c>
      <c r="R490" s="9">
        <f>YEAR(TimeEntry[[#This Row],[WkEnd]])</f>
        <v>2019</v>
      </c>
      <c r="S490" s="9">
        <f>WEEKNUM(TimeEntry[[#This Row],[WkEnd]])</f>
        <v>43</v>
      </c>
      <c r="T490" s="9" t="str">
        <f>TimeEntry[[#This Row],[Year]]&amp;"-"&amp;TimeEntry[[#This Row],[WkNo]]</f>
        <v>2019-43</v>
      </c>
    </row>
    <row r="491" spans="1:20" x14ac:dyDescent="0.25">
      <c r="A491" s="6">
        <f>MOD(IF(ROW()=2,0.1,IF(INDEX(TimeEntry[WkEnd],ROW()-1)  =  INDEX(TimeEntry[WkEnd],ROW()-2),    INDEX(TimeEntry[format],ROW()-2),    INDEX(TimeEntry[format],ROW()-2)    +1)),2)</f>
        <v>1.1000000000000001</v>
      </c>
      <c r="B491" s="7"/>
      <c r="C491" s="8">
        <v>43752</v>
      </c>
      <c r="D491" s="8"/>
      <c r="E491" s="1" t="s">
        <v>457</v>
      </c>
      <c r="F491" s="8">
        <f>IF(TimeEntry[[#This Row],[Date]]=0,F490,C491+(7-Q491))</f>
        <v>43758</v>
      </c>
      <c r="G491" s="35" t="str">
        <f>INDEX(projects[Charge_Code],MATCH(TimeEntry[[#This Row],[Project_ID]],projects[Project_ID],0))</f>
        <v>268017-10 KSC - PM</v>
      </c>
      <c r="H491" s="1" t="str">
        <f t="shared" si="17"/>
        <v>Normal Time</v>
      </c>
      <c r="I491" s="1"/>
      <c r="J491" s="15">
        <v>3.75</v>
      </c>
      <c r="K491" s="15"/>
      <c r="L491" s="15"/>
      <c r="M491" s="15"/>
      <c r="N491" s="15"/>
      <c r="O491" s="15" t="str">
        <f>INDEX(projects[job number],MATCH(TimeEntry[[#This Row],[Project_ID]], projects[Project_ID],0))</f>
        <v>268017-10</v>
      </c>
      <c r="P491" s="15" t="str">
        <f>INDEX(projects[Project_Name],MATCH(TimeEntry[[#This Row],[Project_ID]], projects[Project_ID],0))</f>
        <v>KSC - PM</v>
      </c>
      <c r="Q491" s="6">
        <f>IF(TimeEntry[[#This Row],[Date]]=0,"",WEEKDAY(C491,2))</f>
        <v>1</v>
      </c>
      <c r="R491" s="9">
        <f>YEAR(TimeEntry[[#This Row],[WkEnd]])</f>
        <v>2019</v>
      </c>
      <c r="S491" s="9">
        <f>WEEKNUM(TimeEntry[[#This Row],[WkEnd]])</f>
        <v>43</v>
      </c>
      <c r="T491" s="9" t="str">
        <f>TimeEntry[[#This Row],[Year]]&amp;"-"&amp;TimeEntry[[#This Row],[WkNo]]</f>
        <v>2019-43</v>
      </c>
    </row>
    <row r="492" spans="1:20" x14ac:dyDescent="0.25">
      <c r="A492" s="6">
        <f>MOD(IF(ROW()=2,0.1,IF(INDEX(TimeEntry[WkEnd],ROW()-1)  =  INDEX(TimeEntry[WkEnd],ROW()-2),    INDEX(TimeEntry[format],ROW()-2),    INDEX(TimeEntry[format],ROW()-2)    +1)),2)</f>
        <v>1.1000000000000001</v>
      </c>
      <c r="B492" s="7"/>
      <c r="C492" s="8">
        <v>43753</v>
      </c>
      <c r="D492" s="8"/>
      <c r="E492" s="1" t="s">
        <v>457</v>
      </c>
      <c r="F492" s="8">
        <f>IF(TimeEntry[[#This Row],[Date]]=0,F491,C492+(7-Q492))</f>
        <v>43758</v>
      </c>
      <c r="G492" s="35" t="str">
        <f>INDEX(projects[Charge_Code],MATCH(TimeEntry[[#This Row],[Project_ID]],projects[Project_ID],0))</f>
        <v>268017-10 KSC - PM</v>
      </c>
      <c r="H492" s="1" t="str">
        <f t="shared" si="17"/>
        <v>Normal Time</v>
      </c>
      <c r="I492" s="1"/>
      <c r="J492" s="15">
        <v>7.5</v>
      </c>
      <c r="K492" s="15"/>
      <c r="L492" s="15"/>
      <c r="M492" s="15"/>
      <c r="N492" s="15"/>
      <c r="O492" s="15" t="str">
        <f>INDEX(projects[job number],MATCH(TimeEntry[[#This Row],[Project_ID]], projects[Project_ID],0))</f>
        <v>268017-10</v>
      </c>
      <c r="P492" s="15" t="str">
        <f>INDEX(projects[Project_Name],MATCH(TimeEntry[[#This Row],[Project_ID]], projects[Project_ID],0))</f>
        <v>KSC - PM</v>
      </c>
      <c r="Q492" s="6">
        <f>IF(TimeEntry[[#This Row],[Date]]=0,"",WEEKDAY(C492,2))</f>
        <v>2</v>
      </c>
      <c r="R492" s="9">
        <f>YEAR(TimeEntry[[#This Row],[WkEnd]])</f>
        <v>2019</v>
      </c>
      <c r="S492" s="9">
        <f>WEEKNUM(TimeEntry[[#This Row],[WkEnd]])</f>
        <v>43</v>
      </c>
      <c r="T492" s="9" t="str">
        <f>TimeEntry[[#This Row],[Year]]&amp;"-"&amp;TimeEntry[[#This Row],[WkNo]]</f>
        <v>2019-43</v>
      </c>
    </row>
    <row r="493" spans="1:20" x14ac:dyDescent="0.25">
      <c r="A493" s="6">
        <f>MOD(IF(ROW()=2,0.1,IF(INDEX(TimeEntry[WkEnd],ROW()-1)  =  INDEX(TimeEntry[WkEnd],ROW()-2),    INDEX(TimeEntry[format],ROW()-2),    INDEX(TimeEntry[format],ROW()-2)    +1)),2)</f>
        <v>1.1000000000000001</v>
      </c>
      <c r="B493" s="7"/>
      <c r="C493" s="8">
        <v>43754</v>
      </c>
      <c r="D493" s="8"/>
      <c r="E493" s="1" t="s">
        <v>459</v>
      </c>
      <c r="F493" s="8">
        <f>IF(TimeEntry[[#This Row],[Date]]=0,F492,C493+(7-Q493))</f>
        <v>43758</v>
      </c>
      <c r="G493" s="35" t="str">
        <f>INDEX(projects[Charge_Code],MATCH(TimeEntry[[#This Row],[Project_ID]],projects[Project_ID],0))</f>
        <v>236808-69 HCC - Nazeing (01-382)</v>
      </c>
      <c r="H493" s="1" t="str">
        <f t="shared" si="17"/>
        <v>Normal Time</v>
      </c>
      <c r="I493" s="1"/>
      <c r="J493" s="15">
        <v>7.5</v>
      </c>
      <c r="K493" s="15"/>
      <c r="L493" s="15"/>
      <c r="M493" s="15"/>
      <c r="N493" s="15"/>
      <c r="O493" s="15" t="str">
        <f>INDEX(projects[job number],MATCH(TimeEntry[[#This Row],[Project_ID]], projects[Project_ID],0))</f>
        <v>236808-69</v>
      </c>
      <c r="P493" s="15" t="str">
        <f>INDEX(projects[Project_Name],MATCH(TimeEntry[[#This Row],[Project_ID]], projects[Project_ID],0))</f>
        <v>HCC - Nazeing</v>
      </c>
      <c r="Q493" s="6">
        <f>IF(TimeEntry[[#This Row],[Date]]=0,"",WEEKDAY(C493,2))</f>
        <v>3</v>
      </c>
      <c r="R493" s="9">
        <f>YEAR(TimeEntry[[#This Row],[WkEnd]])</f>
        <v>2019</v>
      </c>
      <c r="S493" s="9">
        <f>WEEKNUM(TimeEntry[[#This Row],[WkEnd]])</f>
        <v>43</v>
      </c>
      <c r="T493" s="9" t="str">
        <f>TimeEntry[[#This Row],[Year]]&amp;"-"&amp;TimeEntry[[#This Row],[WkNo]]</f>
        <v>2019-43</v>
      </c>
    </row>
    <row r="494" spans="1:20" x14ac:dyDescent="0.25">
      <c r="A494" s="6">
        <f>MOD(IF(ROW()=2,0.1,IF(INDEX(TimeEntry[WkEnd],ROW()-1)  =  INDEX(TimeEntry[WkEnd],ROW()-2),    INDEX(TimeEntry[format],ROW()-2),    INDEX(TimeEntry[format],ROW()-2)    +1)),2)</f>
        <v>1.1000000000000001</v>
      </c>
      <c r="B494" s="7"/>
      <c r="C494" s="8">
        <v>43755</v>
      </c>
      <c r="D494" s="8"/>
      <c r="E494" s="1" t="s">
        <v>454</v>
      </c>
      <c r="F494" s="8">
        <f>IF(TimeEntry[[#This Row],[Date]]=0,F493,C494+(7-Q494))</f>
        <v>43758</v>
      </c>
      <c r="G494" s="35" t="str">
        <f>INDEX(projects[Charge_Code],MATCH(TimeEntry[[#This Row],[Project_ID]],projects[Project_ID],0))</f>
        <v>210035-51 VBB 3rd - new bridge</v>
      </c>
      <c r="H494" s="1" t="str">
        <f t="shared" si="17"/>
        <v>Normal Time</v>
      </c>
      <c r="I494" s="1"/>
      <c r="J494" s="15">
        <v>3.75</v>
      </c>
      <c r="K494" s="15"/>
      <c r="L494" s="15"/>
      <c r="M494" s="15"/>
      <c r="N494" s="15"/>
      <c r="O494" s="15" t="str">
        <f>INDEX(projects[job number],MATCH(TimeEntry[[#This Row],[Project_ID]], projects[Project_ID],0))</f>
        <v>210035-51</v>
      </c>
      <c r="P494" s="15" t="str">
        <f>INDEX(projects[Project_Name],MATCH(TimeEntry[[#This Row],[Project_ID]], projects[Project_ID],0))</f>
        <v>VBB 3rd - new bridge</v>
      </c>
      <c r="Q494" s="6">
        <f>IF(TimeEntry[[#This Row],[Date]]=0,"",WEEKDAY(C494,2))</f>
        <v>4</v>
      </c>
      <c r="R494" s="9">
        <f>YEAR(TimeEntry[[#This Row],[WkEnd]])</f>
        <v>2019</v>
      </c>
      <c r="S494" s="9">
        <f>WEEKNUM(TimeEntry[[#This Row],[WkEnd]])</f>
        <v>43</v>
      </c>
      <c r="T494" s="9" t="str">
        <f>TimeEntry[[#This Row],[Year]]&amp;"-"&amp;TimeEntry[[#This Row],[WkNo]]</f>
        <v>2019-43</v>
      </c>
    </row>
    <row r="495" spans="1:20" x14ac:dyDescent="0.25">
      <c r="A495" s="6">
        <f>MOD(IF(ROW()=2,0.1,IF(INDEX(TimeEntry[WkEnd],ROW()-1)  =  INDEX(TimeEntry[WkEnd],ROW()-2),    INDEX(TimeEntry[format],ROW()-2),    INDEX(TimeEntry[format],ROW()-2)    +1)),2)</f>
        <v>1.1000000000000001</v>
      </c>
      <c r="B495" s="7"/>
      <c r="C495" s="8">
        <v>43755</v>
      </c>
      <c r="D495" s="8"/>
      <c r="E495" s="1" t="s">
        <v>454</v>
      </c>
      <c r="F495" s="8">
        <f>IF(TimeEntry[[#This Row],[Date]]=0,F494,C495+(7-Q495))</f>
        <v>43758</v>
      </c>
      <c r="G495" s="35" t="str">
        <f>INDEX(projects[Charge_Code],MATCH(TimeEntry[[#This Row],[Project_ID]],projects[Project_ID],0))</f>
        <v>210035-51 VBB 3rd - new bridge</v>
      </c>
      <c r="H495" s="1" t="str">
        <f t="shared" si="17"/>
        <v>Normal Time</v>
      </c>
      <c r="I495" s="1"/>
      <c r="J495" s="15">
        <v>3.75</v>
      </c>
      <c r="K495" s="15"/>
      <c r="L495" s="15"/>
      <c r="M495" s="15"/>
      <c r="N495" s="15"/>
      <c r="O495" s="15" t="str">
        <f>INDEX(projects[job number],MATCH(TimeEntry[[#This Row],[Project_ID]], projects[Project_ID],0))</f>
        <v>210035-51</v>
      </c>
      <c r="P495" s="15" t="str">
        <f>INDEX(projects[Project_Name],MATCH(TimeEntry[[#This Row],[Project_ID]], projects[Project_ID],0))</f>
        <v>VBB 3rd - new bridge</v>
      </c>
      <c r="Q495" s="6">
        <f>IF(TimeEntry[[#This Row],[Date]]=0,"",WEEKDAY(C495,2))</f>
        <v>4</v>
      </c>
      <c r="R495" s="9">
        <f>YEAR(TimeEntry[[#This Row],[WkEnd]])</f>
        <v>2019</v>
      </c>
      <c r="S495" s="9">
        <f>WEEKNUM(TimeEntry[[#This Row],[WkEnd]])</f>
        <v>43</v>
      </c>
      <c r="T495" s="9" t="str">
        <f>TimeEntry[[#This Row],[Year]]&amp;"-"&amp;TimeEntry[[#This Row],[WkNo]]</f>
        <v>2019-43</v>
      </c>
    </row>
    <row r="496" spans="1:20" x14ac:dyDescent="0.25">
      <c r="A496" s="6">
        <f>MOD(IF(ROW()=2,0.1,IF(INDEX(TimeEntry[WkEnd],ROW()-1)  =  INDEX(TimeEntry[WkEnd],ROW()-2),    INDEX(TimeEntry[format],ROW()-2),    INDEX(TimeEntry[format],ROW()-2)    +1)),2)</f>
        <v>1.1000000000000001</v>
      </c>
      <c r="B496" s="7"/>
      <c r="C496" s="8">
        <v>43756</v>
      </c>
      <c r="D496" s="8"/>
      <c r="E496" s="1" t="s">
        <v>459</v>
      </c>
      <c r="F496" s="8">
        <f>IF(TimeEntry[[#This Row],[Date]]=0,F495,C496+(7-Q496))</f>
        <v>43758</v>
      </c>
      <c r="G496" s="35" t="str">
        <f>INDEX(projects[Charge_Code],MATCH(TimeEntry[[#This Row],[Project_ID]],projects[Project_ID],0))</f>
        <v>236808-69 HCC - Nazeing (01-382)</v>
      </c>
      <c r="H496" s="1" t="str">
        <f t="shared" si="17"/>
        <v>Normal Time</v>
      </c>
      <c r="I496" s="1"/>
      <c r="J496" s="15">
        <v>2</v>
      </c>
      <c r="K496" s="15"/>
      <c r="L496" s="15"/>
      <c r="M496" s="15"/>
      <c r="N496" s="15"/>
      <c r="O496" s="15" t="str">
        <f>INDEX(projects[job number],MATCH(TimeEntry[[#This Row],[Project_ID]], projects[Project_ID],0))</f>
        <v>236808-69</v>
      </c>
      <c r="P496" s="15" t="str">
        <f>INDEX(projects[Project_Name],MATCH(TimeEntry[[#This Row],[Project_ID]], projects[Project_ID],0))</f>
        <v>HCC - Nazeing</v>
      </c>
      <c r="Q496" s="6">
        <f>IF(TimeEntry[[#This Row],[Date]]=0,"",WEEKDAY(C496,2))</f>
        <v>5</v>
      </c>
      <c r="R496" s="9">
        <f>YEAR(TimeEntry[[#This Row],[WkEnd]])</f>
        <v>2019</v>
      </c>
      <c r="S496" s="9">
        <f>WEEKNUM(TimeEntry[[#This Row],[WkEnd]])</f>
        <v>43</v>
      </c>
      <c r="T496" s="9" t="str">
        <f>TimeEntry[[#This Row],[Year]]&amp;"-"&amp;TimeEntry[[#This Row],[WkNo]]</f>
        <v>2019-43</v>
      </c>
    </row>
    <row r="497" spans="1:20" x14ac:dyDescent="0.25">
      <c r="A497" s="6">
        <f>MOD(IF(ROW()=2,0.1,IF(INDEX(TimeEntry[WkEnd],ROW()-1)  =  INDEX(TimeEntry[WkEnd],ROW()-2),    INDEX(TimeEntry[format],ROW()-2),    INDEX(TimeEntry[format],ROW()-2)    +1)),2)</f>
        <v>1.1000000000000001</v>
      </c>
      <c r="B497" s="7"/>
      <c r="C497" s="8">
        <v>43756</v>
      </c>
      <c r="D497" s="8"/>
      <c r="E497" s="1" t="s">
        <v>453</v>
      </c>
      <c r="F497" s="8">
        <f>IF(TimeEntry[[#This Row],[Date]]=0,F496,C497+(7-Q497))</f>
        <v>43758</v>
      </c>
      <c r="G497" s="35" t="str">
        <f>INDEX(projects[Charge_Code],MATCH(TimeEntry[[#This Row],[Project_ID]],projects[Project_ID],0))</f>
        <v>268017-25  KSC - Tunnel</v>
      </c>
      <c r="H497" s="1" t="str">
        <f t="shared" si="17"/>
        <v>Normal Time</v>
      </c>
      <c r="I497" s="1"/>
      <c r="J497" s="15">
        <v>5.5</v>
      </c>
      <c r="K497" s="15"/>
      <c r="L497" s="15"/>
      <c r="M497" s="15"/>
      <c r="N497" s="15"/>
      <c r="O497" s="15" t="str">
        <f>INDEX(projects[job number],MATCH(TimeEntry[[#This Row],[Project_ID]], projects[Project_ID],0))</f>
        <v xml:space="preserve">268017-25 </v>
      </c>
      <c r="P497" s="15" t="str">
        <f>INDEX(projects[Project_Name],MATCH(TimeEntry[[#This Row],[Project_ID]], projects[Project_ID],0))</f>
        <v>KSC - Tunnel</v>
      </c>
      <c r="Q497" s="6">
        <f>IF(TimeEntry[[#This Row],[Date]]=0,"",WEEKDAY(C497,2))</f>
        <v>5</v>
      </c>
      <c r="R497" s="9">
        <f>YEAR(TimeEntry[[#This Row],[WkEnd]])</f>
        <v>2019</v>
      </c>
      <c r="S497" s="9">
        <f>WEEKNUM(TimeEntry[[#This Row],[WkEnd]])</f>
        <v>43</v>
      </c>
      <c r="T497" s="9" t="str">
        <f>TimeEntry[[#This Row],[Year]]&amp;"-"&amp;TimeEntry[[#This Row],[WkNo]]</f>
        <v>2019-43</v>
      </c>
    </row>
    <row r="498" spans="1:20" x14ac:dyDescent="0.25">
      <c r="A498" s="6">
        <f>MOD(IF(ROW()=2,0.1,IF(INDEX(TimeEntry[WkEnd],ROW()-1)  =  INDEX(TimeEntry[WkEnd],ROW()-2),    INDEX(TimeEntry[format],ROW()-2),    INDEX(TimeEntry[format],ROW()-2)    +1)),2)</f>
        <v>0.10000000000000009</v>
      </c>
      <c r="B498" s="7"/>
      <c r="C498" s="8">
        <v>43745</v>
      </c>
      <c r="D498" s="8"/>
      <c r="E498" s="1" t="s">
        <v>453</v>
      </c>
      <c r="F498" s="8">
        <f>IF(TimeEntry[[#This Row],[Date]]=0,F497,C498+(7-Q498))</f>
        <v>43751</v>
      </c>
      <c r="G498" s="35" t="str">
        <f>INDEX(projects[Charge_Code],MATCH(TimeEntry[[#This Row],[Project_ID]],projects[Project_ID],0))</f>
        <v>268017-25  KSC - Tunnel</v>
      </c>
      <c r="H498" s="1" t="str">
        <f t="shared" si="17"/>
        <v>Normal Time</v>
      </c>
      <c r="I498" s="1"/>
      <c r="J498" s="15">
        <v>2</v>
      </c>
      <c r="K498" s="15"/>
      <c r="L498" s="15"/>
      <c r="M498" s="15"/>
      <c r="N498" s="15"/>
      <c r="O498" s="15" t="str">
        <f>INDEX(projects[job number],MATCH(TimeEntry[[#This Row],[Project_ID]], projects[Project_ID],0))</f>
        <v xml:space="preserve">268017-25 </v>
      </c>
      <c r="P498" s="15" t="str">
        <f>INDEX(projects[Project_Name],MATCH(TimeEntry[[#This Row],[Project_ID]], projects[Project_ID],0))</f>
        <v>KSC - Tunnel</v>
      </c>
      <c r="Q498" s="6">
        <f>IF(TimeEntry[[#This Row],[Date]]=0,"",WEEKDAY(C498,2))</f>
        <v>1</v>
      </c>
      <c r="R498" s="9">
        <f>YEAR(TimeEntry[[#This Row],[WkEnd]])</f>
        <v>2019</v>
      </c>
      <c r="S498" s="9">
        <f>WEEKNUM(TimeEntry[[#This Row],[WkEnd]])</f>
        <v>42</v>
      </c>
      <c r="T498" s="9" t="str">
        <f>TimeEntry[[#This Row],[Year]]&amp;"-"&amp;TimeEntry[[#This Row],[WkNo]]</f>
        <v>2019-42</v>
      </c>
    </row>
    <row r="499" spans="1:20" x14ac:dyDescent="0.25">
      <c r="A499" s="6">
        <f>MOD(IF(ROW()=2,0.1,IF(INDEX(TimeEntry[WkEnd],ROW()-1)  =  INDEX(TimeEntry[WkEnd],ROW()-2),    INDEX(TimeEntry[format],ROW()-2),    INDEX(TimeEntry[format],ROW()-2)    +1)),2)</f>
        <v>0.10000000000000009</v>
      </c>
      <c r="B499" s="7"/>
      <c r="C499" s="8">
        <v>43745</v>
      </c>
      <c r="D499" s="8"/>
      <c r="E499" s="1" t="s">
        <v>453</v>
      </c>
      <c r="F499" s="8">
        <f>IF(TimeEntry[[#This Row],[Date]]=0,F498,C499+(7-Q499))</f>
        <v>43751</v>
      </c>
      <c r="G499" s="35" t="str">
        <f>INDEX(projects[Charge_Code],MATCH(TimeEntry[[#This Row],[Project_ID]],projects[Project_ID],0))</f>
        <v>268017-25  KSC - Tunnel</v>
      </c>
      <c r="H499" s="1" t="str">
        <f t="shared" si="17"/>
        <v>Normal Time</v>
      </c>
      <c r="I499" s="1"/>
      <c r="J499" s="15">
        <v>5.5</v>
      </c>
      <c r="K499" s="15"/>
      <c r="L499" s="15"/>
      <c r="M499" s="15"/>
      <c r="N499" s="15"/>
      <c r="O499" s="15" t="str">
        <f>INDEX(projects[job number],MATCH(TimeEntry[[#This Row],[Project_ID]], projects[Project_ID],0))</f>
        <v xml:space="preserve">268017-25 </v>
      </c>
      <c r="P499" s="15" t="str">
        <f>INDEX(projects[Project_Name],MATCH(TimeEntry[[#This Row],[Project_ID]], projects[Project_ID],0))</f>
        <v>KSC - Tunnel</v>
      </c>
      <c r="Q499" s="6">
        <f>IF(TimeEntry[[#This Row],[Date]]=0,"",WEEKDAY(C499,2))</f>
        <v>1</v>
      </c>
      <c r="R499" s="9">
        <f>YEAR(TimeEntry[[#This Row],[WkEnd]])</f>
        <v>2019</v>
      </c>
      <c r="S499" s="9">
        <f>WEEKNUM(TimeEntry[[#This Row],[WkEnd]])</f>
        <v>42</v>
      </c>
      <c r="T499" s="9" t="str">
        <f>TimeEntry[[#This Row],[Year]]&amp;"-"&amp;TimeEntry[[#This Row],[WkNo]]</f>
        <v>2019-42</v>
      </c>
    </row>
    <row r="500" spans="1:20" x14ac:dyDescent="0.25">
      <c r="A500" s="6">
        <f>MOD(IF(ROW()=2,0.1,IF(INDEX(TimeEntry[WkEnd],ROW()-1)  =  INDEX(TimeEntry[WkEnd],ROW()-2),    INDEX(TimeEntry[format],ROW()-2),    INDEX(TimeEntry[format],ROW()-2)    +1)),2)</f>
        <v>0.10000000000000009</v>
      </c>
      <c r="B500" s="7"/>
      <c r="C500" s="8">
        <v>43746</v>
      </c>
      <c r="D500" s="8"/>
      <c r="E500" s="1" t="s">
        <v>457</v>
      </c>
      <c r="F500" s="8">
        <f>IF(TimeEntry[[#This Row],[Date]]=0,F499,C500+(7-Q500))</f>
        <v>43751</v>
      </c>
      <c r="G500" s="35" t="str">
        <f>INDEX(projects[Charge_Code],MATCH(TimeEntry[[#This Row],[Project_ID]],projects[Project_ID],0))</f>
        <v>268017-10 KSC - PM</v>
      </c>
      <c r="H500" s="1" t="str">
        <f t="shared" si="17"/>
        <v>Normal Time</v>
      </c>
      <c r="I500" s="1"/>
      <c r="J500" s="15">
        <v>3.5</v>
      </c>
      <c r="K500" s="15"/>
      <c r="L500" s="15"/>
      <c r="M500" s="15"/>
      <c r="N500" s="15"/>
      <c r="O500" s="15" t="str">
        <f>INDEX(projects[job number],MATCH(TimeEntry[[#This Row],[Project_ID]], projects[Project_ID],0))</f>
        <v>268017-10</v>
      </c>
      <c r="P500" s="15" t="str">
        <f>INDEX(projects[Project_Name],MATCH(TimeEntry[[#This Row],[Project_ID]], projects[Project_ID],0))</f>
        <v>KSC - PM</v>
      </c>
      <c r="Q500" s="6">
        <f>IF(TimeEntry[[#This Row],[Date]]=0,"",WEEKDAY(C500,2))</f>
        <v>2</v>
      </c>
      <c r="R500" s="9">
        <f>YEAR(TimeEntry[[#This Row],[WkEnd]])</f>
        <v>2019</v>
      </c>
      <c r="S500" s="9">
        <f>WEEKNUM(TimeEntry[[#This Row],[WkEnd]])</f>
        <v>42</v>
      </c>
      <c r="T500" s="9" t="str">
        <f>TimeEntry[[#This Row],[Year]]&amp;"-"&amp;TimeEntry[[#This Row],[WkNo]]</f>
        <v>2019-42</v>
      </c>
    </row>
    <row r="501" spans="1:20" x14ac:dyDescent="0.25">
      <c r="A501" s="6">
        <f>MOD(IF(ROW()=2,0.1,IF(INDEX(TimeEntry[WkEnd],ROW()-1)  =  INDEX(TimeEntry[WkEnd],ROW()-2),    INDEX(TimeEntry[format],ROW()-2),    INDEX(TimeEntry[format],ROW()-2)    +1)),2)</f>
        <v>0.10000000000000009</v>
      </c>
      <c r="B501" s="7"/>
      <c r="C501" s="8">
        <v>43746</v>
      </c>
      <c r="D501" s="8"/>
      <c r="E501" s="1" t="s">
        <v>454</v>
      </c>
      <c r="F501" s="8">
        <f>IF(TimeEntry[[#This Row],[Date]]=0,F500,C501+(7-Q501))</f>
        <v>43751</v>
      </c>
      <c r="G501" s="35" t="str">
        <f>INDEX(projects[Charge_Code],MATCH(TimeEntry[[#This Row],[Project_ID]],projects[Project_ID],0))</f>
        <v>210035-51 VBB 3rd - new bridge</v>
      </c>
      <c r="H501" s="1" t="str">
        <f t="shared" si="17"/>
        <v>Normal Time</v>
      </c>
      <c r="I501" s="1"/>
      <c r="J501" s="15">
        <v>4</v>
      </c>
      <c r="K501" s="15"/>
      <c r="L501" s="15"/>
      <c r="M501" s="15"/>
      <c r="N501" s="15"/>
      <c r="O501" s="15" t="str">
        <f>INDEX(projects[job number],MATCH(TimeEntry[[#This Row],[Project_ID]], projects[Project_ID],0))</f>
        <v>210035-51</v>
      </c>
      <c r="P501" s="15" t="str">
        <f>INDEX(projects[Project_Name],MATCH(TimeEntry[[#This Row],[Project_ID]], projects[Project_ID],0))</f>
        <v>VBB 3rd - new bridge</v>
      </c>
      <c r="Q501" s="6">
        <f>IF(TimeEntry[[#This Row],[Date]]=0,"",WEEKDAY(C501,2))</f>
        <v>2</v>
      </c>
      <c r="R501" s="9">
        <f>YEAR(TimeEntry[[#This Row],[WkEnd]])</f>
        <v>2019</v>
      </c>
      <c r="S501" s="9">
        <f>WEEKNUM(TimeEntry[[#This Row],[WkEnd]])</f>
        <v>42</v>
      </c>
      <c r="T501" s="9" t="str">
        <f>TimeEntry[[#This Row],[Year]]&amp;"-"&amp;TimeEntry[[#This Row],[WkNo]]</f>
        <v>2019-42</v>
      </c>
    </row>
    <row r="502" spans="1:20" x14ac:dyDescent="0.25">
      <c r="A502" s="6">
        <f>MOD(IF(ROW()=2,0.1,IF(INDEX(TimeEntry[WkEnd],ROW()-1)  =  INDEX(TimeEntry[WkEnd],ROW()-2),    INDEX(TimeEntry[format],ROW()-2),    INDEX(TimeEntry[format],ROW()-2)    +1)),2)</f>
        <v>0.10000000000000009</v>
      </c>
      <c r="B502" s="7"/>
      <c r="C502" s="8">
        <v>43747</v>
      </c>
      <c r="D502" s="8"/>
      <c r="E502" s="1" t="s">
        <v>457</v>
      </c>
      <c r="F502" s="8">
        <f>IF(TimeEntry[[#This Row],[Date]]=0,F501,C502+(7-Q502))</f>
        <v>43751</v>
      </c>
      <c r="G502" s="35" t="str">
        <f>INDEX(projects[Charge_Code],MATCH(TimeEntry[[#This Row],[Project_ID]],projects[Project_ID],0))</f>
        <v>268017-10 KSC - PM</v>
      </c>
      <c r="H502" s="1" t="str">
        <f t="shared" si="17"/>
        <v>Normal Time</v>
      </c>
      <c r="I502" s="1"/>
      <c r="J502" s="15">
        <v>7.5</v>
      </c>
      <c r="K502" s="15"/>
      <c r="L502" s="15"/>
      <c r="M502" s="15"/>
      <c r="N502" s="15"/>
      <c r="O502" s="15" t="str">
        <f>INDEX(projects[job number],MATCH(TimeEntry[[#This Row],[Project_ID]], projects[Project_ID],0))</f>
        <v>268017-10</v>
      </c>
      <c r="P502" s="15" t="str">
        <f>INDEX(projects[Project_Name],MATCH(TimeEntry[[#This Row],[Project_ID]], projects[Project_ID],0))</f>
        <v>KSC - PM</v>
      </c>
      <c r="Q502" s="6">
        <f>IF(TimeEntry[[#This Row],[Date]]=0,"",WEEKDAY(C502,2))</f>
        <v>3</v>
      </c>
      <c r="R502" s="9">
        <f>YEAR(TimeEntry[[#This Row],[WkEnd]])</f>
        <v>2019</v>
      </c>
      <c r="S502" s="9">
        <f>WEEKNUM(TimeEntry[[#This Row],[WkEnd]])</f>
        <v>42</v>
      </c>
      <c r="T502" s="9" t="str">
        <f>TimeEntry[[#This Row],[Year]]&amp;"-"&amp;TimeEntry[[#This Row],[WkNo]]</f>
        <v>2019-42</v>
      </c>
    </row>
    <row r="503" spans="1:20" x14ac:dyDescent="0.25">
      <c r="A503" s="6">
        <f>MOD(IF(ROW()=2,0.1,IF(INDEX(TimeEntry[WkEnd],ROW()-1)  =  INDEX(TimeEntry[WkEnd],ROW()-2),    INDEX(TimeEntry[format],ROW()-2),    INDEX(TimeEntry[format],ROW()-2)    +1)),2)</f>
        <v>0.10000000000000009</v>
      </c>
      <c r="B503" s="7"/>
      <c r="C503" s="8">
        <v>43748</v>
      </c>
      <c r="D503" s="8"/>
      <c r="E503" s="1" t="s">
        <v>454</v>
      </c>
      <c r="F503" s="8">
        <f>IF(TimeEntry[[#This Row],[Date]]=0,F502,C503+(7-Q503))</f>
        <v>43751</v>
      </c>
      <c r="G503" s="35" t="str">
        <f>INDEX(projects[Charge_Code],MATCH(TimeEntry[[#This Row],[Project_ID]],projects[Project_ID],0))</f>
        <v>210035-51 VBB 3rd - new bridge</v>
      </c>
      <c r="H503" s="1" t="str">
        <f t="shared" si="17"/>
        <v>Normal Time</v>
      </c>
      <c r="I503" s="1"/>
      <c r="J503" s="15">
        <v>3</v>
      </c>
      <c r="K503" s="15"/>
      <c r="L503" s="15"/>
      <c r="M503" s="15"/>
      <c r="N503" s="15"/>
      <c r="O503" s="15" t="str">
        <f>INDEX(projects[job number],MATCH(TimeEntry[[#This Row],[Project_ID]], projects[Project_ID],0))</f>
        <v>210035-51</v>
      </c>
      <c r="P503" s="15" t="str">
        <f>INDEX(projects[Project_Name],MATCH(TimeEntry[[#This Row],[Project_ID]], projects[Project_ID],0))</f>
        <v>VBB 3rd - new bridge</v>
      </c>
      <c r="Q503" s="6">
        <f>IF(TimeEntry[[#This Row],[Date]]=0,"",WEEKDAY(C503,2))</f>
        <v>4</v>
      </c>
      <c r="R503" s="9">
        <f>YEAR(TimeEntry[[#This Row],[WkEnd]])</f>
        <v>2019</v>
      </c>
      <c r="S503" s="9">
        <f>WEEKNUM(TimeEntry[[#This Row],[WkEnd]])</f>
        <v>42</v>
      </c>
      <c r="T503" s="9" t="str">
        <f>TimeEntry[[#This Row],[Year]]&amp;"-"&amp;TimeEntry[[#This Row],[WkNo]]</f>
        <v>2019-42</v>
      </c>
    </row>
    <row r="504" spans="1:20" x14ac:dyDescent="0.25">
      <c r="A504" s="6">
        <f>MOD(IF(ROW()=2,0.1,IF(INDEX(TimeEntry[WkEnd],ROW()-1)  =  INDEX(TimeEntry[WkEnd],ROW()-2),    INDEX(TimeEntry[format],ROW()-2),    INDEX(TimeEntry[format],ROW()-2)    +1)),2)</f>
        <v>0.10000000000000009</v>
      </c>
      <c r="B504" s="7"/>
      <c r="C504" s="8">
        <v>43748</v>
      </c>
      <c r="D504" s="8"/>
      <c r="E504" s="1" t="s">
        <v>454</v>
      </c>
      <c r="F504" s="8">
        <f>IF(TimeEntry[[#This Row],[Date]]=0,F503,C504+(7-Q504))</f>
        <v>43751</v>
      </c>
      <c r="G504" s="35" t="str">
        <f>INDEX(projects[Charge_Code],MATCH(TimeEntry[[#This Row],[Project_ID]],projects[Project_ID],0))</f>
        <v>210035-51 VBB 3rd - new bridge</v>
      </c>
      <c r="H504" s="1" t="str">
        <f t="shared" si="17"/>
        <v>Normal Time</v>
      </c>
      <c r="I504" s="1"/>
      <c r="J504" s="15">
        <v>4.5</v>
      </c>
      <c r="K504" s="15"/>
      <c r="L504" s="15"/>
      <c r="M504" s="15"/>
      <c r="N504" s="15"/>
      <c r="O504" s="15" t="str">
        <f>INDEX(projects[job number],MATCH(TimeEntry[[#This Row],[Project_ID]], projects[Project_ID],0))</f>
        <v>210035-51</v>
      </c>
      <c r="P504" s="15" t="str">
        <f>INDEX(projects[Project_Name],MATCH(TimeEntry[[#This Row],[Project_ID]], projects[Project_ID],0))</f>
        <v>VBB 3rd - new bridge</v>
      </c>
      <c r="Q504" s="6">
        <f>IF(TimeEntry[[#This Row],[Date]]=0,"",WEEKDAY(C504,2))</f>
        <v>4</v>
      </c>
      <c r="R504" s="9">
        <f>YEAR(TimeEntry[[#This Row],[WkEnd]])</f>
        <v>2019</v>
      </c>
      <c r="S504" s="9">
        <f>WEEKNUM(TimeEntry[[#This Row],[WkEnd]])</f>
        <v>42</v>
      </c>
      <c r="T504" s="9" t="str">
        <f>TimeEntry[[#This Row],[Year]]&amp;"-"&amp;TimeEntry[[#This Row],[WkNo]]</f>
        <v>2019-42</v>
      </c>
    </row>
    <row r="505" spans="1:20" x14ac:dyDescent="0.25">
      <c r="A505" s="6">
        <f>MOD(IF(ROW()=2,0.1,IF(INDEX(TimeEntry[WkEnd],ROW()-1)  =  INDEX(TimeEntry[WkEnd],ROW()-2),    INDEX(TimeEntry[format],ROW()-2),    INDEX(TimeEntry[format],ROW()-2)    +1)),2)</f>
        <v>0.10000000000000009</v>
      </c>
      <c r="B505" s="7"/>
      <c r="C505" s="8">
        <v>43749</v>
      </c>
      <c r="D505" s="8"/>
      <c r="E505" s="1" t="s">
        <v>457</v>
      </c>
      <c r="F505" s="8">
        <f>IF(TimeEntry[[#This Row],[Date]]=0,F504,C505+(7-Q505))</f>
        <v>43751</v>
      </c>
      <c r="G505" s="35" t="str">
        <f>INDEX(projects[Charge_Code],MATCH(TimeEntry[[#This Row],[Project_ID]],projects[Project_ID],0))</f>
        <v>268017-10 KSC - PM</v>
      </c>
      <c r="H505" s="1" t="str">
        <f t="shared" si="17"/>
        <v>Normal Time</v>
      </c>
      <c r="I505" s="1"/>
      <c r="J505" s="15">
        <v>3</v>
      </c>
      <c r="K505" s="15"/>
      <c r="L505" s="15"/>
      <c r="M505" s="15"/>
      <c r="N505" s="15"/>
      <c r="O505" s="15" t="str">
        <f>INDEX(projects[job number],MATCH(TimeEntry[[#This Row],[Project_ID]], projects[Project_ID],0))</f>
        <v>268017-10</v>
      </c>
      <c r="P505" s="15" t="str">
        <f>INDEX(projects[Project_Name],MATCH(TimeEntry[[#This Row],[Project_ID]], projects[Project_ID],0))</f>
        <v>KSC - PM</v>
      </c>
      <c r="Q505" s="6">
        <f>IF(TimeEntry[[#This Row],[Date]]=0,"",WEEKDAY(C505,2))</f>
        <v>5</v>
      </c>
      <c r="R505" s="9">
        <f>YEAR(TimeEntry[[#This Row],[WkEnd]])</f>
        <v>2019</v>
      </c>
      <c r="S505" s="9">
        <f>WEEKNUM(TimeEntry[[#This Row],[WkEnd]])</f>
        <v>42</v>
      </c>
      <c r="T505" s="9" t="str">
        <f>TimeEntry[[#This Row],[Year]]&amp;"-"&amp;TimeEntry[[#This Row],[WkNo]]</f>
        <v>2019-42</v>
      </c>
    </row>
    <row r="506" spans="1:20" x14ac:dyDescent="0.25">
      <c r="A506" s="6">
        <f>MOD(IF(ROW()=2,0.1,IF(INDEX(TimeEntry[WkEnd],ROW()-1)  =  INDEX(TimeEntry[WkEnd],ROW()-2),    INDEX(TimeEntry[format],ROW()-2),    INDEX(TimeEntry[format],ROW()-2)    +1)),2)</f>
        <v>0.10000000000000009</v>
      </c>
      <c r="B506" s="7"/>
      <c r="C506" s="8">
        <v>43749</v>
      </c>
      <c r="D506" s="8"/>
      <c r="E506" s="1" t="s">
        <v>457</v>
      </c>
      <c r="F506" s="8">
        <f>IF(TimeEntry[[#This Row],[Date]]=0,F505,C506+(7-Q506))</f>
        <v>43751</v>
      </c>
      <c r="G506" s="35" t="str">
        <f>INDEX(projects[Charge_Code],MATCH(TimeEntry[[#This Row],[Project_ID]],projects[Project_ID],0))</f>
        <v>268017-10 KSC - PM</v>
      </c>
      <c r="H506" s="1" t="str">
        <f t="shared" si="17"/>
        <v>Normal Time</v>
      </c>
      <c r="I506" s="1"/>
      <c r="J506" s="15">
        <v>4.5</v>
      </c>
      <c r="K506" s="15"/>
      <c r="L506" s="15"/>
      <c r="M506" s="15"/>
      <c r="N506" s="15"/>
      <c r="O506" s="15" t="str">
        <f>INDEX(projects[job number],MATCH(TimeEntry[[#This Row],[Project_ID]], projects[Project_ID],0))</f>
        <v>268017-10</v>
      </c>
      <c r="P506" s="15" t="str">
        <f>INDEX(projects[Project_Name],MATCH(TimeEntry[[#This Row],[Project_ID]], projects[Project_ID],0))</f>
        <v>KSC - PM</v>
      </c>
      <c r="Q506" s="6">
        <f>IF(TimeEntry[[#This Row],[Date]]=0,"",WEEKDAY(C506,2))</f>
        <v>5</v>
      </c>
      <c r="R506" s="9">
        <f>YEAR(TimeEntry[[#This Row],[WkEnd]])</f>
        <v>2019</v>
      </c>
      <c r="S506" s="9">
        <f>WEEKNUM(TimeEntry[[#This Row],[WkEnd]])</f>
        <v>42</v>
      </c>
      <c r="T506" s="9" t="str">
        <f>TimeEntry[[#This Row],[Year]]&amp;"-"&amp;TimeEntry[[#This Row],[WkNo]]</f>
        <v>2019-42</v>
      </c>
    </row>
    <row r="507" spans="1:20" x14ac:dyDescent="0.25">
      <c r="A507" s="6">
        <f>MOD(IF(ROW()=2,0.1,IF(INDEX(TimeEntry[WkEnd],ROW()-1)  =  INDEX(TimeEntry[WkEnd],ROW()-2),    INDEX(TimeEntry[format],ROW()-2),    INDEX(TimeEntry[format],ROW()-2)    +1)),2)</f>
        <v>1.1000000000000001</v>
      </c>
      <c r="B507" s="7"/>
      <c r="C507" s="8">
        <v>43738</v>
      </c>
      <c r="D507" s="8"/>
      <c r="E507" s="1" t="s">
        <v>453</v>
      </c>
      <c r="F507" s="8">
        <f>IF(TimeEntry[[#This Row],[Date]]=0,F506,C507+(7-Q507))</f>
        <v>43744</v>
      </c>
      <c r="G507" s="35" t="str">
        <f>INDEX(projects[Charge_Code],MATCH(TimeEntry[[#This Row],[Project_ID]],projects[Project_ID],0))</f>
        <v>268017-25  KSC - Tunnel</v>
      </c>
      <c r="H507" s="1" t="str">
        <f t="shared" si="17"/>
        <v>Normal Time</v>
      </c>
      <c r="I507" s="1"/>
      <c r="J507" s="15">
        <v>5.5</v>
      </c>
      <c r="K507" s="15"/>
      <c r="L507" s="15"/>
      <c r="M507" s="15"/>
      <c r="N507" s="15"/>
      <c r="O507" s="15" t="str">
        <f>INDEX(projects[job number],MATCH(TimeEntry[[#This Row],[Project_ID]], projects[Project_ID],0))</f>
        <v xml:space="preserve">268017-25 </v>
      </c>
      <c r="P507" s="15" t="str">
        <f>INDEX(projects[Project_Name],MATCH(TimeEntry[[#This Row],[Project_ID]], projects[Project_ID],0))</f>
        <v>KSC - Tunnel</v>
      </c>
      <c r="Q507" s="6">
        <f>IF(TimeEntry[[#This Row],[Date]]=0,"",WEEKDAY(C507,2))</f>
        <v>1</v>
      </c>
      <c r="R507" s="9">
        <f>YEAR(TimeEntry[[#This Row],[WkEnd]])</f>
        <v>2019</v>
      </c>
      <c r="S507" s="9">
        <f>WEEKNUM(TimeEntry[[#This Row],[WkEnd]])</f>
        <v>41</v>
      </c>
      <c r="T507" s="9" t="str">
        <f>TimeEntry[[#This Row],[Year]]&amp;"-"&amp;TimeEntry[[#This Row],[WkNo]]</f>
        <v>2019-41</v>
      </c>
    </row>
    <row r="508" spans="1:20" x14ac:dyDescent="0.25">
      <c r="A508" s="6">
        <f>MOD(IF(ROW()=2,0.1,IF(INDEX(TimeEntry[WkEnd],ROW()-1)  =  INDEX(TimeEntry[WkEnd],ROW()-2),    INDEX(TimeEntry[format],ROW()-2),    INDEX(TimeEntry[format],ROW()-2)    +1)),2)</f>
        <v>1.1000000000000001</v>
      </c>
      <c r="B508" s="7"/>
      <c r="C508" s="8">
        <v>43738</v>
      </c>
      <c r="D508" s="8"/>
      <c r="E508" s="1" t="s">
        <v>453</v>
      </c>
      <c r="F508" s="8">
        <f>IF(TimeEntry[[#This Row],[Date]]=0,F507,C508+(7-Q508))</f>
        <v>43744</v>
      </c>
      <c r="G508" s="35" t="str">
        <f>INDEX(projects[Charge_Code],MATCH(TimeEntry[[#This Row],[Project_ID]],projects[Project_ID],0))</f>
        <v>268017-25  KSC - Tunnel</v>
      </c>
      <c r="H508" s="1" t="str">
        <f t="shared" si="17"/>
        <v>Normal Time</v>
      </c>
      <c r="I508" s="1"/>
      <c r="J508" s="15">
        <v>2</v>
      </c>
      <c r="K508" s="15"/>
      <c r="L508" s="15"/>
      <c r="M508" s="15"/>
      <c r="N508" s="15"/>
      <c r="O508" s="15" t="str">
        <f>INDEX(projects[job number],MATCH(TimeEntry[[#This Row],[Project_ID]], projects[Project_ID],0))</f>
        <v xml:space="preserve">268017-25 </v>
      </c>
      <c r="P508" s="15" t="str">
        <f>INDEX(projects[Project_Name],MATCH(TimeEntry[[#This Row],[Project_ID]], projects[Project_ID],0))</f>
        <v>KSC - Tunnel</v>
      </c>
      <c r="Q508" s="6">
        <f>IF(TimeEntry[[#This Row],[Date]]=0,"",WEEKDAY(C508,2))</f>
        <v>1</v>
      </c>
      <c r="R508" s="9">
        <f>YEAR(TimeEntry[[#This Row],[WkEnd]])</f>
        <v>2019</v>
      </c>
      <c r="S508" s="9">
        <f>WEEKNUM(TimeEntry[[#This Row],[WkEnd]])</f>
        <v>41</v>
      </c>
      <c r="T508" s="9" t="str">
        <f>TimeEntry[[#This Row],[Year]]&amp;"-"&amp;TimeEntry[[#This Row],[WkNo]]</f>
        <v>2019-41</v>
      </c>
    </row>
    <row r="509" spans="1:20" x14ac:dyDescent="0.25">
      <c r="A509" s="6">
        <f>MOD(IF(ROW()=2,0.1,IF(INDEX(TimeEntry[WkEnd],ROW()-1)  =  INDEX(TimeEntry[WkEnd],ROW()-2),    INDEX(TimeEntry[format],ROW()-2),    INDEX(TimeEntry[format],ROW()-2)    +1)),2)</f>
        <v>1.1000000000000001</v>
      </c>
      <c r="B509" s="7"/>
      <c r="C509" s="8">
        <v>43739</v>
      </c>
      <c r="D509" s="8"/>
      <c r="E509" s="1" t="s">
        <v>454</v>
      </c>
      <c r="F509" s="8">
        <f>IF(TimeEntry[[#This Row],[Date]]=0,F508,C509+(7-Q509))</f>
        <v>43744</v>
      </c>
      <c r="G509" s="35" t="str">
        <f>INDEX(projects[Charge_Code],MATCH(TimeEntry[[#This Row],[Project_ID]],projects[Project_ID],0))</f>
        <v>210035-51 VBB 3rd - new bridge</v>
      </c>
      <c r="H509" s="1" t="str">
        <f t="shared" si="17"/>
        <v>Normal Time</v>
      </c>
      <c r="I509" s="1"/>
      <c r="J509" s="15">
        <v>3.75</v>
      </c>
      <c r="K509" s="15"/>
      <c r="L509" s="15"/>
      <c r="M509" s="15"/>
      <c r="N509" s="15"/>
      <c r="O509" s="15" t="str">
        <f>INDEX(projects[job number],MATCH(TimeEntry[[#This Row],[Project_ID]], projects[Project_ID],0))</f>
        <v>210035-51</v>
      </c>
      <c r="P509" s="15" t="str">
        <f>INDEX(projects[Project_Name],MATCH(TimeEntry[[#This Row],[Project_ID]], projects[Project_ID],0))</f>
        <v>VBB 3rd - new bridge</v>
      </c>
      <c r="Q509" s="6">
        <f>IF(TimeEntry[[#This Row],[Date]]=0,"",WEEKDAY(C509,2))</f>
        <v>2</v>
      </c>
      <c r="R509" s="9">
        <f>YEAR(TimeEntry[[#This Row],[WkEnd]])</f>
        <v>2019</v>
      </c>
      <c r="S509" s="9">
        <f>WEEKNUM(TimeEntry[[#This Row],[WkEnd]])</f>
        <v>41</v>
      </c>
      <c r="T509" s="9" t="str">
        <f>TimeEntry[[#This Row],[Year]]&amp;"-"&amp;TimeEntry[[#This Row],[WkNo]]</f>
        <v>2019-41</v>
      </c>
    </row>
    <row r="510" spans="1:20" x14ac:dyDescent="0.25">
      <c r="A510" s="6">
        <f>MOD(IF(ROW()=2,0.1,IF(INDEX(TimeEntry[WkEnd],ROW()-1)  =  INDEX(TimeEntry[WkEnd],ROW()-2),    INDEX(TimeEntry[format],ROW()-2),    INDEX(TimeEntry[format],ROW()-2)    +1)),2)</f>
        <v>1.1000000000000001</v>
      </c>
      <c r="B510" s="7"/>
      <c r="C510" s="8">
        <v>43739</v>
      </c>
      <c r="D510" s="8"/>
      <c r="E510" s="1" t="s">
        <v>454</v>
      </c>
      <c r="F510" s="8">
        <f>IF(TimeEntry[[#This Row],[Date]]=0,F509,C510+(7-Q510))</f>
        <v>43744</v>
      </c>
      <c r="G510" s="35" t="str">
        <f>INDEX(projects[Charge_Code],MATCH(TimeEntry[[#This Row],[Project_ID]],projects[Project_ID],0))</f>
        <v>210035-51 VBB 3rd - new bridge</v>
      </c>
      <c r="H510" s="1" t="str">
        <f t="shared" si="17"/>
        <v>Normal Time</v>
      </c>
      <c r="I510" s="1"/>
      <c r="J510" s="15">
        <v>3.75</v>
      </c>
      <c r="K510" s="15"/>
      <c r="L510" s="15"/>
      <c r="M510" s="15"/>
      <c r="N510" s="15"/>
      <c r="O510" s="15" t="str">
        <f>INDEX(projects[job number],MATCH(TimeEntry[[#This Row],[Project_ID]], projects[Project_ID],0))</f>
        <v>210035-51</v>
      </c>
      <c r="P510" s="15" t="str">
        <f>INDEX(projects[Project_Name],MATCH(TimeEntry[[#This Row],[Project_ID]], projects[Project_ID],0))</f>
        <v>VBB 3rd - new bridge</v>
      </c>
      <c r="Q510" s="6">
        <f>IF(TimeEntry[[#This Row],[Date]]=0,"",WEEKDAY(C510,2))</f>
        <v>2</v>
      </c>
      <c r="R510" s="9">
        <f>YEAR(TimeEntry[[#This Row],[WkEnd]])</f>
        <v>2019</v>
      </c>
      <c r="S510" s="9">
        <f>WEEKNUM(TimeEntry[[#This Row],[WkEnd]])</f>
        <v>41</v>
      </c>
      <c r="T510" s="9" t="str">
        <f>TimeEntry[[#This Row],[Year]]&amp;"-"&amp;TimeEntry[[#This Row],[WkNo]]</f>
        <v>2019-41</v>
      </c>
    </row>
    <row r="511" spans="1:20" x14ac:dyDescent="0.25">
      <c r="A511" s="6">
        <f>MOD(IF(ROW()=2,0.1,IF(INDEX(TimeEntry[WkEnd],ROW()-1)  =  INDEX(TimeEntry[WkEnd],ROW()-2),    INDEX(TimeEntry[format],ROW()-2),    INDEX(TimeEntry[format],ROW()-2)    +1)),2)</f>
        <v>1.1000000000000001</v>
      </c>
      <c r="B511" s="7"/>
      <c r="C511" s="8">
        <v>43740</v>
      </c>
      <c r="D511" s="8"/>
      <c r="E511" s="1" t="s">
        <v>453</v>
      </c>
      <c r="F511" s="8">
        <f>IF(TimeEntry[[#This Row],[Date]]=0,F510,C511+(7-Q511))</f>
        <v>43744</v>
      </c>
      <c r="G511" s="35" t="str">
        <f>INDEX(projects[Charge_Code],MATCH(TimeEntry[[#This Row],[Project_ID]],projects[Project_ID],0))</f>
        <v>268017-25  KSC - Tunnel</v>
      </c>
      <c r="H511" s="1" t="str">
        <f t="shared" si="17"/>
        <v>Normal Time</v>
      </c>
      <c r="I511" s="1"/>
      <c r="J511" s="15">
        <v>3.75</v>
      </c>
      <c r="K511" s="15"/>
      <c r="L511" s="15"/>
      <c r="M511" s="15"/>
      <c r="N511" s="15"/>
      <c r="O511" s="15" t="str">
        <f>INDEX(projects[job number],MATCH(TimeEntry[[#This Row],[Project_ID]], projects[Project_ID],0))</f>
        <v xml:space="preserve">268017-25 </v>
      </c>
      <c r="P511" s="15" t="str">
        <f>INDEX(projects[Project_Name],MATCH(TimeEntry[[#This Row],[Project_ID]], projects[Project_ID],0))</f>
        <v>KSC - Tunnel</v>
      </c>
      <c r="Q511" s="6">
        <f>IF(TimeEntry[[#This Row],[Date]]=0,"",WEEKDAY(C511,2))</f>
        <v>3</v>
      </c>
      <c r="R511" s="9">
        <f>YEAR(TimeEntry[[#This Row],[WkEnd]])</f>
        <v>2019</v>
      </c>
      <c r="S511" s="9">
        <f>WEEKNUM(TimeEntry[[#This Row],[WkEnd]])</f>
        <v>41</v>
      </c>
      <c r="T511" s="9" t="str">
        <f>TimeEntry[[#This Row],[Year]]&amp;"-"&amp;TimeEntry[[#This Row],[WkNo]]</f>
        <v>2019-41</v>
      </c>
    </row>
    <row r="512" spans="1:20" x14ac:dyDescent="0.25">
      <c r="A512" s="6">
        <f>MOD(IF(ROW()=2,0.1,IF(INDEX(TimeEntry[WkEnd],ROW()-1)  =  INDEX(TimeEntry[WkEnd],ROW()-2),    INDEX(TimeEntry[format],ROW()-2),    INDEX(TimeEntry[format],ROW()-2)    +1)),2)</f>
        <v>1.1000000000000001</v>
      </c>
      <c r="B512" s="7"/>
      <c r="C512" s="8">
        <v>43740</v>
      </c>
      <c r="D512" s="8"/>
      <c r="E512" s="1" t="s">
        <v>454</v>
      </c>
      <c r="F512" s="8">
        <f>IF(TimeEntry[[#This Row],[Date]]=0,F511,C512+(7-Q512))</f>
        <v>43744</v>
      </c>
      <c r="G512" s="35" t="str">
        <f>INDEX(projects[Charge_Code],MATCH(TimeEntry[[#This Row],[Project_ID]],projects[Project_ID],0))</f>
        <v>210035-51 VBB 3rd - new bridge</v>
      </c>
      <c r="H512" s="1" t="str">
        <f t="shared" si="17"/>
        <v>Normal Time</v>
      </c>
      <c r="I512" s="1"/>
      <c r="J512" s="15">
        <v>3.75</v>
      </c>
      <c r="K512" s="15"/>
      <c r="L512" s="15"/>
      <c r="M512" s="15"/>
      <c r="N512" s="15"/>
      <c r="O512" s="15" t="str">
        <f>INDEX(projects[job number],MATCH(TimeEntry[[#This Row],[Project_ID]], projects[Project_ID],0))</f>
        <v>210035-51</v>
      </c>
      <c r="P512" s="15" t="str">
        <f>INDEX(projects[Project_Name],MATCH(TimeEntry[[#This Row],[Project_ID]], projects[Project_ID],0))</f>
        <v>VBB 3rd - new bridge</v>
      </c>
      <c r="Q512" s="6">
        <f>IF(TimeEntry[[#This Row],[Date]]=0,"",WEEKDAY(C512,2))</f>
        <v>3</v>
      </c>
      <c r="R512" s="9">
        <f>YEAR(TimeEntry[[#This Row],[WkEnd]])</f>
        <v>2019</v>
      </c>
      <c r="S512" s="9">
        <f>WEEKNUM(TimeEntry[[#This Row],[WkEnd]])</f>
        <v>41</v>
      </c>
      <c r="T512" s="9" t="str">
        <f>TimeEntry[[#This Row],[Year]]&amp;"-"&amp;TimeEntry[[#This Row],[WkNo]]</f>
        <v>2019-41</v>
      </c>
    </row>
    <row r="513" spans="1:20" x14ac:dyDescent="0.25">
      <c r="A513" s="6">
        <f>MOD(IF(ROW()=2,0.1,IF(INDEX(TimeEntry[WkEnd],ROW()-1)  =  INDEX(TimeEntry[WkEnd],ROW()-2),    INDEX(TimeEntry[format],ROW()-2),    INDEX(TimeEntry[format],ROW()-2)    +1)),2)</f>
        <v>1.1000000000000001</v>
      </c>
      <c r="B513" s="7"/>
      <c r="C513" s="8">
        <v>43741</v>
      </c>
      <c r="D513" s="8"/>
      <c r="E513" s="1" t="s">
        <v>454</v>
      </c>
      <c r="F513" s="8">
        <f>IF(TimeEntry[[#This Row],[Date]]=0,F512,C513+(7-Q513))</f>
        <v>43744</v>
      </c>
      <c r="G513" s="35" t="str">
        <f>INDEX(projects[Charge_Code],MATCH(TimeEntry[[#This Row],[Project_ID]],projects[Project_ID],0))</f>
        <v>210035-51 VBB 3rd - new bridge</v>
      </c>
      <c r="H513" s="1" t="str">
        <f t="shared" si="17"/>
        <v>Normal Time</v>
      </c>
      <c r="I513" s="1"/>
      <c r="J513" s="15">
        <v>3.75</v>
      </c>
      <c r="K513" s="15"/>
      <c r="L513" s="15"/>
      <c r="M513" s="15"/>
      <c r="N513" s="15"/>
      <c r="O513" s="15" t="str">
        <f>INDEX(projects[job number],MATCH(TimeEntry[[#This Row],[Project_ID]], projects[Project_ID],0))</f>
        <v>210035-51</v>
      </c>
      <c r="P513" s="15" t="str">
        <f>INDEX(projects[Project_Name],MATCH(TimeEntry[[#This Row],[Project_ID]], projects[Project_ID],0))</f>
        <v>VBB 3rd - new bridge</v>
      </c>
      <c r="Q513" s="6">
        <f>IF(TimeEntry[[#This Row],[Date]]=0,"",WEEKDAY(C513,2))</f>
        <v>4</v>
      </c>
      <c r="R513" s="9">
        <f>YEAR(TimeEntry[[#This Row],[WkEnd]])</f>
        <v>2019</v>
      </c>
      <c r="S513" s="9">
        <f>WEEKNUM(TimeEntry[[#This Row],[WkEnd]])</f>
        <v>41</v>
      </c>
      <c r="T513" s="9" t="str">
        <f>TimeEntry[[#This Row],[Year]]&amp;"-"&amp;TimeEntry[[#This Row],[WkNo]]</f>
        <v>2019-41</v>
      </c>
    </row>
    <row r="514" spans="1:20" x14ac:dyDescent="0.25">
      <c r="A514" s="6">
        <f>MOD(IF(ROW()=2,0.1,IF(INDEX(TimeEntry[WkEnd],ROW()-1)  =  INDEX(TimeEntry[WkEnd],ROW()-2),    INDEX(TimeEntry[format],ROW()-2),    INDEX(TimeEntry[format],ROW()-2)    +1)),2)</f>
        <v>1.1000000000000001</v>
      </c>
      <c r="B514" s="7"/>
      <c r="C514" s="8">
        <v>43741</v>
      </c>
      <c r="D514" s="8"/>
      <c r="E514" s="1" t="s">
        <v>453</v>
      </c>
      <c r="F514" s="8">
        <f>IF(TimeEntry[[#This Row],[Date]]=0,F513,C514+(7-Q514))</f>
        <v>43744</v>
      </c>
      <c r="G514" s="35" t="str">
        <f>INDEX(projects[Charge_Code],MATCH(TimeEntry[[#This Row],[Project_ID]],projects[Project_ID],0))</f>
        <v>268017-25  KSC - Tunnel</v>
      </c>
      <c r="H514" s="1" t="str">
        <f t="shared" si="17"/>
        <v>Normal Time</v>
      </c>
      <c r="I514" s="1"/>
      <c r="J514" s="15">
        <v>3.75</v>
      </c>
      <c r="K514" s="15"/>
      <c r="L514" s="15"/>
      <c r="M514" s="15"/>
      <c r="N514" s="15"/>
      <c r="O514" s="15" t="str">
        <f>INDEX(projects[job number],MATCH(TimeEntry[[#This Row],[Project_ID]], projects[Project_ID],0))</f>
        <v xml:space="preserve">268017-25 </v>
      </c>
      <c r="P514" s="15" t="str">
        <f>INDEX(projects[Project_Name],MATCH(TimeEntry[[#This Row],[Project_ID]], projects[Project_ID],0))</f>
        <v>KSC - Tunnel</v>
      </c>
      <c r="Q514" s="6">
        <f>IF(TimeEntry[[#This Row],[Date]]=0,"",WEEKDAY(C514,2))</f>
        <v>4</v>
      </c>
      <c r="R514" s="9">
        <f>YEAR(TimeEntry[[#This Row],[WkEnd]])</f>
        <v>2019</v>
      </c>
      <c r="S514" s="9">
        <f>WEEKNUM(TimeEntry[[#This Row],[WkEnd]])</f>
        <v>41</v>
      </c>
      <c r="T514" s="9" t="str">
        <f>TimeEntry[[#This Row],[Year]]&amp;"-"&amp;TimeEntry[[#This Row],[WkNo]]</f>
        <v>2019-41</v>
      </c>
    </row>
    <row r="515" spans="1:20" x14ac:dyDescent="0.25">
      <c r="A515" s="6">
        <f>MOD(IF(ROW()=2,0.1,IF(INDEX(TimeEntry[WkEnd],ROW()-1)  =  INDEX(TimeEntry[WkEnd],ROW()-2),    INDEX(TimeEntry[format],ROW()-2),    INDEX(TimeEntry[format],ROW()-2)    +1)),2)</f>
        <v>1.1000000000000001</v>
      </c>
      <c r="B515" s="7"/>
      <c r="C515" s="8">
        <v>43742</v>
      </c>
      <c r="D515" s="8"/>
      <c r="E515" s="1" t="s">
        <v>453</v>
      </c>
      <c r="F515" s="8">
        <f>IF(TimeEntry[[#This Row],[Date]]=0,F514,C515+(7-Q515))</f>
        <v>43744</v>
      </c>
      <c r="G515" s="35" t="str">
        <f>INDEX(projects[Charge_Code],MATCH(TimeEntry[[#This Row],[Project_ID]],projects[Project_ID],0))</f>
        <v>268017-25  KSC - Tunnel</v>
      </c>
      <c r="H515" s="1" t="str">
        <f t="shared" si="17"/>
        <v>Normal Time</v>
      </c>
      <c r="I515" s="1"/>
      <c r="J515" s="15">
        <v>3.75</v>
      </c>
      <c r="K515" s="15"/>
      <c r="L515" s="15"/>
      <c r="M515" s="15"/>
      <c r="N515" s="15"/>
      <c r="O515" s="15" t="str">
        <f>INDEX(projects[job number],MATCH(TimeEntry[[#This Row],[Project_ID]], projects[Project_ID],0))</f>
        <v xml:space="preserve">268017-25 </v>
      </c>
      <c r="P515" s="15" t="str">
        <f>INDEX(projects[Project_Name],MATCH(TimeEntry[[#This Row],[Project_ID]], projects[Project_ID],0))</f>
        <v>KSC - Tunnel</v>
      </c>
      <c r="Q515" s="6">
        <f>IF(TimeEntry[[#This Row],[Date]]=0,"",WEEKDAY(C515,2))</f>
        <v>5</v>
      </c>
      <c r="R515" s="9">
        <f>YEAR(TimeEntry[[#This Row],[WkEnd]])</f>
        <v>2019</v>
      </c>
      <c r="S515" s="9">
        <f>WEEKNUM(TimeEntry[[#This Row],[WkEnd]])</f>
        <v>41</v>
      </c>
      <c r="T515" s="9" t="str">
        <f>TimeEntry[[#This Row],[Year]]&amp;"-"&amp;TimeEntry[[#This Row],[WkNo]]</f>
        <v>2019-41</v>
      </c>
    </row>
    <row r="516" spans="1:20" x14ac:dyDescent="0.25">
      <c r="A516" s="6">
        <f>MOD(IF(ROW()=2,0.1,IF(INDEX(TimeEntry[WkEnd],ROW()-1)  =  INDEX(TimeEntry[WkEnd],ROW()-2),    INDEX(TimeEntry[format],ROW()-2),    INDEX(TimeEntry[format],ROW()-2)    +1)),2)</f>
        <v>1.1000000000000001</v>
      </c>
      <c r="B516" s="7"/>
      <c r="C516" s="8">
        <v>43742</v>
      </c>
      <c r="D516" s="8"/>
      <c r="E516" s="1" t="s">
        <v>454</v>
      </c>
      <c r="F516" s="8">
        <f>IF(TimeEntry[[#This Row],[Date]]=0,F515,C516+(7-Q516))</f>
        <v>43744</v>
      </c>
      <c r="G516" s="35" t="str">
        <f>INDEX(projects[Charge_Code],MATCH(TimeEntry[[#This Row],[Project_ID]],projects[Project_ID],0))</f>
        <v>210035-51 VBB 3rd - new bridge</v>
      </c>
      <c r="H516" s="1" t="str">
        <f t="shared" si="17"/>
        <v>Normal Time</v>
      </c>
      <c r="I516" s="1"/>
      <c r="J516" s="15">
        <v>3.75</v>
      </c>
      <c r="K516" s="15"/>
      <c r="L516" s="15"/>
      <c r="M516" s="15"/>
      <c r="N516" s="15"/>
      <c r="O516" s="15" t="str">
        <f>INDEX(projects[job number],MATCH(TimeEntry[[#This Row],[Project_ID]], projects[Project_ID],0))</f>
        <v>210035-51</v>
      </c>
      <c r="P516" s="15" t="str">
        <f>INDEX(projects[Project_Name],MATCH(TimeEntry[[#This Row],[Project_ID]], projects[Project_ID],0))</f>
        <v>VBB 3rd - new bridge</v>
      </c>
      <c r="Q516" s="6">
        <f>IF(TimeEntry[[#This Row],[Date]]=0,"",WEEKDAY(C516,2))</f>
        <v>5</v>
      </c>
      <c r="R516" s="9">
        <f>YEAR(TimeEntry[[#This Row],[WkEnd]])</f>
        <v>2019</v>
      </c>
      <c r="S516" s="9">
        <f>WEEKNUM(TimeEntry[[#This Row],[WkEnd]])</f>
        <v>41</v>
      </c>
      <c r="T516" s="9" t="str">
        <f>TimeEntry[[#This Row],[Year]]&amp;"-"&amp;TimeEntry[[#This Row],[WkNo]]</f>
        <v>2019-41</v>
      </c>
    </row>
    <row r="517" spans="1:20" x14ac:dyDescent="0.25">
      <c r="A517" s="6">
        <f>MOD(IF(ROW()=2,0.1,IF(INDEX(TimeEntry[WkEnd],ROW()-1)  =  INDEX(TimeEntry[WkEnd],ROW()-2),    INDEX(TimeEntry[format],ROW()-2),    INDEX(TimeEntry[format],ROW()-2)    +1)),2)</f>
        <v>0.10000000000000009</v>
      </c>
      <c r="B517" s="7"/>
      <c r="C517" s="8">
        <v>43731</v>
      </c>
      <c r="D517" s="8"/>
      <c r="E517" s="1" t="s">
        <v>453</v>
      </c>
      <c r="F517" s="8">
        <f>IF(TimeEntry[[#This Row],[Date]]=0,F516,C517+(7-Q517))</f>
        <v>43737</v>
      </c>
      <c r="G517" s="35" t="str">
        <f>INDEX(projects[Charge_Code],MATCH(TimeEntry[[#This Row],[Project_ID]],projects[Project_ID],0))</f>
        <v>268017-25  KSC - Tunnel</v>
      </c>
      <c r="H517" s="1" t="str">
        <f t="shared" si="17"/>
        <v>Normal Time</v>
      </c>
      <c r="I517" s="1"/>
      <c r="J517" s="15">
        <v>7.5</v>
      </c>
      <c r="K517" s="15"/>
      <c r="L517" s="15"/>
      <c r="M517" s="15"/>
      <c r="N517" s="15"/>
      <c r="O517" s="15" t="str">
        <f>INDEX(projects[job number],MATCH(TimeEntry[[#This Row],[Project_ID]], projects[Project_ID],0))</f>
        <v xml:space="preserve">268017-25 </v>
      </c>
      <c r="P517" s="15" t="str">
        <f>INDEX(projects[Project_Name],MATCH(TimeEntry[[#This Row],[Project_ID]], projects[Project_ID],0))</f>
        <v>KSC - Tunnel</v>
      </c>
      <c r="Q517" s="6">
        <f>IF(TimeEntry[[#This Row],[Date]]=0,"",WEEKDAY(C517,2))</f>
        <v>1</v>
      </c>
      <c r="R517" s="9">
        <f>YEAR(TimeEntry[[#This Row],[WkEnd]])</f>
        <v>2019</v>
      </c>
      <c r="S517" s="9">
        <f>WEEKNUM(TimeEntry[[#This Row],[WkEnd]])</f>
        <v>40</v>
      </c>
      <c r="T517" s="9" t="str">
        <f>TimeEntry[[#This Row],[Year]]&amp;"-"&amp;TimeEntry[[#This Row],[WkNo]]</f>
        <v>2019-40</v>
      </c>
    </row>
    <row r="518" spans="1:20" x14ac:dyDescent="0.25">
      <c r="A518" s="6">
        <f>MOD(IF(ROW()=2,0.1,IF(INDEX(TimeEntry[WkEnd],ROW()-1)  =  INDEX(TimeEntry[WkEnd],ROW()-2),    INDEX(TimeEntry[format],ROW()-2),    INDEX(TimeEntry[format],ROW()-2)    +1)),2)</f>
        <v>0.10000000000000009</v>
      </c>
      <c r="B518" s="7"/>
      <c r="C518" s="8">
        <v>43732</v>
      </c>
      <c r="D518" s="8"/>
      <c r="E518" s="1" t="s">
        <v>453</v>
      </c>
      <c r="F518" s="8">
        <f>IF(TimeEntry[[#This Row],[Date]]=0,F517,C518+(7-Q518))</f>
        <v>43737</v>
      </c>
      <c r="G518" s="35" t="str">
        <f>INDEX(projects[Charge_Code],MATCH(TimeEntry[[#This Row],[Project_ID]],projects[Project_ID],0))</f>
        <v>268017-25  KSC - Tunnel</v>
      </c>
      <c r="H518" s="1" t="str">
        <f t="shared" si="17"/>
        <v>Normal Time</v>
      </c>
      <c r="I518" s="1"/>
      <c r="J518" s="15">
        <v>3.75</v>
      </c>
      <c r="K518" s="15"/>
      <c r="L518" s="15"/>
      <c r="M518" s="15"/>
      <c r="N518" s="15"/>
      <c r="O518" s="15" t="str">
        <f>INDEX(projects[job number],MATCH(TimeEntry[[#This Row],[Project_ID]], projects[Project_ID],0))</f>
        <v xml:space="preserve">268017-25 </v>
      </c>
      <c r="P518" s="15" t="str">
        <f>INDEX(projects[Project_Name],MATCH(TimeEntry[[#This Row],[Project_ID]], projects[Project_ID],0))</f>
        <v>KSC - Tunnel</v>
      </c>
      <c r="Q518" s="6">
        <f>IF(TimeEntry[[#This Row],[Date]]=0,"",WEEKDAY(C518,2))</f>
        <v>2</v>
      </c>
      <c r="R518" s="9">
        <f>YEAR(TimeEntry[[#This Row],[WkEnd]])</f>
        <v>2019</v>
      </c>
      <c r="S518" s="9">
        <f>WEEKNUM(TimeEntry[[#This Row],[WkEnd]])</f>
        <v>40</v>
      </c>
      <c r="T518" s="9" t="str">
        <f>TimeEntry[[#This Row],[Year]]&amp;"-"&amp;TimeEntry[[#This Row],[WkNo]]</f>
        <v>2019-40</v>
      </c>
    </row>
    <row r="519" spans="1:20" x14ac:dyDescent="0.25">
      <c r="A519" s="6">
        <f>MOD(IF(ROW()=2,0.1,IF(INDEX(TimeEntry[WkEnd],ROW()-1)  =  INDEX(TimeEntry[WkEnd],ROW()-2),    INDEX(TimeEntry[format],ROW()-2),    INDEX(TimeEntry[format],ROW()-2)    +1)),2)</f>
        <v>0.10000000000000009</v>
      </c>
      <c r="B519" s="7"/>
      <c r="C519" s="8">
        <v>43732</v>
      </c>
      <c r="D519" s="8"/>
      <c r="E519" s="1" t="s">
        <v>454</v>
      </c>
      <c r="F519" s="8">
        <f>IF(TimeEntry[[#This Row],[Date]]=0,F518,C519+(7-Q519))</f>
        <v>43737</v>
      </c>
      <c r="G519" s="35" t="str">
        <f>INDEX(projects[Charge_Code],MATCH(TimeEntry[[#This Row],[Project_ID]],projects[Project_ID],0))</f>
        <v>210035-51 VBB 3rd - new bridge</v>
      </c>
      <c r="H519" s="1" t="str">
        <f t="shared" si="17"/>
        <v>Normal Time</v>
      </c>
      <c r="I519" s="1"/>
      <c r="J519" s="15">
        <v>3.75</v>
      </c>
      <c r="K519" s="15"/>
      <c r="L519" s="15"/>
      <c r="M519" s="15"/>
      <c r="N519" s="15"/>
      <c r="O519" s="15" t="str">
        <f>INDEX(projects[job number],MATCH(TimeEntry[[#This Row],[Project_ID]], projects[Project_ID],0))</f>
        <v>210035-51</v>
      </c>
      <c r="P519" s="15" t="str">
        <f>INDEX(projects[Project_Name],MATCH(TimeEntry[[#This Row],[Project_ID]], projects[Project_ID],0))</f>
        <v>VBB 3rd - new bridge</v>
      </c>
      <c r="Q519" s="6">
        <f>IF(TimeEntry[[#This Row],[Date]]=0,"",WEEKDAY(C519,2))</f>
        <v>2</v>
      </c>
      <c r="R519" s="9">
        <f>YEAR(TimeEntry[[#This Row],[WkEnd]])</f>
        <v>2019</v>
      </c>
      <c r="S519" s="9">
        <f>WEEKNUM(TimeEntry[[#This Row],[WkEnd]])</f>
        <v>40</v>
      </c>
      <c r="T519" s="9" t="str">
        <f>TimeEntry[[#This Row],[Year]]&amp;"-"&amp;TimeEntry[[#This Row],[WkNo]]</f>
        <v>2019-40</v>
      </c>
    </row>
    <row r="520" spans="1:20" x14ac:dyDescent="0.25">
      <c r="A520" s="6">
        <f>MOD(IF(ROW()=2,0.1,IF(INDEX(TimeEntry[WkEnd],ROW()-1)  =  INDEX(TimeEntry[WkEnd],ROW()-2),    INDEX(TimeEntry[format],ROW()-2),    INDEX(TimeEntry[format],ROW()-2)    +1)),2)</f>
        <v>0.10000000000000009</v>
      </c>
      <c r="B520" s="7"/>
      <c r="C520" s="8">
        <v>43733</v>
      </c>
      <c r="D520" s="8"/>
      <c r="E520" s="1" t="s">
        <v>458</v>
      </c>
      <c r="F520" s="8">
        <f>IF(TimeEntry[[#This Row],[Date]]=0,F519,C520+(7-Q520))</f>
        <v>43737</v>
      </c>
      <c r="G520" s="35" t="str">
        <f>INDEX(projects[Charge_Code],MATCH(TimeEntry[[#This Row],[Project_ID]],projects[Project_ID],0))</f>
        <v>265720-20 VBB - Assessment</v>
      </c>
      <c r="H520" s="1" t="str">
        <f t="shared" ref="H520:H583" si="18">"Normal Time"</f>
        <v>Normal Time</v>
      </c>
      <c r="I520" s="1"/>
      <c r="J520" s="15">
        <v>7.5</v>
      </c>
      <c r="K520" s="15"/>
      <c r="L520" s="15"/>
      <c r="M520" s="15"/>
      <c r="N520" s="15"/>
      <c r="O520" s="15" t="str">
        <f>INDEX(projects[job number],MATCH(TimeEntry[[#This Row],[Project_ID]], projects[Project_ID],0))</f>
        <v>265720-20</v>
      </c>
      <c r="P520" s="15" t="str">
        <f>INDEX(projects[Project_Name],MATCH(TimeEntry[[#This Row],[Project_ID]], projects[Project_ID],0))</f>
        <v>VBB - Assessment</v>
      </c>
      <c r="Q520" s="6">
        <f>IF(TimeEntry[[#This Row],[Date]]=0,"",WEEKDAY(C520,2))</f>
        <v>3</v>
      </c>
      <c r="R520" s="9">
        <f>YEAR(TimeEntry[[#This Row],[WkEnd]])</f>
        <v>2019</v>
      </c>
      <c r="S520" s="9">
        <f>WEEKNUM(TimeEntry[[#This Row],[WkEnd]])</f>
        <v>40</v>
      </c>
      <c r="T520" s="9" t="str">
        <f>TimeEntry[[#This Row],[Year]]&amp;"-"&amp;TimeEntry[[#This Row],[WkNo]]</f>
        <v>2019-40</v>
      </c>
    </row>
    <row r="521" spans="1:20" x14ac:dyDescent="0.25">
      <c r="A521" s="6">
        <f>MOD(IF(ROW()=2,0.1,IF(INDEX(TimeEntry[WkEnd],ROW()-1)  =  INDEX(TimeEntry[WkEnd],ROW()-2),    INDEX(TimeEntry[format],ROW()-2),    INDEX(TimeEntry[format],ROW()-2)    +1)),2)</f>
        <v>0.10000000000000009</v>
      </c>
      <c r="B521" s="7"/>
      <c r="C521" s="8">
        <v>43734</v>
      </c>
      <c r="D521" s="8"/>
      <c r="E521" s="1" t="s">
        <v>454</v>
      </c>
      <c r="F521" s="8">
        <f>IF(TimeEntry[[#This Row],[Date]]=0,F520,C521+(7-Q521))</f>
        <v>43737</v>
      </c>
      <c r="G521" s="35" t="str">
        <f>INDEX(projects[Charge_Code],MATCH(TimeEntry[[#This Row],[Project_ID]],projects[Project_ID],0))</f>
        <v>210035-51 VBB 3rd - new bridge</v>
      </c>
      <c r="H521" s="1" t="str">
        <f t="shared" si="18"/>
        <v>Normal Time</v>
      </c>
      <c r="I521" s="1"/>
      <c r="J521" s="15">
        <v>2</v>
      </c>
      <c r="K521" s="15"/>
      <c r="L521" s="15"/>
      <c r="M521" s="15"/>
      <c r="N521" s="15"/>
      <c r="O521" s="15" t="str">
        <f>INDEX(projects[job number],MATCH(TimeEntry[[#This Row],[Project_ID]], projects[Project_ID],0))</f>
        <v>210035-51</v>
      </c>
      <c r="P521" s="15" t="str">
        <f>INDEX(projects[Project_Name],MATCH(TimeEntry[[#This Row],[Project_ID]], projects[Project_ID],0))</f>
        <v>VBB 3rd - new bridge</v>
      </c>
      <c r="Q521" s="6">
        <f>IF(TimeEntry[[#This Row],[Date]]=0,"",WEEKDAY(C521,2))</f>
        <v>4</v>
      </c>
      <c r="R521" s="9">
        <f>YEAR(TimeEntry[[#This Row],[WkEnd]])</f>
        <v>2019</v>
      </c>
      <c r="S521" s="9">
        <f>WEEKNUM(TimeEntry[[#This Row],[WkEnd]])</f>
        <v>40</v>
      </c>
      <c r="T521" s="9" t="str">
        <f>TimeEntry[[#This Row],[Year]]&amp;"-"&amp;TimeEntry[[#This Row],[WkNo]]</f>
        <v>2019-40</v>
      </c>
    </row>
    <row r="522" spans="1:20" x14ac:dyDescent="0.25">
      <c r="A522" s="6">
        <f>MOD(IF(ROW()=2,0.1,IF(INDEX(TimeEntry[WkEnd],ROW()-1)  =  INDEX(TimeEntry[WkEnd],ROW()-2),    INDEX(TimeEntry[format],ROW()-2),    INDEX(TimeEntry[format],ROW()-2)    +1)),2)</f>
        <v>0.10000000000000009</v>
      </c>
      <c r="B522" s="7"/>
      <c r="C522" s="8">
        <v>43734</v>
      </c>
      <c r="D522" s="8"/>
      <c r="E522" s="1" t="s">
        <v>454</v>
      </c>
      <c r="F522" s="8">
        <f>IF(TimeEntry[[#This Row],[Date]]=0,F521,C522+(7-Q522))</f>
        <v>43737</v>
      </c>
      <c r="G522" s="35" t="str">
        <f>INDEX(projects[Charge_Code],MATCH(TimeEntry[[#This Row],[Project_ID]],projects[Project_ID],0))</f>
        <v>210035-51 VBB 3rd - new bridge</v>
      </c>
      <c r="H522" s="1" t="str">
        <f t="shared" si="18"/>
        <v>Normal Time</v>
      </c>
      <c r="I522" s="1"/>
      <c r="J522" s="15">
        <v>5.5</v>
      </c>
      <c r="K522" s="15"/>
      <c r="L522" s="15"/>
      <c r="M522" s="15"/>
      <c r="N522" s="15"/>
      <c r="O522" s="15" t="str">
        <f>INDEX(projects[job number],MATCH(TimeEntry[[#This Row],[Project_ID]], projects[Project_ID],0))</f>
        <v>210035-51</v>
      </c>
      <c r="P522" s="15" t="str">
        <f>INDEX(projects[Project_Name],MATCH(TimeEntry[[#This Row],[Project_ID]], projects[Project_ID],0))</f>
        <v>VBB 3rd - new bridge</v>
      </c>
      <c r="Q522" s="6">
        <f>IF(TimeEntry[[#This Row],[Date]]=0,"",WEEKDAY(C522,2))</f>
        <v>4</v>
      </c>
      <c r="R522" s="9">
        <f>YEAR(TimeEntry[[#This Row],[WkEnd]])</f>
        <v>2019</v>
      </c>
      <c r="S522" s="9">
        <f>WEEKNUM(TimeEntry[[#This Row],[WkEnd]])</f>
        <v>40</v>
      </c>
      <c r="T522" s="9" t="str">
        <f>TimeEntry[[#This Row],[Year]]&amp;"-"&amp;TimeEntry[[#This Row],[WkNo]]</f>
        <v>2019-40</v>
      </c>
    </row>
    <row r="523" spans="1:20" x14ac:dyDescent="0.25">
      <c r="A523" s="6">
        <f>MOD(IF(ROW()=2,0.1,IF(INDEX(TimeEntry[WkEnd],ROW()-1)  =  INDEX(TimeEntry[WkEnd],ROW()-2),    INDEX(TimeEntry[format],ROW()-2),    INDEX(TimeEntry[format],ROW()-2)    +1)),2)</f>
        <v>0.10000000000000009</v>
      </c>
      <c r="B523" s="7"/>
      <c r="C523" s="8">
        <v>43735</v>
      </c>
      <c r="D523" s="8"/>
      <c r="E523" s="1" t="s">
        <v>453</v>
      </c>
      <c r="F523" s="8">
        <f>IF(TimeEntry[[#This Row],[Date]]=0,F522,C523+(7-Q523))</f>
        <v>43737</v>
      </c>
      <c r="G523" s="35" t="str">
        <f>INDEX(projects[Charge_Code],MATCH(TimeEntry[[#This Row],[Project_ID]],projects[Project_ID],0))</f>
        <v>268017-25  KSC - Tunnel</v>
      </c>
      <c r="H523" s="1" t="str">
        <f t="shared" si="18"/>
        <v>Normal Time</v>
      </c>
      <c r="I523" s="1"/>
      <c r="J523" s="15">
        <v>2</v>
      </c>
      <c r="K523" s="15"/>
      <c r="L523" s="15"/>
      <c r="M523" s="15"/>
      <c r="N523" s="15"/>
      <c r="O523" s="15" t="str">
        <f>INDEX(projects[job number],MATCH(TimeEntry[[#This Row],[Project_ID]], projects[Project_ID],0))</f>
        <v xml:space="preserve">268017-25 </v>
      </c>
      <c r="P523" s="15" t="str">
        <f>INDEX(projects[Project_Name],MATCH(TimeEntry[[#This Row],[Project_ID]], projects[Project_ID],0))</f>
        <v>KSC - Tunnel</v>
      </c>
      <c r="Q523" s="6">
        <f>IF(TimeEntry[[#This Row],[Date]]=0,"",WEEKDAY(C523,2))</f>
        <v>5</v>
      </c>
      <c r="R523" s="9">
        <f>YEAR(TimeEntry[[#This Row],[WkEnd]])</f>
        <v>2019</v>
      </c>
      <c r="S523" s="9">
        <f>WEEKNUM(TimeEntry[[#This Row],[WkEnd]])</f>
        <v>40</v>
      </c>
      <c r="T523" s="9" t="str">
        <f>TimeEntry[[#This Row],[Year]]&amp;"-"&amp;TimeEntry[[#This Row],[WkNo]]</f>
        <v>2019-40</v>
      </c>
    </row>
    <row r="524" spans="1:20" x14ac:dyDescent="0.25">
      <c r="A524" s="6">
        <f>MOD(IF(ROW()=2,0.1,IF(INDEX(TimeEntry[WkEnd],ROW()-1)  =  INDEX(TimeEntry[WkEnd],ROW()-2),    INDEX(TimeEntry[format],ROW()-2),    INDEX(TimeEntry[format],ROW()-2)    +1)),2)</f>
        <v>0.10000000000000009</v>
      </c>
      <c r="B524" s="7"/>
      <c r="C524" s="8">
        <v>43735</v>
      </c>
      <c r="D524" s="8"/>
      <c r="E524" s="1" t="s">
        <v>454</v>
      </c>
      <c r="F524" s="8">
        <f>IF(TimeEntry[[#This Row],[Date]]=0,F523,C524+(7-Q524))</f>
        <v>43737</v>
      </c>
      <c r="G524" s="35" t="str">
        <f>INDEX(projects[Charge_Code],MATCH(TimeEntry[[#This Row],[Project_ID]],projects[Project_ID],0))</f>
        <v>210035-51 VBB 3rd - new bridge</v>
      </c>
      <c r="H524" s="1" t="str">
        <f t="shared" si="18"/>
        <v>Normal Time</v>
      </c>
      <c r="I524" s="1"/>
      <c r="J524" s="15">
        <v>3</v>
      </c>
      <c r="K524" s="15"/>
      <c r="L524" s="15"/>
      <c r="M524" s="15"/>
      <c r="N524" s="15"/>
      <c r="O524" s="15" t="str">
        <f>INDEX(projects[job number],MATCH(TimeEntry[[#This Row],[Project_ID]], projects[Project_ID],0))</f>
        <v>210035-51</v>
      </c>
      <c r="P524" s="15" t="str">
        <f>INDEX(projects[Project_Name],MATCH(TimeEntry[[#This Row],[Project_ID]], projects[Project_ID],0))</f>
        <v>VBB 3rd - new bridge</v>
      </c>
      <c r="Q524" s="6">
        <f>IF(TimeEntry[[#This Row],[Date]]=0,"",WEEKDAY(C524,2))</f>
        <v>5</v>
      </c>
      <c r="R524" s="9">
        <f>YEAR(TimeEntry[[#This Row],[WkEnd]])</f>
        <v>2019</v>
      </c>
      <c r="S524" s="9">
        <f>WEEKNUM(TimeEntry[[#This Row],[WkEnd]])</f>
        <v>40</v>
      </c>
      <c r="T524" s="9" t="str">
        <f>TimeEntry[[#This Row],[Year]]&amp;"-"&amp;TimeEntry[[#This Row],[WkNo]]</f>
        <v>2019-40</v>
      </c>
    </row>
    <row r="525" spans="1:20" x14ac:dyDescent="0.25">
      <c r="A525" s="6">
        <f>MOD(IF(ROW()=2,0.1,IF(INDEX(TimeEntry[WkEnd],ROW()-1)  =  INDEX(TimeEntry[WkEnd],ROW()-2),    INDEX(TimeEntry[format],ROW()-2),    INDEX(TimeEntry[format],ROW()-2)    +1)),2)</f>
        <v>0.10000000000000009</v>
      </c>
      <c r="B525" s="7"/>
      <c r="C525" s="8">
        <v>43735</v>
      </c>
      <c r="D525" s="8"/>
      <c r="E525" s="1" t="s">
        <v>454</v>
      </c>
      <c r="F525" s="8">
        <f>IF(TimeEntry[[#This Row],[Date]]=0,F524,C525+(7-Q525))</f>
        <v>43737</v>
      </c>
      <c r="G525" s="35" t="str">
        <f>INDEX(projects[Charge_Code],MATCH(TimeEntry[[#This Row],[Project_ID]],projects[Project_ID],0))</f>
        <v>210035-51 VBB 3rd - new bridge</v>
      </c>
      <c r="H525" s="1" t="str">
        <f t="shared" si="18"/>
        <v>Normal Time</v>
      </c>
      <c r="I525" s="1"/>
      <c r="J525" s="15">
        <v>2.5</v>
      </c>
      <c r="K525" s="15"/>
      <c r="L525" s="15"/>
      <c r="M525" s="15"/>
      <c r="N525" s="15"/>
      <c r="O525" s="15" t="str">
        <f>INDEX(projects[job number],MATCH(TimeEntry[[#This Row],[Project_ID]], projects[Project_ID],0))</f>
        <v>210035-51</v>
      </c>
      <c r="P525" s="15" t="str">
        <f>INDEX(projects[Project_Name],MATCH(TimeEntry[[#This Row],[Project_ID]], projects[Project_ID],0))</f>
        <v>VBB 3rd - new bridge</v>
      </c>
      <c r="Q525" s="6">
        <f>IF(TimeEntry[[#This Row],[Date]]=0,"",WEEKDAY(C525,2))</f>
        <v>5</v>
      </c>
      <c r="R525" s="9">
        <f>YEAR(TimeEntry[[#This Row],[WkEnd]])</f>
        <v>2019</v>
      </c>
      <c r="S525" s="9">
        <f>WEEKNUM(TimeEntry[[#This Row],[WkEnd]])</f>
        <v>40</v>
      </c>
      <c r="T525" s="9" t="str">
        <f>TimeEntry[[#This Row],[Year]]&amp;"-"&amp;TimeEntry[[#This Row],[WkNo]]</f>
        <v>2019-40</v>
      </c>
    </row>
    <row r="526" spans="1:20" x14ac:dyDescent="0.25">
      <c r="A526" s="6">
        <f>MOD(IF(ROW()=2,0.1,IF(INDEX(TimeEntry[WkEnd],ROW()-1)  =  INDEX(TimeEntry[WkEnd],ROW()-2),    INDEX(TimeEntry[format],ROW()-2),    INDEX(TimeEntry[format],ROW()-2)    +1)),2)</f>
        <v>1.1000000000000001</v>
      </c>
      <c r="B526" s="7"/>
      <c r="C526" s="8">
        <v>43724</v>
      </c>
      <c r="D526" s="8"/>
      <c r="E526" s="1" t="s">
        <v>453</v>
      </c>
      <c r="F526" s="8">
        <f>IF(TimeEntry[[#This Row],[Date]]=0,F525,C526+(7-Q526))</f>
        <v>43730</v>
      </c>
      <c r="G526" s="35" t="str">
        <f>INDEX(projects[Charge_Code],MATCH(TimeEntry[[#This Row],[Project_ID]],projects[Project_ID],0))</f>
        <v>268017-25  KSC - Tunnel</v>
      </c>
      <c r="H526" s="1" t="str">
        <f t="shared" si="18"/>
        <v>Normal Time</v>
      </c>
      <c r="I526" s="1"/>
      <c r="J526" s="15">
        <v>7.5</v>
      </c>
      <c r="K526" s="15"/>
      <c r="L526" s="15"/>
      <c r="M526" s="15"/>
      <c r="N526" s="15"/>
      <c r="O526" s="15" t="str">
        <f>INDEX(projects[job number],MATCH(TimeEntry[[#This Row],[Project_ID]], projects[Project_ID],0))</f>
        <v xml:space="preserve">268017-25 </v>
      </c>
      <c r="P526" s="15" t="str">
        <f>INDEX(projects[Project_Name],MATCH(TimeEntry[[#This Row],[Project_ID]], projects[Project_ID],0))</f>
        <v>KSC - Tunnel</v>
      </c>
      <c r="Q526" s="6">
        <f>IF(TimeEntry[[#This Row],[Date]]=0,"",WEEKDAY(C526,2))</f>
        <v>1</v>
      </c>
      <c r="R526" s="9">
        <f>YEAR(TimeEntry[[#This Row],[WkEnd]])</f>
        <v>2019</v>
      </c>
      <c r="S526" s="9">
        <f>WEEKNUM(TimeEntry[[#This Row],[WkEnd]])</f>
        <v>39</v>
      </c>
      <c r="T526" s="9" t="str">
        <f>TimeEntry[[#This Row],[Year]]&amp;"-"&amp;TimeEntry[[#This Row],[WkNo]]</f>
        <v>2019-39</v>
      </c>
    </row>
    <row r="527" spans="1:20" x14ac:dyDescent="0.25">
      <c r="A527" s="6">
        <f>MOD(IF(ROW()=2,0.1,IF(INDEX(TimeEntry[WkEnd],ROW()-1)  =  INDEX(TimeEntry[WkEnd],ROW()-2),    INDEX(TimeEntry[format],ROW()-2),    INDEX(TimeEntry[format],ROW()-2)    +1)),2)</f>
        <v>1.1000000000000001</v>
      </c>
      <c r="B527" s="7"/>
      <c r="C527" s="8">
        <v>43725</v>
      </c>
      <c r="D527" s="8"/>
      <c r="E527" s="1" t="s">
        <v>453</v>
      </c>
      <c r="F527" s="8">
        <f>IF(TimeEntry[[#This Row],[Date]]=0,F526,C527+(7-Q527))</f>
        <v>43730</v>
      </c>
      <c r="G527" s="35" t="str">
        <f>INDEX(projects[Charge_Code],MATCH(TimeEntry[[#This Row],[Project_ID]],projects[Project_ID],0))</f>
        <v>268017-25  KSC - Tunnel</v>
      </c>
      <c r="H527" s="1" t="str">
        <f t="shared" si="18"/>
        <v>Normal Time</v>
      </c>
      <c r="I527" s="1"/>
      <c r="J527" s="15">
        <v>7.5</v>
      </c>
      <c r="K527" s="15"/>
      <c r="L527" s="15"/>
      <c r="M527" s="15"/>
      <c r="N527" s="15"/>
      <c r="O527" s="15" t="str">
        <f>INDEX(projects[job number],MATCH(TimeEntry[[#This Row],[Project_ID]], projects[Project_ID],0))</f>
        <v xml:space="preserve">268017-25 </v>
      </c>
      <c r="P527" s="15" t="str">
        <f>INDEX(projects[Project_Name],MATCH(TimeEntry[[#This Row],[Project_ID]], projects[Project_ID],0))</f>
        <v>KSC - Tunnel</v>
      </c>
      <c r="Q527" s="6">
        <f>IF(TimeEntry[[#This Row],[Date]]=0,"",WEEKDAY(C527,2))</f>
        <v>2</v>
      </c>
      <c r="R527" s="9">
        <f>YEAR(TimeEntry[[#This Row],[WkEnd]])</f>
        <v>2019</v>
      </c>
      <c r="S527" s="9">
        <f>WEEKNUM(TimeEntry[[#This Row],[WkEnd]])</f>
        <v>39</v>
      </c>
      <c r="T527" s="9" t="str">
        <f>TimeEntry[[#This Row],[Year]]&amp;"-"&amp;TimeEntry[[#This Row],[WkNo]]</f>
        <v>2019-39</v>
      </c>
    </row>
    <row r="528" spans="1:20" x14ac:dyDescent="0.25">
      <c r="A528" s="6">
        <f>MOD(IF(ROW()=2,0.1,IF(INDEX(TimeEntry[WkEnd],ROW()-1)  =  INDEX(TimeEntry[WkEnd],ROW()-2),    INDEX(TimeEntry[format],ROW()-2),    INDEX(TimeEntry[format],ROW()-2)    +1)),2)</f>
        <v>1.1000000000000001</v>
      </c>
      <c r="B528" s="7"/>
      <c r="C528" s="8">
        <v>43726</v>
      </c>
      <c r="D528" s="8"/>
      <c r="E528" s="1" t="s">
        <v>453</v>
      </c>
      <c r="F528" s="8">
        <f>IF(TimeEntry[[#This Row],[Date]]=0,F527,C528+(7-Q528))</f>
        <v>43730</v>
      </c>
      <c r="G528" s="35" t="str">
        <f>INDEX(projects[Charge_Code],MATCH(TimeEntry[[#This Row],[Project_ID]],projects[Project_ID],0))</f>
        <v>268017-25  KSC - Tunnel</v>
      </c>
      <c r="H528" s="1" t="str">
        <f t="shared" si="18"/>
        <v>Normal Time</v>
      </c>
      <c r="I528" s="1"/>
      <c r="J528" s="15">
        <v>7.5</v>
      </c>
      <c r="K528" s="15"/>
      <c r="L528" s="15"/>
      <c r="M528" s="15"/>
      <c r="N528" s="15"/>
      <c r="O528" s="15" t="str">
        <f>INDEX(projects[job number],MATCH(TimeEntry[[#This Row],[Project_ID]], projects[Project_ID],0))</f>
        <v xml:space="preserve">268017-25 </v>
      </c>
      <c r="P528" s="15" t="str">
        <f>INDEX(projects[Project_Name],MATCH(TimeEntry[[#This Row],[Project_ID]], projects[Project_ID],0))</f>
        <v>KSC - Tunnel</v>
      </c>
      <c r="Q528" s="6">
        <f>IF(TimeEntry[[#This Row],[Date]]=0,"",WEEKDAY(C528,2))</f>
        <v>3</v>
      </c>
      <c r="R528" s="9">
        <f>YEAR(TimeEntry[[#This Row],[WkEnd]])</f>
        <v>2019</v>
      </c>
      <c r="S528" s="9">
        <f>WEEKNUM(TimeEntry[[#This Row],[WkEnd]])</f>
        <v>39</v>
      </c>
      <c r="T528" s="9" t="str">
        <f>TimeEntry[[#This Row],[Year]]&amp;"-"&amp;TimeEntry[[#This Row],[WkNo]]</f>
        <v>2019-39</v>
      </c>
    </row>
    <row r="529" spans="1:20" x14ac:dyDescent="0.25">
      <c r="A529" s="6">
        <f>MOD(IF(ROW()=2,0.1,IF(INDEX(TimeEntry[WkEnd],ROW()-1)  =  INDEX(TimeEntry[WkEnd],ROW()-2),    INDEX(TimeEntry[format],ROW()-2),    INDEX(TimeEntry[format],ROW()-2)    +1)),2)</f>
        <v>1.1000000000000001</v>
      </c>
      <c r="B529" s="7"/>
      <c r="C529" s="8">
        <v>43727</v>
      </c>
      <c r="D529" s="8"/>
      <c r="E529" s="1" t="s">
        <v>453</v>
      </c>
      <c r="F529" s="8">
        <f>IF(TimeEntry[[#This Row],[Date]]=0,F528,C529+(7-Q529))</f>
        <v>43730</v>
      </c>
      <c r="G529" s="35" t="str">
        <f>INDEX(projects[Charge_Code],MATCH(TimeEntry[[#This Row],[Project_ID]],projects[Project_ID],0))</f>
        <v>268017-25  KSC - Tunnel</v>
      </c>
      <c r="H529" s="1" t="str">
        <f t="shared" si="18"/>
        <v>Normal Time</v>
      </c>
      <c r="I529" s="1"/>
      <c r="J529" s="15">
        <v>7.5</v>
      </c>
      <c r="K529" s="15"/>
      <c r="L529" s="15"/>
      <c r="M529" s="15"/>
      <c r="N529" s="15"/>
      <c r="O529" s="15" t="str">
        <f>INDEX(projects[job number],MATCH(TimeEntry[[#This Row],[Project_ID]], projects[Project_ID],0))</f>
        <v xml:space="preserve">268017-25 </v>
      </c>
      <c r="P529" s="15" t="str">
        <f>INDEX(projects[Project_Name],MATCH(TimeEntry[[#This Row],[Project_ID]], projects[Project_ID],0))</f>
        <v>KSC - Tunnel</v>
      </c>
      <c r="Q529" s="6">
        <f>IF(TimeEntry[[#This Row],[Date]]=0,"",WEEKDAY(C529,2))</f>
        <v>4</v>
      </c>
      <c r="R529" s="9">
        <f>YEAR(TimeEntry[[#This Row],[WkEnd]])</f>
        <v>2019</v>
      </c>
      <c r="S529" s="9">
        <f>WEEKNUM(TimeEntry[[#This Row],[WkEnd]])</f>
        <v>39</v>
      </c>
      <c r="T529" s="9" t="str">
        <f>TimeEntry[[#This Row],[Year]]&amp;"-"&amp;TimeEntry[[#This Row],[WkNo]]</f>
        <v>2019-39</v>
      </c>
    </row>
    <row r="530" spans="1:20" x14ac:dyDescent="0.25">
      <c r="A530" s="6">
        <f>MOD(IF(ROW()=2,0.1,IF(INDEX(TimeEntry[WkEnd],ROW()-1)  =  INDEX(TimeEntry[WkEnd],ROW()-2),    INDEX(TimeEntry[format],ROW()-2),    INDEX(TimeEntry[format],ROW()-2)    +1)),2)</f>
        <v>1.1000000000000001</v>
      </c>
      <c r="B530" s="7"/>
      <c r="C530" s="8">
        <v>43728</v>
      </c>
      <c r="D530" s="8"/>
      <c r="E530" s="1" t="s">
        <v>453</v>
      </c>
      <c r="F530" s="8">
        <f>IF(TimeEntry[[#This Row],[Date]]=0,F529,C530+(7-Q530))</f>
        <v>43730</v>
      </c>
      <c r="G530" s="35" t="str">
        <f>INDEX(projects[Charge_Code],MATCH(TimeEntry[[#This Row],[Project_ID]],projects[Project_ID],0))</f>
        <v>268017-25  KSC - Tunnel</v>
      </c>
      <c r="H530" s="1" t="str">
        <f t="shared" si="18"/>
        <v>Normal Time</v>
      </c>
      <c r="I530" s="1"/>
      <c r="J530" s="15">
        <v>7.5</v>
      </c>
      <c r="K530" s="15"/>
      <c r="L530" s="15"/>
      <c r="M530" s="15"/>
      <c r="N530" s="15"/>
      <c r="O530" s="15" t="str">
        <f>INDEX(projects[job number],MATCH(TimeEntry[[#This Row],[Project_ID]], projects[Project_ID],0))</f>
        <v xml:space="preserve">268017-25 </v>
      </c>
      <c r="P530" s="15" t="str">
        <f>INDEX(projects[Project_Name],MATCH(TimeEntry[[#This Row],[Project_ID]], projects[Project_ID],0))</f>
        <v>KSC - Tunnel</v>
      </c>
      <c r="Q530" s="6">
        <f>IF(TimeEntry[[#This Row],[Date]]=0,"",WEEKDAY(C530,2))</f>
        <v>5</v>
      </c>
      <c r="R530" s="9">
        <f>YEAR(TimeEntry[[#This Row],[WkEnd]])</f>
        <v>2019</v>
      </c>
      <c r="S530" s="9">
        <f>WEEKNUM(TimeEntry[[#This Row],[WkEnd]])</f>
        <v>39</v>
      </c>
      <c r="T530" s="9" t="str">
        <f>TimeEntry[[#This Row],[Year]]&amp;"-"&amp;TimeEntry[[#This Row],[WkNo]]</f>
        <v>2019-39</v>
      </c>
    </row>
    <row r="531" spans="1:20" x14ac:dyDescent="0.25">
      <c r="A531" s="6">
        <f>MOD(IF(ROW()=2,0.1,IF(INDEX(TimeEntry[WkEnd],ROW()-1)  =  INDEX(TimeEntry[WkEnd],ROW()-2),    INDEX(TimeEntry[format],ROW()-2),    INDEX(TimeEntry[format],ROW()-2)    +1)),2)</f>
        <v>0.10000000000000009</v>
      </c>
      <c r="B531" s="7"/>
      <c r="C531" s="8">
        <v>43717</v>
      </c>
      <c r="D531" s="8"/>
      <c r="E531" s="1" t="s">
        <v>453</v>
      </c>
      <c r="F531" s="8">
        <f>IF(TimeEntry[[#This Row],[Date]]=0,F530,C531+(7-Q531))</f>
        <v>43723</v>
      </c>
      <c r="G531" s="35" t="str">
        <f>INDEX(projects[Charge_Code],MATCH(TimeEntry[[#This Row],[Project_ID]],projects[Project_ID],0))</f>
        <v>268017-25  KSC - Tunnel</v>
      </c>
      <c r="H531" s="1" t="str">
        <f t="shared" si="18"/>
        <v>Normal Time</v>
      </c>
      <c r="I531" s="1"/>
      <c r="J531" s="15">
        <v>7.5</v>
      </c>
      <c r="K531" s="15"/>
      <c r="L531" s="15"/>
      <c r="M531" s="15"/>
      <c r="N531" s="15"/>
      <c r="O531" s="15" t="str">
        <f>INDEX(projects[job number],MATCH(TimeEntry[[#This Row],[Project_ID]], projects[Project_ID],0))</f>
        <v xml:space="preserve">268017-25 </v>
      </c>
      <c r="P531" s="15" t="str">
        <f>INDEX(projects[Project_Name],MATCH(TimeEntry[[#This Row],[Project_ID]], projects[Project_ID],0))</f>
        <v>KSC - Tunnel</v>
      </c>
      <c r="Q531" s="6">
        <f>IF(TimeEntry[[#This Row],[Date]]=0,"",WEEKDAY(C531,2))</f>
        <v>1</v>
      </c>
      <c r="R531" s="9">
        <f>YEAR(TimeEntry[[#This Row],[WkEnd]])</f>
        <v>2019</v>
      </c>
      <c r="S531" s="9">
        <f>WEEKNUM(TimeEntry[[#This Row],[WkEnd]])</f>
        <v>38</v>
      </c>
      <c r="T531" s="9" t="str">
        <f>TimeEntry[[#This Row],[Year]]&amp;"-"&amp;TimeEntry[[#This Row],[WkNo]]</f>
        <v>2019-38</v>
      </c>
    </row>
    <row r="532" spans="1:20" x14ac:dyDescent="0.25">
      <c r="A532" s="6">
        <f>MOD(IF(ROW()=2,0.1,IF(INDEX(TimeEntry[WkEnd],ROW()-1)  =  INDEX(TimeEntry[WkEnd],ROW()-2),    INDEX(TimeEntry[format],ROW()-2),    INDEX(TimeEntry[format],ROW()-2)    +1)),2)</f>
        <v>0.10000000000000009</v>
      </c>
      <c r="B532" s="7"/>
      <c r="C532" s="8">
        <v>43718</v>
      </c>
      <c r="D532" s="8"/>
      <c r="E532" s="1" t="s">
        <v>458</v>
      </c>
      <c r="F532" s="8">
        <f>IF(TimeEntry[[#This Row],[Date]]=0,F531,C532+(7-Q532))</f>
        <v>43723</v>
      </c>
      <c r="G532" s="35" t="str">
        <f>INDEX(projects[Charge_Code],MATCH(TimeEntry[[#This Row],[Project_ID]],projects[Project_ID],0))</f>
        <v>265720-20 VBB - Assessment</v>
      </c>
      <c r="H532" s="1" t="str">
        <f t="shared" si="18"/>
        <v>Normal Time</v>
      </c>
      <c r="I532" s="1"/>
      <c r="J532" s="15">
        <v>7.5</v>
      </c>
      <c r="K532" s="15"/>
      <c r="L532" s="15"/>
      <c r="M532" s="15"/>
      <c r="N532" s="15"/>
      <c r="O532" s="15" t="str">
        <f>INDEX(projects[job number],MATCH(TimeEntry[[#This Row],[Project_ID]], projects[Project_ID],0))</f>
        <v>265720-20</v>
      </c>
      <c r="P532" s="15" t="str">
        <f>INDEX(projects[Project_Name],MATCH(TimeEntry[[#This Row],[Project_ID]], projects[Project_ID],0))</f>
        <v>VBB - Assessment</v>
      </c>
      <c r="Q532" s="6">
        <f>IF(TimeEntry[[#This Row],[Date]]=0,"",WEEKDAY(C532,2))</f>
        <v>2</v>
      </c>
      <c r="R532" s="9">
        <f>YEAR(TimeEntry[[#This Row],[WkEnd]])</f>
        <v>2019</v>
      </c>
      <c r="S532" s="9">
        <f>WEEKNUM(TimeEntry[[#This Row],[WkEnd]])</f>
        <v>38</v>
      </c>
      <c r="T532" s="9" t="str">
        <f>TimeEntry[[#This Row],[Year]]&amp;"-"&amp;TimeEntry[[#This Row],[WkNo]]</f>
        <v>2019-38</v>
      </c>
    </row>
    <row r="533" spans="1:20" x14ac:dyDescent="0.25">
      <c r="A533" s="6">
        <f>MOD(IF(ROW()=2,0.1,IF(INDEX(TimeEntry[WkEnd],ROW()-1)  =  INDEX(TimeEntry[WkEnd],ROW()-2),    INDEX(TimeEntry[format],ROW()-2),    INDEX(TimeEntry[format],ROW()-2)    +1)),2)</f>
        <v>0.10000000000000009</v>
      </c>
      <c r="B533" s="7"/>
      <c r="C533" s="8">
        <v>43719</v>
      </c>
      <c r="D533" s="8"/>
      <c r="E533" s="1" t="s">
        <v>454</v>
      </c>
      <c r="F533" s="8">
        <f>IF(TimeEntry[[#This Row],[Date]]=0,F532,C533+(7-Q533))</f>
        <v>43723</v>
      </c>
      <c r="G533" s="35" t="str">
        <f>INDEX(projects[Charge_Code],MATCH(TimeEntry[[#This Row],[Project_ID]],projects[Project_ID],0))</f>
        <v>210035-51 VBB 3rd - new bridge</v>
      </c>
      <c r="H533" s="1" t="str">
        <f t="shared" si="18"/>
        <v>Normal Time</v>
      </c>
      <c r="I533" s="1"/>
      <c r="J533" s="15">
        <v>7.5</v>
      </c>
      <c r="K533" s="15"/>
      <c r="L533" s="15"/>
      <c r="M533" s="15"/>
      <c r="N533" s="15"/>
      <c r="O533" s="15" t="str">
        <f>INDEX(projects[job number],MATCH(TimeEntry[[#This Row],[Project_ID]], projects[Project_ID],0))</f>
        <v>210035-51</v>
      </c>
      <c r="P533" s="15" t="str">
        <f>INDEX(projects[Project_Name],MATCH(TimeEntry[[#This Row],[Project_ID]], projects[Project_ID],0))</f>
        <v>VBB 3rd - new bridge</v>
      </c>
      <c r="Q533" s="6">
        <f>IF(TimeEntry[[#This Row],[Date]]=0,"",WEEKDAY(C533,2))</f>
        <v>3</v>
      </c>
      <c r="R533" s="9">
        <f>YEAR(TimeEntry[[#This Row],[WkEnd]])</f>
        <v>2019</v>
      </c>
      <c r="S533" s="9">
        <f>WEEKNUM(TimeEntry[[#This Row],[WkEnd]])</f>
        <v>38</v>
      </c>
      <c r="T533" s="9" t="str">
        <f>TimeEntry[[#This Row],[Year]]&amp;"-"&amp;TimeEntry[[#This Row],[WkNo]]</f>
        <v>2019-38</v>
      </c>
    </row>
    <row r="534" spans="1:20" x14ac:dyDescent="0.25">
      <c r="A534" s="6">
        <f>MOD(IF(ROW()=2,0.1,IF(INDEX(TimeEntry[WkEnd],ROW()-1)  =  INDEX(TimeEntry[WkEnd],ROW()-2),    INDEX(TimeEntry[format],ROW()-2),    INDEX(TimeEntry[format],ROW()-2)    +1)),2)</f>
        <v>0.10000000000000009</v>
      </c>
      <c r="B534" s="7"/>
      <c r="C534" s="8">
        <v>43720</v>
      </c>
      <c r="D534" s="8"/>
      <c r="E534" s="1" t="s">
        <v>454</v>
      </c>
      <c r="F534" s="8">
        <f>IF(TimeEntry[[#This Row],[Date]]=0,F533,C534+(7-Q534))</f>
        <v>43723</v>
      </c>
      <c r="G534" s="35" t="str">
        <f>INDEX(projects[Charge_Code],MATCH(TimeEntry[[#This Row],[Project_ID]],projects[Project_ID],0))</f>
        <v>210035-51 VBB 3rd - new bridge</v>
      </c>
      <c r="H534" s="1" t="str">
        <f t="shared" si="18"/>
        <v>Normal Time</v>
      </c>
      <c r="I534" s="1"/>
      <c r="J534" s="15">
        <v>7.5</v>
      </c>
      <c r="K534" s="15"/>
      <c r="L534" s="15"/>
      <c r="M534" s="15"/>
      <c r="N534" s="15"/>
      <c r="O534" s="15" t="str">
        <f>INDEX(projects[job number],MATCH(TimeEntry[[#This Row],[Project_ID]], projects[Project_ID],0))</f>
        <v>210035-51</v>
      </c>
      <c r="P534" s="15" t="str">
        <f>INDEX(projects[Project_Name],MATCH(TimeEntry[[#This Row],[Project_ID]], projects[Project_ID],0))</f>
        <v>VBB 3rd - new bridge</v>
      </c>
      <c r="Q534" s="6">
        <f>IF(TimeEntry[[#This Row],[Date]]=0,"",WEEKDAY(C534,2))</f>
        <v>4</v>
      </c>
      <c r="R534" s="9">
        <f>YEAR(TimeEntry[[#This Row],[WkEnd]])</f>
        <v>2019</v>
      </c>
      <c r="S534" s="9">
        <f>WEEKNUM(TimeEntry[[#This Row],[WkEnd]])</f>
        <v>38</v>
      </c>
      <c r="T534" s="9" t="str">
        <f>TimeEntry[[#This Row],[Year]]&amp;"-"&amp;TimeEntry[[#This Row],[WkNo]]</f>
        <v>2019-38</v>
      </c>
    </row>
    <row r="535" spans="1:20" x14ac:dyDescent="0.25">
      <c r="A535" s="6">
        <f>MOD(IF(ROW()=2,0.1,IF(INDEX(TimeEntry[WkEnd],ROW()-1)  =  INDEX(TimeEntry[WkEnd],ROW()-2),    INDEX(TimeEntry[format],ROW()-2),    INDEX(TimeEntry[format],ROW()-2)    +1)),2)</f>
        <v>0.10000000000000009</v>
      </c>
      <c r="B535" s="7"/>
      <c r="C535" s="8">
        <v>43721</v>
      </c>
      <c r="D535" s="8"/>
      <c r="E535" s="1" t="s">
        <v>458</v>
      </c>
      <c r="F535" s="8">
        <f>IF(TimeEntry[[#This Row],[Date]]=0,F534,C535+(7-Q535))</f>
        <v>43723</v>
      </c>
      <c r="G535" s="35" t="str">
        <f>INDEX(projects[Charge_Code],MATCH(TimeEntry[[#This Row],[Project_ID]],projects[Project_ID],0))</f>
        <v>265720-20 VBB - Assessment</v>
      </c>
      <c r="H535" s="1" t="str">
        <f t="shared" si="18"/>
        <v>Normal Time</v>
      </c>
      <c r="I535" s="1"/>
      <c r="J535" s="15">
        <v>7.5</v>
      </c>
      <c r="K535" s="15"/>
      <c r="L535" s="15"/>
      <c r="M535" s="15"/>
      <c r="N535" s="15"/>
      <c r="O535" s="15" t="str">
        <f>INDEX(projects[job number],MATCH(TimeEntry[[#This Row],[Project_ID]], projects[Project_ID],0))</f>
        <v>265720-20</v>
      </c>
      <c r="P535" s="15" t="str">
        <f>INDEX(projects[Project_Name],MATCH(TimeEntry[[#This Row],[Project_ID]], projects[Project_ID],0))</f>
        <v>VBB - Assessment</v>
      </c>
      <c r="Q535" s="6">
        <f>IF(TimeEntry[[#This Row],[Date]]=0,"",WEEKDAY(C535,2))</f>
        <v>5</v>
      </c>
      <c r="R535" s="9">
        <f>YEAR(TimeEntry[[#This Row],[WkEnd]])</f>
        <v>2019</v>
      </c>
      <c r="S535" s="9">
        <f>WEEKNUM(TimeEntry[[#This Row],[WkEnd]])</f>
        <v>38</v>
      </c>
      <c r="T535" s="9" t="str">
        <f>TimeEntry[[#This Row],[Year]]&amp;"-"&amp;TimeEntry[[#This Row],[WkNo]]</f>
        <v>2019-38</v>
      </c>
    </row>
    <row r="536" spans="1:20" x14ac:dyDescent="0.25">
      <c r="A536" s="6">
        <f>MOD(IF(ROW()=2,0.1,IF(INDEX(TimeEntry[WkEnd],ROW()-1)  =  INDEX(TimeEntry[WkEnd],ROW()-2),    INDEX(TimeEntry[format],ROW()-2),    INDEX(TimeEntry[format],ROW()-2)    +1)),2)</f>
        <v>1.1000000000000001</v>
      </c>
      <c r="B536" s="7"/>
      <c r="C536" s="8">
        <v>43714</v>
      </c>
      <c r="D536" s="8"/>
      <c r="E536" s="1" t="s">
        <v>444</v>
      </c>
      <c r="F536" s="8">
        <f>IF(TimeEntry[[#This Row],[Date]]=0,F535,C536+(7-Q536))</f>
        <v>43716</v>
      </c>
      <c r="G536" s="35" t="str">
        <f>INDEX(projects[Charge_Code],MATCH(TimeEntry[[#This Row],[Project_ID]],projects[Project_ID],0))</f>
        <v>LEAVE</v>
      </c>
      <c r="H536" s="1" t="str">
        <f t="shared" si="18"/>
        <v>Normal Time</v>
      </c>
      <c r="I536" s="1"/>
      <c r="J536" s="15">
        <v>7.5</v>
      </c>
      <c r="K536" s="15"/>
      <c r="L536" s="15"/>
      <c r="M536" s="15"/>
      <c r="N536" s="15"/>
      <c r="O536" s="15" t="str">
        <f>INDEX(projects[job number],MATCH(TimeEntry[[#This Row],[Project_ID]], projects[Project_ID],0))</f>
        <v>LEAVE</v>
      </c>
      <c r="P536" s="15">
        <f>INDEX(projects[Project_Name],MATCH(TimeEntry[[#This Row],[Project_ID]], projects[Project_ID],0))</f>
        <v>0</v>
      </c>
      <c r="Q536" s="6">
        <f>IF(TimeEntry[[#This Row],[Date]]=0,"",WEEKDAY(C536,2))</f>
        <v>5</v>
      </c>
      <c r="R536" s="9">
        <f>YEAR(TimeEntry[[#This Row],[WkEnd]])</f>
        <v>2019</v>
      </c>
      <c r="S536" s="9">
        <f>WEEKNUM(TimeEntry[[#This Row],[WkEnd]])</f>
        <v>37</v>
      </c>
      <c r="T536" s="9" t="str">
        <f>TimeEntry[[#This Row],[Year]]&amp;"-"&amp;TimeEntry[[#This Row],[WkNo]]</f>
        <v>2019-37</v>
      </c>
    </row>
    <row r="537" spans="1:20" x14ac:dyDescent="0.25">
      <c r="A537" s="6">
        <f>MOD(IF(ROW()=2,0.1,IF(INDEX(TimeEntry[WkEnd],ROW()-1)  =  INDEX(TimeEntry[WkEnd],ROW()-2),    INDEX(TimeEntry[format],ROW()-2),    INDEX(TimeEntry[format],ROW()-2)    +1)),2)</f>
        <v>1.1000000000000001</v>
      </c>
      <c r="B537" s="7"/>
      <c r="C537" s="8">
        <v>43713</v>
      </c>
      <c r="D537" s="8"/>
      <c r="E537" s="1" t="s">
        <v>444</v>
      </c>
      <c r="F537" s="8">
        <f>IF(TimeEntry[[#This Row],[Date]]=0,F536,C537+(7-Q537))</f>
        <v>43716</v>
      </c>
      <c r="G537" s="35" t="str">
        <f>INDEX(projects[Charge_Code],MATCH(TimeEntry[[#This Row],[Project_ID]],projects[Project_ID],0))</f>
        <v>LEAVE</v>
      </c>
      <c r="H537" s="1" t="str">
        <f t="shared" si="18"/>
        <v>Normal Time</v>
      </c>
      <c r="I537" s="1"/>
      <c r="J537" s="15">
        <v>7.5</v>
      </c>
      <c r="K537" s="15"/>
      <c r="L537" s="15"/>
      <c r="M537" s="15"/>
      <c r="N537" s="15"/>
      <c r="O537" s="15" t="str">
        <f>INDEX(projects[job number],MATCH(TimeEntry[[#This Row],[Project_ID]], projects[Project_ID],0))</f>
        <v>LEAVE</v>
      </c>
      <c r="P537" s="15">
        <f>INDEX(projects[Project_Name],MATCH(TimeEntry[[#This Row],[Project_ID]], projects[Project_ID],0))</f>
        <v>0</v>
      </c>
      <c r="Q537" s="6">
        <f>IF(TimeEntry[[#This Row],[Date]]=0,"",WEEKDAY(C537,2))</f>
        <v>4</v>
      </c>
      <c r="R537" s="9">
        <f>YEAR(TimeEntry[[#This Row],[WkEnd]])</f>
        <v>2019</v>
      </c>
      <c r="S537" s="9">
        <f>WEEKNUM(TimeEntry[[#This Row],[WkEnd]])</f>
        <v>37</v>
      </c>
      <c r="T537" s="9" t="str">
        <f>TimeEntry[[#This Row],[Year]]&amp;"-"&amp;TimeEntry[[#This Row],[WkNo]]</f>
        <v>2019-37</v>
      </c>
    </row>
    <row r="538" spans="1:20" x14ac:dyDescent="0.25">
      <c r="A538" s="6">
        <f>MOD(IF(ROW()=2,0.1,IF(INDEX(TimeEntry[WkEnd],ROW()-1)  =  INDEX(TimeEntry[WkEnd],ROW()-2),    INDEX(TimeEntry[format],ROW()-2),    INDEX(TimeEntry[format],ROW()-2)    +1)),2)</f>
        <v>1.1000000000000001</v>
      </c>
      <c r="B538" s="7"/>
      <c r="C538" s="8">
        <v>43712</v>
      </c>
      <c r="D538" s="8"/>
      <c r="E538" s="1" t="s">
        <v>444</v>
      </c>
      <c r="F538" s="8">
        <f>IF(TimeEntry[[#This Row],[Date]]=0,F537,C538+(7-Q538))</f>
        <v>43716</v>
      </c>
      <c r="G538" s="35" t="str">
        <f>INDEX(projects[Charge_Code],MATCH(TimeEntry[[#This Row],[Project_ID]],projects[Project_ID],0))</f>
        <v>LEAVE</v>
      </c>
      <c r="H538" s="1" t="str">
        <f t="shared" si="18"/>
        <v>Normal Time</v>
      </c>
      <c r="I538" s="1"/>
      <c r="J538" s="15">
        <v>7.5</v>
      </c>
      <c r="K538" s="15"/>
      <c r="L538" s="15"/>
      <c r="M538" s="15"/>
      <c r="N538" s="15"/>
      <c r="O538" s="15" t="str">
        <f>INDEX(projects[job number],MATCH(TimeEntry[[#This Row],[Project_ID]], projects[Project_ID],0))</f>
        <v>LEAVE</v>
      </c>
      <c r="P538" s="15">
        <f>INDEX(projects[Project_Name],MATCH(TimeEntry[[#This Row],[Project_ID]], projects[Project_ID],0))</f>
        <v>0</v>
      </c>
      <c r="Q538" s="6">
        <f>IF(TimeEntry[[#This Row],[Date]]=0,"",WEEKDAY(C538,2))</f>
        <v>3</v>
      </c>
      <c r="R538" s="9">
        <f>YEAR(TimeEntry[[#This Row],[WkEnd]])</f>
        <v>2019</v>
      </c>
      <c r="S538" s="9">
        <f>WEEKNUM(TimeEntry[[#This Row],[WkEnd]])</f>
        <v>37</v>
      </c>
      <c r="T538" s="9" t="str">
        <f>TimeEntry[[#This Row],[Year]]&amp;"-"&amp;TimeEntry[[#This Row],[WkNo]]</f>
        <v>2019-37</v>
      </c>
    </row>
    <row r="539" spans="1:20" x14ac:dyDescent="0.25">
      <c r="A539" s="6">
        <f>MOD(IF(ROW()=2,0.1,IF(INDEX(TimeEntry[WkEnd],ROW()-1)  =  INDEX(TimeEntry[WkEnd],ROW()-2),    INDEX(TimeEntry[format],ROW()-2),    INDEX(TimeEntry[format],ROW()-2)    +1)),2)</f>
        <v>1.1000000000000001</v>
      </c>
      <c r="B539" s="7"/>
      <c r="C539" s="8">
        <v>43711</v>
      </c>
      <c r="D539" s="8"/>
      <c r="E539" s="1" t="s">
        <v>444</v>
      </c>
      <c r="F539" s="8">
        <f>IF(TimeEntry[[#This Row],[Date]]=0,F538,C539+(7-Q539))</f>
        <v>43716</v>
      </c>
      <c r="G539" s="35" t="str">
        <f>INDEX(projects[Charge_Code],MATCH(TimeEntry[[#This Row],[Project_ID]],projects[Project_ID],0))</f>
        <v>LEAVE</v>
      </c>
      <c r="H539" s="1" t="str">
        <f t="shared" si="18"/>
        <v>Normal Time</v>
      </c>
      <c r="I539" s="1"/>
      <c r="J539" s="15">
        <v>7.5</v>
      </c>
      <c r="K539" s="15"/>
      <c r="L539" s="15"/>
      <c r="M539" s="15"/>
      <c r="N539" s="15"/>
      <c r="O539" s="15" t="str">
        <f>INDEX(projects[job number],MATCH(TimeEntry[[#This Row],[Project_ID]], projects[Project_ID],0))</f>
        <v>LEAVE</v>
      </c>
      <c r="P539" s="15">
        <f>INDEX(projects[Project_Name],MATCH(TimeEntry[[#This Row],[Project_ID]], projects[Project_ID],0))</f>
        <v>0</v>
      </c>
      <c r="Q539" s="6">
        <f>IF(TimeEntry[[#This Row],[Date]]=0,"",WEEKDAY(C539,2))</f>
        <v>2</v>
      </c>
      <c r="R539" s="9">
        <f>YEAR(TimeEntry[[#This Row],[WkEnd]])</f>
        <v>2019</v>
      </c>
      <c r="S539" s="9">
        <f>WEEKNUM(TimeEntry[[#This Row],[WkEnd]])</f>
        <v>37</v>
      </c>
      <c r="T539" s="9" t="str">
        <f>TimeEntry[[#This Row],[Year]]&amp;"-"&amp;TimeEntry[[#This Row],[WkNo]]</f>
        <v>2019-37</v>
      </c>
    </row>
    <row r="540" spans="1:20" x14ac:dyDescent="0.25">
      <c r="A540" s="6">
        <f>MOD(IF(ROW()=2,0.1,IF(INDEX(TimeEntry[WkEnd],ROW()-1)  =  INDEX(TimeEntry[WkEnd],ROW()-2),    INDEX(TimeEntry[format],ROW()-2),    INDEX(TimeEntry[format],ROW()-2)    +1)),2)</f>
        <v>1.1000000000000001</v>
      </c>
      <c r="B540" s="7"/>
      <c r="C540" s="8">
        <v>43710</v>
      </c>
      <c r="D540" s="8"/>
      <c r="E540" s="1" t="s">
        <v>444</v>
      </c>
      <c r="F540" s="8">
        <f>IF(TimeEntry[[#This Row],[Date]]=0,F539,C540+(7-Q540))</f>
        <v>43716</v>
      </c>
      <c r="G540" s="35" t="str">
        <f>INDEX(projects[Charge_Code],MATCH(TimeEntry[[#This Row],[Project_ID]],projects[Project_ID],0))</f>
        <v>LEAVE</v>
      </c>
      <c r="H540" s="1" t="str">
        <f t="shared" si="18"/>
        <v>Normal Time</v>
      </c>
      <c r="I540" s="1"/>
      <c r="J540" s="15">
        <v>7.5</v>
      </c>
      <c r="K540" s="15"/>
      <c r="L540" s="15"/>
      <c r="M540" s="15"/>
      <c r="N540" s="15"/>
      <c r="O540" s="15" t="str">
        <f>INDEX(projects[job number],MATCH(TimeEntry[[#This Row],[Project_ID]], projects[Project_ID],0))</f>
        <v>LEAVE</v>
      </c>
      <c r="P540" s="15">
        <f>INDEX(projects[Project_Name],MATCH(TimeEntry[[#This Row],[Project_ID]], projects[Project_ID],0))</f>
        <v>0</v>
      </c>
      <c r="Q540" s="6">
        <f>IF(TimeEntry[[#This Row],[Date]]=0,"",WEEKDAY(C540,2))</f>
        <v>1</v>
      </c>
      <c r="R540" s="9">
        <f>YEAR(TimeEntry[[#This Row],[WkEnd]])</f>
        <v>2019</v>
      </c>
      <c r="S540" s="9">
        <f>WEEKNUM(TimeEntry[[#This Row],[WkEnd]])</f>
        <v>37</v>
      </c>
      <c r="T540" s="9" t="str">
        <f>TimeEntry[[#This Row],[Year]]&amp;"-"&amp;TimeEntry[[#This Row],[WkNo]]</f>
        <v>2019-37</v>
      </c>
    </row>
    <row r="541" spans="1:20" x14ac:dyDescent="0.25">
      <c r="A541" s="6">
        <f>MOD(IF(ROW()=2,0.1,IF(INDEX(TimeEntry[WkEnd],ROW()-1)  =  INDEX(TimeEntry[WkEnd],ROW()-2),    INDEX(TimeEntry[format],ROW()-2),    INDEX(TimeEntry[format],ROW()-2)    +1)),2)</f>
        <v>0.10000000000000009</v>
      </c>
      <c r="B541" s="7"/>
      <c r="C541" s="8">
        <v>43707</v>
      </c>
      <c r="D541" s="8"/>
      <c r="E541" s="1" t="s">
        <v>444</v>
      </c>
      <c r="F541" s="8">
        <f>IF(TimeEntry[[#This Row],[Date]]=0,F540,C541+(7-Q541))</f>
        <v>43709</v>
      </c>
      <c r="G541" s="35" t="str">
        <f>INDEX(projects[Charge_Code],MATCH(TimeEntry[[#This Row],[Project_ID]],projects[Project_ID],0))</f>
        <v>LEAVE</v>
      </c>
      <c r="H541" s="1" t="str">
        <f t="shared" si="18"/>
        <v>Normal Time</v>
      </c>
      <c r="I541" s="1"/>
      <c r="J541" s="15">
        <v>7.5</v>
      </c>
      <c r="K541" s="15"/>
      <c r="L541" s="15"/>
      <c r="M541" s="15"/>
      <c r="N541" s="15"/>
      <c r="O541" s="15" t="str">
        <f>INDEX(projects[job number],MATCH(TimeEntry[[#This Row],[Project_ID]], projects[Project_ID],0))</f>
        <v>LEAVE</v>
      </c>
      <c r="P541" s="15">
        <f>INDEX(projects[Project_Name],MATCH(TimeEntry[[#This Row],[Project_ID]], projects[Project_ID],0))</f>
        <v>0</v>
      </c>
      <c r="Q541" s="6">
        <f>IF(TimeEntry[[#This Row],[Date]]=0,"",WEEKDAY(C541,2))</f>
        <v>5</v>
      </c>
      <c r="R541" s="9">
        <f>YEAR(TimeEntry[[#This Row],[WkEnd]])</f>
        <v>2019</v>
      </c>
      <c r="S541" s="9">
        <f>WEEKNUM(TimeEntry[[#This Row],[WkEnd]])</f>
        <v>36</v>
      </c>
      <c r="T541" s="9" t="str">
        <f>TimeEntry[[#This Row],[Year]]&amp;"-"&amp;TimeEntry[[#This Row],[WkNo]]</f>
        <v>2019-36</v>
      </c>
    </row>
    <row r="542" spans="1:20" x14ac:dyDescent="0.25">
      <c r="A542" s="6">
        <f>MOD(IF(ROW()=2,0.1,IF(INDEX(TimeEntry[WkEnd],ROW()-1)  =  INDEX(TimeEntry[WkEnd],ROW()-2),    INDEX(TimeEntry[format],ROW()-2),    INDEX(TimeEntry[format],ROW()-2)    +1)),2)</f>
        <v>0.10000000000000009</v>
      </c>
      <c r="B542" s="7"/>
      <c r="C542" s="8">
        <v>43706</v>
      </c>
      <c r="D542" s="8"/>
      <c r="E542" s="1" t="s">
        <v>444</v>
      </c>
      <c r="F542" s="8">
        <f>IF(TimeEntry[[#This Row],[Date]]=0,F541,C542+(7-Q542))</f>
        <v>43709</v>
      </c>
      <c r="G542" s="35" t="str">
        <f>INDEX(projects[Charge_Code],MATCH(TimeEntry[[#This Row],[Project_ID]],projects[Project_ID],0))</f>
        <v>LEAVE</v>
      </c>
      <c r="H542" s="1" t="str">
        <f t="shared" si="18"/>
        <v>Normal Time</v>
      </c>
      <c r="I542" s="1"/>
      <c r="J542" s="15">
        <v>7.5</v>
      </c>
      <c r="K542" s="15"/>
      <c r="L542" s="15"/>
      <c r="M542" s="15"/>
      <c r="N542" s="15"/>
      <c r="O542" s="15" t="str">
        <f>INDEX(projects[job number],MATCH(TimeEntry[[#This Row],[Project_ID]], projects[Project_ID],0))</f>
        <v>LEAVE</v>
      </c>
      <c r="P542" s="15">
        <f>INDEX(projects[Project_Name],MATCH(TimeEntry[[#This Row],[Project_ID]], projects[Project_ID],0))</f>
        <v>0</v>
      </c>
      <c r="Q542" s="6">
        <f>IF(TimeEntry[[#This Row],[Date]]=0,"",WEEKDAY(C542,2))</f>
        <v>4</v>
      </c>
      <c r="R542" s="9">
        <f>YEAR(TimeEntry[[#This Row],[WkEnd]])</f>
        <v>2019</v>
      </c>
      <c r="S542" s="9">
        <f>WEEKNUM(TimeEntry[[#This Row],[WkEnd]])</f>
        <v>36</v>
      </c>
      <c r="T542" s="9" t="str">
        <f>TimeEntry[[#This Row],[Year]]&amp;"-"&amp;TimeEntry[[#This Row],[WkNo]]</f>
        <v>2019-36</v>
      </c>
    </row>
    <row r="543" spans="1:20" x14ac:dyDescent="0.25">
      <c r="A543" s="6">
        <f>MOD(IF(ROW()=2,0.1,IF(INDEX(TimeEntry[WkEnd],ROW()-1)  =  INDEX(TimeEntry[WkEnd],ROW()-2),    INDEX(TimeEntry[format],ROW()-2),    INDEX(TimeEntry[format],ROW()-2)    +1)),2)</f>
        <v>0.10000000000000009</v>
      </c>
      <c r="B543" s="7"/>
      <c r="C543" s="8">
        <v>43705</v>
      </c>
      <c r="D543" s="8"/>
      <c r="E543" s="1" t="s">
        <v>444</v>
      </c>
      <c r="F543" s="8">
        <f>IF(TimeEntry[[#This Row],[Date]]=0,F542,C543+(7-Q543))</f>
        <v>43709</v>
      </c>
      <c r="G543" s="35" t="str">
        <f>INDEX(projects[Charge_Code],MATCH(TimeEntry[[#This Row],[Project_ID]],projects[Project_ID],0))</f>
        <v>LEAVE</v>
      </c>
      <c r="H543" s="1" t="str">
        <f t="shared" si="18"/>
        <v>Normal Time</v>
      </c>
      <c r="I543" s="1"/>
      <c r="J543" s="15">
        <v>7.5</v>
      </c>
      <c r="K543" s="15"/>
      <c r="L543" s="15"/>
      <c r="M543" s="15"/>
      <c r="N543" s="15"/>
      <c r="O543" s="15" t="str">
        <f>INDEX(projects[job number],MATCH(TimeEntry[[#This Row],[Project_ID]], projects[Project_ID],0))</f>
        <v>LEAVE</v>
      </c>
      <c r="P543" s="15">
        <f>INDEX(projects[Project_Name],MATCH(TimeEntry[[#This Row],[Project_ID]], projects[Project_ID],0))</f>
        <v>0</v>
      </c>
      <c r="Q543" s="6">
        <f>IF(TimeEntry[[#This Row],[Date]]=0,"",WEEKDAY(C543,2))</f>
        <v>3</v>
      </c>
      <c r="R543" s="9">
        <f>YEAR(TimeEntry[[#This Row],[WkEnd]])</f>
        <v>2019</v>
      </c>
      <c r="S543" s="9">
        <f>WEEKNUM(TimeEntry[[#This Row],[WkEnd]])</f>
        <v>36</v>
      </c>
      <c r="T543" s="9" t="str">
        <f>TimeEntry[[#This Row],[Year]]&amp;"-"&amp;TimeEntry[[#This Row],[WkNo]]</f>
        <v>2019-36</v>
      </c>
    </row>
    <row r="544" spans="1:20" x14ac:dyDescent="0.25">
      <c r="A544" s="6">
        <f>MOD(IF(ROW()=2,0.1,IF(INDEX(TimeEntry[WkEnd],ROW()-1)  =  INDEX(TimeEntry[WkEnd],ROW()-2),    INDEX(TimeEntry[format],ROW()-2),    INDEX(TimeEntry[format],ROW()-2)    +1)),2)</f>
        <v>0.10000000000000009</v>
      </c>
      <c r="B544" s="7"/>
      <c r="C544" s="8">
        <v>43704</v>
      </c>
      <c r="D544" s="8"/>
      <c r="E544" s="1" t="s">
        <v>444</v>
      </c>
      <c r="F544" s="8">
        <f>IF(TimeEntry[[#This Row],[Date]]=0,F543,C544+(7-Q544))</f>
        <v>43709</v>
      </c>
      <c r="G544" s="35" t="str">
        <f>INDEX(projects[Charge_Code],MATCH(TimeEntry[[#This Row],[Project_ID]],projects[Project_ID],0))</f>
        <v>LEAVE</v>
      </c>
      <c r="H544" s="1" t="str">
        <f t="shared" si="18"/>
        <v>Normal Time</v>
      </c>
      <c r="I544" s="1"/>
      <c r="J544" s="15">
        <v>7.5</v>
      </c>
      <c r="K544" s="15"/>
      <c r="L544" s="15"/>
      <c r="M544" s="15"/>
      <c r="N544" s="15"/>
      <c r="O544" s="15" t="str">
        <f>INDEX(projects[job number],MATCH(TimeEntry[[#This Row],[Project_ID]], projects[Project_ID],0))</f>
        <v>LEAVE</v>
      </c>
      <c r="P544" s="15">
        <f>INDEX(projects[Project_Name],MATCH(TimeEntry[[#This Row],[Project_ID]], projects[Project_ID],0))</f>
        <v>0</v>
      </c>
      <c r="Q544" s="6">
        <f>IF(TimeEntry[[#This Row],[Date]]=0,"",WEEKDAY(C544,2))</f>
        <v>2</v>
      </c>
      <c r="R544" s="9">
        <f>YEAR(TimeEntry[[#This Row],[WkEnd]])</f>
        <v>2019</v>
      </c>
      <c r="S544" s="9">
        <f>WEEKNUM(TimeEntry[[#This Row],[WkEnd]])</f>
        <v>36</v>
      </c>
      <c r="T544" s="9" t="str">
        <f>TimeEntry[[#This Row],[Year]]&amp;"-"&amp;TimeEntry[[#This Row],[WkNo]]</f>
        <v>2019-36</v>
      </c>
    </row>
    <row r="545" spans="1:20" x14ac:dyDescent="0.25">
      <c r="A545" s="6">
        <f>MOD(IF(ROW()=2,0.1,IF(INDEX(TimeEntry[WkEnd],ROW()-1)  =  INDEX(TimeEntry[WkEnd],ROW()-2),    INDEX(TimeEntry[format],ROW()-2),    INDEX(TimeEntry[format],ROW()-2)    +1)),2)</f>
        <v>0.10000000000000009</v>
      </c>
      <c r="B545" s="7"/>
      <c r="C545" s="8">
        <v>43703</v>
      </c>
      <c r="D545" s="8"/>
      <c r="E545" s="1" t="s">
        <v>449</v>
      </c>
      <c r="F545" s="8">
        <f>IF(TimeEntry[[#This Row],[Date]]=0,F544,C545+(7-Q545))</f>
        <v>43709</v>
      </c>
      <c r="G545" s="35" t="str">
        <f>INDEX(projects[Charge_Code],MATCH(TimeEntry[[#This Row],[Project_ID]],projects[Project_ID],0))</f>
        <v>BANK HOLIDAY Bank Holiday</v>
      </c>
      <c r="H545" s="1" t="str">
        <f t="shared" si="18"/>
        <v>Normal Time</v>
      </c>
      <c r="I545" s="1"/>
      <c r="J545" s="15">
        <v>7.5</v>
      </c>
      <c r="K545" s="15"/>
      <c r="L545" s="15"/>
      <c r="M545" s="15"/>
      <c r="N545" s="15"/>
      <c r="O545" s="15" t="str">
        <f>INDEX(projects[job number],MATCH(TimeEntry[[#This Row],[Project_ID]], projects[Project_ID],0))</f>
        <v>BANK HOLIDAY</v>
      </c>
      <c r="P545" s="15" t="str">
        <f>INDEX(projects[Project_Name],MATCH(TimeEntry[[#This Row],[Project_ID]], projects[Project_ID],0))</f>
        <v>Bank Holiday</v>
      </c>
      <c r="Q545" s="6">
        <f>IF(TimeEntry[[#This Row],[Date]]=0,"",WEEKDAY(C545,2))</f>
        <v>1</v>
      </c>
      <c r="R545" s="9">
        <f>YEAR(TimeEntry[[#This Row],[WkEnd]])</f>
        <v>2019</v>
      </c>
      <c r="S545" s="9">
        <f>WEEKNUM(TimeEntry[[#This Row],[WkEnd]])</f>
        <v>36</v>
      </c>
      <c r="T545" s="9" t="str">
        <f>TimeEntry[[#This Row],[Year]]&amp;"-"&amp;TimeEntry[[#This Row],[WkNo]]</f>
        <v>2019-36</v>
      </c>
    </row>
    <row r="546" spans="1:20" x14ac:dyDescent="0.25">
      <c r="A546" s="6">
        <f>MOD(IF(ROW()=2,0.1,IF(INDEX(TimeEntry[WkEnd],ROW()-1)  =  INDEX(TimeEntry[WkEnd],ROW()-2),    INDEX(TimeEntry[format],ROW()-2),    INDEX(TimeEntry[format],ROW()-2)    +1)),2)</f>
        <v>1.1000000000000001</v>
      </c>
      <c r="B546" s="7"/>
      <c r="C546" s="8">
        <v>43696</v>
      </c>
      <c r="D546" s="8"/>
      <c r="E546" s="1" t="s">
        <v>454</v>
      </c>
      <c r="F546" s="8">
        <f>IF(TimeEntry[[#This Row],[Date]]=0,F545,C546+(7-Q546))</f>
        <v>43702</v>
      </c>
      <c r="G546" s="35" t="str">
        <f>INDEX(projects[Charge_Code],MATCH(TimeEntry[[#This Row],[Project_ID]],projects[Project_ID],0))</f>
        <v>210035-51 VBB 3rd - new bridge</v>
      </c>
      <c r="H546" s="1" t="str">
        <f t="shared" si="18"/>
        <v>Normal Time</v>
      </c>
      <c r="I546" s="1"/>
      <c r="J546" s="15">
        <v>7.5</v>
      </c>
      <c r="K546" s="15"/>
      <c r="L546" s="15"/>
      <c r="M546" s="15"/>
      <c r="N546" s="15"/>
      <c r="O546" s="15" t="str">
        <f>INDEX(projects[job number],MATCH(TimeEntry[[#This Row],[Project_ID]], projects[Project_ID],0))</f>
        <v>210035-51</v>
      </c>
      <c r="P546" s="15" t="str">
        <f>INDEX(projects[Project_Name],MATCH(TimeEntry[[#This Row],[Project_ID]], projects[Project_ID],0))</f>
        <v>VBB 3rd - new bridge</v>
      </c>
      <c r="Q546" s="6">
        <f>IF(TimeEntry[[#This Row],[Date]]=0,"",WEEKDAY(C546,2))</f>
        <v>1</v>
      </c>
      <c r="R546" s="9">
        <f>YEAR(TimeEntry[[#This Row],[WkEnd]])</f>
        <v>2019</v>
      </c>
      <c r="S546" s="9">
        <f>WEEKNUM(TimeEntry[[#This Row],[WkEnd]])</f>
        <v>35</v>
      </c>
      <c r="T546" s="9" t="str">
        <f>TimeEntry[[#This Row],[Year]]&amp;"-"&amp;TimeEntry[[#This Row],[WkNo]]</f>
        <v>2019-35</v>
      </c>
    </row>
    <row r="547" spans="1:20" x14ac:dyDescent="0.25">
      <c r="A547" s="6">
        <f>MOD(IF(ROW()=2,0.1,IF(INDEX(TimeEntry[WkEnd],ROW()-1)  =  INDEX(TimeEntry[WkEnd],ROW()-2),    INDEX(TimeEntry[format],ROW()-2),    INDEX(TimeEntry[format],ROW()-2)    +1)),2)</f>
        <v>1.1000000000000001</v>
      </c>
      <c r="B547" s="7"/>
      <c r="C547" s="8">
        <v>43697</v>
      </c>
      <c r="D547" s="8"/>
      <c r="E547" s="1" t="s">
        <v>458</v>
      </c>
      <c r="F547" s="8">
        <f>IF(TimeEntry[[#This Row],[Date]]=0,F546,C547+(7-Q547))</f>
        <v>43702</v>
      </c>
      <c r="G547" s="35" t="str">
        <f>INDEX(projects[Charge_Code],MATCH(TimeEntry[[#This Row],[Project_ID]],projects[Project_ID],0))</f>
        <v>265720-20 VBB - Assessment</v>
      </c>
      <c r="H547" s="1" t="str">
        <f t="shared" si="18"/>
        <v>Normal Time</v>
      </c>
      <c r="I547" s="1"/>
      <c r="J547" s="15">
        <v>7.5</v>
      </c>
      <c r="K547" s="15"/>
      <c r="L547" s="15"/>
      <c r="M547" s="15"/>
      <c r="N547" s="15"/>
      <c r="O547" s="15" t="str">
        <f>INDEX(projects[job number],MATCH(TimeEntry[[#This Row],[Project_ID]], projects[Project_ID],0))</f>
        <v>265720-20</v>
      </c>
      <c r="P547" s="15" t="str">
        <f>INDEX(projects[Project_Name],MATCH(TimeEntry[[#This Row],[Project_ID]], projects[Project_ID],0))</f>
        <v>VBB - Assessment</v>
      </c>
      <c r="Q547" s="6">
        <f>IF(TimeEntry[[#This Row],[Date]]=0,"",WEEKDAY(C547,2))</f>
        <v>2</v>
      </c>
      <c r="R547" s="9">
        <f>YEAR(TimeEntry[[#This Row],[WkEnd]])</f>
        <v>2019</v>
      </c>
      <c r="S547" s="9">
        <f>WEEKNUM(TimeEntry[[#This Row],[WkEnd]])</f>
        <v>35</v>
      </c>
      <c r="T547" s="9" t="str">
        <f>TimeEntry[[#This Row],[Year]]&amp;"-"&amp;TimeEntry[[#This Row],[WkNo]]</f>
        <v>2019-35</v>
      </c>
    </row>
    <row r="548" spans="1:20" x14ac:dyDescent="0.25">
      <c r="A548" s="6">
        <f>MOD(IF(ROW()=2,0.1,IF(INDEX(TimeEntry[WkEnd],ROW()-1)  =  INDEX(TimeEntry[WkEnd],ROW()-2),    INDEX(TimeEntry[format],ROW()-2),    INDEX(TimeEntry[format],ROW()-2)    +1)),2)</f>
        <v>1.1000000000000001</v>
      </c>
      <c r="B548" s="7"/>
      <c r="C548" s="8">
        <v>43698</v>
      </c>
      <c r="D548" s="8"/>
      <c r="E548" s="1" t="s">
        <v>458</v>
      </c>
      <c r="F548" s="8">
        <f>IF(TimeEntry[[#This Row],[Date]]=0,F547,C548+(7-Q548))</f>
        <v>43702</v>
      </c>
      <c r="G548" s="35" t="str">
        <f>INDEX(projects[Charge_Code],MATCH(TimeEntry[[#This Row],[Project_ID]],projects[Project_ID],0))</f>
        <v>265720-20 VBB - Assessment</v>
      </c>
      <c r="H548" s="1" t="str">
        <f t="shared" si="18"/>
        <v>Normal Time</v>
      </c>
      <c r="I548" s="1"/>
      <c r="J548" s="15">
        <v>2</v>
      </c>
      <c r="K548" s="15"/>
      <c r="L548" s="15"/>
      <c r="M548" s="15"/>
      <c r="N548" s="15"/>
      <c r="O548" s="15" t="str">
        <f>INDEX(projects[job number],MATCH(TimeEntry[[#This Row],[Project_ID]], projects[Project_ID],0))</f>
        <v>265720-20</v>
      </c>
      <c r="P548" s="15" t="str">
        <f>INDEX(projects[Project_Name],MATCH(TimeEntry[[#This Row],[Project_ID]], projects[Project_ID],0))</f>
        <v>VBB - Assessment</v>
      </c>
      <c r="Q548" s="6">
        <f>IF(TimeEntry[[#This Row],[Date]]=0,"",WEEKDAY(C548,2))</f>
        <v>3</v>
      </c>
      <c r="R548" s="9">
        <f>YEAR(TimeEntry[[#This Row],[WkEnd]])</f>
        <v>2019</v>
      </c>
      <c r="S548" s="9">
        <f>WEEKNUM(TimeEntry[[#This Row],[WkEnd]])</f>
        <v>35</v>
      </c>
      <c r="T548" s="9" t="str">
        <f>TimeEntry[[#This Row],[Year]]&amp;"-"&amp;TimeEntry[[#This Row],[WkNo]]</f>
        <v>2019-35</v>
      </c>
    </row>
    <row r="549" spans="1:20" x14ac:dyDescent="0.25">
      <c r="A549" s="6">
        <f>MOD(IF(ROW()=2,0.1,IF(INDEX(TimeEntry[WkEnd],ROW()-1)  =  INDEX(TimeEntry[WkEnd],ROW()-2),    INDEX(TimeEntry[format],ROW()-2),    INDEX(TimeEntry[format],ROW()-2)    +1)),2)</f>
        <v>1.1000000000000001</v>
      </c>
      <c r="B549" s="7"/>
      <c r="C549" s="8">
        <v>43698</v>
      </c>
      <c r="D549" s="8"/>
      <c r="E549" s="1" t="s">
        <v>454</v>
      </c>
      <c r="F549" s="8">
        <f>IF(TimeEntry[[#This Row],[Date]]=0,F548,C549+(7-Q549))</f>
        <v>43702</v>
      </c>
      <c r="G549" s="35" t="str">
        <f>INDEX(projects[Charge_Code],MATCH(TimeEntry[[#This Row],[Project_ID]],projects[Project_ID],0))</f>
        <v>210035-51 VBB 3rd - new bridge</v>
      </c>
      <c r="H549" s="1" t="str">
        <f t="shared" si="18"/>
        <v>Normal Time</v>
      </c>
      <c r="I549" s="1"/>
      <c r="J549" s="15">
        <v>5.5</v>
      </c>
      <c r="K549" s="15"/>
      <c r="L549" s="15"/>
      <c r="M549" s="15"/>
      <c r="N549" s="15"/>
      <c r="O549" s="15" t="str">
        <f>INDEX(projects[job number],MATCH(TimeEntry[[#This Row],[Project_ID]], projects[Project_ID],0))</f>
        <v>210035-51</v>
      </c>
      <c r="P549" s="15" t="str">
        <f>INDEX(projects[Project_Name],MATCH(TimeEntry[[#This Row],[Project_ID]], projects[Project_ID],0))</f>
        <v>VBB 3rd - new bridge</v>
      </c>
      <c r="Q549" s="6">
        <f>IF(TimeEntry[[#This Row],[Date]]=0,"",WEEKDAY(C549,2))</f>
        <v>3</v>
      </c>
      <c r="R549" s="9">
        <f>YEAR(TimeEntry[[#This Row],[WkEnd]])</f>
        <v>2019</v>
      </c>
      <c r="S549" s="9">
        <f>WEEKNUM(TimeEntry[[#This Row],[WkEnd]])</f>
        <v>35</v>
      </c>
      <c r="T549" s="9" t="str">
        <f>TimeEntry[[#This Row],[Year]]&amp;"-"&amp;TimeEntry[[#This Row],[WkNo]]</f>
        <v>2019-35</v>
      </c>
    </row>
    <row r="550" spans="1:20" x14ac:dyDescent="0.25">
      <c r="A550" s="6">
        <f>MOD(IF(ROW()=2,0.1,IF(INDEX(TimeEntry[WkEnd],ROW()-1)  =  INDEX(TimeEntry[WkEnd],ROW()-2),    INDEX(TimeEntry[format],ROW()-2),    INDEX(TimeEntry[format],ROW()-2)    +1)),2)</f>
        <v>1.1000000000000001</v>
      </c>
      <c r="B550" s="7"/>
      <c r="C550" s="8">
        <v>43699</v>
      </c>
      <c r="D550" s="8"/>
      <c r="E550" s="1" t="s">
        <v>454</v>
      </c>
      <c r="F550" s="8">
        <f>IF(TimeEntry[[#This Row],[Date]]=0,F549,C550+(7-Q550))</f>
        <v>43702</v>
      </c>
      <c r="G550" s="35" t="str">
        <f>INDEX(projects[Charge_Code],MATCH(TimeEntry[[#This Row],[Project_ID]],projects[Project_ID],0))</f>
        <v>210035-51 VBB 3rd - new bridge</v>
      </c>
      <c r="H550" s="1" t="str">
        <f t="shared" si="18"/>
        <v>Normal Time</v>
      </c>
      <c r="I550" s="1"/>
      <c r="J550" s="15">
        <v>5.5</v>
      </c>
      <c r="K550" s="15"/>
      <c r="L550" s="15"/>
      <c r="M550" s="15"/>
      <c r="N550" s="15"/>
      <c r="O550" s="15" t="str">
        <f>INDEX(projects[job number],MATCH(TimeEntry[[#This Row],[Project_ID]], projects[Project_ID],0))</f>
        <v>210035-51</v>
      </c>
      <c r="P550" s="15" t="str">
        <f>INDEX(projects[Project_Name],MATCH(TimeEntry[[#This Row],[Project_ID]], projects[Project_ID],0))</f>
        <v>VBB 3rd - new bridge</v>
      </c>
      <c r="Q550" s="6">
        <f>IF(TimeEntry[[#This Row],[Date]]=0,"",WEEKDAY(C550,2))</f>
        <v>4</v>
      </c>
      <c r="R550" s="9">
        <f>YEAR(TimeEntry[[#This Row],[WkEnd]])</f>
        <v>2019</v>
      </c>
      <c r="S550" s="9">
        <f>WEEKNUM(TimeEntry[[#This Row],[WkEnd]])</f>
        <v>35</v>
      </c>
      <c r="T550" s="9" t="str">
        <f>TimeEntry[[#This Row],[Year]]&amp;"-"&amp;TimeEntry[[#This Row],[WkNo]]</f>
        <v>2019-35</v>
      </c>
    </row>
    <row r="551" spans="1:20" x14ac:dyDescent="0.25">
      <c r="A551" s="6">
        <f>MOD(IF(ROW()=2,0.1,IF(INDEX(TimeEntry[WkEnd],ROW()-1)  =  INDEX(TimeEntry[WkEnd],ROW()-2),    INDEX(TimeEntry[format],ROW()-2),    INDEX(TimeEntry[format],ROW()-2)    +1)),2)</f>
        <v>1.1000000000000001</v>
      </c>
      <c r="B551" s="7"/>
      <c r="C551" s="8">
        <v>43699</v>
      </c>
      <c r="D551" s="8"/>
      <c r="E551" s="1" t="s">
        <v>458</v>
      </c>
      <c r="F551" s="8">
        <f>IF(TimeEntry[[#This Row],[Date]]=0,F550,C551+(7-Q551))</f>
        <v>43702</v>
      </c>
      <c r="G551" s="35" t="str">
        <f>INDEX(projects[Charge_Code],MATCH(TimeEntry[[#This Row],[Project_ID]],projects[Project_ID],0))</f>
        <v>265720-20 VBB - Assessment</v>
      </c>
      <c r="H551" s="1" t="str">
        <f t="shared" si="18"/>
        <v>Normal Time</v>
      </c>
      <c r="I551" s="1"/>
      <c r="J551" s="15">
        <v>2</v>
      </c>
      <c r="K551" s="15"/>
      <c r="L551" s="15"/>
      <c r="M551" s="15"/>
      <c r="N551" s="15"/>
      <c r="O551" s="15" t="str">
        <f>INDEX(projects[job number],MATCH(TimeEntry[[#This Row],[Project_ID]], projects[Project_ID],0))</f>
        <v>265720-20</v>
      </c>
      <c r="P551" s="15" t="str">
        <f>INDEX(projects[Project_Name],MATCH(TimeEntry[[#This Row],[Project_ID]], projects[Project_ID],0))</f>
        <v>VBB - Assessment</v>
      </c>
      <c r="Q551" s="6">
        <f>IF(TimeEntry[[#This Row],[Date]]=0,"",WEEKDAY(C551,2))</f>
        <v>4</v>
      </c>
      <c r="R551" s="9">
        <f>YEAR(TimeEntry[[#This Row],[WkEnd]])</f>
        <v>2019</v>
      </c>
      <c r="S551" s="9">
        <f>WEEKNUM(TimeEntry[[#This Row],[WkEnd]])</f>
        <v>35</v>
      </c>
      <c r="T551" s="9" t="str">
        <f>TimeEntry[[#This Row],[Year]]&amp;"-"&amp;TimeEntry[[#This Row],[WkNo]]</f>
        <v>2019-35</v>
      </c>
    </row>
    <row r="552" spans="1:20" x14ac:dyDescent="0.25">
      <c r="A552" s="6">
        <f>MOD(IF(ROW()=2,0.1,IF(INDEX(TimeEntry[WkEnd],ROW()-1)  =  INDEX(TimeEntry[WkEnd],ROW()-2),    INDEX(TimeEntry[format],ROW()-2),    INDEX(TimeEntry[format],ROW()-2)    +1)),2)</f>
        <v>1.1000000000000001</v>
      </c>
      <c r="B552" s="7"/>
      <c r="C552" s="8">
        <v>43700</v>
      </c>
      <c r="D552" s="8"/>
      <c r="E552" s="1" t="s">
        <v>458</v>
      </c>
      <c r="F552" s="8">
        <f>IF(TimeEntry[[#This Row],[Date]]=0,F551,C552+(7-Q552))</f>
        <v>43702</v>
      </c>
      <c r="G552" s="35" t="str">
        <f>INDEX(projects[Charge_Code],MATCH(TimeEntry[[#This Row],[Project_ID]],projects[Project_ID],0))</f>
        <v>265720-20 VBB - Assessment</v>
      </c>
      <c r="H552" s="1" t="str">
        <f t="shared" si="18"/>
        <v>Normal Time</v>
      </c>
      <c r="I552" s="1"/>
      <c r="J552" s="15">
        <v>7.5</v>
      </c>
      <c r="K552" s="15"/>
      <c r="L552" s="15"/>
      <c r="M552" s="15"/>
      <c r="N552" s="15"/>
      <c r="O552" s="15" t="str">
        <f>INDEX(projects[job number],MATCH(TimeEntry[[#This Row],[Project_ID]], projects[Project_ID],0))</f>
        <v>265720-20</v>
      </c>
      <c r="P552" s="15" t="str">
        <f>INDEX(projects[Project_Name],MATCH(TimeEntry[[#This Row],[Project_ID]], projects[Project_ID],0))</f>
        <v>VBB - Assessment</v>
      </c>
      <c r="Q552" s="6">
        <f>IF(TimeEntry[[#This Row],[Date]]=0,"",WEEKDAY(C552,2))</f>
        <v>5</v>
      </c>
      <c r="R552" s="9">
        <f>YEAR(TimeEntry[[#This Row],[WkEnd]])</f>
        <v>2019</v>
      </c>
      <c r="S552" s="9">
        <f>WEEKNUM(TimeEntry[[#This Row],[WkEnd]])</f>
        <v>35</v>
      </c>
      <c r="T552" s="9" t="str">
        <f>TimeEntry[[#This Row],[Year]]&amp;"-"&amp;TimeEntry[[#This Row],[WkNo]]</f>
        <v>2019-35</v>
      </c>
    </row>
    <row r="553" spans="1:20" x14ac:dyDescent="0.25">
      <c r="A553" s="6">
        <f>MOD(IF(ROW()=2,0.1,IF(INDEX(TimeEntry[WkEnd],ROW()-1)  =  INDEX(TimeEntry[WkEnd],ROW()-2),    INDEX(TimeEntry[format],ROW()-2),    INDEX(TimeEntry[format],ROW()-2)    +1)),2)</f>
        <v>0.10000000000000009</v>
      </c>
      <c r="B553" s="7"/>
      <c r="C553" s="8">
        <v>43689</v>
      </c>
      <c r="D553" s="8"/>
      <c r="E553" s="1" t="s">
        <v>454</v>
      </c>
      <c r="F553" s="8">
        <f>IF(TimeEntry[[#This Row],[Date]]=0,F552,C553+(7-Q553))</f>
        <v>43695</v>
      </c>
      <c r="G553" s="35" t="str">
        <f>INDEX(projects[Charge_Code],MATCH(TimeEntry[[#This Row],[Project_ID]],projects[Project_ID],0))</f>
        <v>210035-51 VBB 3rd - new bridge</v>
      </c>
      <c r="H553" s="1" t="str">
        <f t="shared" si="18"/>
        <v>Normal Time</v>
      </c>
      <c r="I553" s="1"/>
      <c r="J553" s="15">
        <v>7.5</v>
      </c>
      <c r="K553" s="15"/>
      <c r="L553" s="15"/>
      <c r="M553" s="15"/>
      <c r="N553" s="15"/>
      <c r="O553" s="15" t="str">
        <f>INDEX(projects[job number],MATCH(TimeEntry[[#This Row],[Project_ID]], projects[Project_ID],0))</f>
        <v>210035-51</v>
      </c>
      <c r="P553" s="15" t="str">
        <f>INDEX(projects[Project_Name],MATCH(TimeEntry[[#This Row],[Project_ID]], projects[Project_ID],0))</f>
        <v>VBB 3rd - new bridge</v>
      </c>
      <c r="Q553" s="6">
        <f>IF(TimeEntry[[#This Row],[Date]]=0,"",WEEKDAY(C553,2))</f>
        <v>1</v>
      </c>
      <c r="R553" s="9">
        <f>YEAR(TimeEntry[[#This Row],[WkEnd]])</f>
        <v>2019</v>
      </c>
      <c r="S553" s="9">
        <f>WEEKNUM(TimeEntry[[#This Row],[WkEnd]])</f>
        <v>34</v>
      </c>
      <c r="T553" s="9" t="str">
        <f>TimeEntry[[#This Row],[Year]]&amp;"-"&amp;TimeEntry[[#This Row],[WkNo]]</f>
        <v>2019-34</v>
      </c>
    </row>
    <row r="554" spans="1:20" x14ac:dyDescent="0.25">
      <c r="A554" s="6">
        <f>MOD(IF(ROW()=2,0.1,IF(INDEX(TimeEntry[WkEnd],ROW()-1)  =  INDEX(TimeEntry[WkEnd],ROW()-2),    INDEX(TimeEntry[format],ROW()-2),    INDEX(TimeEntry[format],ROW()-2)    +1)),2)</f>
        <v>0.10000000000000009</v>
      </c>
      <c r="B554" s="7"/>
      <c r="C554" s="8">
        <v>43690</v>
      </c>
      <c r="D554" s="8"/>
      <c r="E554" s="1" t="s">
        <v>454</v>
      </c>
      <c r="F554" s="8">
        <f>IF(TimeEntry[[#This Row],[Date]]=0,F553,C554+(7-Q554))</f>
        <v>43695</v>
      </c>
      <c r="G554" s="35" t="str">
        <f>INDEX(projects[Charge_Code],MATCH(TimeEntry[[#This Row],[Project_ID]],projects[Project_ID],0))</f>
        <v>210035-51 VBB 3rd - new bridge</v>
      </c>
      <c r="H554" s="1" t="str">
        <f t="shared" si="18"/>
        <v>Normal Time</v>
      </c>
      <c r="I554" s="1"/>
      <c r="J554" s="15">
        <v>3.75</v>
      </c>
      <c r="K554" s="15"/>
      <c r="L554" s="15"/>
      <c r="M554" s="15"/>
      <c r="N554" s="15"/>
      <c r="O554" s="15" t="str">
        <f>INDEX(projects[job number],MATCH(TimeEntry[[#This Row],[Project_ID]], projects[Project_ID],0))</f>
        <v>210035-51</v>
      </c>
      <c r="P554" s="15" t="str">
        <f>INDEX(projects[Project_Name],MATCH(TimeEntry[[#This Row],[Project_ID]], projects[Project_ID],0))</f>
        <v>VBB 3rd - new bridge</v>
      </c>
      <c r="Q554" s="6">
        <f>IF(TimeEntry[[#This Row],[Date]]=0,"",WEEKDAY(C554,2))</f>
        <v>2</v>
      </c>
      <c r="R554" s="9">
        <f>YEAR(TimeEntry[[#This Row],[WkEnd]])</f>
        <v>2019</v>
      </c>
      <c r="S554" s="9">
        <f>WEEKNUM(TimeEntry[[#This Row],[WkEnd]])</f>
        <v>34</v>
      </c>
      <c r="T554" s="9" t="str">
        <f>TimeEntry[[#This Row],[Year]]&amp;"-"&amp;TimeEntry[[#This Row],[WkNo]]</f>
        <v>2019-34</v>
      </c>
    </row>
    <row r="555" spans="1:20" x14ac:dyDescent="0.25">
      <c r="A555" s="6">
        <f>MOD(IF(ROW()=2,0.1,IF(INDEX(TimeEntry[WkEnd],ROW()-1)  =  INDEX(TimeEntry[WkEnd],ROW()-2),    INDEX(TimeEntry[format],ROW()-2),    INDEX(TimeEntry[format],ROW()-2)    +1)),2)</f>
        <v>0.10000000000000009</v>
      </c>
      <c r="B555" s="7"/>
      <c r="C555" s="8">
        <v>43690</v>
      </c>
      <c r="D555" s="8"/>
      <c r="E555" s="1" t="s">
        <v>444</v>
      </c>
      <c r="F555" s="8">
        <f>IF(TimeEntry[[#This Row],[Date]]=0,F554,C555+(7-Q555))</f>
        <v>43695</v>
      </c>
      <c r="G555" s="35" t="str">
        <f>INDEX(projects[Charge_Code],MATCH(TimeEntry[[#This Row],[Project_ID]],projects[Project_ID],0))</f>
        <v>LEAVE</v>
      </c>
      <c r="H555" s="1" t="str">
        <f t="shared" si="18"/>
        <v>Normal Time</v>
      </c>
      <c r="I555" s="1"/>
      <c r="J555" s="15">
        <v>3.75</v>
      </c>
      <c r="K555" s="15"/>
      <c r="L555" s="15"/>
      <c r="M555" s="15"/>
      <c r="N555" s="15"/>
      <c r="O555" s="15" t="str">
        <f>INDEX(projects[job number],MATCH(TimeEntry[[#This Row],[Project_ID]], projects[Project_ID],0))</f>
        <v>LEAVE</v>
      </c>
      <c r="P555" s="15">
        <f>INDEX(projects[Project_Name],MATCH(TimeEntry[[#This Row],[Project_ID]], projects[Project_ID],0))</f>
        <v>0</v>
      </c>
      <c r="Q555" s="6">
        <f>IF(TimeEntry[[#This Row],[Date]]=0,"",WEEKDAY(C555,2))</f>
        <v>2</v>
      </c>
      <c r="R555" s="9">
        <f>YEAR(TimeEntry[[#This Row],[WkEnd]])</f>
        <v>2019</v>
      </c>
      <c r="S555" s="9">
        <f>WEEKNUM(TimeEntry[[#This Row],[WkEnd]])</f>
        <v>34</v>
      </c>
      <c r="T555" s="9" t="str">
        <f>TimeEntry[[#This Row],[Year]]&amp;"-"&amp;TimeEntry[[#This Row],[WkNo]]</f>
        <v>2019-34</v>
      </c>
    </row>
    <row r="556" spans="1:20" x14ac:dyDescent="0.25">
      <c r="A556" s="6">
        <f>MOD(IF(ROW()=2,0.1,IF(INDEX(TimeEntry[WkEnd],ROW()-1)  =  INDEX(TimeEntry[WkEnd],ROW()-2),    INDEX(TimeEntry[format],ROW()-2),    INDEX(TimeEntry[format],ROW()-2)    +1)),2)</f>
        <v>0.10000000000000009</v>
      </c>
      <c r="B556" s="7"/>
      <c r="C556" s="8">
        <v>43691</v>
      </c>
      <c r="D556" s="8"/>
      <c r="E556" s="1" t="s">
        <v>454</v>
      </c>
      <c r="F556" s="8">
        <f>IF(TimeEntry[[#This Row],[Date]]=0,F555,C556+(7-Q556))</f>
        <v>43695</v>
      </c>
      <c r="G556" s="35" t="str">
        <f>INDEX(projects[Charge_Code],MATCH(TimeEntry[[#This Row],[Project_ID]],projects[Project_ID],0))</f>
        <v>210035-51 VBB 3rd - new bridge</v>
      </c>
      <c r="H556" s="1" t="str">
        <f t="shared" si="18"/>
        <v>Normal Time</v>
      </c>
      <c r="I556" s="1"/>
      <c r="J556" s="15">
        <v>5.5</v>
      </c>
      <c r="K556" s="15"/>
      <c r="L556" s="15"/>
      <c r="M556" s="15"/>
      <c r="N556" s="15"/>
      <c r="O556" s="15" t="str">
        <f>INDEX(projects[job number],MATCH(TimeEntry[[#This Row],[Project_ID]], projects[Project_ID],0))</f>
        <v>210035-51</v>
      </c>
      <c r="P556" s="15" t="str">
        <f>INDEX(projects[Project_Name],MATCH(TimeEntry[[#This Row],[Project_ID]], projects[Project_ID],0))</f>
        <v>VBB 3rd - new bridge</v>
      </c>
      <c r="Q556" s="6">
        <f>IF(TimeEntry[[#This Row],[Date]]=0,"",WEEKDAY(C556,2))</f>
        <v>3</v>
      </c>
      <c r="R556" s="9">
        <f>YEAR(TimeEntry[[#This Row],[WkEnd]])</f>
        <v>2019</v>
      </c>
      <c r="S556" s="9">
        <f>WEEKNUM(TimeEntry[[#This Row],[WkEnd]])</f>
        <v>34</v>
      </c>
      <c r="T556" s="9" t="str">
        <f>TimeEntry[[#This Row],[Year]]&amp;"-"&amp;TimeEntry[[#This Row],[WkNo]]</f>
        <v>2019-34</v>
      </c>
    </row>
    <row r="557" spans="1:20" x14ac:dyDescent="0.25">
      <c r="A557" s="6">
        <f>MOD(IF(ROW()=2,0.1,IF(INDEX(TimeEntry[WkEnd],ROW()-1)  =  INDEX(TimeEntry[WkEnd],ROW()-2),    INDEX(TimeEntry[format],ROW()-2),    INDEX(TimeEntry[format],ROW()-2)    +1)),2)</f>
        <v>0.10000000000000009</v>
      </c>
      <c r="B557" s="7"/>
      <c r="C557" s="8">
        <v>43691</v>
      </c>
      <c r="D557" s="8"/>
      <c r="E557" s="1" t="s">
        <v>454</v>
      </c>
      <c r="F557" s="8">
        <f>IF(TimeEntry[[#This Row],[Date]]=0,F556,C557+(7-Q557))</f>
        <v>43695</v>
      </c>
      <c r="G557" s="35" t="str">
        <f>INDEX(projects[Charge_Code],MATCH(TimeEntry[[#This Row],[Project_ID]],projects[Project_ID],0))</f>
        <v>210035-51 VBB 3rd - new bridge</v>
      </c>
      <c r="H557" s="1" t="str">
        <f t="shared" si="18"/>
        <v>Normal Time</v>
      </c>
      <c r="I557" s="1"/>
      <c r="J557" s="15">
        <v>2</v>
      </c>
      <c r="K557" s="15"/>
      <c r="L557" s="15"/>
      <c r="M557" s="15"/>
      <c r="N557" s="15"/>
      <c r="O557" s="15" t="str">
        <f>INDEX(projects[job number],MATCH(TimeEntry[[#This Row],[Project_ID]], projects[Project_ID],0))</f>
        <v>210035-51</v>
      </c>
      <c r="P557" s="15" t="str">
        <f>INDEX(projects[Project_Name],MATCH(TimeEntry[[#This Row],[Project_ID]], projects[Project_ID],0))</f>
        <v>VBB 3rd - new bridge</v>
      </c>
      <c r="Q557" s="6">
        <f>IF(TimeEntry[[#This Row],[Date]]=0,"",WEEKDAY(C557,2))</f>
        <v>3</v>
      </c>
      <c r="R557" s="9">
        <f>YEAR(TimeEntry[[#This Row],[WkEnd]])</f>
        <v>2019</v>
      </c>
      <c r="S557" s="9">
        <f>WEEKNUM(TimeEntry[[#This Row],[WkEnd]])</f>
        <v>34</v>
      </c>
      <c r="T557" s="9" t="str">
        <f>TimeEntry[[#This Row],[Year]]&amp;"-"&amp;TimeEntry[[#This Row],[WkNo]]</f>
        <v>2019-34</v>
      </c>
    </row>
    <row r="558" spans="1:20" x14ac:dyDescent="0.25">
      <c r="A558" s="6">
        <f>MOD(IF(ROW()=2,0.1,IF(INDEX(TimeEntry[WkEnd],ROW()-1)  =  INDEX(TimeEntry[WkEnd],ROW()-2),    INDEX(TimeEntry[format],ROW()-2),    INDEX(TimeEntry[format],ROW()-2)    +1)),2)</f>
        <v>0.10000000000000009</v>
      </c>
      <c r="B558" s="7"/>
      <c r="C558" s="8">
        <v>43692</v>
      </c>
      <c r="D558" s="8"/>
      <c r="E558" s="1" t="s">
        <v>458</v>
      </c>
      <c r="F558" s="8">
        <f>IF(TimeEntry[[#This Row],[Date]]=0,F557,C558+(7-Q558))</f>
        <v>43695</v>
      </c>
      <c r="G558" s="35" t="str">
        <f>INDEX(projects[Charge_Code],MATCH(TimeEntry[[#This Row],[Project_ID]],projects[Project_ID],0))</f>
        <v>265720-20 VBB - Assessment</v>
      </c>
      <c r="H558" s="1" t="str">
        <f t="shared" si="18"/>
        <v>Normal Time</v>
      </c>
      <c r="I558" s="1"/>
      <c r="J558" s="15">
        <v>7.5</v>
      </c>
      <c r="K558" s="15"/>
      <c r="L558" s="15"/>
      <c r="M558" s="15"/>
      <c r="N558" s="15"/>
      <c r="O558" s="15" t="str">
        <f>INDEX(projects[job number],MATCH(TimeEntry[[#This Row],[Project_ID]], projects[Project_ID],0))</f>
        <v>265720-20</v>
      </c>
      <c r="P558" s="15" t="str">
        <f>INDEX(projects[Project_Name],MATCH(TimeEntry[[#This Row],[Project_ID]], projects[Project_ID],0))</f>
        <v>VBB - Assessment</v>
      </c>
      <c r="Q558" s="6">
        <f>IF(TimeEntry[[#This Row],[Date]]=0,"",WEEKDAY(C558,2))</f>
        <v>4</v>
      </c>
      <c r="R558" s="9">
        <f>YEAR(TimeEntry[[#This Row],[WkEnd]])</f>
        <v>2019</v>
      </c>
      <c r="S558" s="9">
        <f>WEEKNUM(TimeEntry[[#This Row],[WkEnd]])</f>
        <v>34</v>
      </c>
      <c r="T558" s="9" t="str">
        <f>TimeEntry[[#This Row],[Year]]&amp;"-"&amp;TimeEntry[[#This Row],[WkNo]]</f>
        <v>2019-34</v>
      </c>
    </row>
    <row r="559" spans="1:20" x14ac:dyDescent="0.25">
      <c r="A559" s="6">
        <f>MOD(IF(ROW()=2,0.1,IF(INDEX(TimeEntry[WkEnd],ROW()-1)  =  INDEX(TimeEntry[WkEnd],ROW()-2),    INDEX(TimeEntry[format],ROW()-2),    INDEX(TimeEntry[format],ROW()-2)    +1)),2)</f>
        <v>0.10000000000000009</v>
      </c>
      <c r="B559" s="7"/>
      <c r="C559" s="8">
        <v>43693</v>
      </c>
      <c r="D559" s="8"/>
      <c r="E559" s="1" t="s">
        <v>458</v>
      </c>
      <c r="F559" s="8">
        <f>IF(TimeEntry[[#This Row],[Date]]=0,F558,C559+(7-Q559))</f>
        <v>43695</v>
      </c>
      <c r="G559" s="35" t="str">
        <f>INDEX(projects[Charge_Code],MATCH(TimeEntry[[#This Row],[Project_ID]],projects[Project_ID],0))</f>
        <v>265720-20 VBB - Assessment</v>
      </c>
      <c r="H559" s="1" t="str">
        <f t="shared" si="18"/>
        <v>Normal Time</v>
      </c>
      <c r="I559" s="1"/>
      <c r="J559" s="15">
        <v>3.75</v>
      </c>
      <c r="K559" s="15"/>
      <c r="L559" s="15"/>
      <c r="M559" s="15"/>
      <c r="N559" s="15"/>
      <c r="O559" s="15" t="str">
        <f>INDEX(projects[job number],MATCH(TimeEntry[[#This Row],[Project_ID]], projects[Project_ID],0))</f>
        <v>265720-20</v>
      </c>
      <c r="P559" s="15" t="str">
        <f>INDEX(projects[Project_Name],MATCH(TimeEntry[[#This Row],[Project_ID]], projects[Project_ID],0))</f>
        <v>VBB - Assessment</v>
      </c>
      <c r="Q559" s="6">
        <f>IF(TimeEntry[[#This Row],[Date]]=0,"",WEEKDAY(C559,2))</f>
        <v>5</v>
      </c>
      <c r="R559" s="9">
        <f>YEAR(TimeEntry[[#This Row],[WkEnd]])</f>
        <v>2019</v>
      </c>
      <c r="S559" s="9">
        <f>WEEKNUM(TimeEntry[[#This Row],[WkEnd]])</f>
        <v>34</v>
      </c>
      <c r="T559" s="9" t="str">
        <f>TimeEntry[[#This Row],[Year]]&amp;"-"&amp;TimeEntry[[#This Row],[WkNo]]</f>
        <v>2019-34</v>
      </c>
    </row>
    <row r="560" spans="1:20" x14ac:dyDescent="0.25">
      <c r="A560" s="6">
        <f>MOD(IF(ROW()=2,0.1,IF(INDEX(TimeEntry[WkEnd],ROW()-1)  =  INDEX(TimeEntry[WkEnd],ROW()-2),    INDEX(TimeEntry[format],ROW()-2),    INDEX(TimeEntry[format],ROW()-2)    +1)),2)</f>
        <v>0.10000000000000009</v>
      </c>
      <c r="B560" s="7"/>
      <c r="C560" s="8">
        <v>43693</v>
      </c>
      <c r="D560" s="8"/>
      <c r="E560" s="1" t="s">
        <v>444</v>
      </c>
      <c r="F560" s="8">
        <f>IF(TimeEntry[[#This Row],[Date]]=0,F559,C560+(7-Q560))</f>
        <v>43695</v>
      </c>
      <c r="G560" s="35" t="str">
        <f>INDEX(projects[Charge_Code],MATCH(TimeEntry[[#This Row],[Project_ID]],projects[Project_ID],0))</f>
        <v>LEAVE</v>
      </c>
      <c r="H560" s="1" t="str">
        <f t="shared" si="18"/>
        <v>Normal Time</v>
      </c>
      <c r="I560" s="1"/>
      <c r="J560" s="15">
        <v>3.75</v>
      </c>
      <c r="K560" s="15"/>
      <c r="L560" s="15"/>
      <c r="M560" s="15"/>
      <c r="N560" s="15"/>
      <c r="O560" s="15" t="str">
        <f>INDEX(projects[job number],MATCH(TimeEntry[[#This Row],[Project_ID]], projects[Project_ID],0))</f>
        <v>LEAVE</v>
      </c>
      <c r="P560" s="15">
        <f>INDEX(projects[Project_Name],MATCH(TimeEntry[[#This Row],[Project_ID]], projects[Project_ID],0))</f>
        <v>0</v>
      </c>
      <c r="Q560" s="6">
        <f>IF(TimeEntry[[#This Row],[Date]]=0,"",WEEKDAY(C560,2))</f>
        <v>5</v>
      </c>
      <c r="R560" s="9">
        <f>YEAR(TimeEntry[[#This Row],[WkEnd]])</f>
        <v>2019</v>
      </c>
      <c r="S560" s="9">
        <f>WEEKNUM(TimeEntry[[#This Row],[WkEnd]])</f>
        <v>34</v>
      </c>
      <c r="T560" s="9" t="str">
        <f>TimeEntry[[#This Row],[Year]]&amp;"-"&amp;TimeEntry[[#This Row],[WkNo]]</f>
        <v>2019-34</v>
      </c>
    </row>
    <row r="561" spans="1:20" x14ac:dyDescent="0.25">
      <c r="A561" s="6">
        <f>MOD(IF(ROW()=2,0.1,IF(INDEX(TimeEntry[WkEnd],ROW()-1)  =  INDEX(TimeEntry[WkEnd],ROW()-2),    INDEX(TimeEntry[format],ROW()-2),    INDEX(TimeEntry[format],ROW()-2)    +1)),2)</f>
        <v>1.1000000000000001</v>
      </c>
      <c r="B561" s="7"/>
      <c r="C561" s="8">
        <v>43682</v>
      </c>
      <c r="D561" s="8"/>
      <c r="E561" s="1" t="s">
        <v>458</v>
      </c>
      <c r="F561" s="8">
        <f>IF(TimeEntry[[#This Row],[Date]]=0,F560,C561+(7-Q561))</f>
        <v>43688</v>
      </c>
      <c r="G561" s="35" t="str">
        <f>INDEX(projects[Charge_Code],MATCH(TimeEntry[[#This Row],[Project_ID]],projects[Project_ID],0))</f>
        <v>265720-20 VBB - Assessment</v>
      </c>
      <c r="H561" s="1" t="str">
        <f t="shared" si="18"/>
        <v>Normal Time</v>
      </c>
      <c r="I561" s="1"/>
      <c r="J561" s="15"/>
      <c r="K561" s="15"/>
      <c r="L561" s="15"/>
      <c r="M561" s="15"/>
      <c r="N561" s="15"/>
      <c r="O561" s="15" t="str">
        <f>INDEX(projects[job number],MATCH(TimeEntry[[#This Row],[Project_ID]], projects[Project_ID],0))</f>
        <v>265720-20</v>
      </c>
      <c r="P561" s="15" t="str">
        <f>INDEX(projects[Project_Name],MATCH(TimeEntry[[#This Row],[Project_ID]], projects[Project_ID],0))</f>
        <v>VBB - Assessment</v>
      </c>
      <c r="Q561" s="6">
        <f>IF(TimeEntry[[#This Row],[Date]]=0,"",WEEKDAY(C561,2))</f>
        <v>1</v>
      </c>
      <c r="R561" s="9">
        <f>YEAR(TimeEntry[[#This Row],[WkEnd]])</f>
        <v>2019</v>
      </c>
      <c r="S561" s="9">
        <f>WEEKNUM(TimeEntry[[#This Row],[WkEnd]])</f>
        <v>33</v>
      </c>
      <c r="T561" s="9" t="str">
        <f>TimeEntry[[#This Row],[Year]]&amp;"-"&amp;TimeEntry[[#This Row],[WkNo]]</f>
        <v>2019-33</v>
      </c>
    </row>
    <row r="562" spans="1:20" x14ac:dyDescent="0.25">
      <c r="A562" s="6">
        <f>MOD(IF(ROW()=2,0.1,IF(INDEX(TimeEntry[WkEnd],ROW()-1)  =  INDEX(TimeEntry[WkEnd],ROW()-2),    INDEX(TimeEntry[format],ROW()-2),    INDEX(TimeEntry[format],ROW()-2)    +1)),2)</f>
        <v>1.1000000000000001</v>
      </c>
      <c r="B562" s="7"/>
      <c r="C562" s="8">
        <v>43683</v>
      </c>
      <c r="D562" s="8"/>
      <c r="E562" s="1" t="s">
        <v>454</v>
      </c>
      <c r="F562" s="8">
        <f>IF(TimeEntry[[#This Row],[Date]]=0,F561,C562+(7-Q562))</f>
        <v>43688</v>
      </c>
      <c r="G562" s="35" t="str">
        <f>INDEX(projects[Charge_Code],MATCH(TimeEntry[[#This Row],[Project_ID]],projects[Project_ID],0))</f>
        <v>210035-51 VBB 3rd - new bridge</v>
      </c>
      <c r="H562" s="1" t="str">
        <f t="shared" si="18"/>
        <v>Normal Time</v>
      </c>
      <c r="I562" s="1"/>
      <c r="J562" s="15"/>
      <c r="K562" s="15"/>
      <c r="L562" s="15"/>
      <c r="M562" s="15"/>
      <c r="N562" s="15"/>
      <c r="O562" s="15" t="str">
        <f>INDEX(projects[job number],MATCH(TimeEntry[[#This Row],[Project_ID]], projects[Project_ID],0))</f>
        <v>210035-51</v>
      </c>
      <c r="P562" s="15" t="str">
        <f>INDEX(projects[Project_Name],MATCH(TimeEntry[[#This Row],[Project_ID]], projects[Project_ID],0))</f>
        <v>VBB 3rd - new bridge</v>
      </c>
      <c r="Q562" s="6">
        <f>IF(TimeEntry[[#This Row],[Date]]=0,"",WEEKDAY(C562,2))</f>
        <v>2</v>
      </c>
      <c r="R562" s="9">
        <f>YEAR(TimeEntry[[#This Row],[WkEnd]])</f>
        <v>2019</v>
      </c>
      <c r="S562" s="9">
        <f>WEEKNUM(TimeEntry[[#This Row],[WkEnd]])</f>
        <v>33</v>
      </c>
      <c r="T562" s="9" t="str">
        <f>TimeEntry[[#This Row],[Year]]&amp;"-"&amp;TimeEntry[[#This Row],[WkNo]]</f>
        <v>2019-33</v>
      </c>
    </row>
    <row r="563" spans="1:20" x14ac:dyDescent="0.25">
      <c r="A563" s="6">
        <f>MOD(IF(ROW()=2,0.1,IF(INDEX(TimeEntry[WkEnd],ROW()-1)  =  INDEX(TimeEntry[WkEnd],ROW()-2),    INDEX(TimeEntry[format],ROW()-2),    INDEX(TimeEntry[format],ROW()-2)    +1)),2)</f>
        <v>1.1000000000000001</v>
      </c>
      <c r="B563" s="7"/>
      <c r="C563" s="8">
        <v>43684</v>
      </c>
      <c r="D563" s="8"/>
      <c r="E563" s="1" t="s">
        <v>454</v>
      </c>
      <c r="F563" s="8">
        <f>IF(TimeEntry[[#This Row],[Date]]=0,F562,C563+(7-Q563))</f>
        <v>43688</v>
      </c>
      <c r="G563" s="35" t="str">
        <f>INDEX(projects[Charge_Code],MATCH(TimeEntry[[#This Row],[Project_ID]],projects[Project_ID],0))</f>
        <v>210035-51 VBB 3rd - new bridge</v>
      </c>
      <c r="H563" s="1" t="str">
        <f t="shared" si="18"/>
        <v>Normal Time</v>
      </c>
      <c r="I563" s="1"/>
      <c r="J563" s="15"/>
      <c r="K563" s="15"/>
      <c r="L563" s="15"/>
      <c r="M563" s="15"/>
      <c r="N563" s="15"/>
      <c r="O563" s="15" t="str">
        <f>INDEX(projects[job number],MATCH(TimeEntry[[#This Row],[Project_ID]], projects[Project_ID],0))</f>
        <v>210035-51</v>
      </c>
      <c r="P563" s="15" t="str">
        <f>INDEX(projects[Project_Name],MATCH(TimeEntry[[#This Row],[Project_ID]], projects[Project_ID],0))</f>
        <v>VBB 3rd - new bridge</v>
      </c>
      <c r="Q563" s="6">
        <f>IF(TimeEntry[[#This Row],[Date]]=0,"",WEEKDAY(C563,2))</f>
        <v>3</v>
      </c>
      <c r="R563" s="9">
        <f>YEAR(TimeEntry[[#This Row],[WkEnd]])</f>
        <v>2019</v>
      </c>
      <c r="S563" s="9">
        <f>WEEKNUM(TimeEntry[[#This Row],[WkEnd]])</f>
        <v>33</v>
      </c>
      <c r="T563" s="9" t="str">
        <f>TimeEntry[[#This Row],[Year]]&amp;"-"&amp;TimeEntry[[#This Row],[WkNo]]</f>
        <v>2019-33</v>
      </c>
    </row>
    <row r="564" spans="1:20" x14ac:dyDescent="0.25">
      <c r="A564" s="6">
        <f>MOD(IF(ROW()=2,0.1,IF(INDEX(TimeEntry[WkEnd],ROW()-1)  =  INDEX(TimeEntry[WkEnd],ROW()-2),    INDEX(TimeEntry[format],ROW()-2),    INDEX(TimeEntry[format],ROW()-2)    +1)),2)</f>
        <v>1.1000000000000001</v>
      </c>
      <c r="B564" s="7"/>
      <c r="C564" s="8">
        <v>43685</v>
      </c>
      <c r="D564" s="8"/>
      <c r="E564" s="1" t="s">
        <v>454</v>
      </c>
      <c r="F564" s="8">
        <f>IF(TimeEntry[[#This Row],[Date]]=0,F563,C564+(7-Q564))</f>
        <v>43688</v>
      </c>
      <c r="G564" s="35" t="str">
        <f>INDEX(projects[Charge_Code],MATCH(TimeEntry[[#This Row],[Project_ID]],projects[Project_ID],0))</f>
        <v>210035-51 VBB 3rd - new bridge</v>
      </c>
      <c r="H564" s="1" t="str">
        <f t="shared" si="18"/>
        <v>Normal Time</v>
      </c>
      <c r="I564" s="1"/>
      <c r="J564" s="15"/>
      <c r="K564" s="15"/>
      <c r="L564" s="15"/>
      <c r="M564" s="15"/>
      <c r="N564" s="15"/>
      <c r="O564" s="15" t="str">
        <f>INDEX(projects[job number],MATCH(TimeEntry[[#This Row],[Project_ID]], projects[Project_ID],0))</f>
        <v>210035-51</v>
      </c>
      <c r="P564" s="15" t="str">
        <f>INDEX(projects[Project_Name],MATCH(TimeEntry[[#This Row],[Project_ID]], projects[Project_ID],0))</f>
        <v>VBB 3rd - new bridge</v>
      </c>
      <c r="Q564" s="6">
        <f>IF(TimeEntry[[#This Row],[Date]]=0,"",WEEKDAY(C564,2))</f>
        <v>4</v>
      </c>
      <c r="R564" s="9">
        <f>YEAR(TimeEntry[[#This Row],[WkEnd]])</f>
        <v>2019</v>
      </c>
      <c r="S564" s="9">
        <f>WEEKNUM(TimeEntry[[#This Row],[WkEnd]])</f>
        <v>33</v>
      </c>
      <c r="T564" s="9" t="str">
        <f>TimeEntry[[#This Row],[Year]]&amp;"-"&amp;TimeEntry[[#This Row],[WkNo]]</f>
        <v>2019-33</v>
      </c>
    </row>
    <row r="565" spans="1:20" x14ac:dyDescent="0.25">
      <c r="A565" s="6">
        <f>MOD(IF(ROW()=2,0.1,IF(INDEX(TimeEntry[WkEnd],ROW()-1)  =  INDEX(TimeEntry[WkEnd],ROW()-2),    INDEX(TimeEntry[format],ROW()-2),    INDEX(TimeEntry[format],ROW()-2)    +1)),2)</f>
        <v>1.1000000000000001</v>
      </c>
      <c r="B565" s="7"/>
      <c r="C565" s="8">
        <v>43686</v>
      </c>
      <c r="D565" s="8"/>
      <c r="E565" s="1" t="s">
        <v>458</v>
      </c>
      <c r="F565" s="8">
        <f>IF(TimeEntry[[#This Row],[Date]]=0,F564,C565+(7-Q565))</f>
        <v>43688</v>
      </c>
      <c r="G565" s="35" t="str">
        <f>INDEX(projects[Charge_Code],MATCH(TimeEntry[[#This Row],[Project_ID]],projects[Project_ID],0))</f>
        <v>265720-20 VBB - Assessment</v>
      </c>
      <c r="H565" s="1" t="str">
        <f t="shared" si="18"/>
        <v>Normal Time</v>
      </c>
      <c r="I565" s="1"/>
      <c r="J565" s="15"/>
      <c r="K565" s="15"/>
      <c r="L565" s="15"/>
      <c r="M565" s="15"/>
      <c r="N565" s="15"/>
      <c r="O565" s="15" t="str">
        <f>INDEX(projects[job number],MATCH(TimeEntry[[#This Row],[Project_ID]], projects[Project_ID],0))</f>
        <v>265720-20</v>
      </c>
      <c r="P565" s="15" t="str">
        <f>INDEX(projects[Project_Name],MATCH(TimeEntry[[#This Row],[Project_ID]], projects[Project_ID],0))</f>
        <v>VBB - Assessment</v>
      </c>
      <c r="Q565" s="6">
        <f>IF(TimeEntry[[#This Row],[Date]]=0,"",WEEKDAY(C565,2))</f>
        <v>5</v>
      </c>
      <c r="R565" s="9">
        <f>YEAR(TimeEntry[[#This Row],[WkEnd]])</f>
        <v>2019</v>
      </c>
      <c r="S565" s="9">
        <f>WEEKNUM(TimeEntry[[#This Row],[WkEnd]])</f>
        <v>33</v>
      </c>
      <c r="T565" s="9" t="str">
        <f>TimeEntry[[#This Row],[Year]]&amp;"-"&amp;TimeEntry[[#This Row],[WkNo]]</f>
        <v>2019-33</v>
      </c>
    </row>
    <row r="566" spans="1:20" x14ac:dyDescent="0.25">
      <c r="A566" s="6">
        <f>MOD(IF(ROW()=2,0.1,IF(INDEX(TimeEntry[WkEnd],ROW()-1)  =  INDEX(TimeEntry[WkEnd],ROW()-2),    INDEX(TimeEntry[format],ROW()-2),    INDEX(TimeEntry[format],ROW()-2)    +1)),2)</f>
        <v>0.10000000000000009</v>
      </c>
      <c r="B566" s="7"/>
      <c r="C566" s="8">
        <v>43675</v>
      </c>
      <c r="D566" s="8"/>
      <c r="E566" s="1" t="s">
        <v>454</v>
      </c>
      <c r="F566" s="8">
        <f>IF(TimeEntry[[#This Row],[Date]]=0,F565,C566+(7-Q566))</f>
        <v>43681</v>
      </c>
      <c r="G566" s="35" t="str">
        <f>INDEX(projects[Charge_Code],MATCH(TimeEntry[[#This Row],[Project_ID]],projects[Project_ID],0))</f>
        <v>210035-51 VBB 3rd - new bridge</v>
      </c>
      <c r="H566" s="1" t="str">
        <f t="shared" si="18"/>
        <v>Normal Time</v>
      </c>
      <c r="I566" s="1"/>
      <c r="J566" s="15">
        <v>7.5</v>
      </c>
      <c r="K566" s="15"/>
      <c r="L566" s="15"/>
      <c r="M566" s="15"/>
      <c r="N566" s="15"/>
      <c r="O566" s="15" t="str">
        <f>INDEX(projects[job number],MATCH(TimeEntry[[#This Row],[Project_ID]], projects[Project_ID],0))</f>
        <v>210035-51</v>
      </c>
      <c r="P566" s="15" t="str">
        <f>INDEX(projects[Project_Name],MATCH(TimeEntry[[#This Row],[Project_ID]], projects[Project_ID],0))</f>
        <v>VBB 3rd - new bridge</v>
      </c>
      <c r="Q566" s="6">
        <f>IF(TimeEntry[[#This Row],[Date]]=0,"",WEEKDAY(C566,2))</f>
        <v>1</v>
      </c>
      <c r="R566" s="9">
        <f>YEAR(TimeEntry[[#This Row],[WkEnd]])</f>
        <v>2019</v>
      </c>
      <c r="S566" s="9">
        <f>WEEKNUM(TimeEntry[[#This Row],[WkEnd]])</f>
        <v>32</v>
      </c>
      <c r="T566" s="9" t="str">
        <f>TimeEntry[[#This Row],[Year]]&amp;"-"&amp;TimeEntry[[#This Row],[WkNo]]</f>
        <v>2019-32</v>
      </c>
    </row>
    <row r="567" spans="1:20" x14ac:dyDescent="0.25">
      <c r="A567" s="6">
        <f>MOD(IF(ROW()=2,0.1,IF(INDEX(TimeEntry[WkEnd],ROW()-1)  =  INDEX(TimeEntry[WkEnd],ROW()-2),    INDEX(TimeEntry[format],ROW()-2),    INDEX(TimeEntry[format],ROW()-2)    +1)),2)</f>
        <v>0.10000000000000009</v>
      </c>
      <c r="B567" s="7"/>
      <c r="C567" s="8">
        <v>43676</v>
      </c>
      <c r="D567" s="8"/>
      <c r="E567" s="1" t="s">
        <v>458</v>
      </c>
      <c r="F567" s="8">
        <f>IF(TimeEntry[[#This Row],[Date]]=0,F566,C567+(7-Q567))</f>
        <v>43681</v>
      </c>
      <c r="G567" s="35" t="str">
        <f>INDEX(projects[Charge_Code],MATCH(TimeEntry[[#This Row],[Project_ID]],projects[Project_ID],0))</f>
        <v>265720-20 VBB - Assessment</v>
      </c>
      <c r="H567" s="1" t="str">
        <f t="shared" si="18"/>
        <v>Normal Time</v>
      </c>
      <c r="I567" s="1"/>
      <c r="J567" s="15">
        <v>7.5</v>
      </c>
      <c r="K567" s="15"/>
      <c r="L567" s="15"/>
      <c r="M567" s="15"/>
      <c r="N567" s="15"/>
      <c r="O567" s="15" t="str">
        <f>INDEX(projects[job number],MATCH(TimeEntry[[#This Row],[Project_ID]], projects[Project_ID],0))</f>
        <v>265720-20</v>
      </c>
      <c r="P567" s="15" t="str">
        <f>INDEX(projects[Project_Name],MATCH(TimeEntry[[#This Row],[Project_ID]], projects[Project_ID],0))</f>
        <v>VBB - Assessment</v>
      </c>
      <c r="Q567" s="6">
        <f>IF(TimeEntry[[#This Row],[Date]]=0,"",WEEKDAY(C567,2))</f>
        <v>2</v>
      </c>
      <c r="R567" s="9">
        <f>YEAR(TimeEntry[[#This Row],[WkEnd]])</f>
        <v>2019</v>
      </c>
      <c r="S567" s="9">
        <f>WEEKNUM(TimeEntry[[#This Row],[WkEnd]])</f>
        <v>32</v>
      </c>
      <c r="T567" s="9" t="str">
        <f>TimeEntry[[#This Row],[Year]]&amp;"-"&amp;TimeEntry[[#This Row],[WkNo]]</f>
        <v>2019-32</v>
      </c>
    </row>
    <row r="568" spans="1:20" x14ac:dyDescent="0.25">
      <c r="A568" s="6">
        <f>MOD(IF(ROW()=2,0.1,IF(INDEX(TimeEntry[WkEnd],ROW()-1)  =  INDEX(TimeEntry[WkEnd],ROW()-2),    INDEX(TimeEntry[format],ROW()-2),    INDEX(TimeEntry[format],ROW()-2)    +1)),2)</f>
        <v>0.10000000000000009</v>
      </c>
      <c r="B568" s="7"/>
      <c r="C568" s="8">
        <v>43677</v>
      </c>
      <c r="D568" s="8"/>
      <c r="E568" s="1" t="s">
        <v>458</v>
      </c>
      <c r="F568" s="8">
        <f>IF(TimeEntry[[#This Row],[Date]]=0,F567,C568+(7-Q568))</f>
        <v>43681</v>
      </c>
      <c r="G568" s="35" t="str">
        <f>INDEX(projects[Charge_Code],MATCH(TimeEntry[[#This Row],[Project_ID]],projects[Project_ID],0))</f>
        <v>265720-20 VBB - Assessment</v>
      </c>
      <c r="H568" s="1" t="str">
        <f t="shared" si="18"/>
        <v>Normal Time</v>
      </c>
      <c r="I568" s="1"/>
      <c r="J568" s="15">
        <v>7.5</v>
      </c>
      <c r="K568" s="15"/>
      <c r="L568" s="15"/>
      <c r="M568" s="15"/>
      <c r="N568" s="15"/>
      <c r="O568" s="15" t="str">
        <f>INDEX(projects[job number],MATCH(TimeEntry[[#This Row],[Project_ID]], projects[Project_ID],0))</f>
        <v>265720-20</v>
      </c>
      <c r="P568" s="15" t="str">
        <f>INDEX(projects[Project_Name],MATCH(TimeEntry[[#This Row],[Project_ID]], projects[Project_ID],0))</f>
        <v>VBB - Assessment</v>
      </c>
      <c r="Q568" s="6">
        <f>IF(TimeEntry[[#This Row],[Date]]=0,"",WEEKDAY(C568,2))</f>
        <v>3</v>
      </c>
      <c r="R568" s="9">
        <f>YEAR(TimeEntry[[#This Row],[WkEnd]])</f>
        <v>2019</v>
      </c>
      <c r="S568" s="9">
        <f>WEEKNUM(TimeEntry[[#This Row],[WkEnd]])</f>
        <v>32</v>
      </c>
      <c r="T568" s="9" t="str">
        <f>TimeEntry[[#This Row],[Year]]&amp;"-"&amp;TimeEntry[[#This Row],[WkNo]]</f>
        <v>2019-32</v>
      </c>
    </row>
    <row r="569" spans="1:20" x14ac:dyDescent="0.25">
      <c r="A569" s="6">
        <f>MOD(IF(ROW()=2,0.1,IF(INDEX(TimeEntry[WkEnd],ROW()-1)  =  INDEX(TimeEntry[WkEnd],ROW()-2),    INDEX(TimeEntry[format],ROW()-2),    INDEX(TimeEntry[format],ROW()-2)    +1)),2)</f>
        <v>0.10000000000000009</v>
      </c>
      <c r="B569" s="7"/>
      <c r="C569" s="8">
        <v>43678</v>
      </c>
      <c r="D569" s="8"/>
      <c r="E569" s="1" t="s">
        <v>454</v>
      </c>
      <c r="F569" s="8">
        <f>IF(TimeEntry[[#This Row],[Date]]=0,F568,C569+(7-Q569))</f>
        <v>43681</v>
      </c>
      <c r="G569" s="35" t="str">
        <f>INDEX(projects[Charge_Code],MATCH(TimeEntry[[#This Row],[Project_ID]],projects[Project_ID],0))</f>
        <v>210035-51 VBB 3rd - new bridge</v>
      </c>
      <c r="H569" s="1" t="str">
        <f t="shared" si="18"/>
        <v>Normal Time</v>
      </c>
      <c r="I569" s="1"/>
      <c r="J569" s="15">
        <v>7.5</v>
      </c>
      <c r="K569" s="15"/>
      <c r="L569" s="15"/>
      <c r="M569" s="15"/>
      <c r="N569" s="15"/>
      <c r="O569" s="15" t="str">
        <f>INDEX(projects[job number],MATCH(TimeEntry[[#This Row],[Project_ID]], projects[Project_ID],0))</f>
        <v>210035-51</v>
      </c>
      <c r="P569" s="15" t="str">
        <f>INDEX(projects[Project_Name],MATCH(TimeEntry[[#This Row],[Project_ID]], projects[Project_ID],0))</f>
        <v>VBB 3rd - new bridge</v>
      </c>
      <c r="Q569" s="6">
        <f>IF(TimeEntry[[#This Row],[Date]]=0,"",WEEKDAY(C569,2))</f>
        <v>4</v>
      </c>
      <c r="R569" s="9">
        <f>YEAR(TimeEntry[[#This Row],[WkEnd]])</f>
        <v>2019</v>
      </c>
      <c r="S569" s="9">
        <f>WEEKNUM(TimeEntry[[#This Row],[WkEnd]])</f>
        <v>32</v>
      </c>
      <c r="T569" s="9" t="str">
        <f>TimeEntry[[#This Row],[Year]]&amp;"-"&amp;TimeEntry[[#This Row],[WkNo]]</f>
        <v>2019-32</v>
      </c>
    </row>
    <row r="570" spans="1:20" x14ac:dyDescent="0.25">
      <c r="A570" s="6">
        <f>MOD(IF(ROW()=2,0.1,IF(INDEX(TimeEntry[WkEnd],ROW()-1)  =  INDEX(TimeEntry[WkEnd],ROW()-2),    INDEX(TimeEntry[format],ROW()-2),    INDEX(TimeEntry[format],ROW()-2)    +1)),2)</f>
        <v>0.10000000000000009</v>
      </c>
      <c r="B570" s="7"/>
      <c r="C570" s="8">
        <v>43679</v>
      </c>
      <c r="D570" s="8"/>
      <c r="E570" s="1" t="s">
        <v>444</v>
      </c>
      <c r="F570" s="8">
        <f>IF(TimeEntry[[#This Row],[Date]]=0,F569,C570+(7-Q570))</f>
        <v>43681</v>
      </c>
      <c r="G570" s="35" t="str">
        <f>INDEX(projects[Charge_Code],MATCH(TimeEntry[[#This Row],[Project_ID]],projects[Project_ID],0))</f>
        <v>LEAVE</v>
      </c>
      <c r="H570" s="1" t="str">
        <f t="shared" si="18"/>
        <v>Normal Time</v>
      </c>
      <c r="I570" s="1"/>
      <c r="J570" s="15">
        <v>7.5</v>
      </c>
      <c r="K570" s="15"/>
      <c r="L570" s="15"/>
      <c r="M570" s="15"/>
      <c r="N570" s="15"/>
      <c r="O570" s="15" t="str">
        <f>INDEX(projects[job number],MATCH(TimeEntry[[#This Row],[Project_ID]], projects[Project_ID],0))</f>
        <v>LEAVE</v>
      </c>
      <c r="P570" s="15">
        <f>INDEX(projects[Project_Name],MATCH(TimeEntry[[#This Row],[Project_ID]], projects[Project_ID],0))</f>
        <v>0</v>
      </c>
      <c r="Q570" s="6">
        <f>IF(TimeEntry[[#This Row],[Date]]=0,"",WEEKDAY(C570,2))</f>
        <v>5</v>
      </c>
      <c r="R570" s="9">
        <f>YEAR(TimeEntry[[#This Row],[WkEnd]])</f>
        <v>2019</v>
      </c>
      <c r="S570" s="9">
        <f>WEEKNUM(TimeEntry[[#This Row],[WkEnd]])</f>
        <v>32</v>
      </c>
      <c r="T570" s="9" t="str">
        <f>TimeEntry[[#This Row],[Year]]&amp;"-"&amp;TimeEntry[[#This Row],[WkNo]]</f>
        <v>2019-32</v>
      </c>
    </row>
    <row r="571" spans="1:20" x14ac:dyDescent="0.25">
      <c r="A571" s="6">
        <f>MOD(IF(ROW()=2,0.1,IF(INDEX(TimeEntry[WkEnd],ROW()-1)  =  INDEX(TimeEntry[WkEnd],ROW()-2),    INDEX(TimeEntry[format],ROW()-2),    INDEX(TimeEntry[format],ROW()-2)    +1)),2)</f>
        <v>1.1000000000000001</v>
      </c>
      <c r="B571" s="7"/>
      <c r="C571" s="8">
        <v>43668</v>
      </c>
      <c r="D571" s="8"/>
      <c r="E571" s="1" t="s">
        <v>677</v>
      </c>
      <c r="F571" s="8">
        <f>IF(TimeEntry[[#This Row],[Date]]=0,F570,C571+(7-Q571))</f>
        <v>43674</v>
      </c>
      <c r="G571" s="35" t="str">
        <f>INDEX(projects[Charge_Code],MATCH(TimeEntry[[#This Row],[Project_ID]],projects[Project_ID],0))</f>
        <v>074097-30 LEADERSHIP &amp; MANAGEMENT CC124 (01-124)</v>
      </c>
      <c r="H571" s="1" t="str">
        <f t="shared" si="18"/>
        <v>Normal Time</v>
      </c>
      <c r="I571" s="1"/>
      <c r="J571" s="15">
        <v>2.5</v>
      </c>
      <c r="K571" s="15"/>
      <c r="L571" s="15"/>
      <c r="M571" s="15"/>
      <c r="N571" s="15"/>
      <c r="O571" s="15" t="str">
        <f>INDEX(projects[job number],MATCH(TimeEntry[[#This Row],[Project_ID]], projects[Project_ID],0))</f>
        <v>074097-30</v>
      </c>
      <c r="P571" s="15" t="str">
        <f>INDEX(projects[Project_Name],MATCH(TimeEntry[[#This Row],[Project_ID]], projects[Project_ID],0))</f>
        <v>LEADERSHIP &amp; MANAGEMENT CC124</v>
      </c>
      <c r="Q571" s="6">
        <f>IF(TimeEntry[[#This Row],[Date]]=0,"",WEEKDAY(C571,2))</f>
        <v>1</v>
      </c>
      <c r="R571" s="9">
        <f>YEAR(TimeEntry[[#This Row],[WkEnd]])</f>
        <v>2019</v>
      </c>
      <c r="S571" s="9">
        <f>WEEKNUM(TimeEntry[[#This Row],[WkEnd]])</f>
        <v>31</v>
      </c>
      <c r="T571" s="9" t="str">
        <f>TimeEntry[[#This Row],[Year]]&amp;"-"&amp;TimeEntry[[#This Row],[WkNo]]</f>
        <v>2019-31</v>
      </c>
    </row>
    <row r="572" spans="1:20" x14ac:dyDescent="0.25">
      <c r="A572" s="6">
        <f>MOD(IF(ROW()=2,0.1,IF(INDEX(TimeEntry[WkEnd],ROW()-1)  =  INDEX(TimeEntry[WkEnd],ROW()-2),    INDEX(TimeEntry[format],ROW()-2),    INDEX(TimeEntry[format],ROW()-2)    +1)),2)</f>
        <v>1.1000000000000001</v>
      </c>
      <c r="B572" s="7"/>
      <c r="C572" s="8">
        <v>43668</v>
      </c>
      <c r="D572" s="8"/>
      <c r="E572" s="1" t="s">
        <v>458</v>
      </c>
      <c r="F572" s="8">
        <f>IF(TimeEntry[[#This Row],[Date]]=0,F571,C572+(7-Q572))</f>
        <v>43674</v>
      </c>
      <c r="G572" s="35" t="str">
        <f>INDEX(projects[Charge_Code],MATCH(TimeEntry[[#This Row],[Project_ID]],projects[Project_ID],0))</f>
        <v>265720-20 VBB - Assessment</v>
      </c>
      <c r="H572" s="1" t="str">
        <f t="shared" si="18"/>
        <v>Normal Time</v>
      </c>
      <c r="I572" s="1"/>
      <c r="J572" s="15">
        <v>5</v>
      </c>
      <c r="K572" s="15"/>
      <c r="L572" s="15"/>
      <c r="M572" s="15"/>
      <c r="N572" s="15"/>
      <c r="O572" s="15" t="str">
        <f>INDEX(projects[job number],MATCH(TimeEntry[[#This Row],[Project_ID]], projects[Project_ID],0))</f>
        <v>265720-20</v>
      </c>
      <c r="P572" s="15" t="str">
        <f>INDEX(projects[Project_Name],MATCH(TimeEntry[[#This Row],[Project_ID]], projects[Project_ID],0))</f>
        <v>VBB - Assessment</v>
      </c>
      <c r="Q572" s="6">
        <f>IF(TimeEntry[[#This Row],[Date]]=0,"",WEEKDAY(C572,2))</f>
        <v>1</v>
      </c>
      <c r="R572" s="9">
        <f>YEAR(TimeEntry[[#This Row],[WkEnd]])</f>
        <v>2019</v>
      </c>
      <c r="S572" s="9">
        <f>WEEKNUM(TimeEntry[[#This Row],[WkEnd]])</f>
        <v>31</v>
      </c>
      <c r="T572" s="9" t="str">
        <f>TimeEntry[[#This Row],[Year]]&amp;"-"&amp;TimeEntry[[#This Row],[WkNo]]</f>
        <v>2019-31</v>
      </c>
    </row>
    <row r="573" spans="1:20" x14ac:dyDescent="0.25">
      <c r="A573" s="6">
        <f>MOD(IF(ROW()=2,0.1,IF(INDEX(TimeEntry[WkEnd],ROW()-1)  =  INDEX(TimeEntry[WkEnd],ROW()-2),    INDEX(TimeEntry[format],ROW()-2),    INDEX(TimeEntry[format],ROW()-2)    +1)),2)</f>
        <v>1.1000000000000001</v>
      </c>
      <c r="B573" s="7"/>
      <c r="C573" s="8">
        <v>43669</v>
      </c>
      <c r="D573" s="8"/>
      <c r="E573" s="1" t="s">
        <v>454</v>
      </c>
      <c r="F573" s="8">
        <f>IF(TimeEntry[[#This Row],[Date]]=0,F572,C573+(7-Q573))</f>
        <v>43674</v>
      </c>
      <c r="G573" s="35" t="str">
        <f>INDEX(projects[Charge_Code],MATCH(TimeEntry[[#This Row],[Project_ID]],projects[Project_ID],0))</f>
        <v>210035-51 VBB 3rd - new bridge</v>
      </c>
      <c r="H573" s="1" t="str">
        <f t="shared" si="18"/>
        <v>Normal Time</v>
      </c>
      <c r="I573" s="1"/>
      <c r="J573" s="15">
        <v>7.5</v>
      </c>
      <c r="K573" s="15"/>
      <c r="L573" s="15"/>
      <c r="M573" s="15"/>
      <c r="N573" s="15"/>
      <c r="O573" s="15" t="str">
        <f>INDEX(projects[job number],MATCH(TimeEntry[[#This Row],[Project_ID]], projects[Project_ID],0))</f>
        <v>210035-51</v>
      </c>
      <c r="P573" s="15" t="str">
        <f>INDEX(projects[Project_Name],MATCH(TimeEntry[[#This Row],[Project_ID]], projects[Project_ID],0))</f>
        <v>VBB 3rd - new bridge</v>
      </c>
      <c r="Q573" s="6">
        <f>IF(TimeEntry[[#This Row],[Date]]=0,"",WEEKDAY(C573,2))</f>
        <v>2</v>
      </c>
      <c r="R573" s="9">
        <f>YEAR(TimeEntry[[#This Row],[WkEnd]])</f>
        <v>2019</v>
      </c>
      <c r="S573" s="9">
        <f>WEEKNUM(TimeEntry[[#This Row],[WkEnd]])</f>
        <v>31</v>
      </c>
      <c r="T573" s="9" t="str">
        <f>TimeEntry[[#This Row],[Year]]&amp;"-"&amp;TimeEntry[[#This Row],[WkNo]]</f>
        <v>2019-31</v>
      </c>
    </row>
    <row r="574" spans="1:20" x14ac:dyDescent="0.25">
      <c r="A574" s="6">
        <f>MOD(IF(ROW()=2,0.1,IF(INDEX(TimeEntry[WkEnd],ROW()-1)  =  INDEX(TimeEntry[WkEnd],ROW()-2),    INDEX(TimeEntry[format],ROW()-2),    INDEX(TimeEntry[format],ROW()-2)    +1)),2)</f>
        <v>1.1000000000000001</v>
      </c>
      <c r="B574" s="7"/>
      <c r="C574" s="8">
        <v>43670</v>
      </c>
      <c r="D574" s="8"/>
      <c r="E574" s="1" t="s">
        <v>460</v>
      </c>
      <c r="F574" s="8">
        <f>IF(TimeEntry[[#This Row],[Date]]=0,F573,C574+(7-Q574))</f>
        <v>43674</v>
      </c>
      <c r="G574" s="35" t="str">
        <f>INDEX(projects[Charge_Code],MATCH(TimeEntry[[#This Row],[Project_ID]],projects[Project_ID],0))</f>
        <v>268268-00 Brisa</v>
      </c>
      <c r="H574" s="1" t="str">
        <f t="shared" si="18"/>
        <v>Normal Time</v>
      </c>
      <c r="I574" s="1"/>
      <c r="J574" s="15">
        <v>7.5</v>
      </c>
      <c r="K574" s="15"/>
      <c r="L574" s="15"/>
      <c r="M574" s="15"/>
      <c r="N574" s="15"/>
      <c r="O574" s="15" t="str">
        <f>INDEX(projects[job number],MATCH(TimeEntry[[#This Row],[Project_ID]], projects[Project_ID],0))</f>
        <v>268268-00</v>
      </c>
      <c r="P574" s="15" t="str">
        <f>INDEX(projects[Project_Name],MATCH(TimeEntry[[#This Row],[Project_ID]], projects[Project_ID],0))</f>
        <v>Brisa</v>
      </c>
      <c r="Q574" s="6">
        <f>IF(TimeEntry[[#This Row],[Date]]=0,"",WEEKDAY(C574,2))</f>
        <v>3</v>
      </c>
      <c r="R574" s="9">
        <f>YEAR(TimeEntry[[#This Row],[WkEnd]])</f>
        <v>2019</v>
      </c>
      <c r="S574" s="9">
        <f>WEEKNUM(TimeEntry[[#This Row],[WkEnd]])</f>
        <v>31</v>
      </c>
      <c r="T574" s="9" t="str">
        <f>TimeEntry[[#This Row],[Year]]&amp;"-"&amp;TimeEntry[[#This Row],[WkNo]]</f>
        <v>2019-31</v>
      </c>
    </row>
    <row r="575" spans="1:20" x14ac:dyDescent="0.25">
      <c r="A575" s="6">
        <f>MOD(IF(ROW()=2,0.1,IF(INDEX(TimeEntry[WkEnd],ROW()-1)  =  INDEX(TimeEntry[WkEnd],ROW()-2),    INDEX(TimeEntry[format],ROW()-2),    INDEX(TimeEntry[format],ROW()-2)    +1)),2)</f>
        <v>1.1000000000000001</v>
      </c>
      <c r="B575" s="7"/>
      <c r="C575" s="8">
        <v>43671</v>
      </c>
      <c r="D575" s="8"/>
      <c r="E575" s="1" t="s">
        <v>460</v>
      </c>
      <c r="F575" s="8">
        <f>IF(TimeEntry[[#This Row],[Date]]=0,F574,C575+(7-Q575))</f>
        <v>43674</v>
      </c>
      <c r="G575" s="35" t="str">
        <f>INDEX(projects[Charge_Code],MATCH(TimeEntry[[#This Row],[Project_ID]],projects[Project_ID],0))</f>
        <v>268268-00 Brisa</v>
      </c>
      <c r="H575" s="1" t="str">
        <f t="shared" si="18"/>
        <v>Normal Time</v>
      </c>
      <c r="I575" s="1"/>
      <c r="J575" s="15">
        <v>7.5</v>
      </c>
      <c r="K575" s="15"/>
      <c r="L575" s="15"/>
      <c r="M575" s="15"/>
      <c r="N575" s="15"/>
      <c r="O575" s="15" t="str">
        <f>INDEX(projects[job number],MATCH(TimeEntry[[#This Row],[Project_ID]], projects[Project_ID],0))</f>
        <v>268268-00</v>
      </c>
      <c r="P575" s="15" t="str">
        <f>INDEX(projects[Project_Name],MATCH(TimeEntry[[#This Row],[Project_ID]], projects[Project_ID],0))</f>
        <v>Brisa</v>
      </c>
      <c r="Q575" s="6">
        <f>IF(TimeEntry[[#This Row],[Date]]=0,"",WEEKDAY(C575,2))</f>
        <v>4</v>
      </c>
      <c r="R575" s="9">
        <f>YEAR(TimeEntry[[#This Row],[WkEnd]])</f>
        <v>2019</v>
      </c>
      <c r="S575" s="9">
        <f>WEEKNUM(TimeEntry[[#This Row],[WkEnd]])</f>
        <v>31</v>
      </c>
      <c r="T575" s="9" t="str">
        <f>TimeEntry[[#This Row],[Year]]&amp;"-"&amp;TimeEntry[[#This Row],[WkNo]]</f>
        <v>2019-31</v>
      </c>
    </row>
    <row r="576" spans="1:20" x14ac:dyDescent="0.25">
      <c r="A576" s="6">
        <f>MOD(IF(ROW()=2,0.1,IF(INDEX(TimeEntry[WkEnd],ROW()-1)  =  INDEX(TimeEntry[WkEnd],ROW()-2),    INDEX(TimeEntry[format],ROW()-2),    INDEX(TimeEntry[format],ROW()-2)    +1)),2)</f>
        <v>1.1000000000000001</v>
      </c>
      <c r="B576" s="7"/>
      <c r="C576" s="8">
        <v>43672</v>
      </c>
      <c r="D576" s="8"/>
      <c r="E576" s="1" t="s">
        <v>460</v>
      </c>
      <c r="F576" s="8">
        <f>IF(TimeEntry[[#This Row],[Date]]=0,F575,C576+(7-Q576))</f>
        <v>43674</v>
      </c>
      <c r="G576" s="35" t="str">
        <f>INDEX(projects[Charge_Code],MATCH(TimeEntry[[#This Row],[Project_ID]],projects[Project_ID],0))</f>
        <v>268268-00 Brisa</v>
      </c>
      <c r="H576" s="1" t="str">
        <f t="shared" si="18"/>
        <v>Normal Time</v>
      </c>
      <c r="I576" s="1"/>
      <c r="J576" s="15">
        <v>7.5</v>
      </c>
      <c r="K576" s="15"/>
      <c r="L576" s="15"/>
      <c r="M576" s="15"/>
      <c r="N576" s="15"/>
      <c r="O576" s="15" t="str">
        <f>INDEX(projects[job number],MATCH(TimeEntry[[#This Row],[Project_ID]], projects[Project_ID],0))</f>
        <v>268268-00</v>
      </c>
      <c r="P576" s="15" t="str">
        <f>INDEX(projects[Project_Name],MATCH(TimeEntry[[#This Row],[Project_ID]], projects[Project_ID],0))</f>
        <v>Brisa</v>
      </c>
      <c r="Q576" s="6">
        <f>IF(TimeEntry[[#This Row],[Date]]=0,"",WEEKDAY(C576,2))</f>
        <v>5</v>
      </c>
      <c r="R576" s="9">
        <f>YEAR(TimeEntry[[#This Row],[WkEnd]])</f>
        <v>2019</v>
      </c>
      <c r="S576" s="9">
        <f>WEEKNUM(TimeEntry[[#This Row],[WkEnd]])</f>
        <v>31</v>
      </c>
      <c r="T576" s="9" t="str">
        <f>TimeEntry[[#This Row],[Year]]&amp;"-"&amp;TimeEntry[[#This Row],[WkNo]]</f>
        <v>2019-31</v>
      </c>
    </row>
    <row r="577" spans="1:20" x14ac:dyDescent="0.25">
      <c r="A577" s="6">
        <f>MOD(IF(ROW()=2,0.1,IF(INDEX(TimeEntry[WkEnd],ROW()-1)  =  INDEX(TimeEntry[WkEnd],ROW()-2),    INDEX(TimeEntry[format],ROW()-2),    INDEX(TimeEntry[format],ROW()-2)    +1)),2)</f>
        <v>0.10000000000000009</v>
      </c>
      <c r="B577" s="7"/>
      <c r="C577" s="8">
        <v>43661</v>
      </c>
      <c r="D577" s="8"/>
      <c r="E577" s="1" t="s">
        <v>677</v>
      </c>
      <c r="F577" s="8">
        <f>IF(TimeEntry[[#This Row],[Date]]=0,F576,C577+(7-Q577))</f>
        <v>43667</v>
      </c>
      <c r="G577" s="35" t="str">
        <f>INDEX(projects[Charge_Code],MATCH(TimeEntry[[#This Row],[Project_ID]],projects[Project_ID],0))</f>
        <v>074097-30 LEADERSHIP &amp; MANAGEMENT CC124 (01-124)</v>
      </c>
      <c r="H577" s="1" t="str">
        <f t="shared" si="18"/>
        <v>Normal Time</v>
      </c>
      <c r="I577" s="1"/>
      <c r="J577" s="15">
        <v>2.5</v>
      </c>
      <c r="K577" s="15"/>
      <c r="L577" s="15"/>
      <c r="M577" s="15"/>
      <c r="N577" s="15"/>
      <c r="O577" s="15" t="str">
        <f>INDEX(projects[job number],MATCH(TimeEntry[[#This Row],[Project_ID]], projects[Project_ID],0))</f>
        <v>074097-30</v>
      </c>
      <c r="P577" s="15" t="str">
        <f>INDEX(projects[Project_Name],MATCH(TimeEntry[[#This Row],[Project_ID]], projects[Project_ID],0))</f>
        <v>LEADERSHIP &amp; MANAGEMENT CC124</v>
      </c>
      <c r="Q577" s="6">
        <f>IF(TimeEntry[[#This Row],[Date]]=0,"",WEEKDAY(C577,2))</f>
        <v>1</v>
      </c>
      <c r="R577" s="9">
        <f>YEAR(TimeEntry[[#This Row],[WkEnd]])</f>
        <v>2019</v>
      </c>
      <c r="S577" s="9">
        <f>WEEKNUM(TimeEntry[[#This Row],[WkEnd]])</f>
        <v>30</v>
      </c>
      <c r="T577" s="9" t="str">
        <f>TimeEntry[[#This Row],[Year]]&amp;"-"&amp;TimeEntry[[#This Row],[WkNo]]</f>
        <v>2019-30</v>
      </c>
    </row>
    <row r="578" spans="1:20" x14ac:dyDescent="0.25">
      <c r="A578" s="6">
        <f>MOD(IF(ROW()=2,0.1,IF(INDEX(TimeEntry[WkEnd],ROW()-1)  =  INDEX(TimeEntry[WkEnd],ROW()-2),    INDEX(TimeEntry[format],ROW()-2),    INDEX(TimeEntry[format],ROW()-2)    +1)),2)</f>
        <v>0.10000000000000009</v>
      </c>
      <c r="B578" s="7"/>
      <c r="C578" s="8">
        <v>43661</v>
      </c>
      <c r="D578" s="8"/>
      <c r="E578" s="1" t="s">
        <v>454</v>
      </c>
      <c r="F578" s="8">
        <f>IF(TimeEntry[[#This Row],[Date]]=0,F577,C578+(7-Q578))</f>
        <v>43667</v>
      </c>
      <c r="G578" s="35" t="str">
        <f>INDEX(projects[Charge_Code],MATCH(TimeEntry[[#This Row],[Project_ID]],projects[Project_ID],0))</f>
        <v>210035-51 VBB 3rd - new bridge</v>
      </c>
      <c r="H578" s="1" t="str">
        <f t="shared" si="18"/>
        <v>Normal Time</v>
      </c>
      <c r="I578" s="1"/>
      <c r="J578" s="15">
        <v>5</v>
      </c>
      <c r="K578" s="15"/>
      <c r="L578" s="15"/>
      <c r="M578" s="15"/>
      <c r="N578" s="15"/>
      <c r="O578" s="15" t="str">
        <f>INDEX(projects[job number],MATCH(TimeEntry[[#This Row],[Project_ID]], projects[Project_ID],0))</f>
        <v>210035-51</v>
      </c>
      <c r="P578" s="15" t="str">
        <f>INDEX(projects[Project_Name],MATCH(TimeEntry[[#This Row],[Project_ID]], projects[Project_ID],0))</f>
        <v>VBB 3rd - new bridge</v>
      </c>
      <c r="Q578" s="6">
        <f>IF(TimeEntry[[#This Row],[Date]]=0,"",WEEKDAY(C578,2))</f>
        <v>1</v>
      </c>
      <c r="R578" s="9">
        <f>YEAR(TimeEntry[[#This Row],[WkEnd]])</f>
        <v>2019</v>
      </c>
      <c r="S578" s="9">
        <f>WEEKNUM(TimeEntry[[#This Row],[WkEnd]])</f>
        <v>30</v>
      </c>
      <c r="T578" s="9" t="str">
        <f>TimeEntry[[#This Row],[Year]]&amp;"-"&amp;TimeEntry[[#This Row],[WkNo]]</f>
        <v>2019-30</v>
      </c>
    </row>
    <row r="579" spans="1:20" x14ac:dyDescent="0.25">
      <c r="A579" s="6">
        <f>MOD(IF(ROW()=2,0.1,IF(INDEX(TimeEntry[WkEnd],ROW()-1)  =  INDEX(TimeEntry[WkEnd],ROW()-2),    INDEX(TimeEntry[format],ROW()-2),    INDEX(TimeEntry[format],ROW()-2)    +1)),2)</f>
        <v>0.10000000000000009</v>
      </c>
      <c r="B579" s="7"/>
      <c r="C579" s="8">
        <v>43662</v>
      </c>
      <c r="D579" s="8"/>
      <c r="E579" s="1" t="s">
        <v>458</v>
      </c>
      <c r="F579" s="8">
        <f>IF(TimeEntry[[#This Row],[Date]]=0,F578,C579+(7-Q579))</f>
        <v>43667</v>
      </c>
      <c r="G579" s="35" t="str">
        <f>INDEX(projects[Charge_Code],MATCH(TimeEntry[[#This Row],[Project_ID]],projects[Project_ID],0))</f>
        <v>265720-20 VBB - Assessment</v>
      </c>
      <c r="H579" s="1" t="str">
        <f t="shared" si="18"/>
        <v>Normal Time</v>
      </c>
      <c r="I579" s="1"/>
      <c r="J579" s="15">
        <v>5</v>
      </c>
      <c r="K579" s="15"/>
      <c r="L579" s="15"/>
      <c r="M579" s="15"/>
      <c r="N579" s="15"/>
      <c r="O579" s="15" t="str">
        <f>INDEX(projects[job number],MATCH(TimeEntry[[#This Row],[Project_ID]], projects[Project_ID],0))</f>
        <v>265720-20</v>
      </c>
      <c r="P579" s="15" t="str">
        <f>INDEX(projects[Project_Name],MATCH(TimeEntry[[#This Row],[Project_ID]], projects[Project_ID],0))</f>
        <v>VBB - Assessment</v>
      </c>
      <c r="Q579" s="6">
        <f>IF(TimeEntry[[#This Row],[Date]]=0,"",WEEKDAY(C579,2))</f>
        <v>2</v>
      </c>
      <c r="R579" s="9">
        <f>YEAR(TimeEntry[[#This Row],[WkEnd]])</f>
        <v>2019</v>
      </c>
      <c r="S579" s="9">
        <f>WEEKNUM(TimeEntry[[#This Row],[WkEnd]])</f>
        <v>30</v>
      </c>
      <c r="T579" s="9" t="str">
        <f>TimeEntry[[#This Row],[Year]]&amp;"-"&amp;TimeEntry[[#This Row],[WkNo]]</f>
        <v>2019-30</v>
      </c>
    </row>
    <row r="580" spans="1:20" x14ac:dyDescent="0.25">
      <c r="A580" s="6">
        <f>MOD(IF(ROW()=2,0.1,IF(INDEX(TimeEntry[WkEnd],ROW()-1)  =  INDEX(TimeEntry[WkEnd],ROW()-2),    INDEX(TimeEntry[format],ROW()-2),    INDEX(TimeEntry[format],ROW()-2)    +1)),2)</f>
        <v>0.10000000000000009</v>
      </c>
      <c r="B580" s="7"/>
      <c r="C580" s="8">
        <v>43662</v>
      </c>
      <c r="D580" s="8"/>
      <c r="E580" s="1" t="s">
        <v>454</v>
      </c>
      <c r="F580" s="8">
        <f>IF(TimeEntry[[#This Row],[Date]]=0,F579,C580+(7-Q580))</f>
        <v>43667</v>
      </c>
      <c r="G580" s="35" t="str">
        <f>INDEX(projects[Charge_Code],MATCH(TimeEntry[[#This Row],[Project_ID]],projects[Project_ID],0))</f>
        <v>210035-51 VBB 3rd - new bridge</v>
      </c>
      <c r="H580" s="1" t="str">
        <f t="shared" si="18"/>
        <v>Normal Time</v>
      </c>
      <c r="I580" s="1"/>
      <c r="J580" s="15">
        <v>2.5</v>
      </c>
      <c r="K580" s="15"/>
      <c r="L580" s="15"/>
      <c r="M580" s="15"/>
      <c r="N580" s="15"/>
      <c r="O580" s="15" t="str">
        <f>INDEX(projects[job number],MATCH(TimeEntry[[#This Row],[Project_ID]], projects[Project_ID],0))</f>
        <v>210035-51</v>
      </c>
      <c r="P580" s="15" t="str">
        <f>INDEX(projects[Project_Name],MATCH(TimeEntry[[#This Row],[Project_ID]], projects[Project_ID],0))</f>
        <v>VBB 3rd - new bridge</v>
      </c>
      <c r="Q580" s="6">
        <f>IF(TimeEntry[[#This Row],[Date]]=0,"",WEEKDAY(C580,2))</f>
        <v>2</v>
      </c>
      <c r="R580" s="9">
        <f>YEAR(TimeEntry[[#This Row],[WkEnd]])</f>
        <v>2019</v>
      </c>
      <c r="S580" s="9">
        <f>WEEKNUM(TimeEntry[[#This Row],[WkEnd]])</f>
        <v>30</v>
      </c>
      <c r="T580" s="9" t="str">
        <f>TimeEntry[[#This Row],[Year]]&amp;"-"&amp;TimeEntry[[#This Row],[WkNo]]</f>
        <v>2019-30</v>
      </c>
    </row>
    <row r="581" spans="1:20" x14ac:dyDescent="0.25">
      <c r="A581" s="6">
        <f>MOD(IF(ROW()=2,0.1,IF(INDEX(TimeEntry[WkEnd],ROW()-1)  =  INDEX(TimeEntry[WkEnd],ROW()-2),    INDEX(TimeEntry[format],ROW()-2),    INDEX(TimeEntry[format],ROW()-2)    +1)),2)</f>
        <v>0.10000000000000009</v>
      </c>
      <c r="B581" s="7"/>
      <c r="C581" s="8">
        <v>43663</v>
      </c>
      <c r="D581" s="8"/>
      <c r="E581" s="1" t="s">
        <v>675</v>
      </c>
      <c r="F581" s="8">
        <f>IF(TimeEntry[[#This Row],[Date]]=0,F580,C581+(7-Q581))</f>
        <v>43667</v>
      </c>
      <c r="G581" s="35" t="str">
        <f>INDEX(projects[Charge_Code],MATCH(TimeEntry[[#This Row],[Project_ID]],projects[Project_ID],0))</f>
        <v>071945-07 BCS - promotional</v>
      </c>
      <c r="H581" s="1" t="str">
        <f t="shared" si="18"/>
        <v>Normal Time</v>
      </c>
      <c r="I581" s="1"/>
      <c r="J581" s="15">
        <v>2.5</v>
      </c>
      <c r="K581" s="15"/>
      <c r="L581" s="15"/>
      <c r="M581" s="15"/>
      <c r="N581" s="15"/>
      <c r="O581" s="15" t="str">
        <f>INDEX(projects[job number],MATCH(TimeEntry[[#This Row],[Project_ID]], projects[Project_ID],0))</f>
        <v>071945-07</v>
      </c>
      <c r="P581" s="15" t="str">
        <f>INDEX(projects[Project_Name],MATCH(TimeEntry[[#This Row],[Project_ID]], projects[Project_ID],0))</f>
        <v>BCS - promotional</v>
      </c>
      <c r="Q581" s="6">
        <f>IF(TimeEntry[[#This Row],[Date]]=0,"",WEEKDAY(C581,2))</f>
        <v>3</v>
      </c>
      <c r="R581" s="9">
        <f>YEAR(TimeEntry[[#This Row],[WkEnd]])</f>
        <v>2019</v>
      </c>
      <c r="S581" s="9">
        <f>WEEKNUM(TimeEntry[[#This Row],[WkEnd]])</f>
        <v>30</v>
      </c>
      <c r="T581" s="9" t="str">
        <f>TimeEntry[[#This Row],[Year]]&amp;"-"&amp;TimeEntry[[#This Row],[WkNo]]</f>
        <v>2019-30</v>
      </c>
    </row>
    <row r="582" spans="1:20" x14ac:dyDescent="0.25">
      <c r="A582" s="6">
        <f>MOD(IF(ROW()=2,0.1,IF(INDEX(TimeEntry[WkEnd],ROW()-1)  =  INDEX(TimeEntry[WkEnd],ROW()-2),    INDEX(TimeEntry[format],ROW()-2),    INDEX(TimeEntry[format],ROW()-2)    +1)),2)</f>
        <v>0.10000000000000009</v>
      </c>
      <c r="B582" s="7"/>
      <c r="C582" s="8">
        <v>43663</v>
      </c>
      <c r="D582" s="8"/>
      <c r="E582" s="1" t="s">
        <v>454</v>
      </c>
      <c r="F582" s="8">
        <f>IF(TimeEntry[[#This Row],[Date]]=0,F581,C582+(7-Q582))</f>
        <v>43667</v>
      </c>
      <c r="G582" s="35" t="str">
        <f>INDEX(projects[Charge_Code],MATCH(TimeEntry[[#This Row],[Project_ID]],projects[Project_ID],0))</f>
        <v>210035-51 VBB 3rd - new bridge</v>
      </c>
      <c r="H582" s="1" t="str">
        <f t="shared" si="18"/>
        <v>Normal Time</v>
      </c>
      <c r="I582" s="1"/>
      <c r="J582" s="15">
        <v>2.5</v>
      </c>
      <c r="K582" s="15"/>
      <c r="L582" s="15"/>
      <c r="M582" s="15"/>
      <c r="N582" s="15"/>
      <c r="O582" s="15" t="str">
        <f>INDEX(projects[job number],MATCH(TimeEntry[[#This Row],[Project_ID]], projects[Project_ID],0))</f>
        <v>210035-51</v>
      </c>
      <c r="P582" s="15" t="str">
        <f>INDEX(projects[Project_Name],MATCH(TimeEntry[[#This Row],[Project_ID]], projects[Project_ID],0))</f>
        <v>VBB 3rd - new bridge</v>
      </c>
      <c r="Q582" s="6">
        <f>IF(TimeEntry[[#This Row],[Date]]=0,"",WEEKDAY(C582,2))</f>
        <v>3</v>
      </c>
      <c r="R582" s="9">
        <f>YEAR(TimeEntry[[#This Row],[WkEnd]])</f>
        <v>2019</v>
      </c>
      <c r="S582" s="9">
        <f>WEEKNUM(TimeEntry[[#This Row],[WkEnd]])</f>
        <v>30</v>
      </c>
      <c r="T582" s="9" t="str">
        <f>TimeEntry[[#This Row],[Year]]&amp;"-"&amp;TimeEntry[[#This Row],[WkNo]]</f>
        <v>2019-30</v>
      </c>
    </row>
    <row r="583" spans="1:20" x14ac:dyDescent="0.25">
      <c r="A583" s="6">
        <f>MOD(IF(ROW()=2,0.1,IF(INDEX(TimeEntry[WkEnd],ROW()-1)  =  INDEX(TimeEntry[WkEnd],ROW()-2),    INDEX(TimeEntry[format],ROW()-2),    INDEX(TimeEntry[format],ROW()-2)    +1)),2)</f>
        <v>0.10000000000000009</v>
      </c>
      <c r="B583" s="7"/>
      <c r="C583" s="8">
        <v>43663</v>
      </c>
      <c r="D583" s="8"/>
      <c r="E583" s="1" t="s">
        <v>454</v>
      </c>
      <c r="F583" s="8">
        <f>IF(TimeEntry[[#This Row],[Date]]=0,F582,C583+(7-Q583))</f>
        <v>43667</v>
      </c>
      <c r="G583" s="35" t="str">
        <f>INDEX(projects[Charge_Code],MATCH(TimeEntry[[#This Row],[Project_ID]],projects[Project_ID],0))</f>
        <v>210035-51 VBB 3rd - new bridge</v>
      </c>
      <c r="H583" s="1" t="str">
        <f t="shared" si="18"/>
        <v>Normal Time</v>
      </c>
      <c r="I583" s="1"/>
      <c r="J583" s="15">
        <v>1</v>
      </c>
      <c r="K583" s="15"/>
      <c r="L583" s="15"/>
      <c r="M583" s="15"/>
      <c r="N583" s="15"/>
      <c r="O583" s="15" t="str">
        <f>INDEX(projects[job number],MATCH(TimeEntry[[#This Row],[Project_ID]], projects[Project_ID],0))</f>
        <v>210035-51</v>
      </c>
      <c r="P583" s="15" t="str">
        <f>INDEX(projects[Project_Name],MATCH(TimeEntry[[#This Row],[Project_ID]], projects[Project_ID],0))</f>
        <v>VBB 3rd - new bridge</v>
      </c>
      <c r="Q583" s="6">
        <f>IF(TimeEntry[[#This Row],[Date]]=0,"",WEEKDAY(C583,2))</f>
        <v>3</v>
      </c>
      <c r="R583" s="9">
        <f>YEAR(TimeEntry[[#This Row],[WkEnd]])</f>
        <v>2019</v>
      </c>
      <c r="S583" s="9">
        <f>WEEKNUM(TimeEntry[[#This Row],[WkEnd]])</f>
        <v>30</v>
      </c>
      <c r="T583" s="9" t="str">
        <f>TimeEntry[[#This Row],[Year]]&amp;"-"&amp;TimeEntry[[#This Row],[WkNo]]</f>
        <v>2019-30</v>
      </c>
    </row>
    <row r="584" spans="1:20" x14ac:dyDescent="0.25">
      <c r="A584" s="6">
        <f>MOD(IF(ROW()=2,0.1,IF(INDEX(TimeEntry[WkEnd],ROW()-1)  =  INDEX(TimeEntry[WkEnd],ROW()-2),    INDEX(TimeEntry[format],ROW()-2),    INDEX(TimeEntry[format],ROW()-2)    +1)),2)</f>
        <v>0.10000000000000009</v>
      </c>
      <c r="B584" s="7"/>
      <c r="C584" s="8">
        <v>43663</v>
      </c>
      <c r="D584" s="8"/>
      <c r="E584" s="1" t="s">
        <v>458</v>
      </c>
      <c r="F584" s="8">
        <f>IF(TimeEntry[[#This Row],[Date]]=0,F583,C584+(7-Q584))</f>
        <v>43667</v>
      </c>
      <c r="G584" s="35" t="str">
        <f>INDEX(projects[Charge_Code],MATCH(TimeEntry[[#This Row],[Project_ID]],projects[Project_ID],0))</f>
        <v>265720-20 VBB - Assessment</v>
      </c>
      <c r="H584" s="1" t="str">
        <f t="shared" ref="H584:H647" si="19">"Normal Time"</f>
        <v>Normal Time</v>
      </c>
      <c r="I584" s="1"/>
      <c r="J584" s="15">
        <v>1.5</v>
      </c>
      <c r="K584" s="15"/>
      <c r="L584" s="15"/>
      <c r="M584" s="15"/>
      <c r="N584" s="15"/>
      <c r="O584" s="15" t="str">
        <f>INDEX(projects[job number],MATCH(TimeEntry[[#This Row],[Project_ID]], projects[Project_ID],0))</f>
        <v>265720-20</v>
      </c>
      <c r="P584" s="15" t="str">
        <f>INDEX(projects[Project_Name],MATCH(TimeEntry[[#This Row],[Project_ID]], projects[Project_ID],0))</f>
        <v>VBB - Assessment</v>
      </c>
      <c r="Q584" s="6">
        <f>IF(TimeEntry[[#This Row],[Date]]=0,"",WEEKDAY(C584,2))</f>
        <v>3</v>
      </c>
      <c r="R584" s="9">
        <f>YEAR(TimeEntry[[#This Row],[WkEnd]])</f>
        <v>2019</v>
      </c>
      <c r="S584" s="9">
        <f>WEEKNUM(TimeEntry[[#This Row],[WkEnd]])</f>
        <v>30</v>
      </c>
      <c r="T584" s="9" t="str">
        <f>TimeEntry[[#This Row],[Year]]&amp;"-"&amp;TimeEntry[[#This Row],[WkNo]]</f>
        <v>2019-30</v>
      </c>
    </row>
    <row r="585" spans="1:20" x14ac:dyDescent="0.25">
      <c r="A585" s="6">
        <f>MOD(IF(ROW()=2,0.1,IF(INDEX(TimeEntry[WkEnd],ROW()-1)  =  INDEX(TimeEntry[WkEnd],ROW()-2),    INDEX(TimeEntry[format],ROW()-2),    INDEX(TimeEntry[format],ROW()-2)    +1)),2)</f>
        <v>0.10000000000000009</v>
      </c>
      <c r="B585" s="7"/>
      <c r="C585" s="8">
        <v>43664</v>
      </c>
      <c r="D585" s="8"/>
      <c r="E585" s="1" t="s">
        <v>458</v>
      </c>
      <c r="F585" s="8">
        <f>IF(TimeEntry[[#This Row],[Date]]=0,F584,C585+(7-Q585))</f>
        <v>43667</v>
      </c>
      <c r="G585" s="35" t="str">
        <f>INDEX(projects[Charge_Code],MATCH(TimeEntry[[#This Row],[Project_ID]],projects[Project_ID],0))</f>
        <v>265720-20 VBB - Assessment</v>
      </c>
      <c r="H585" s="1" t="str">
        <f t="shared" si="19"/>
        <v>Normal Time</v>
      </c>
      <c r="I585" s="1"/>
      <c r="J585" s="15">
        <v>7.5</v>
      </c>
      <c r="K585" s="15"/>
      <c r="L585" s="15"/>
      <c r="M585" s="15"/>
      <c r="N585" s="15"/>
      <c r="O585" s="15" t="str">
        <f>INDEX(projects[job number],MATCH(TimeEntry[[#This Row],[Project_ID]], projects[Project_ID],0))</f>
        <v>265720-20</v>
      </c>
      <c r="P585" s="15" t="str">
        <f>INDEX(projects[Project_Name],MATCH(TimeEntry[[#This Row],[Project_ID]], projects[Project_ID],0))</f>
        <v>VBB - Assessment</v>
      </c>
      <c r="Q585" s="6">
        <f>IF(TimeEntry[[#This Row],[Date]]=0,"",WEEKDAY(C585,2))</f>
        <v>4</v>
      </c>
      <c r="R585" s="9">
        <f>YEAR(TimeEntry[[#This Row],[WkEnd]])</f>
        <v>2019</v>
      </c>
      <c r="S585" s="9">
        <f>WEEKNUM(TimeEntry[[#This Row],[WkEnd]])</f>
        <v>30</v>
      </c>
      <c r="T585" s="9" t="str">
        <f>TimeEntry[[#This Row],[Year]]&amp;"-"&amp;TimeEntry[[#This Row],[WkNo]]</f>
        <v>2019-30</v>
      </c>
    </row>
    <row r="586" spans="1:20" x14ac:dyDescent="0.25">
      <c r="A586" s="6">
        <f>MOD(IF(ROW()=2,0.1,IF(INDEX(TimeEntry[WkEnd],ROW()-1)  =  INDEX(TimeEntry[WkEnd],ROW()-2),    INDEX(TimeEntry[format],ROW()-2),    INDEX(TimeEntry[format],ROW()-2)    +1)),2)</f>
        <v>0.10000000000000009</v>
      </c>
      <c r="B586" s="7"/>
      <c r="C586" s="8">
        <v>43665</v>
      </c>
      <c r="D586" s="8"/>
      <c r="E586" s="1" t="s">
        <v>444</v>
      </c>
      <c r="F586" s="8">
        <f>IF(TimeEntry[[#This Row],[Date]]=0,F585,C586+(7-Q586))</f>
        <v>43667</v>
      </c>
      <c r="G586" s="35" t="str">
        <f>INDEX(projects[Charge_Code],MATCH(TimeEntry[[#This Row],[Project_ID]],projects[Project_ID],0))</f>
        <v>LEAVE</v>
      </c>
      <c r="H586" s="1" t="str">
        <f t="shared" si="19"/>
        <v>Normal Time</v>
      </c>
      <c r="I586" s="1"/>
      <c r="J586" s="15">
        <v>7.5</v>
      </c>
      <c r="K586" s="15"/>
      <c r="L586" s="15"/>
      <c r="M586" s="15"/>
      <c r="N586" s="15"/>
      <c r="O586" s="15" t="str">
        <f>INDEX(projects[job number],MATCH(TimeEntry[[#This Row],[Project_ID]], projects[Project_ID],0))</f>
        <v>LEAVE</v>
      </c>
      <c r="P586" s="15">
        <f>INDEX(projects[Project_Name],MATCH(TimeEntry[[#This Row],[Project_ID]], projects[Project_ID],0))</f>
        <v>0</v>
      </c>
      <c r="Q586" s="6">
        <f>IF(TimeEntry[[#This Row],[Date]]=0,"",WEEKDAY(C586,2))</f>
        <v>5</v>
      </c>
      <c r="R586" s="9">
        <f>YEAR(TimeEntry[[#This Row],[WkEnd]])</f>
        <v>2019</v>
      </c>
      <c r="S586" s="9">
        <f>WEEKNUM(TimeEntry[[#This Row],[WkEnd]])</f>
        <v>30</v>
      </c>
      <c r="T586" s="9" t="str">
        <f>TimeEntry[[#This Row],[Year]]&amp;"-"&amp;TimeEntry[[#This Row],[WkNo]]</f>
        <v>2019-30</v>
      </c>
    </row>
    <row r="587" spans="1:20" x14ac:dyDescent="0.25">
      <c r="A587" s="6">
        <f>MOD(IF(ROW()=2,0.1,IF(INDEX(TimeEntry[WkEnd],ROW()-1)  =  INDEX(TimeEntry[WkEnd],ROW()-2),    INDEX(TimeEntry[format],ROW()-2),    INDEX(TimeEntry[format],ROW()-2)    +1)),2)</f>
        <v>1.1000000000000001</v>
      </c>
      <c r="B587" s="7"/>
      <c r="C587" s="8">
        <v>43654</v>
      </c>
      <c r="D587" s="8"/>
      <c r="E587" s="1" t="s">
        <v>444</v>
      </c>
      <c r="F587" s="8">
        <f>IF(TimeEntry[[#This Row],[Date]]=0,F586,C587+(7-Q587))</f>
        <v>43660</v>
      </c>
      <c r="G587" s="35" t="str">
        <f>INDEX(projects[Charge_Code],MATCH(TimeEntry[[#This Row],[Project_ID]],projects[Project_ID],0))</f>
        <v>LEAVE</v>
      </c>
      <c r="H587" s="1" t="str">
        <f t="shared" si="19"/>
        <v>Normal Time</v>
      </c>
      <c r="I587" s="1"/>
      <c r="J587" s="15">
        <v>7.5</v>
      </c>
      <c r="K587" s="15"/>
      <c r="L587" s="15"/>
      <c r="M587" s="15"/>
      <c r="N587" s="15"/>
      <c r="O587" s="15" t="str">
        <f>INDEX(projects[job number],MATCH(TimeEntry[[#This Row],[Project_ID]], projects[Project_ID],0))</f>
        <v>LEAVE</v>
      </c>
      <c r="P587" s="15">
        <f>INDEX(projects[Project_Name],MATCH(TimeEntry[[#This Row],[Project_ID]], projects[Project_ID],0))</f>
        <v>0</v>
      </c>
      <c r="Q587" s="6">
        <f>IF(TimeEntry[[#This Row],[Date]]=0,"",WEEKDAY(C587,2))</f>
        <v>1</v>
      </c>
      <c r="R587" s="9">
        <f>YEAR(TimeEntry[[#This Row],[WkEnd]])</f>
        <v>2019</v>
      </c>
      <c r="S587" s="9">
        <f>WEEKNUM(TimeEntry[[#This Row],[WkEnd]])</f>
        <v>29</v>
      </c>
      <c r="T587" s="9" t="str">
        <f>TimeEntry[[#This Row],[Year]]&amp;"-"&amp;TimeEntry[[#This Row],[WkNo]]</f>
        <v>2019-29</v>
      </c>
    </row>
    <row r="588" spans="1:20" x14ac:dyDescent="0.25">
      <c r="A588" s="6">
        <f>MOD(IF(ROW()=2,0.1,IF(INDEX(TimeEntry[WkEnd],ROW()-1)  =  INDEX(TimeEntry[WkEnd],ROW()-2),    INDEX(TimeEntry[format],ROW()-2),    INDEX(TimeEntry[format],ROW()-2)    +1)),2)</f>
        <v>1.1000000000000001</v>
      </c>
      <c r="B588" s="7"/>
      <c r="C588" s="8">
        <v>43655</v>
      </c>
      <c r="D588" s="8"/>
      <c r="E588" s="1" t="s">
        <v>458</v>
      </c>
      <c r="F588" s="8">
        <f>IF(TimeEntry[[#This Row],[Date]]=0,F587,C588+(7-Q588))</f>
        <v>43660</v>
      </c>
      <c r="G588" s="35" t="str">
        <f>INDEX(projects[Charge_Code],MATCH(TimeEntry[[#This Row],[Project_ID]],projects[Project_ID],0))</f>
        <v>265720-20 VBB - Assessment</v>
      </c>
      <c r="H588" s="1" t="str">
        <f t="shared" si="19"/>
        <v>Normal Time</v>
      </c>
      <c r="I588" s="1"/>
      <c r="J588" s="15">
        <v>7.5</v>
      </c>
      <c r="K588" s="15"/>
      <c r="L588" s="15"/>
      <c r="M588" s="15"/>
      <c r="N588" s="15"/>
      <c r="O588" s="15" t="str">
        <f>INDEX(projects[job number],MATCH(TimeEntry[[#This Row],[Project_ID]], projects[Project_ID],0))</f>
        <v>265720-20</v>
      </c>
      <c r="P588" s="15" t="str">
        <f>INDEX(projects[Project_Name],MATCH(TimeEntry[[#This Row],[Project_ID]], projects[Project_ID],0))</f>
        <v>VBB - Assessment</v>
      </c>
      <c r="Q588" s="6">
        <f>IF(TimeEntry[[#This Row],[Date]]=0,"",WEEKDAY(C588,2))</f>
        <v>2</v>
      </c>
      <c r="R588" s="9">
        <f>YEAR(TimeEntry[[#This Row],[WkEnd]])</f>
        <v>2019</v>
      </c>
      <c r="S588" s="9">
        <f>WEEKNUM(TimeEntry[[#This Row],[WkEnd]])</f>
        <v>29</v>
      </c>
      <c r="T588" s="9" t="str">
        <f>TimeEntry[[#This Row],[Year]]&amp;"-"&amp;TimeEntry[[#This Row],[WkNo]]</f>
        <v>2019-29</v>
      </c>
    </row>
    <row r="589" spans="1:20" x14ac:dyDescent="0.25">
      <c r="A589" s="6">
        <f>MOD(IF(ROW()=2,0.1,IF(INDEX(TimeEntry[WkEnd],ROW()-1)  =  INDEX(TimeEntry[WkEnd],ROW()-2),    INDEX(TimeEntry[format],ROW()-2),    INDEX(TimeEntry[format],ROW()-2)    +1)),2)</f>
        <v>1.1000000000000001</v>
      </c>
      <c r="B589" s="7"/>
      <c r="C589" s="8">
        <v>43656</v>
      </c>
      <c r="D589" s="8"/>
      <c r="E589" s="1" t="s">
        <v>454</v>
      </c>
      <c r="F589" s="8">
        <f>IF(TimeEntry[[#This Row],[Date]]=0,F588,C589+(7-Q589))</f>
        <v>43660</v>
      </c>
      <c r="G589" s="35" t="str">
        <f>INDEX(projects[Charge_Code],MATCH(TimeEntry[[#This Row],[Project_ID]],projects[Project_ID],0))</f>
        <v>210035-51 VBB 3rd - new bridge</v>
      </c>
      <c r="H589" s="1" t="str">
        <f t="shared" si="19"/>
        <v>Normal Time</v>
      </c>
      <c r="I589" s="1"/>
      <c r="J589" s="15">
        <v>2</v>
      </c>
      <c r="K589" s="15"/>
      <c r="L589" s="15"/>
      <c r="M589" s="15"/>
      <c r="N589" s="15"/>
      <c r="O589" s="15" t="str">
        <f>INDEX(projects[job number],MATCH(TimeEntry[[#This Row],[Project_ID]], projects[Project_ID],0))</f>
        <v>210035-51</v>
      </c>
      <c r="P589" s="15" t="str">
        <f>INDEX(projects[Project_Name],MATCH(TimeEntry[[#This Row],[Project_ID]], projects[Project_ID],0))</f>
        <v>VBB 3rd - new bridge</v>
      </c>
      <c r="Q589" s="6">
        <f>IF(TimeEntry[[#This Row],[Date]]=0,"",WEEKDAY(C589,2))</f>
        <v>3</v>
      </c>
      <c r="R589" s="9">
        <f>YEAR(TimeEntry[[#This Row],[WkEnd]])</f>
        <v>2019</v>
      </c>
      <c r="S589" s="9">
        <f>WEEKNUM(TimeEntry[[#This Row],[WkEnd]])</f>
        <v>29</v>
      </c>
      <c r="T589" s="9" t="str">
        <f>TimeEntry[[#This Row],[Year]]&amp;"-"&amp;TimeEntry[[#This Row],[WkNo]]</f>
        <v>2019-29</v>
      </c>
    </row>
    <row r="590" spans="1:20" x14ac:dyDescent="0.25">
      <c r="A590" s="6">
        <f>MOD(IF(ROW()=2,0.1,IF(INDEX(TimeEntry[WkEnd],ROW()-1)  =  INDEX(TimeEntry[WkEnd],ROW()-2),    INDEX(TimeEntry[format],ROW()-2),    INDEX(TimeEntry[format],ROW()-2)    +1)),2)</f>
        <v>1.1000000000000001</v>
      </c>
      <c r="B590" s="7"/>
      <c r="C590" s="8">
        <v>43656</v>
      </c>
      <c r="D590" s="8"/>
      <c r="E590" s="1" t="s">
        <v>447</v>
      </c>
      <c r="F590" s="8">
        <f>IF(TimeEntry[[#This Row],[Date]]=0,F589,C590+(7-Q590))</f>
        <v>43660</v>
      </c>
      <c r="G590" s="35" t="str">
        <f>INDEX(projects[Charge_Code],MATCH(TimeEntry[[#This Row],[Project_ID]],projects[Project_ID],0))</f>
        <v>255670-17 LOWER KINGS ROAD ASSESSMENT (01-382)</v>
      </c>
      <c r="H590" s="1" t="str">
        <f t="shared" si="19"/>
        <v>Normal Time</v>
      </c>
      <c r="I590" s="1"/>
      <c r="J590" s="15">
        <v>1</v>
      </c>
      <c r="K590" s="15"/>
      <c r="L590" s="15"/>
      <c r="M590" s="15"/>
      <c r="N590" s="15"/>
      <c r="O590" s="15" t="str">
        <f>INDEX(projects[job number],MATCH(TimeEntry[[#This Row],[Project_ID]], projects[Project_ID],0))</f>
        <v>255670-17</v>
      </c>
      <c r="P590" s="15" t="str">
        <f>INDEX(projects[Project_Name],MATCH(TimeEntry[[#This Row],[Project_ID]], projects[Project_ID],0))</f>
        <v>LOWER KINGS ROAD ASSESSMENT</v>
      </c>
      <c r="Q590" s="6">
        <f>IF(TimeEntry[[#This Row],[Date]]=0,"",WEEKDAY(C590,2))</f>
        <v>3</v>
      </c>
      <c r="R590" s="9">
        <f>YEAR(TimeEntry[[#This Row],[WkEnd]])</f>
        <v>2019</v>
      </c>
      <c r="S590" s="9">
        <f>WEEKNUM(TimeEntry[[#This Row],[WkEnd]])</f>
        <v>29</v>
      </c>
      <c r="T590" s="9" t="str">
        <f>TimeEntry[[#This Row],[Year]]&amp;"-"&amp;TimeEntry[[#This Row],[WkNo]]</f>
        <v>2019-29</v>
      </c>
    </row>
    <row r="591" spans="1:20" x14ac:dyDescent="0.25">
      <c r="A591" s="6">
        <f>MOD(IF(ROW()=2,0.1,IF(INDEX(TimeEntry[WkEnd],ROW()-1)  =  INDEX(TimeEntry[WkEnd],ROW()-2),    INDEX(TimeEntry[format],ROW()-2),    INDEX(TimeEntry[format],ROW()-2)    +1)),2)</f>
        <v>1.1000000000000001</v>
      </c>
      <c r="B591" s="7"/>
      <c r="C591" s="8">
        <v>43656</v>
      </c>
      <c r="D591" s="8"/>
      <c r="E591" s="1" t="s">
        <v>458</v>
      </c>
      <c r="F591" s="8">
        <f>IF(TimeEntry[[#This Row],[Date]]=0,F590,C591+(7-Q591))</f>
        <v>43660</v>
      </c>
      <c r="G591" s="35" t="str">
        <f>INDEX(projects[Charge_Code],MATCH(TimeEntry[[#This Row],[Project_ID]],projects[Project_ID],0))</f>
        <v>265720-20 VBB - Assessment</v>
      </c>
      <c r="H591" s="1" t="str">
        <f t="shared" si="19"/>
        <v>Normal Time</v>
      </c>
      <c r="I591" s="1"/>
      <c r="J591" s="15">
        <v>4.5</v>
      </c>
      <c r="K591" s="15"/>
      <c r="L591" s="15"/>
      <c r="M591" s="15"/>
      <c r="N591" s="15"/>
      <c r="O591" s="15" t="str">
        <f>INDEX(projects[job number],MATCH(TimeEntry[[#This Row],[Project_ID]], projects[Project_ID],0))</f>
        <v>265720-20</v>
      </c>
      <c r="P591" s="15" t="str">
        <f>INDEX(projects[Project_Name],MATCH(TimeEntry[[#This Row],[Project_ID]], projects[Project_ID],0))</f>
        <v>VBB - Assessment</v>
      </c>
      <c r="Q591" s="6">
        <f>IF(TimeEntry[[#This Row],[Date]]=0,"",WEEKDAY(C591,2))</f>
        <v>3</v>
      </c>
      <c r="R591" s="9">
        <f>YEAR(TimeEntry[[#This Row],[WkEnd]])</f>
        <v>2019</v>
      </c>
      <c r="S591" s="9">
        <f>WEEKNUM(TimeEntry[[#This Row],[WkEnd]])</f>
        <v>29</v>
      </c>
      <c r="T591" s="9" t="str">
        <f>TimeEntry[[#This Row],[Year]]&amp;"-"&amp;TimeEntry[[#This Row],[WkNo]]</f>
        <v>2019-29</v>
      </c>
    </row>
    <row r="592" spans="1:20" x14ac:dyDescent="0.25">
      <c r="A592" s="6">
        <f>MOD(IF(ROW()=2,0.1,IF(INDEX(TimeEntry[WkEnd],ROW()-1)  =  INDEX(TimeEntry[WkEnd],ROW()-2),    INDEX(TimeEntry[format],ROW()-2),    INDEX(TimeEntry[format],ROW()-2)    +1)),2)</f>
        <v>1.1000000000000001</v>
      </c>
      <c r="B592" s="7"/>
      <c r="C592" s="8">
        <v>43657</v>
      </c>
      <c r="D592" s="8"/>
      <c r="E592" s="1" t="s">
        <v>454</v>
      </c>
      <c r="F592" s="8">
        <f>IF(TimeEntry[[#This Row],[Date]]=0,F591,C592+(7-Q592))</f>
        <v>43660</v>
      </c>
      <c r="G592" s="35" t="str">
        <f>INDEX(projects[Charge_Code],MATCH(TimeEntry[[#This Row],[Project_ID]],projects[Project_ID],0))</f>
        <v>210035-51 VBB 3rd - new bridge</v>
      </c>
      <c r="H592" s="1" t="str">
        <f t="shared" si="19"/>
        <v>Normal Time</v>
      </c>
      <c r="I592" s="1"/>
      <c r="J592" s="15">
        <v>3.75</v>
      </c>
      <c r="K592" s="15"/>
      <c r="L592" s="15"/>
      <c r="M592" s="15"/>
      <c r="N592" s="15"/>
      <c r="O592" s="15" t="str">
        <f>INDEX(projects[job number],MATCH(TimeEntry[[#This Row],[Project_ID]], projects[Project_ID],0))</f>
        <v>210035-51</v>
      </c>
      <c r="P592" s="15" t="str">
        <f>INDEX(projects[Project_Name],MATCH(TimeEntry[[#This Row],[Project_ID]], projects[Project_ID],0))</f>
        <v>VBB 3rd - new bridge</v>
      </c>
      <c r="Q592" s="6">
        <f>IF(TimeEntry[[#This Row],[Date]]=0,"",WEEKDAY(C592,2))</f>
        <v>4</v>
      </c>
      <c r="R592" s="9">
        <f>YEAR(TimeEntry[[#This Row],[WkEnd]])</f>
        <v>2019</v>
      </c>
      <c r="S592" s="9">
        <f>WEEKNUM(TimeEntry[[#This Row],[WkEnd]])</f>
        <v>29</v>
      </c>
      <c r="T592" s="9" t="str">
        <f>TimeEntry[[#This Row],[Year]]&amp;"-"&amp;TimeEntry[[#This Row],[WkNo]]</f>
        <v>2019-29</v>
      </c>
    </row>
    <row r="593" spans="1:20" x14ac:dyDescent="0.25">
      <c r="A593" s="6">
        <f>MOD(IF(ROW()=2,0.1,IF(INDEX(TimeEntry[WkEnd],ROW()-1)  =  INDEX(TimeEntry[WkEnd],ROW()-2),    INDEX(TimeEntry[format],ROW()-2),    INDEX(TimeEntry[format],ROW()-2)    +1)),2)</f>
        <v>1.1000000000000001</v>
      </c>
      <c r="B593" s="7"/>
      <c r="C593" s="8">
        <v>43657</v>
      </c>
      <c r="D593" s="8"/>
      <c r="E593" s="1" t="s">
        <v>458</v>
      </c>
      <c r="F593" s="8">
        <f>IF(TimeEntry[[#This Row],[Date]]=0,F592,C593+(7-Q593))</f>
        <v>43660</v>
      </c>
      <c r="G593" s="35" t="str">
        <f>INDEX(projects[Charge_Code],MATCH(TimeEntry[[#This Row],[Project_ID]],projects[Project_ID],0))</f>
        <v>265720-20 VBB - Assessment</v>
      </c>
      <c r="H593" s="1" t="str">
        <f t="shared" si="19"/>
        <v>Normal Time</v>
      </c>
      <c r="I593" s="1"/>
      <c r="J593" s="15">
        <v>3.75</v>
      </c>
      <c r="K593" s="15"/>
      <c r="L593" s="15"/>
      <c r="M593" s="15"/>
      <c r="N593" s="15"/>
      <c r="O593" s="15" t="str">
        <f>INDEX(projects[job number],MATCH(TimeEntry[[#This Row],[Project_ID]], projects[Project_ID],0))</f>
        <v>265720-20</v>
      </c>
      <c r="P593" s="15" t="str">
        <f>INDEX(projects[Project_Name],MATCH(TimeEntry[[#This Row],[Project_ID]], projects[Project_ID],0))</f>
        <v>VBB - Assessment</v>
      </c>
      <c r="Q593" s="6">
        <f>IF(TimeEntry[[#This Row],[Date]]=0,"",WEEKDAY(C593,2))</f>
        <v>4</v>
      </c>
      <c r="R593" s="9">
        <f>YEAR(TimeEntry[[#This Row],[WkEnd]])</f>
        <v>2019</v>
      </c>
      <c r="S593" s="9">
        <f>WEEKNUM(TimeEntry[[#This Row],[WkEnd]])</f>
        <v>29</v>
      </c>
      <c r="T593" s="9" t="str">
        <f>TimeEntry[[#This Row],[Year]]&amp;"-"&amp;TimeEntry[[#This Row],[WkNo]]</f>
        <v>2019-29</v>
      </c>
    </row>
    <row r="594" spans="1:20" x14ac:dyDescent="0.25">
      <c r="A594" s="6">
        <f>MOD(IF(ROW()=2,0.1,IF(INDEX(TimeEntry[WkEnd],ROW()-1)  =  INDEX(TimeEntry[WkEnd],ROW()-2),    INDEX(TimeEntry[format],ROW()-2),    INDEX(TimeEntry[format],ROW()-2)    +1)),2)</f>
        <v>1.1000000000000001</v>
      </c>
      <c r="B594" s="7"/>
      <c r="C594" s="8">
        <v>43658</v>
      </c>
      <c r="D594" s="8"/>
      <c r="E594" s="1" t="s">
        <v>454</v>
      </c>
      <c r="F594" s="8">
        <f>IF(TimeEntry[[#This Row],[Date]]=0,F593,C594+(7-Q594))</f>
        <v>43660</v>
      </c>
      <c r="G594" s="35" t="str">
        <f>INDEX(projects[Charge_Code],MATCH(TimeEntry[[#This Row],[Project_ID]],projects[Project_ID],0))</f>
        <v>210035-51 VBB 3rd - new bridge</v>
      </c>
      <c r="H594" s="1" t="str">
        <f t="shared" si="19"/>
        <v>Normal Time</v>
      </c>
      <c r="I594" s="1"/>
      <c r="J594" s="15">
        <v>3.75</v>
      </c>
      <c r="K594" s="15"/>
      <c r="L594" s="15"/>
      <c r="M594" s="15"/>
      <c r="N594" s="15"/>
      <c r="O594" s="15" t="str">
        <f>INDEX(projects[job number],MATCH(TimeEntry[[#This Row],[Project_ID]], projects[Project_ID],0))</f>
        <v>210035-51</v>
      </c>
      <c r="P594" s="15" t="str">
        <f>INDEX(projects[Project_Name],MATCH(TimeEntry[[#This Row],[Project_ID]], projects[Project_ID],0))</f>
        <v>VBB 3rd - new bridge</v>
      </c>
      <c r="Q594" s="6">
        <f>IF(TimeEntry[[#This Row],[Date]]=0,"",WEEKDAY(C594,2))</f>
        <v>5</v>
      </c>
      <c r="R594" s="9">
        <f>YEAR(TimeEntry[[#This Row],[WkEnd]])</f>
        <v>2019</v>
      </c>
      <c r="S594" s="9">
        <f>WEEKNUM(TimeEntry[[#This Row],[WkEnd]])</f>
        <v>29</v>
      </c>
      <c r="T594" s="9" t="str">
        <f>TimeEntry[[#This Row],[Year]]&amp;"-"&amp;TimeEntry[[#This Row],[WkNo]]</f>
        <v>2019-29</v>
      </c>
    </row>
    <row r="595" spans="1:20" x14ac:dyDescent="0.25">
      <c r="A595" s="6">
        <f>MOD(IF(ROW()=2,0.1,IF(INDEX(TimeEntry[WkEnd],ROW()-1)  =  INDEX(TimeEntry[WkEnd],ROW()-2),    INDEX(TimeEntry[format],ROW()-2),    INDEX(TimeEntry[format],ROW()-2)    +1)),2)</f>
        <v>1.1000000000000001</v>
      </c>
      <c r="B595" s="7"/>
      <c r="C595" s="8">
        <v>43658</v>
      </c>
      <c r="D595" s="8"/>
      <c r="E595" s="1" t="s">
        <v>458</v>
      </c>
      <c r="F595" s="8">
        <f>IF(TimeEntry[[#This Row],[Date]]=0,F594,C595+(7-Q595))</f>
        <v>43660</v>
      </c>
      <c r="G595" s="35" t="str">
        <f>INDEX(projects[Charge_Code],MATCH(TimeEntry[[#This Row],[Project_ID]],projects[Project_ID],0))</f>
        <v>265720-20 VBB - Assessment</v>
      </c>
      <c r="H595" s="1" t="str">
        <f t="shared" si="19"/>
        <v>Normal Time</v>
      </c>
      <c r="I595" s="1"/>
      <c r="J595" s="15">
        <v>3.75</v>
      </c>
      <c r="K595" s="15"/>
      <c r="L595" s="15"/>
      <c r="M595" s="15"/>
      <c r="N595" s="15"/>
      <c r="O595" s="15" t="str">
        <f>INDEX(projects[job number],MATCH(TimeEntry[[#This Row],[Project_ID]], projects[Project_ID],0))</f>
        <v>265720-20</v>
      </c>
      <c r="P595" s="15" t="str">
        <f>INDEX(projects[Project_Name],MATCH(TimeEntry[[#This Row],[Project_ID]], projects[Project_ID],0))</f>
        <v>VBB - Assessment</v>
      </c>
      <c r="Q595" s="6">
        <f>IF(TimeEntry[[#This Row],[Date]]=0,"",WEEKDAY(C595,2))</f>
        <v>5</v>
      </c>
      <c r="R595" s="9">
        <f>YEAR(TimeEntry[[#This Row],[WkEnd]])</f>
        <v>2019</v>
      </c>
      <c r="S595" s="9">
        <f>WEEKNUM(TimeEntry[[#This Row],[WkEnd]])</f>
        <v>29</v>
      </c>
      <c r="T595" s="9" t="str">
        <f>TimeEntry[[#This Row],[Year]]&amp;"-"&amp;TimeEntry[[#This Row],[WkNo]]</f>
        <v>2019-29</v>
      </c>
    </row>
    <row r="596" spans="1:20" x14ac:dyDescent="0.25">
      <c r="A596" s="6">
        <f>MOD(IF(ROW()=2,0.1,IF(INDEX(TimeEntry[WkEnd],ROW()-1)  =  INDEX(TimeEntry[WkEnd],ROW()-2),    INDEX(TimeEntry[format],ROW()-2),    INDEX(TimeEntry[format],ROW()-2)    +1)),2)</f>
        <v>0.10000000000000009</v>
      </c>
      <c r="B596" s="7"/>
      <c r="C596" s="8">
        <v>43647</v>
      </c>
      <c r="D596" s="8"/>
      <c r="E596" s="1" t="s">
        <v>461</v>
      </c>
      <c r="F596" s="8">
        <f>IF(TimeEntry[[#This Row],[Date]]=0,F595,C596+(7-Q596))</f>
        <v>43653</v>
      </c>
      <c r="G596" s="35" t="str">
        <f>INDEX(projects[Charge_Code],MATCH(TimeEntry[[#This Row],[Project_ID]],projects[Project_ID],0))</f>
        <v>215526-27 CP - Assessment (01-124)</v>
      </c>
      <c r="H596" s="1" t="str">
        <f t="shared" si="19"/>
        <v>Normal Time</v>
      </c>
      <c r="I596" s="1"/>
      <c r="J596" s="15">
        <v>3.5</v>
      </c>
      <c r="K596" s="15"/>
      <c r="L596" s="15"/>
      <c r="M596" s="15"/>
      <c r="N596" s="15"/>
      <c r="O596" s="15" t="str">
        <f>INDEX(projects[job number],MATCH(TimeEntry[[#This Row],[Project_ID]], projects[Project_ID],0))</f>
        <v>215526-27</v>
      </c>
      <c r="P596" s="15" t="str">
        <f>INDEX(projects[Project_Name],MATCH(TimeEntry[[#This Row],[Project_ID]], projects[Project_ID],0))</f>
        <v>CP - Assessment</v>
      </c>
      <c r="Q596" s="6">
        <f>IF(TimeEntry[[#This Row],[Date]]=0,"",WEEKDAY(C596,2))</f>
        <v>1</v>
      </c>
      <c r="R596" s="9">
        <f>YEAR(TimeEntry[[#This Row],[WkEnd]])</f>
        <v>2019</v>
      </c>
      <c r="S596" s="9">
        <f>WEEKNUM(TimeEntry[[#This Row],[WkEnd]])</f>
        <v>28</v>
      </c>
      <c r="T596" s="9" t="str">
        <f>TimeEntry[[#This Row],[Year]]&amp;"-"&amp;TimeEntry[[#This Row],[WkNo]]</f>
        <v>2019-28</v>
      </c>
    </row>
    <row r="597" spans="1:20" x14ac:dyDescent="0.25">
      <c r="A597" s="6">
        <f>MOD(IF(ROW()=2,0.1,IF(INDEX(TimeEntry[WkEnd],ROW()-1)  =  INDEX(TimeEntry[WkEnd],ROW()-2),    INDEX(TimeEntry[format],ROW()-2),    INDEX(TimeEntry[format],ROW()-2)    +1)),2)</f>
        <v>0.10000000000000009</v>
      </c>
      <c r="B597" s="7"/>
      <c r="C597" s="8">
        <v>43647</v>
      </c>
      <c r="D597" s="8"/>
      <c r="E597" s="1" t="s">
        <v>447</v>
      </c>
      <c r="F597" s="8">
        <f>IF(TimeEntry[[#This Row],[Date]]=0,F596,C597+(7-Q597))</f>
        <v>43653</v>
      </c>
      <c r="G597" s="35" t="str">
        <f>INDEX(projects[Charge_Code],MATCH(TimeEntry[[#This Row],[Project_ID]],projects[Project_ID],0))</f>
        <v>255670-17 LOWER KINGS ROAD ASSESSMENT (01-382)</v>
      </c>
      <c r="H597" s="1" t="str">
        <f t="shared" si="19"/>
        <v>Normal Time</v>
      </c>
      <c r="I597" s="1"/>
      <c r="J597" s="15">
        <v>4</v>
      </c>
      <c r="K597" s="15"/>
      <c r="L597" s="15"/>
      <c r="M597" s="15"/>
      <c r="N597" s="15"/>
      <c r="O597" s="15" t="str">
        <f>INDEX(projects[job number],MATCH(TimeEntry[[#This Row],[Project_ID]], projects[Project_ID],0))</f>
        <v>255670-17</v>
      </c>
      <c r="P597" s="15" t="str">
        <f>INDEX(projects[Project_Name],MATCH(TimeEntry[[#This Row],[Project_ID]], projects[Project_ID],0))</f>
        <v>LOWER KINGS ROAD ASSESSMENT</v>
      </c>
      <c r="Q597" s="6">
        <f>IF(TimeEntry[[#This Row],[Date]]=0,"",WEEKDAY(C597,2))</f>
        <v>1</v>
      </c>
      <c r="R597" s="9">
        <f>YEAR(TimeEntry[[#This Row],[WkEnd]])</f>
        <v>2019</v>
      </c>
      <c r="S597" s="9">
        <f>WEEKNUM(TimeEntry[[#This Row],[WkEnd]])</f>
        <v>28</v>
      </c>
      <c r="T597" s="9" t="str">
        <f>TimeEntry[[#This Row],[Year]]&amp;"-"&amp;TimeEntry[[#This Row],[WkNo]]</f>
        <v>2019-28</v>
      </c>
    </row>
    <row r="598" spans="1:20" x14ac:dyDescent="0.25">
      <c r="A598" s="6">
        <f>MOD(IF(ROW()=2,0.1,IF(INDEX(TimeEntry[WkEnd],ROW()-1)  =  INDEX(TimeEntry[WkEnd],ROW()-2),    INDEX(TimeEntry[format],ROW()-2),    INDEX(TimeEntry[format],ROW()-2)    +1)),2)</f>
        <v>0.10000000000000009</v>
      </c>
      <c r="B598" s="7"/>
      <c r="C598" s="8">
        <v>43648</v>
      </c>
      <c r="D598" s="8"/>
      <c r="E598" s="1" t="s">
        <v>458</v>
      </c>
      <c r="F598" s="8">
        <f>IF(TimeEntry[[#This Row],[Date]]=0,F597,C598+(7-Q598))</f>
        <v>43653</v>
      </c>
      <c r="G598" s="35" t="str">
        <f>INDEX(projects[Charge_Code],MATCH(TimeEntry[[#This Row],[Project_ID]],projects[Project_ID],0))</f>
        <v>265720-20 VBB - Assessment</v>
      </c>
      <c r="H598" s="1" t="str">
        <f t="shared" si="19"/>
        <v>Normal Time</v>
      </c>
      <c r="I598" s="1"/>
      <c r="J598" s="15">
        <v>3.75</v>
      </c>
      <c r="K598" s="15"/>
      <c r="L598" s="15"/>
      <c r="M598" s="15"/>
      <c r="N598" s="15"/>
      <c r="O598" s="15" t="str">
        <f>INDEX(projects[job number],MATCH(TimeEntry[[#This Row],[Project_ID]], projects[Project_ID],0))</f>
        <v>265720-20</v>
      </c>
      <c r="P598" s="15" t="str">
        <f>INDEX(projects[Project_Name],MATCH(TimeEntry[[#This Row],[Project_ID]], projects[Project_ID],0))</f>
        <v>VBB - Assessment</v>
      </c>
      <c r="Q598" s="6">
        <f>IF(TimeEntry[[#This Row],[Date]]=0,"",WEEKDAY(C598,2))</f>
        <v>2</v>
      </c>
      <c r="R598" s="9">
        <f>YEAR(TimeEntry[[#This Row],[WkEnd]])</f>
        <v>2019</v>
      </c>
      <c r="S598" s="9">
        <f>WEEKNUM(TimeEntry[[#This Row],[WkEnd]])</f>
        <v>28</v>
      </c>
      <c r="T598" s="9" t="str">
        <f>TimeEntry[[#This Row],[Year]]&amp;"-"&amp;TimeEntry[[#This Row],[WkNo]]</f>
        <v>2019-28</v>
      </c>
    </row>
    <row r="599" spans="1:20" x14ac:dyDescent="0.25">
      <c r="A599" s="6">
        <f>MOD(IF(ROW()=2,0.1,IF(INDEX(TimeEntry[WkEnd],ROW()-1)  =  INDEX(TimeEntry[WkEnd],ROW()-2),    INDEX(TimeEntry[format],ROW()-2),    INDEX(TimeEntry[format],ROW()-2)    +1)),2)</f>
        <v>0.10000000000000009</v>
      </c>
      <c r="B599" s="7"/>
      <c r="C599" s="8">
        <v>43648</v>
      </c>
      <c r="D599" s="8"/>
      <c r="E599" s="1" t="s">
        <v>675</v>
      </c>
      <c r="F599" s="8">
        <f>IF(TimeEntry[[#This Row],[Date]]=0,F598,C599+(7-Q599))</f>
        <v>43653</v>
      </c>
      <c r="G599" s="35" t="str">
        <f>INDEX(projects[Charge_Code],MATCH(TimeEntry[[#This Row],[Project_ID]],projects[Project_ID],0))</f>
        <v>071945-07 BCS - promotional</v>
      </c>
      <c r="H599" s="1" t="str">
        <f t="shared" si="19"/>
        <v>Normal Time</v>
      </c>
      <c r="I599" s="1"/>
      <c r="J599" s="15">
        <v>3.75</v>
      </c>
      <c r="K599" s="15"/>
      <c r="L599" s="15"/>
      <c r="M599" s="15"/>
      <c r="N599" s="15"/>
      <c r="O599" s="15" t="str">
        <f>INDEX(projects[job number],MATCH(TimeEntry[[#This Row],[Project_ID]], projects[Project_ID],0))</f>
        <v>071945-07</v>
      </c>
      <c r="P599" s="15" t="str">
        <f>INDEX(projects[Project_Name],MATCH(TimeEntry[[#This Row],[Project_ID]], projects[Project_ID],0))</f>
        <v>BCS - promotional</v>
      </c>
      <c r="Q599" s="6">
        <f>IF(TimeEntry[[#This Row],[Date]]=0,"",WEEKDAY(C599,2))</f>
        <v>2</v>
      </c>
      <c r="R599" s="9">
        <f>YEAR(TimeEntry[[#This Row],[WkEnd]])</f>
        <v>2019</v>
      </c>
      <c r="S599" s="9">
        <f>WEEKNUM(TimeEntry[[#This Row],[WkEnd]])</f>
        <v>28</v>
      </c>
      <c r="T599" s="9" t="str">
        <f>TimeEntry[[#This Row],[Year]]&amp;"-"&amp;TimeEntry[[#This Row],[WkNo]]</f>
        <v>2019-28</v>
      </c>
    </row>
    <row r="600" spans="1:20" x14ac:dyDescent="0.25">
      <c r="A600" s="6">
        <f>MOD(IF(ROW()=2,0.1,IF(INDEX(TimeEntry[WkEnd],ROW()-1)  =  INDEX(TimeEntry[WkEnd],ROW()-2),    INDEX(TimeEntry[format],ROW()-2),    INDEX(TimeEntry[format],ROW()-2)    +1)),2)</f>
        <v>0.10000000000000009</v>
      </c>
      <c r="B600" s="7"/>
      <c r="C600" s="8">
        <v>43649</v>
      </c>
      <c r="D600" s="8"/>
      <c r="E600" s="1" t="s">
        <v>458</v>
      </c>
      <c r="F600" s="8">
        <f>IF(TimeEntry[[#This Row],[Date]]=0,F599,C600+(7-Q600))</f>
        <v>43653</v>
      </c>
      <c r="G600" s="35" t="str">
        <f>INDEX(projects[Charge_Code],MATCH(TimeEntry[[#This Row],[Project_ID]],projects[Project_ID],0))</f>
        <v>265720-20 VBB - Assessment</v>
      </c>
      <c r="H600" s="1" t="str">
        <f t="shared" si="19"/>
        <v>Normal Time</v>
      </c>
      <c r="I600" s="1"/>
      <c r="J600" s="15">
        <v>7.5</v>
      </c>
      <c r="K600" s="15"/>
      <c r="L600" s="15"/>
      <c r="M600" s="15"/>
      <c r="N600" s="15"/>
      <c r="O600" s="15" t="str">
        <f>INDEX(projects[job number],MATCH(TimeEntry[[#This Row],[Project_ID]], projects[Project_ID],0))</f>
        <v>265720-20</v>
      </c>
      <c r="P600" s="15" t="str">
        <f>INDEX(projects[Project_Name],MATCH(TimeEntry[[#This Row],[Project_ID]], projects[Project_ID],0))</f>
        <v>VBB - Assessment</v>
      </c>
      <c r="Q600" s="6">
        <f>IF(TimeEntry[[#This Row],[Date]]=0,"",WEEKDAY(C600,2))</f>
        <v>3</v>
      </c>
      <c r="R600" s="9">
        <f>YEAR(TimeEntry[[#This Row],[WkEnd]])</f>
        <v>2019</v>
      </c>
      <c r="S600" s="9">
        <f>WEEKNUM(TimeEntry[[#This Row],[WkEnd]])</f>
        <v>28</v>
      </c>
      <c r="T600" s="9" t="str">
        <f>TimeEntry[[#This Row],[Year]]&amp;"-"&amp;TimeEntry[[#This Row],[WkNo]]</f>
        <v>2019-28</v>
      </c>
    </row>
    <row r="601" spans="1:20" x14ac:dyDescent="0.25">
      <c r="A601" s="6">
        <f>MOD(IF(ROW()=2,0.1,IF(INDEX(TimeEntry[WkEnd],ROW()-1)  =  INDEX(TimeEntry[WkEnd],ROW()-2),    INDEX(TimeEntry[format],ROW()-2),    INDEX(TimeEntry[format],ROW()-2)    +1)),2)</f>
        <v>0.10000000000000009</v>
      </c>
      <c r="B601" s="7"/>
      <c r="C601" s="8">
        <v>43650</v>
      </c>
      <c r="D601" s="8"/>
      <c r="E601" s="1" t="s">
        <v>458</v>
      </c>
      <c r="F601" s="8">
        <f>IF(TimeEntry[[#This Row],[Date]]=0,F600,C601+(7-Q601))</f>
        <v>43653</v>
      </c>
      <c r="G601" s="35" t="str">
        <f>INDEX(projects[Charge_Code],MATCH(TimeEntry[[#This Row],[Project_ID]],projects[Project_ID],0))</f>
        <v>265720-20 VBB - Assessment</v>
      </c>
      <c r="H601" s="1" t="str">
        <f t="shared" si="19"/>
        <v>Normal Time</v>
      </c>
      <c r="I601" s="1"/>
      <c r="J601" s="15">
        <v>3.75</v>
      </c>
      <c r="K601" s="15"/>
      <c r="L601" s="15"/>
      <c r="M601" s="15"/>
      <c r="N601" s="15"/>
      <c r="O601" s="15" t="str">
        <f>INDEX(projects[job number],MATCH(TimeEntry[[#This Row],[Project_ID]], projects[Project_ID],0))</f>
        <v>265720-20</v>
      </c>
      <c r="P601" s="15" t="str">
        <f>INDEX(projects[Project_Name],MATCH(TimeEntry[[#This Row],[Project_ID]], projects[Project_ID],0))</f>
        <v>VBB - Assessment</v>
      </c>
      <c r="Q601" s="6">
        <f>IF(TimeEntry[[#This Row],[Date]]=0,"",WEEKDAY(C601,2))</f>
        <v>4</v>
      </c>
      <c r="R601" s="9">
        <f>YEAR(TimeEntry[[#This Row],[WkEnd]])</f>
        <v>2019</v>
      </c>
      <c r="S601" s="9">
        <f>WEEKNUM(TimeEntry[[#This Row],[WkEnd]])</f>
        <v>28</v>
      </c>
      <c r="T601" s="9" t="str">
        <f>TimeEntry[[#This Row],[Year]]&amp;"-"&amp;TimeEntry[[#This Row],[WkNo]]</f>
        <v>2019-28</v>
      </c>
    </row>
    <row r="602" spans="1:20" x14ac:dyDescent="0.25">
      <c r="A602" s="6">
        <f>MOD(IF(ROW()=2,0.1,IF(INDEX(TimeEntry[WkEnd],ROW()-1)  =  INDEX(TimeEntry[WkEnd],ROW()-2),    INDEX(TimeEntry[format],ROW()-2),    INDEX(TimeEntry[format],ROW()-2)    +1)),2)</f>
        <v>0.10000000000000009</v>
      </c>
      <c r="B602" s="7"/>
      <c r="C602" s="8">
        <v>43650</v>
      </c>
      <c r="D602" s="8"/>
      <c r="E602" s="1" t="s">
        <v>458</v>
      </c>
      <c r="F602" s="8">
        <f>IF(TimeEntry[[#This Row],[Date]]=0,F601,C602+(7-Q602))</f>
        <v>43653</v>
      </c>
      <c r="G602" s="35" t="str">
        <f>INDEX(projects[Charge_Code],MATCH(TimeEntry[[#This Row],[Project_ID]],projects[Project_ID],0))</f>
        <v>265720-20 VBB - Assessment</v>
      </c>
      <c r="H602" s="1" t="str">
        <f t="shared" si="19"/>
        <v>Normal Time</v>
      </c>
      <c r="I602" s="1"/>
      <c r="J602" s="15">
        <v>1.5</v>
      </c>
      <c r="K602" s="15"/>
      <c r="L602" s="15"/>
      <c r="M602" s="15"/>
      <c r="N602" s="15"/>
      <c r="O602" s="15" t="str">
        <f>INDEX(projects[job number],MATCH(TimeEntry[[#This Row],[Project_ID]], projects[Project_ID],0))</f>
        <v>265720-20</v>
      </c>
      <c r="P602" s="15" t="str">
        <f>INDEX(projects[Project_Name],MATCH(TimeEntry[[#This Row],[Project_ID]], projects[Project_ID],0))</f>
        <v>VBB - Assessment</v>
      </c>
      <c r="Q602" s="6">
        <f>IF(TimeEntry[[#This Row],[Date]]=0,"",WEEKDAY(C602,2))</f>
        <v>4</v>
      </c>
      <c r="R602" s="9">
        <f>YEAR(TimeEntry[[#This Row],[WkEnd]])</f>
        <v>2019</v>
      </c>
      <c r="S602" s="9">
        <f>WEEKNUM(TimeEntry[[#This Row],[WkEnd]])</f>
        <v>28</v>
      </c>
      <c r="T602" s="9" t="str">
        <f>TimeEntry[[#This Row],[Year]]&amp;"-"&amp;TimeEntry[[#This Row],[WkNo]]</f>
        <v>2019-28</v>
      </c>
    </row>
    <row r="603" spans="1:20" x14ac:dyDescent="0.25">
      <c r="A603" s="6">
        <f>MOD(IF(ROW()=2,0.1,IF(INDEX(TimeEntry[WkEnd],ROW()-1)  =  INDEX(TimeEntry[WkEnd],ROW()-2),    INDEX(TimeEntry[format],ROW()-2),    INDEX(TimeEntry[format],ROW()-2)    +1)),2)</f>
        <v>0.10000000000000009</v>
      </c>
      <c r="B603" s="7"/>
      <c r="C603" s="8">
        <v>43650</v>
      </c>
      <c r="D603" s="8"/>
      <c r="E603" s="1" t="s">
        <v>458</v>
      </c>
      <c r="F603" s="8">
        <f>IF(TimeEntry[[#This Row],[Date]]=0,F602,C603+(7-Q603))</f>
        <v>43653</v>
      </c>
      <c r="G603" s="35" t="str">
        <f>INDEX(projects[Charge_Code],MATCH(TimeEntry[[#This Row],[Project_ID]],projects[Project_ID],0))</f>
        <v>265720-20 VBB - Assessment</v>
      </c>
      <c r="H603" s="1" t="str">
        <f t="shared" si="19"/>
        <v>Normal Time</v>
      </c>
      <c r="I603" s="1"/>
      <c r="J603" s="15">
        <v>2.25</v>
      </c>
      <c r="K603" s="15"/>
      <c r="L603" s="15"/>
      <c r="M603" s="15"/>
      <c r="N603" s="15"/>
      <c r="O603" s="15" t="str">
        <f>INDEX(projects[job number],MATCH(TimeEntry[[#This Row],[Project_ID]], projects[Project_ID],0))</f>
        <v>265720-20</v>
      </c>
      <c r="P603" s="15" t="str">
        <f>INDEX(projects[Project_Name],MATCH(TimeEntry[[#This Row],[Project_ID]], projects[Project_ID],0))</f>
        <v>VBB - Assessment</v>
      </c>
      <c r="Q603" s="6">
        <f>IF(TimeEntry[[#This Row],[Date]]=0,"",WEEKDAY(C603,2))</f>
        <v>4</v>
      </c>
      <c r="R603" s="9">
        <f>YEAR(TimeEntry[[#This Row],[WkEnd]])</f>
        <v>2019</v>
      </c>
      <c r="S603" s="9">
        <f>WEEKNUM(TimeEntry[[#This Row],[WkEnd]])</f>
        <v>28</v>
      </c>
      <c r="T603" s="9" t="str">
        <f>TimeEntry[[#This Row],[Year]]&amp;"-"&amp;TimeEntry[[#This Row],[WkNo]]</f>
        <v>2019-28</v>
      </c>
    </row>
    <row r="604" spans="1:20" x14ac:dyDescent="0.25">
      <c r="A604" s="6">
        <f>MOD(IF(ROW()=2,0.1,IF(INDEX(TimeEntry[WkEnd],ROW()-1)  =  INDEX(TimeEntry[WkEnd],ROW()-2),    INDEX(TimeEntry[format],ROW()-2),    INDEX(TimeEntry[format],ROW()-2)    +1)),2)</f>
        <v>0.10000000000000009</v>
      </c>
      <c r="B604" s="7"/>
      <c r="C604" s="8">
        <v>43651</v>
      </c>
      <c r="D604" s="8"/>
      <c r="E604" s="1" t="s">
        <v>454</v>
      </c>
      <c r="F604" s="8">
        <f>IF(TimeEntry[[#This Row],[Date]]=0,F603,C604+(7-Q604))</f>
        <v>43653</v>
      </c>
      <c r="G604" s="35" t="str">
        <f>INDEX(projects[Charge_Code],MATCH(TimeEntry[[#This Row],[Project_ID]],projects[Project_ID],0))</f>
        <v>210035-51 VBB 3rd - new bridge</v>
      </c>
      <c r="H604" s="1" t="str">
        <f t="shared" si="19"/>
        <v>Normal Time</v>
      </c>
      <c r="I604" s="1"/>
      <c r="J604" s="15">
        <v>5.5</v>
      </c>
      <c r="K604" s="15"/>
      <c r="L604" s="15"/>
      <c r="M604" s="15"/>
      <c r="N604" s="15"/>
      <c r="O604" s="15" t="str">
        <f>INDEX(projects[job number],MATCH(TimeEntry[[#This Row],[Project_ID]], projects[Project_ID],0))</f>
        <v>210035-51</v>
      </c>
      <c r="P604" s="15" t="str">
        <f>INDEX(projects[Project_Name],MATCH(TimeEntry[[#This Row],[Project_ID]], projects[Project_ID],0))</f>
        <v>VBB 3rd - new bridge</v>
      </c>
      <c r="Q604" s="6">
        <f>IF(TimeEntry[[#This Row],[Date]]=0,"",WEEKDAY(C604,2))</f>
        <v>5</v>
      </c>
      <c r="R604" s="9">
        <f>YEAR(TimeEntry[[#This Row],[WkEnd]])</f>
        <v>2019</v>
      </c>
      <c r="S604" s="9">
        <f>WEEKNUM(TimeEntry[[#This Row],[WkEnd]])</f>
        <v>28</v>
      </c>
      <c r="T604" s="9" t="str">
        <f>TimeEntry[[#This Row],[Year]]&amp;"-"&amp;TimeEntry[[#This Row],[WkNo]]</f>
        <v>2019-28</v>
      </c>
    </row>
    <row r="605" spans="1:20" x14ac:dyDescent="0.25">
      <c r="A605" s="6">
        <f>MOD(IF(ROW()=2,0.1,IF(INDEX(TimeEntry[WkEnd],ROW()-1)  =  INDEX(TimeEntry[WkEnd],ROW()-2),    INDEX(TimeEntry[format],ROW()-2),    INDEX(TimeEntry[format],ROW()-2)    +1)),2)</f>
        <v>0.10000000000000009</v>
      </c>
      <c r="B605" s="7"/>
      <c r="C605" s="8">
        <v>43651</v>
      </c>
      <c r="D605" s="8"/>
      <c r="E605" s="1" t="s">
        <v>458</v>
      </c>
      <c r="F605" s="8">
        <f>IF(TimeEntry[[#This Row],[Date]]=0,F604,C605+(7-Q605))</f>
        <v>43653</v>
      </c>
      <c r="G605" s="35" t="str">
        <f>INDEX(projects[Charge_Code],MATCH(TimeEntry[[#This Row],[Project_ID]],projects[Project_ID],0))</f>
        <v>265720-20 VBB - Assessment</v>
      </c>
      <c r="H605" s="1" t="str">
        <f t="shared" si="19"/>
        <v>Normal Time</v>
      </c>
      <c r="I605" s="1"/>
      <c r="J605" s="15">
        <v>2</v>
      </c>
      <c r="K605" s="15"/>
      <c r="L605" s="15"/>
      <c r="M605" s="15"/>
      <c r="N605" s="15"/>
      <c r="O605" s="15" t="str">
        <f>INDEX(projects[job number],MATCH(TimeEntry[[#This Row],[Project_ID]], projects[Project_ID],0))</f>
        <v>265720-20</v>
      </c>
      <c r="P605" s="15" t="str">
        <f>INDEX(projects[Project_Name],MATCH(TimeEntry[[#This Row],[Project_ID]], projects[Project_ID],0))</f>
        <v>VBB - Assessment</v>
      </c>
      <c r="Q605" s="6">
        <f>IF(TimeEntry[[#This Row],[Date]]=0,"",WEEKDAY(C605,2))</f>
        <v>5</v>
      </c>
      <c r="R605" s="9">
        <f>YEAR(TimeEntry[[#This Row],[WkEnd]])</f>
        <v>2019</v>
      </c>
      <c r="S605" s="9">
        <f>WEEKNUM(TimeEntry[[#This Row],[WkEnd]])</f>
        <v>28</v>
      </c>
      <c r="T605" s="9" t="str">
        <f>TimeEntry[[#This Row],[Year]]&amp;"-"&amp;TimeEntry[[#This Row],[WkNo]]</f>
        <v>2019-28</v>
      </c>
    </row>
    <row r="606" spans="1:20" x14ac:dyDescent="0.25">
      <c r="A606" s="6">
        <f>MOD(IF(ROW()=2,0.1,IF(INDEX(TimeEntry[WkEnd],ROW()-1)  =  INDEX(TimeEntry[WkEnd],ROW()-2),    INDEX(TimeEntry[format],ROW()-2),    INDEX(TimeEntry[format],ROW()-2)    +1)),2)</f>
        <v>1.1000000000000001</v>
      </c>
      <c r="B606" s="7"/>
      <c r="C606" s="8">
        <v>43640</v>
      </c>
      <c r="D606" s="8"/>
      <c r="E606" s="1" t="s">
        <v>462</v>
      </c>
      <c r="F606" s="8">
        <f>IF(TimeEntry[[#This Row],[Date]]=0,F605,C606+(7-Q606))</f>
        <v>43646</v>
      </c>
      <c r="G606" s="35" t="str">
        <f>INDEX(projects[Charge_Code],MATCH(TimeEntry[[#This Row],[Project_ID]],projects[Project_ID],0))</f>
        <v>265720-10 VBB - Design Basis</v>
      </c>
      <c r="H606" s="1" t="str">
        <f t="shared" si="19"/>
        <v>Normal Time</v>
      </c>
      <c r="I606" s="1"/>
      <c r="J606" s="15">
        <v>7.5</v>
      </c>
      <c r="K606" s="15"/>
      <c r="L606" s="15"/>
      <c r="M606" s="15"/>
      <c r="N606" s="15"/>
      <c r="O606" s="15" t="str">
        <f>INDEX(projects[job number],MATCH(TimeEntry[[#This Row],[Project_ID]], projects[Project_ID],0))</f>
        <v>265720-10</v>
      </c>
      <c r="P606" s="15" t="str">
        <f>INDEX(projects[Project_Name],MATCH(TimeEntry[[#This Row],[Project_ID]], projects[Project_ID],0))</f>
        <v>VBB - Design Basis</v>
      </c>
      <c r="Q606" s="6">
        <f>IF(TimeEntry[[#This Row],[Date]]=0,"",WEEKDAY(C606,2))</f>
        <v>1</v>
      </c>
      <c r="R606" s="9">
        <f>YEAR(TimeEntry[[#This Row],[WkEnd]])</f>
        <v>2019</v>
      </c>
      <c r="S606" s="9">
        <f>WEEKNUM(TimeEntry[[#This Row],[WkEnd]])</f>
        <v>27</v>
      </c>
      <c r="T606" s="9" t="str">
        <f>TimeEntry[[#This Row],[Year]]&amp;"-"&amp;TimeEntry[[#This Row],[WkNo]]</f>
        <v>2019-27</v>
      </c>
    </row>
    <row r="607" spans="1:20" x14ac:dyDescent="0.25">
      <c r="A607" s="6">
        <f>MOD(IF(ROW()=2,0.1,IF(INDEX(TimeEntry[WkEnd],ROW()-1)  =  INDEX(TimeEntry[WkEnd],ROW()-2),    INDEX(TimeEntry[format],ROW()-2),    INDEX(TimeEntry[format],ROW()-2)    +1)),2)</f>
        <v>1.1000000000000001</v>
      </c>
      <c r="B607" s="7"/>
      <c r="C607" s="8">
        <v>43641</v>
      </c>
      <c r="D607" s="8"/>
      <c r="E607" s="1" t="s">
        <v>462</v>
      </c>
      <c r="F607" s="8">
        <f>IF(TimeEntry[[#This Row],[Date]]=0,F606,C607+(7-Q607))</f>
        <v>43646</v>
      </c>
      <c r="G607" s="35" t="str">
        <f>INDEX(projects[Charge_Code],MATCH(TimeEntry[[#This Row],[Project_ID]],projects[Project_ID],0))</f>
        <v>265720-10 VBB - Design Basis</v>
      </c>
      <c r="H607" s="1" t="str">
        <f t="shared" si="19"/>
        <v>Normal Time</v>
      </c>
      <c r="I607" s="1"/>
      <c r="J607" s="15">
        <v>7.5</v>
      </c>
      <c r="K607" s="15"/>
      <c r="L607" s="15"/>
      <c r="M607" s="15"/>
      <c r="N607" s="15"/>
      <c r="O607" s="15" t="str">
        <f>INDEX(projects[job number],MATCH(TimeEntry[[#This Row],[Project_ID]], projects[Project_ID],0))</f>
        <v>265720-10</v>
      </c>
      <c r="P607" s="15" t="str">
        <f>INDEX(projects[Project_Name],MATCH(TimeEntry[[#This Row],[Project_ID]], projects[Project_ID],0))</f>
        <v>VBB - Design Basis</v>
      </c>
      <c r="Q607" s="6">
        <f>IF(TimeEntry[[#This Row],[Date]]=0,"",WEEKDAY(C607,2))</f>
        <v>2</v>
      </c>
      <c r="R607" s="9">
        <f>YEAR(TimeEntry[[#This Row],[WkEnd]])</f>
        <v>2019</v>
      </c>
      <c r="S607" s="9">
        <f>WEEKNUM(TimeEntry[[#This Row],[WkEnd]])</f>
        <v>27</v>
      </c>
      <c r="T607" s="9" t="str">
        <f>TimeEntry[[#This Row],[Year]]&amp;"-"&amp;TimeEntry[[#This Row],[WkNo]]</f>
        <v>2019-27</v>
      </c>
    </row>
    <row r="608" spans="1:20" x14ac:dyDescent="0.25">
      <c r="A608" s="6">
        <f>MOD(IF(ROW()=2,0.1,IF(INDEX(TimeEntry[WkEnd],ROW()-1)  =  INDEX(TimeEntry[WkEnd],ROW()-2),    INDEX(TimeEntry[format],ROW()-2),    INDEX(TimeEntry[format],ROW()-2)    +1)),2)</f>
        <v>1.1000000000000001</v>
      </c>
      <c r="B608" s="7"/>
      <c r="C608" s="8">
        <v>43642</v>
      </c>
      <c r="D608" s="8"/>
      <c r="E608" s="1" t="s">
        <v>462</v>
      </c>
      <c r="F608" s="8">
        <f>IF(TimeEntry[[#This Row],[Date]]=0,F607,C608+(7-Q608))</f>
        <v>43646</v>
      </c>
      <c r="G608" s="35" t="str">
        <f>INDEX(projects[Charge_Code],MATCH(TimeEntry[[#This Row],[Project_ID]],projects[Project_ID],0))</f>
        <v>265720-10 VBB - Design Basis</v>
      </c>
      <c r="H608" s="1" t="str">
        <f t="shared" si="19"/>
        <v>Normal Time</v>
      </c>
      <c r="I608" s="1"/>
      <c r="J608" s="15">
        <v>3.75</v>
      </c>
      <c r="K608" s="15"/>
      <c r="L608" s="15"/>
      <c r="M608" s="15"/>
      <c r="N608" s="15"/>
      <c r="O608" s="15" t="str">
        <f>INDEX(projects[job number],MATCH(TimeEntry[[#This Row],[Project_ID]], projects[Project_ID],0))</f>
        <v>265720-10</v>
      </c>
      <c r="P608" s="15" t="str">
        <f>INDEX(projects[Project_Name],MATCH(TimeEntry[[#This Row],[Project_ID]], projects[Project_ID],0))</f>
        <v>VBB - Design Basis</v>
      </c>
      <c r="Q608" s="6">
        <f>IF(TimeEntry[[#This Row],[Date]]=0,"",WEEKDAY(C608,2))</f>
        <v>3</v>
      </c>
      <c r="R608" s="9">
        <f>YEAR(TimeEntry[[#This Row],[WkEnd]])</f>
        <v>2019</v>
      </c>
      <c r="S608" s="9">
        <f>WEEKNUM(TimeEntry[[#This Row],[WkEnd]])</f>
        <v>27</v>
      </c>
      <c r="T608" s="9" t="str">
        <f>TimeEntry[[#This Row],[Year]]&amp;"-"&amp;TimeEntry[[#This Row],[WkNo]]</f>
        <v>2019-27</v>
      </c>
    </row>
    <row r="609" spans="1:20" x14ac:dyDescent="0.25">
      <c r="A609" s="6">
        <f>MOD(IF(ROW()=2,0.1,IF(INDEX(TimeEntry[WkEnd],ROW()-1)  =  INDEX(TimeEntry[WkEnd],ROW()-2),    INDEX(TimeEntry[format],ROW()-2),    INDEX(TimeEntry[format],ROW()-2)    +1)),2)</f>
        <v>1.1000000000000001</v>
      </c>
      <c r="B609" s="7"/>
      <c r="C609" s="8">
        <v>43642</v>
      </c>
      <c r="D609" s="8"/>
      <c r="E609" s="1" t="s">
        <v>444</v>
      </c>
      <c r="F609" s="8">
        <f>IF(TimeEntry[[#This Row],[Date]]=0,F608,C609+(7-Q609))</f>
        <v>43646</v>
      </c>
      <c r="G609" s="35" t="str">
        <f>INDEX(projects[Charge_Code],MATCH(TimeEntry[[#This Row],[Project_ID]],projects[Project_ID],0))</f>
        <v>LEAVE</v>
      </c>
      <c r="H609" s="1" t="str">
        <f t="shared" si="19"/>
        <v>Normal Time</v>
      </c>
      <c r="I609" s="1"/>
      <c r="J609" s="15">
        <v>3.75</v>
      </c>
      <c r="K609" s="15"/>
      <c r="L609" s="15"/>
      <c r="M609" s="15"/>
      <c r="N609" s="15"/>
      <c r="O609" s="15" t="str">
        <f>INDEX(projects[job number],MATCH(TimeEntry[[#This Row],[Project_ID]], projects[Project_ID],0))</f>
        <v>LEAVE</v>
      </c>
      <c r="P609" s="15">
        <f>INDEX(projects[Project_Name],MATCH(TimeEntry[[#This Row],[Project_ID]], projects[Project_ID],0))</f>
        <v>0</v>
      </c>
      <c r="Q609" s="6">
        <f>IF(TimeEntry[[#This Row],[Date]]=0,"",WEEKDAY(C609,2))</f>
        <v>3</v>
      </c>
      <c r="R609" s="9">
        <f>YEAR(TimeEntry[[#This Row],[WkEnd]])</f>
        <v>2019</v>
      </c>
      <c r="S609" s="9">
        <f>WEEKNUM(TimeEntry[[#This Row],[WkEnd]])</f>
        <v>27</v>
      </c>
      <c r="T609" s="9" t="str">
        <f>TimeEntry[[#This Row],[Year]]&amp;"-"&amp;TimeEntry[[#This Row],[WkNo]]</f>
        <v>2019-27</v>
      </c>
    </row>
    <row r="610" spans="1:20" x14ac:dyDescent="0.25">
      <c r="A610" s="6">
        <f>MOD(IF(ROW()=2,0.1,IF(INDEX(TimeEntry[WkEnd],ROW()-1)  =  INDEX(TimeEntry[WkEnd],ROW()-2),    INDEX(TimeEntry[format],ROW()-2),    INDEX(TimeEntry[format],ROW()-2)    +1)),2)</f>
        <v>1.1000000000000001</v>
      </c>
      <c r="B610" s="7"/>
      <c r="C610" s="8">
        <v>43643</v>
      </c>
      <c r="D610" s="8"/>
      <c r="E610" s="1" t="s">
        <v>462</v>
      </c>
      <c r="F610" s="8">
        <f>IF(TimeEntry[[#This Row],[Date]]=0,F609,C610+(7-Q610))</f>
        <v>43646</v>
      </c>
      <c r="G610" s="35" t="str">
        <f>INDEX(projects[Charge_Code],MATCH(TimeEntry[[#This Row],[Project_ID]],projects[Project_ID],0))</f>
        <v>265720-10 VBB - Design Basis</v>
      </c>
      <c r="H610" s="1" t="str">
        <f t="shared" si="19"/>
        <v>Normal Time</v>
      </c>
      <c r="I610" s="1"/>
      <c r="J610" s="15">
        <v>7.5</v>
      </c>
      <c r="K610" s="15"/>
      <c r="L610" s="15"/>
      <c r="M610" s="15"/>
      <c r="N610" s="15"/>
      <c r="O610" s="15" t="str">
        <f>INDEX(projects[job number],MATCH(TimeEntry[[#This Row],[Project_ID]], projects[Project_ID],0))</f>
        <v>265720-10</v>
      </c>
      <c r="P610" s="15" t="str">
        <f>INDEX(projects[Project_Name],MATCH(TimeEntry[[#This Row],[Project_ID]], projects[Project_ID],0))</f>
        <v>VBB - Design Basis</v>
      </c>
      <c r="Q610" s="6">
        <f>IF(TimeEntry[[#This Row],[Date]]=0,"",WEEKDAY(C610,2))</f>
        <v>4</v>
      </c>
      <c r="R610" s="9">
        <f>YEAR(TimeEntry[[#This Row],[WkEnd]])</f>
        <v>2019</v>
      </c>
      <c r="S610" s="9">
        <f>WEEKNUM(TimeEntry[[#This Row],[WkEnd]])</f>
        <v>27</v>
      </c>
      <c r="T610" s="9" t="str">
        <f>TimeEntry[[#This Row],[Year]]&amp;"-"&amp;TimeEntry[[#This Row],[WkNo]]</f>
        <v>2019-27</v>
      </c>
    </row>
    <row r="611" spans="1:20" x14ac:dyDescent="0.25">
      <c r="A611" s="6">
        <f>MOD(IF(ROW()=2,0.1,IF(INDEX(TimeEntry[WkEnd],ROW()-1)  =  INDEX(TimeEntry[WkEnd],ROW()-2),    INDEX(TimeEntry[format],ROW()-2),    INDEX(TimeEntry[format],ROW()-2)    +1)),2)</f>
        <v>1.1000000000000001</v>
      </c>
      <c r="B611" s="7"/>
      <c r="C611" s="8">
        <v>43644</v>
      </c>
      <c r="D611" s="8"/>
      <c r="E611" s="1" t="s">
        <v>462</v>
      </c>
      <c r="F611" s="8">
        <f>IF(TimeEntry[[#This Row],[Date]]=0,F610,C611+(7-Q611))</f>
        <v>43646</v>
      </c>
      <c r="G611" s="35" t="str">
        <f>INDEX(projects[Charge_Code],MATCH(TimeEntry[[#This Row],[Project_ID]],projects[Project_ID],0))</f>
        <v>265720-10 VBB - Design Basis</v>
      </c>
      <c r="H611" s="1" t="str">
        <f t="shared" si="19"/>
        <v>Normal Time</v>
      </c>
      <c r="I611" s="1"/>
      <c r="J611" s="15">
        <v>3.75</v>
      </c>
      <c r="K611" s="15"/>
      <c r="L611" s="15"/>
      <c r="M611" s="15"/>
      <c r="N611" s="15"/>
      <c r="O611" s="15" t="str">
        <f>INDEX(projects[job number],MATCH(TimeEntry[[#This Row],[Project_ID]], projects[Project_ID],0))</f>
        <v>265720-10</v>
      </c>
      <c r="P611" s="15" t="str">
        <f>INDEX(projects[Project_Name],MATCH(TimeEntry[[#This Row],[Project_ID]], projects[Project_ID],0))</f>
        <v>VBB - Design Basis</v>
      </c>
      <c r="Q611" s="6">
        <f>IF(TimeEntry[[#This Row],[Date]]=0,"",WEEKDAY(C611,2))</f>
        <v>5</v>
      </c>
      <c r="R611" s="9">
        <f>YEAR(TimeEntry[[#This Row],[WkEnd]])</f>
        <v>2019</v>
      </c>
      <c r="S611" s="9">
        <f>WEEKNUM(TimeEntry[[#This Row],[WkEnd]])</f>
        <v>27</v>
      </c>
      <c r="T611" s="9" t="str">
        <f>TimeEntry[[#This Row],[Year]]&amp;"-"&amp;TimeEntry[[#This Row],[WkNo]]</f>
        <v>2019-27</v>
      </c>
    </row>
    <row r="612" spans="1:20" x14ac:dyDescent="0.25">
      <c r="A612" s="6">
        <f>MOD(IF(ROW()=2,0.1,IF(INDEX(TimeEntry[WkEnd],ROW()-1)  =  INDEX(TimeEntry[WkEnd],ROW()-2),    INDEX(TimeEntry[format],ROW()-2),    INDEX(TimeEntry[format],ROW()-2)    +1)),2)</f>
        <v>1.1000000000000001</v>
      </c>
      <c r="B612" s="7"/>
      <c r="C612" s="8">
        <v>43644</v>
      </c>
      <c r="D612" s="8"/>
      <c r="E612" s="1" t="s">
        <v>444</v>
      </c>
      <c r="F612" s="8">
        <f>IF(TimeEntry[[#This Row],[Date]]=0,F611,C612+(7-Q612))</f>
        <v>43646</v>
      </c>
      <c r="G612" s="35" t="str">
        <f>INDEX(projects[Charge_Code],MATCH(TimeEntry[[#This Row],[Project_ID]],projects[Project_ID],0))</f>
        <v>LEAVE</v>
      </c>
      <c r="H612" s="1" t="str">
        <f t="shared" si="19"/>
        <v>Normal Time</v>
      </c>
      <c r="I612" s="1"/>
      <c r="J612" s="15">
        <v>3.75</v>
      </c>
      <c r="K612" s="15"/>
      <c r="L612" s="15"/>
      <c r="M612" s="15"/>
      <c r="N612" s="15"/>
      <c r="O612" s="15" t="str">
        <f>INDEX(projects[job number],MATCH(TimeEntry[[#This Row],[Project_ID]], projects[Project_ID],0))</f>
        <v>LEAVE</v>
      </c>
      <c r="P612" s="15">
        <f>INDEX(projects[Project_Name],MATCH(TimeEntry[[#This Row],[Project_ID]], projects[Project_ID],0))</f>
        <v>0</v>
      </c>
      <c r="Q612" s="6">
        <f>IF(TimeEntry[[#This Row],[Date]]=0,"",WEEKDAY(C612,2))</f>
        <v>5</v>
      </c>
      <c r="R612" s="9">
        <f>YEAR(TimeEntry[[#This Row],[WkEnd]])</f>
        <v>2019</v>
      </c>
      <c r="S612" s="9">
        <f>WEEKNUM(TimeEntry[[#This Row],[WkEnd]])</f>
        <v>27</v>
      </c>
      <c r="T612" s="9" t="str">
        <f>TimeEntry[[#This Row],[Year]]&amp;"-"&amp;TimeEntry[[#This Row],[WkNo]]</f>
        <v>2019-27</v>
      </c>
    </row>
    <row r="613" spans="1:20" x14ac:dyDescent="0.25">
      <c r="A613" s="6">
        <f>MOD(IF(ROW()=2,0.1,IF(INDEX(TimeEntry[WkEnd],ROW()-1)  =  INDEX(TimeEntry[WkEnd],ROW()-2),    INDEX(TimeEntry[format],ROW()-2),    INDEX(TimeEntry[format],ROW()-2)    +1)),2)</f>
        <v>0.10000000000000009</v>
      </c>
      <c r="B613" s="7"/>
      <c r="C613" s="8">
        <v>43633</v>
      </c>
      <c r="D613" s="8"/>
      <c r="E613" s="1" t="s">
        <v>458</v>
      </c>
      <c r="F613" s="8">
        <f>IF(TimeEntry[[#This Row],[Date]]=0,F612,C613+(7-Q613))</f>
        <v>43639</v>
      </c>
      <c r="G613" s="35" t="str">
        <f>INDEX(projects[Charge_Code],MATCH(TimeEntry[[#This Row],[Project_ID]],projects[Project_ID],0))</f>
        <v>265720-20 VBB - Assessment</v>
      </c>
      <c r="H613" s="1" t="str">
        <f t="shared" si="19"/>
        <v>Normal Time</v>
      </c>
      <c r="I613" s="1"/>
      <c r="J613" s="15">
        <v>7.5</v>
      </c>
      <c r="K613" s="15"/>
      <c r="L613" s="15"/>
      <c r="M613" s="15"/>
      <c r="N613" s="15"/>
      <c r="O613" s="15" t="str">
        <f>INDEX(projects[job number],MATCH(TimeEntry[[#This Row],[Project_ID]], projects[Project_ID],0))</f>
        <v>265720-20</v>
      </c>
      <c r="P613" s="15" t="str">
        <f>INDEX(projects[Project_Name],MATCH(TimeEntry[[#This Row],[Project_ID]], projects[Project_ID],0))</f>
        <v>VBB - Assessment</v>
      </c>
      <c r="Q613" s="6">
        <f>IF(TimeEntry[[#This Row],[Date]]=0,"",WEEKDAY(C613,2))</f>
        <v>1</v>
      </c>
      <c r="R613" s="9">
        <f>YEAR(TimeEntry[[#This Row],[WkEnd]])</f>
        <v>2019</v>
      </c>
      <c r="S613" s="9">
        <f>WEEKNUM(TimeEntry[[#This Row],[WkEnd]])</f>
        <v>26</v>
      </c>
      <c r="T613" s="9" t="str">
        <f>TimeEntry[[#This Row],[Year]]&amp;"-"&amp;TimeEntry[[#This Row],[WkNo]]</f>
        <v>2019-26</v>
      </c>
    </row>
    <row r="614" spans="1:20" x14ac:dyDescent="0.25">
      <c r="A614" s="6">
        <f>MOD(IF(ROW()=2,0.1,IF(INDEX(TimeEntry[WkEnd],ROW()-1)  =  INDEX(TimeEntry[WkEnd],ROW()-2),    INDEX(TimeEntry[format],ROW()-2),    INDEX(TimeEntry[format],ROW()-2)    +1)),2)</f>
        <v>0.10000000000000009</v>
      </c>
      <c r="B614" s="7"/>
      <c r="C614" s="8">
        <v>43634</v>
      </c>
      <c r="D614" s="8"/>
      <c r="E614" s="1" t="s">
        <v>447</v>
      </c>
      <c r="F614" s="8">
        <f>IF(TimeEntry[[#This Row],[Date]]=0,F613,C614+(7-Q614))</f>
        <v>43639</v>
      </c>
      <c r="G614" s="35" t="str">
        <f>INDEX(projects[Charge_Code],MATCH(TimeEntry[[#This Row],[Project_ID]],projects[Project_ID],0))</f>
        <v>255670-17 LOWER KINGS ROAD ASSESSMENT (01-382)</v>
      </c>
      <c r="H614" s="1" t="str">
        <f t="shared" si="19"/>
        <v>Normal Time</v>
      </c>
      <c r="I614" s="1"/>
      <c r="J614" s="15">
        <v>2</v>
      </c>
      <c r="K614" s="15"/>
      <c r="L614" s="15"/>
      <c r="M614" s="15"/>
      <c r="N614" s="15"/>
      <c r="O614" s="15" t="str">
        <f>INDEX(projects[job number],MATCH(TimeEntry[[#This Row],[Project_ID]], projects[Project_ID],0))</f>
        <v>255670-17</v>
      </c>
      <c r="P614" s="15" t="str">
        <f>INDEX(projects[Project_Name],MATCH(TimeEntry[[#This Row],[Project_ID]], projects[Project_ID],0))</f>
        <v>LOWER KINGS ROAD ASSESSMENT</v>
      </c>
      <c r="Q614" s="6">
        <f>IF(TimeEntry[[#This Row],[Date]]=0,"",WEEKDAY(C614,2))</f>
        <v>2</v>
      </c>
      <c r="R614" s="9">
        <f>YEAR(TimeEntry[[#This Row],[WkEnd]])</f>
        <v>2019</v>
      </c>
      <c r="S614" s="9">
        <f>WEEKNUM(TimeEntry[[#This Row],[WkEnd]])</f>
        <v>26</v>
      </c>
      <c r="T614" s="9" t="str">
        <f>TimeEntry[[#This Row],[Year]]&amp;"-"&amp;TimeEntry[[#This Row],[WkNo]]</f>
        <v>2019-26</v>
      </c>
    </row>
    <row r="615" spans="1:20" x14ac:dyDescent="0.25">
      <c r="A615" s="6">
        <f>MOD(IF(ROW()=2,0.1,IF(INDEX(TimeEntry[WkEnd],ROW()-1)  =  INDEX(TimeEntry[WkEnd],ROW()-2),    INDEX(TimeEntry[format],ROW()-2),    INDEX(TimeEntry[format],ROW()-2)    +1)),2)</f>
        <v>0.10000000000000009</v>
      </c>
      <c r="B615" s="7"/>
      <c r="C615" s="8">
        <v>43634</v>
      </c>
      <c r="D615" s="8"/>
      <c r="E615" s="1" t="s">
        <v>461</v>
      </c>
      <c r="F615" s="8">
        <f>IF(TimeEntry[[#This Row],[Date]]=0,F614,C615+(7-Q615))</f>
        <v>43639</v>
      </c>
      <c r="G615" s="35" t="str">
        <f>INDEX(projects[Charge_Code],MATCH(TimeEntry[[#This Row],[Project_ID]],projects[Project_ID],0))</f>
        <v>215526-27 CP - Assessment (01-124)</v>
      </c>
      <c r="H615" s="1" t="str">
        <f t="shared" si="19"/>
        <v>Normal Time</v>
      </c>
      <c r="I615" s="1"/>
      <c r="J615" s="15">
        <v>1</v>
      </c>
      <c r="K615" s="15"/>
      <c r="L615" s="15"/>
      <c r="M615" s="15"/>
      <c r="N615" s="15"/>
      <c r="O615" s="15" t="str">
        <f>INDEX(projects[job number],MATCH(TimeEntry[[#This Row],[Project_ID]], projects[Project_ID],0))</f>
        <v>215526-27</v>
      </c>
      <c r="P615" s="15" t="str">
        <f>INDEX(projects[Project_Name],MATCH(TimeEntry[[#This Row],[Project_ID]], projects[Project_ID],0))</f>
        <v>CP - Assessment</v>
      </c>
      <c r="Q615" s="6">
        <f>IF(TimeEntry[[#This Row],[Date]]=0,"",WEEKDAY(C615,2))</f>
        <v>2</v>
      </c>
      <c r="R615" s="9">
        <f>YEAR(TimeEntry[[#This Row],[WkEnd]])</f>
        <v>2019</v>
      </c>
      <c r="S615" s="9">
        <f>WEEKNUM(TimeEntry[[#This Row],[WkEnd]])</f>
        <v>26</v>
      </c>
      <c r="T615" s="9" t="str">
        <f>TimeEntry[[#This Row],[Year]]&amp;"-"&amp;TimeEntry[[#This Row],[WkNo]]</f>
        <v>2019-26</v>
      </c>
    </row>
    <row r="616" spans="1:20" x14ac:dyDescent="0.25">
      <c r="A616" s="6">
        <f>MOD(IF(ROW()=2,0.1,IF(INDEX(TimeEntry[WkEnd],ROW()-1)  =  INDEX(TimeEntry[WkEnd],ROW()-2),    INDEX(TimeEntry[format],ROW()-2),    INDEX(TimeEntry[format],ROW()-2)    +1)),2)</f>
        <v>0.10000000000000009</v>
      </c>
      <c r="B616" s="7"/>
      <c r="C616" s="8">
        <v>43634</v>
      </c>
      <c r="D616" s="8"/>
      <c r="E616" s="1" t="s">
        <v>462</v>
      </c>
      <c r="F616" s="8">
        <f>IF(TimeEntry[[#This Row],[Date]]=0,F615,C616+(7-Q616))</f>
        <v>43639</v>
      </c>
      <c r="G616" s="35" t="str">
        <f>INDEX(projects[Charge_Code],MATCH(TimeEntry[[#This Row],[Project_ID]],projects[Project_ID],0))</f>
        <v>265720-10 VBB - Design Basis</v>
      </c>
      <c r="H616" s="1" t="str">
        <f t="shared" si="19"/>
        <v>Normal Time</v>
      </c>
      <c r="I616" s="1"/>
      <c r="J616" s="15">
        <v>2</v>
      </c>
      <c r="K616" s="15"/>
      <c r="L616" s="15"/>
      <c r="M616" s="15"/>
      <c r="N616" s="15"/>
      <c r="O616" s="15" t="str">
        <f>INDEX(projects[job number],MATCH(TimeEntry[[#This Row],[Project_ID]], projects[Project_ID],0))</f>
        <v>265720-10</v>
      </c>
      <c r="P616" s="15" t="str">
        <f>INDEX(projects[Project_Name],MATCH(TimeEntry[[#This Row],[Project_ID]], projects[Project_ID],0))</f>
        <v>VBB - Design Basis</v>
      </c>
      <c r="Q616" s="6">
        <f>IF(TimeEntry[[#This Row],[Date]]=0,"",WEEKDAY(C616,2))</f>
        <v>2</v>
      </c>
      <c r="R616" s="9">
        <f>YEAR(TimeEntry[[#This Row],[WkEnd]])</f>
        <v>2019</v>
      </c>
      <c r="S616" s="9">
        <f>WEEKNUM(TimeEntry[[#This Row],[WkEnd]])</f>
        <v>26</v>
      </c>
      <c r="T616" s="9" t="str">
        <f>TimeEntry[[#This Row],[Year]]&amp;"-"&amp;TimeEntry[[#This Row],[WkNo]]</f>
        <v>2019-26</v>
      </c>
    </row>
    <row r="617" spans="1:20" x14ac:dyDescent="0.25">
      <c r="A617" s="6">
        <f>MOD(IF(ROW()=2,0.1,IF(INDEX(TimeEntry[WkEnd],ROW()-1)  =  INDEX(TimeEntry[WkEnd],ROW()-2),    INDEX(TimeEntry[format],ROW()-2),    INDEX(TimeEntry[format],ROW()-2)    +1)),2)</f>
        <v>0.10000000000000009</v>
      </c>
      <c r="B617" s="7"/>
      <c r="C617" s="8">
        <v>43634</v>
      </c>
      <c r="D617" s="8"/>
      <c r="E617" s="1" t="s">
        <v>460</v>
      </c>
      <c r="F617" s="8">
        <f>IF(TimeEntry[[#This Row],[Date]]=0,F616,C617+(7-Q617))</f>
        <v>43639</v>
      </c>
      <c r="G617" s="35" t="str">
        <f>INDEX(projects[Charge_Code],MATCH(TimeEntry[[#This Row],[Project_ID]],projects[Project_ID],0))</f>
        <v>268268-00 Brisa</v>
      </c>
      <c r="H617" s="1" t="str">
        <f t="shared" si="19"/>
        <v>Normal Time</v>
      </c>
      <c r="I617" s="1"/>
      <c r="J617" s="15">
        <v>2.5</v>
      </c>
      <c r="K617" s="15"/>
      <c r="L617" s="15"/>
      <c r="M617" s="15"/>
      <c r="N617" s="15"/>
      <c r="O617" s="15" t="str">
        <f>INDEX(projects[job number],MATCH(TimeEntry[[#This Row],[Project_ID]], projects[Project_ID],0))</f>
        <v>268268-00</v>
      </c>
      <c r="P617" s="15" t="str">
        <f>INDEX(projects[Project_Name],MATCH(TimeEntry[[#This Row],[Project_ID]], projects[Project_ID],0))</f>
        <v>Brisa</v>
      </c>
      <c r="Q617" s="6">
        <f>IF(TimeEntry[[#This Row],[Date]]=0,"",WEEKDAY(C617,2))</f>
        <v>2</v>
      </c>
      <c r="R617" s="9">
        <f>YEAR(TimeEntry[[#This Row],[WkEnd]])</f>
        <v>2019</v>
      </c>
      <c r="S617" s="9">
        <f>WEEKNUM(TimeEntry[[#This Row],[WkEnd]])</f>
        <v>26</v>
      </c>
      <c r="T617" s="9" t="str">
        <f>TimeEntry[[#This Row],[Year]]&amp;"-"&amp;TimeEntry[[#This Row],[WkNo]]</f>
        <v>2019-26</v>
      </c>
    </row>
    <row r="618" spans="1:20" x14ac:dyDescent="0.25">
      <c r="A618" s="6">
        <f>MOD(IF(ROW()=2,0.1,IF(INDEX(TimeEntry[WkEnd],ROW()-1)  =  INDEX(TimeEntry[WkEnd],ROW()-2),    INDEX(TimeEntry[format],ROW()-2),    INDEX(TimeEntry[format],ROW()-2)    +1)),2)</f>
        <v>0.10000000000000009</v>
      </c>
      <c r="B618" s="7"/>
      <c r="C618" s="8">
        <v>43635</v>
      </c>
      <c r="D618" s="8"/>
      <c r="E618" s="1" t="s">
        <v>460</v>
      </c>
      <c r="F618" s="8">
        <f>IF(TimeEntry[[#This Row],[Date]]=0,F617,C618+(7-Q618))</f>
        <v>43639</v>
      </c>
      <c r="G618" s="35" t="str">
        <f>INDEX(projects[Charge_Code],MATCH(TimeEntry[[#This Row],[Project_ID]],projects[Project_ID],0))</f>
        <v>268268-00 Brisa</v>
      </c>
      <c r="H618" s="1" t="str">
        <f t="shared" si="19"/>
        <v>Normal Time</v>
      </c>
      <c r="I618" s="1"/>
      <c r="J618" s="15">
        <v>7.5</v>
      </c>
      <c r="K618" s="15"/>
      <c r="L618" s="15"/>
      <c r="M618" s="15"/>
      <c r="N618" s="15"/>
      <c r="O618" s="15" t="str">
        <f>INDEX(projects[job number],MATCH(TimeEntry[[#This Row],[Project_ID]], projects[Project_ID],0))</f>
        <v>268268-00</v>
      </c>
      <c r="P618" s="15" t="str">
        <f>INDEX(projects[Project_Name],MATCH(TimeEntry[[#This Row],[Project_ID]], projects[Project_ID],0))</f>
        <v>Brisa</v>
      </c>
      <c r="Q618" s="6">
        <f>IF(TimeEntry[[#This Row],[Date]]=0,"",WEEKDAY(C618,2))</f>
        <v>3</v>
      </c>
      <c r="R618" s="9">
        <f>YEAR(TimeEntry[[#This Row],[WkEnd]])</f>
        <v>2019</v>
      </c>
      <c r="S618" s="9">
        <f>WEEKNUM(TimeEntry[[#This Row],[WkEnd]])</f>
        <v>26</v>
      </c>
      <c r="T618" s="9" t="str">
        <f>TimeEntry[[#This Row],[Year]]&amp;"-"&amp;TimeEntry[[#This Row],[WkNo]]</f>
        <v>2019-26</v>
      </c>
    </row>
    <row r="619" spans="1:20" x14ac:dyDescent="0.25">
      <c r="A619" s="6">
        <f>MOD(IF(ROW()=2,0.1,IF(INDEX(TimeEntry[WkEnd],ROW()-1)  =  INDEX(TimeEntry[WkEnd],ROW()-2),    INDEX(TimeEntry[format],ROW()-2),    INDEX(TimeEntry[format],ROW()-2)    +1)),2)</f>
        <v>0.10000000000000009</v>
      </c>
      <c r="B619" s="7"/>
      <c r="C619" s="8">
        <v>43636</v>
      </c>
      <c r="D619" s="8"/>
      <c r="E619" s="1" t="s">
        <v>444</v>
      </c>
      <c r="F619" s="8">
        <f>IF(TimeEntry[[#This Row],[Date]]=0,F618,C619+(7-Q619))</f>
        <v>43639</v>
      </c>
      <c r="G619" s="35" t="str">
        <f>INDEX(projects[Charge_Code],MATCH(TimeEntry[[#This Row],[Project_ID]],projects[Project_ID],0))</f>
        <v>LEAVE</v>
      </c>
      <c r="H619" s="1" t="str">
        <f t="shared" si="19"/>
        <v>Normal Time</v>
      </c>
      <c r="I619" s="1"/>
      <c r="J619" s="15">
        <v>7.5</v>
      </c>
      <c r="K619" s="15"/>
      <c r="L619" s="15"/>
      <c r="M619" s="15"/>
      <c r="N619" s="15"/>
      <c r="O619" s="15" t="str">
        <f>INDEX(projects[job number],MATCH(TimeEntry[[#This Row],[Project_ID]], projects[Project_ID],0))</f>
        <v>LEAVE</v>
      </c>
      <c r="P619" s="15">
        <f>INDEX(projects[Project_Name],MATCH(TimeEntry[[#This Row],[Project_ID]], projects[Project_ID],0))</f>
        <v>0</v>
      </c>
      <c r="Q619" s="6">
        <f>IF(TimeEntry[[#This Row],[Date]]=0,"",WEEKDAY(C619,2))</f>
        <v>4</v>
      </c>
      <c r="R619" s="9">
        <f>YEAR(TimeEntry[[#This Row],[WkEnd]])</f>
        <v>2019</v>
      </c>
      <c r="S619" s="9">
        <f>WEEKNUM(TimeEntry[[#This Row],[WkEnd]])</f>
        <v>26</v>
      </c>
      <c r="T619" s="9" t="str">
        <f>TimeEntry[[#This Row],[Year]]&amp;"-"&amp;TimeEntry[[#This Row],[WkNo]]</f>
        <v>2019-26</v>
      </c>
    </row>
    <row r="620" spans="1:20" x14ac:dyDescent="0.25">
      <c r="A620" s="6">
        <f>MOD(IF(ROW()=2,0.1,IF(INDEX(TimeEntry[WkEnd],ROW()-1)  =  INDEX(TimeEntry[WkEnd],ROW()-2),    INDEX(TimeEntry[format],ROW()-2),    INDEX(TimeEntry[format],ROW()-2)    +1)),2)</f>
        <v>0.10000000000000009</v>
      </c>
      <c r="B620" s="7"/>
      <c r="C620" s="8">
        <v>43637</v>
      </c>
      <c r="D620" s="8"/>
      <c r="E620" s="1" t="s">
        <v>444</v>
      </c>
      <c r="F620" s="8">
        <f>IF(TimeEntry[[#This Row],[Date]]=0,F619,C620+(7-Q620))</f>
        <v>43639</v>
      </c>
      <c r="G620" s="35" t="str">
        <f>INDEX(projects[Charge_Code],MATCH(TimeEntry[[#This Row],[Project_ID]],projects[Project_ID],0))</f>
        <v>LEAVE</v>
      </c>
      <c r="H620" s="1" t="str">
        <f t="shared" si="19"/>
        <v>Normal Time</v>
      </c>
      <c r="I620" s="1"/>
      <c r="J620" s="15">
        <v>7.5</v>
      </c>
      <c r="K620" s="15"/>
      <c r="L620" s="15"/>
      <c r="M620" s="15"/>
      <c r="N620" s="15"/>
      <c r="O620" s="15" t="str">
        <f>INDEX(projects[job number],MATCH(TimeEntry[[#This Row],[Project_ID]], projects[Project_ID],0))</f>
        <v>LEAVE</v>
      </c>
      <c r="P620" s="15">
        <f>INDEX(projects[Project_Name],MATCH(TimeEntry[[#This Row],[Project_ID]], projects[Project_ID],0))</f>
        <v>0</v>
      </c>
      <c r="Q620" s="6">
        <f>IF(TimeEntry[[#This Row],[Date]]=0,"",WEEKDAY(C620,2))</f>
        <v>5</v>
      </c>
      <c r="R620" s="9">
        <f>YEAR(TimeEntry[[#This Row],[WkEnd]])</f>
        <v>2019</v>
      </c>
      <c r="S620" s="9">
        <f>WEEKNUM(TimeEntry[[#This Row],[WkEnd]])</f>
        <v>26</v>
      </c>
      <c r="T620" s="9" t="str">
        <f>TimeEntry[[#This Row],[Year]]&amp;"-"&amp;TimeEntry[[#This Row],[WkNo]]</f>
        <v>2019-26</v>
      </c>
    </row>
    <row r="621" spans="1:20" x14ac:dyDescent="0.25">
      <c r="A621" s="6">
        <f>MOD(IF(ROW()=2,0.1,IF(INDEX(TimeEntry[WkEnd],ROW()-1)  =  INDEX(TimeEntry[WkEnd],ROW()-2),    INDEX(TimeEntry[format],ROW()-2),    INDEX(TimeEntry[format],ROW()-2)    +1)),2)</f>
        <v>1.1000000000000001</v>
      </c>
      <c r="B621" s="7"/>
      <c r="C621" s="8">
        <v>43626</v>
      </c>
      <c r="D621" s="8"/>
      <c r="E621" s="1" t="s">
        <v>675</v>
      </c>
      <c r="F621" s="8">
        <f>IF(TimeEntry[[#This Row],[Date]]=0,F620,C621+(7-Q621))</f>
        <v>43632</v>
      </c>
      <c r="G621" s="35" t="str">
        <f>INDEX(projects[Charge_Code],MATCH(TimeEntry[[#This Row],[Project_ID]],projects[Project_ID],0))</f>
        <v>071945-07 BCS - promotional</v>
      </c>
      <c r="H621" s="1" t="str">
        <f t="shared" si="19"/>
        <v>Normal Time</v>
      </c>
      <c r="I621" s="1"/>
      <c r="J621" s="15">
        <v>7.5</v>
      </c>
      <c r="K621" s="15"/>
      <c r="L621" s="15"/>
      <c r="M621" s="15"/>
      <c r="N621" s="15"/>
      <c r="O621" s="15" t="str">
        <f>INDEX(projects[job number],MATCH(TimeEntry[[#This Row],[Project_ID]], projects[Project_ID],0))</f>
        <v>071945-07</v>
      </c>
      <c r="P621" s="15" t="str">
        <f>INDEX(projects[Project_Name],MATCH(TimeEntry[[#This Row],[Project_ID]], projects[Project_ID],0))</f>
        <v>BCS - promotional</v>
      </c>
      <c r="Q621" s="6">
        <f>IF(TimeEntry[[#This Row],[Date]]=0,"",WEEKDAY(C621,2))</f>
        <v>1</v>
      </c>
      <c r="R621" s="9">
        <f>YEAR(TimeEntry[[#This Row],[WkEnd]])</f>
        <v>2019</v>
      </c>
      <c r="S621" s="9">
        <f>WEEKNUM(TimeEntry[[#This Row],[WkEnd]])</f>
        <v>25</v>
      </c>
      <c r="T621" s="9" t="str">
        <f>TimeEntry[[#This Row],[Year]]&amp;"-"&amp;TimeEntry[[#This Row],[WkNo]]</f>
        <v>2019-25</v>
      </c>
    </row>
    <row r="622" spans="1:20" x14ac:dyDescent="0.25">
      <c r="A622" s="6">
        <f>MOD(IF(ROW()=2,0.1,IF(INDEX(TimeEntry[WkEnd],ROW()-1)  =  INDEX(TimeEntry[WkEnd],ROW()-2),    INDEX(TimeEntry[format],ROW()-2),    INDEX(TimeEntry[format],ROW()-2)    +1)),2)</f>
        <v>1.1000000000000001</v>
      </c>
      <c r="B622" s="7"/>
      <c r="C622" s="8">
        <v>43627</v>
      </c>
      <c r="D622" s="8"/>
      <c r="E622" s="1" t="s">
        <v>675</v>
      </c>
      <c r="F622" s="8">
        <f>IF(TimeEntry[[#This Row],[Date]]=0,F621,C622+(7-Q622))</f>
        <v>43632</v>
      </c>
      <c r="G622" s="35" t="str">
        <f>INDEX(projects[Charge_Code],MATCH(TimeEntry[[#This Row],[Project_ID]],projects[Project_ID],0))</f>
        <v>071945-07 BCS - promotional</v>
      </c>
      <c r="H622" s="1" t="str">
        <f t="shared" si="19"/>
        <v>Normal Time</v>
      </c>
      <c r="I622" s="1"/>
      <c r="J622" s="15">
        <v>7.5</v>
      </c>
      <c r="K622" s="15"/>
      <c r="L622" s="15"/>
      <c r="M622" s="15"/>
      <c r="N622" s="15"/>
      <c r="O622" s="15" t="str">
        <f>INDEX(projects[job number],MATCH(TimeEntry[[#This Row],[Project_ID]], projects[Project_ID],0))</f>
        <v>071945-07</v>
      </c>
      <c r="P622" s="15" t="str">
        <f>INDEX(projects[Project_Name],MATCH(TimeEntry[[#This Row],[Project_ID]], projects[Project_ID],0))</f>
        <v>BCS - promotional</v>
      </c>
      <c r="Q622" s="6">
        <f>IF(TimeEntry[[#This Row],[Date]]=0,"",WEEKDAY(C622,2))</f>
        <v>2</v>
      </c>
      <c r="R622" s="9">
        <f>YEAR(TimeEntry[[#This Row],[WkEnd]])</f>
        <v>2019</v>
      </c>
      <c r="S622" s="9">
        <f>WEEKNUM(TimeEntry[[#This Row],[WkEnd]])</f>
        <v>25</v>
      </c>
      <c r="T622" s="9" t="str">
        <f>TimeEntry[[#This Row],[Year]]&amp;"-"&amp;TimeEntry[[#This Row],[WkNo]]</f>
        <v>2019-25</v>
      </c>
    </row>
    <row r="623" spans="1:20" x14ac:dyDescent="0.25">
      <c r="A623" s="6">
        <f>MOD(IF(ROW()=2,0.1,IF(INDEX(TimeEntry[WkEnd],ROW()-1)  =  INDEX(TimeEntry[WkEnd],ROW()-2),    INDEX(TimeEntry[format],ROW()-2),    INDEX(TimeEntry[format],ROW()-2)    +1)),2)</f>
        <v>1.1000000000000001</v>
      </c>
      <c r="B623" s="7"/>
      <c r="C623" s="8">
        <v>43628</v>
      </c>
      <c r="D623" s="8"/>
      <c r="E623" s="1" t="s">
        <v>462</v>
      </c>
      <c r="F623" s="8">
        <f>IF(TimeEntry[[#This Row],[Date]]=0,F622,C623+(7-Q623))</f>
        <v>43632</v>
      </c>
      <c r="G623" s="35" t="str">
        <f>INDEX(projects[Charge_Code],MATCH(TimeEntry[[#This Row],[Project_ID]],projects[Project_ID],0))</f>
        <v>265720-10 VBB - Design Basis</v>
      </c>
      <c r="H623" s="1" t="str">
        <f t="shared" si="19"/>
        <v>Normal Time</v>
      </c>
      <c r="I623" s="1"/>
      <c r="J623" s="15">
        <v>7.5</v>
      </c>
      <c r="K623" s="15"/>
      <c r="L623" s="15"/>
      <c r="M623" s="15"/>
      <c r="N623" s="15"/>
      <c r="O623" s="15" t="str">
        <f>INDEX(projects[job number],MATCH(TimeEntry[[#This Row],[Project_ID]], projects[Project_ID],0))</f>
        <v>265720-10</v>
      </c>
      <c r="P623" s="15" t="str">
        <f>INDEX(projects[Project_Name],MATCH(TimeEntry[[#This Row],[Project_ID]], projects[Project_ID],0))</f>
        <v>VBB - Design Basis</v>
      </c>
      <c r="Q623" s="6">
        <f>IF(TimeEntry[[#This Row],[Date]]=0,"",WEEKDAY(C623,2))</f>
        <v>3</v>
      </c>
      <c r="R623" s="9">
        <f>YEAR(TimeEntry[[#This Row],[WkEnd]])</f>
        <v>2019</v>
      </c>
      <c r="S623" s="9">
        <f>WEEKNUM(TimeEntry[[#This Row],[WkEnd]])</f>
        <v>25</v>
      </c>
      <c r="T623" s="9" t="str">
        <f>TimeEntry[[#This Row],[Year]]&amp;"-"&amp;TimeEntry[[#This Row],[WkNo]]</f>
        <v>2019-25</v>
      </c>
    </row>
    <row r="624" spans="1:20" x14ac:dyDescent="0.25">
      <c r="A624" s="6">
        <f>MOD(IF(ROW()=2,0.1,IF(INDEX(TimeEntry[WkEnd],ROW()-1)  =  INDEX(TimeEntry[WkEnd],ROW()-2),    INDEX(TimeEntry[format],ROW()-2),    INDEX(TimeEntry[format],ROW()-2)    +1)),2)</f>
        <v>1.1000000000000001</v>
      </c>
      <c r="B624" s="7"/>
      <c r="C624" s="8">
        <v>43629</v>
      </c>
      <c r="D624" s="8"/>
      <c r="E624" s="1" t="s">
        <v>462</v>
      </c>
      <c r="F624" s="8">
        <f>IF(TimeEntry[[#This Row],[Date]]=0,F623,C624+(7-Q624))</f>
        <v>43632</v>
      </c>
      <c r="G624" s="35" t="str">
        <f>INDEX(projects[Charge_Code],MATCH(TimeEntry[[#This Row],[Project_ID]],projects[Project_ID],0))</f>
        <v>265720-10 VBB - Design Basis</v>
      </c>
      <c r="H624" s="1" t="str">
        <f t="shared" si="19"/>
        <v>Normal Time</v>
      </c>
      <c r="I624" s="1"/>
      <c r="J624" s="15">
        <v>7.5</v>
      </c>
      <c r="K624" s="15"/>
      <c r="L624" s="15"/>
      <c r="M624" s="15"/>
      <c r="N624" s="15"/>
      <c r="O624" s="15" t="str">
        <f>INDEX(projects[job number],MATCH(TimeEntry[[#This Row],[Project_ID]], projects[Project_ID],0))</f>
        <v>265720-10</v>
      </c>
      <c r="P624" s="15" t="str">
        <f>INDEX(projects[Project_Name],MATCH(TimeEntry[[#This Row],[Project_ID]], projects[Project_ID],0))</f>
        <v>VBB - Design Basis</v>
      </c>
      <c r="Q624" s="6">
        <f>IF(TimeEntry[[#This Row],[Date]]=0,"",WEEKDAY(C624,2))</f>
        <v>4</v>
      </c>
      <c r="R624" s="9">
        <f>YEAR(TimeEntry[[#This Row],[WkEnd]])</f>
        <v>2019</v>
      </c>
      <c r="S624" s="9">
        <f>WEEKNUM(TimeEntry[[#This Row],[WkEnd]])</f>
        <v>25</v>
      </c>
      <c r="T624" s="9" t="str">
        <f>TimeEntry[[#This Row],[Year]]&amp;"-"&amp;TimeEntry[[#This Row],[WkNo]]</f>
        <v>2019-25</v>
      </c>
    </row>
    <row r="625" spans="1:20" x14ac:dyDescent="0.25">
      <c r="A625" s="6">
        <f>MOD(IF(ROW()=2,0.1,IF(INDEX(TimeEntry[WkEnd],ROW()-1)  =  INDEX(TimeEntry[WkEnd],ROW()-2),    INDEX(TimeEntry[format],ROW()-2),    INDEX(TimeEntry[format],ROW()-2)    +1)),2)</f>
        <v>1.1000000000000001</v>
      </c>
      <c r="B625" s="7"/>
      <c r="C625" s="8">
        <v>43630</v>
      </c>
      <c r="D625" s="8"/>
      <c r="E625" s="1" t="s">
        <v>458</v>
      </c>
      <c r="F625" s="8">
        <f>IF(TimeEntry[[#This Row],[Date]]=0,F624,C625+(7-Q625))</f>
        <v>43632</v>
      </c>
      <c r="G625" s="35" t="str">
        <f>INDEX(projects[Charge_Code],MATCH(TimeEntry[[#This Row],[Project_ID]],projects[Project_ID],0))</f>
        <v>265720-20 VBB - Assessment</v>
      </c>
      <c r="H625" s="1" t="str">
        <f t="shared" si="19"/>
        <v>Normal Time</v>
      </c>
      <c r="I625" s="1"/>
      <c r="J625" s="15">
        <v>7.5</v>
      </c>
      <c r="K625" s="15"/>
      <c r="L625" s="15"/>
      <c r="M625" s="15"/>
      <c r="N625" s="15"/>
      <c r="O625" s="15" t="str">
        <f>INDEX(projects[job number],MATCH(TimeEntry[[#This Row],[Project_ID]], projects[Project_ID],0))</f>
        <v>265720-20</v>
      </c>
      <c r="P625" s="15" t="str">
        <f>INDEX(projects[Project_Name],MATCH(TimeEntry[[#This Row],[Project_ID]], projects[Project_ID],0))</f>
        <v>VBB - Assessment</v>
      </c>
      <c r="Q625" s="6">
        <f>IF(TimeEntry[[#This Row],[Date]]=0,"",WEEKDAY(C625,2))</f>
        <v>5</v>
      </c>
      <c r="R625" s="9">
        <f>YEAR(TimeEntry[[#This Row],[WkEnd]])</f>
        <v>2019</v>
      </c>
      <c r="S625" s="9">
        <f>WEEKNUM(TimeEntry[[#This Row],[WkEnd]])</f>
        <v>25</v>
      </c>
      <c r="T625" s="9" t="str">
        <f>TimeEntry[[#This Row],[Year]]&amp;"-"&amp;TimeEntry[[#This Row],[WkNo]]</f>
        <v>2019-25</v>
      </c>
    </row>
    <row r="626" spans="1:20" x14ac:dyDescent="0.25">
      <c r="A626" s="6">
        <f>MOD(IF(ROW()=2,0.1,IF(INDEX(TimeEntry[WkEnd],ROW()-1)  =  INDEX(TimeEntry[WkEnd],ROW()-2),    INDEX(TimeEntry[format],ROW()-2),    INDEX(TimeEntry[format],ROW()-2)    +1)),2)</f>
        <v>0.10000000000000009</v>
      </c>
      <c r="B626" s="7"/>
      <c r="C626" s="8">
        <v>43619</v>
      </c>
      <c r="D626" s="8"/>
      <c r="E626" s="1" t="s">
        <v>462</v>
      </c>
      <c r="F626" s="8">
        <f>IF(TimeEntry[[#This Row],[Date]]=0,F625,C626+(7-Q626))</f>
        <v>43625</v>
      </c>
      <c r="G626" s="35" t="str">
        <f>INDEX(projects[Charge_Code],MATCH(TimeEntry[[#This Row],[Project_ID]],projects[Project_ID],0))</f>
        <v>265720-10 VBB - Design Basis</v>
      </c>
      <c r="H626" s="1" t="str">
        <f t="shared" si="19"/>
        <v>Normal Time</v>
      </c>
      <c r="I626" s="1"/>
      <c r="J626" s="15">
        <v>7.5</v>
      </c>
      <c r="K626" s="15"/>
      <c r="L626" s="15"/>
      <c r="M626" s="15"/>
      <c r="N626" s="15"/>
      <c r="O626" s="15" t="str">
        <f>INDEX(projects[job number],MATCH(TimeEntry[[#This Row],[Project_ID]], projects[Project_ID],0))</f>
        <v>265720-10</v>
      </c>
      <c r="P626" s="15" t="str">
        <f>INDEX(projects[Project_Name],MATCH(TimeEntry[[#This Row],[Project_ID]], projects[Project_ID],0))</f>
        <v>VBB - Design Basis</v>
      </c>
      <c r="Q626" s="6">
        <f>IF(TimeEntry[[#This Row],[Date]]=0,"",WEEKDAY(C626,2))</f>
        <v>1</v>
      </c>
      <c r="R626" s="9">
        <f>YEAR(TimeEntry[[#This Row],[WkEnd]])</f>
        <v>2019</v>
      </c>
      <c r="S626" s="9">
        <f>WEEKNUM(TimeEntry[[#This Row],[WkEnd]])</f>
        <v>24</v>
      </c>
      <c r="T626" s="9" t="str">
        <f>TimeEntry[[#This Row],[Year]]&amp;"-"&amp;TimeEntry[[#This Row],[WkNo]]</f>
        <v>2019-24</v>
      </c>
    </row>
    <row r="627" spans="1:20" x14ac:dyDescent="0.25">
      <c r="A627" s="6">
        <f>MOD(IF(ROW()=2,0.1,IF(INDEX(TimeEntry[WkEnd],ROW()-1)  =  INDEX(TimeEntry[WkEnd],ROW()-2),    INDEX(TimeEntry[format],ROW()-2),    INDEX(TimeEntry[format],ROW()-2)    +1)),2)</f>
        <v>0.10000000000000009</v>
      </c>
      <c r="B627" s="7"/>
      <c r="C627" s="8">
        <v>43620</v>
      </c>
      <c r="D627" s="8"/>
      <c r="E627" s="1" t="s">
        <v>462</v>
      </c>
      <c r="F627" s="8">
        <f>IF(TimeEntry[[#This Row],[Date]]=0,F626,C627+(7-Q627))</f>
        <v>43625</v>
      </c>
      <c r="G627" s="35" t="str">
        <f>INDEX(projects[Charge_Code],MATCH(TimeEntry[[#This Row],[Project_ID]],projects[Project_ID],0))</f>
        <v>265720-10 VBB - Design Basis</v>
      </c>
      <c r="H627" s="1" t="str">
        <f t="shared" si="19"/>
        <v>Normal Time</v>
      </c>
      <c r="I627" s="1"/>
      <c r="J627" s="15">
        <v>7.5</v>
      </c>
      <c r="K627" s="15"/>
      <c r="L627" s="15"/>
      <c r="M627" s="15"/>
      <c r="N627" s="15"/>
      <c r="O627" s="15" t="str">
        <f>INDEX(projects[job number],MATCH(TimeEntry[[#This Row],[Project_ID]], projects[Project_ID],0))</f>
        <v>265720-10</v>
      </c>
      <c r="P627" s="15" t="str">
        <f>INDEX(projects[Project_Name],MATCH(TimeEntry[[#This Row],[Project_ID]], projects[Project_ID],0))</f>
        <v>VBB - Design Basis</v>
      </c>
      <c r="Q627" s="6">
        <f>IF(TimeEntry[[#This Row],[Date]]=0,"",WEEKDAY(C627,2))</f>
        <v>2</v>
      </c>
      <c r="R627" s="9">
        <f>YEAR(TimeEntry[[#This Row],[WkEnd]])</f>
        <v>2019</v>
      </c>
      <c r="S627" s="9">
        <f>WEEKNUM(TimeEntry[[#This Row],[WkEnd]])</f>
        <v>24</v>
      </c>
      <c r="T627" s="9" t="str">
        <f>TimeEntry[[#This Row],[Year]]&amp;"-"&amp;TimeEntry[[#This Row],[WkNo]]</f>
        <v>2019-24</v>
      </c>
    </row>
    <row r="628" spans="1:20" x14ac:dyDescent="0.25">
      <c r="A628" s="6">
        <f>MOD(IF(ROW()=2,0.1,IF(INDEX(TimeEntry[WkEnd],ROW()-1)  =  INDEX(TimeEntry[WkEnd],ROW()-2),    INDEX(TimeEntry[format],ROW()-2),    INDEX(TimeEntry[format],ROW()-2)    +1)),2)</f>
        <v>0.10000000000000009</v>
      </c>
      <c r="B628" s="7"/>
      <c r="C628" s="8">
        <v>43621</v>
      </c>
      <c r="D628" s="8"/>
      <c r="E628" s="1" t="s">
        <v>462</v>
      </c>
      <c r="F628" s="8">
        <f>IF(TimeEntry[[#This Row],[Date]]=0,F627,C628+(7-Q628))</f>
        <v>43625</v>
      </c>
      <c r="G628" s="35" t="str">
        <f>INDEX(projects[Charge_Code],MATCH(TimeEntry[[#This Row],[Project_ID]],projects[Project_ID],0))</f>
        <v>265720-10 VBB - Design Basis</v>
      </c>
      <c r="H628" s="1" t="str">
        <f t="shared" si="19"/>
        <v>Normal Time</v>
      </c>
      <c r="I628" s="1"/>
      <c r="J628" s="15">
        <v>7.5</v>
      </c>
      <c r="K628" s="15"/>
      <c r="L628" s="15"/>
      <c r="M628" s="15"/>
      <c r="N628" s="15"/>
      <c r="O628" s="15" t="str">
        <f>INDEX(projects[job number],MATCH(TimeEntry[[#This Row],[Project_ID]], projects[Project_ID],0))</f>
        <v>265720-10</v>
      </c>
      <c r="P628" s="15" t="str">
        <f>INDEX(projects[Project_Name],MATCH(TimeEntry[[#This Row],[Project_ID]], projects[Project_ID],0))</f>
        <v>VBB - Design Basis</v>
      </c>
      <c r="Q628" s="6">
        <f>IF(TimeEntry[[#This Row],[Date]]=0,"",WEEKDAY(C628,2))</f>
        <v>3</v>
      </c>
      <c r="R628" s="9">
        <f>YEAR(TimeEntry[[#This Row],[WkEnd]])</f>
        <v>2019</v>
      </c>
      <c r="S628" s="9">
        <f>WEEKNUM(TimeEntry[[#This Row],[WkEnd]])</f>
        <v>24</v>
      </c>
      <c r="T628" s="9" t="str">
        <f>TimeEntry[[#This Row],[Year]]&amp;"-"&amp;TimeEntry[[#This Row],[WkNo]]</f>
        <v>2019-24</v>
      </c>
    </row>
    <row r="629" spans="1:20" x14ac:dyDescent="0.25">
      <c r="A629" s="6">
        <f>MOD(IF(ROW()=2,0.1,IF(INDEX(TimeEntry[WkEnd],ROW()-1)  =  INDEX(TimeEntry[WkEnd],ROW()-2),    INDEX(TimeEntry[format],ROW()-2),    INDEX(TimeEntry[format],ROW()-2)    +1)),2)</f>
        <v>0.10000000000000009</v>
      </c>
      <c r="B629" s="7"/>
      <c r="C629" s="8">
        <v>43622</v>
      </c>
      <c r="D629" s="8"/>
      <c r="E629" s="1" t="s">
        <v>461</v>
      </c>
      <c r="F629" s="8">
        <f>IF(TimeEntry[[#This Row],[Date]]=0,F628,C629+(7-Q629))</f>
        <v>43625</v>
      </c>
      <c r="G629" s="35" t="str">
        <f>INDEX(projects[Charge_Code],MATCH(TimeEntry[[#This Row],[Project_ID]],projects[Project_ID],0))</f>
        <v>215526-27 CP - Assessment (01-124)</v>
      </c>
      <c r="H629" s="1" t="str">
        <f t="shared" si="19"/>
        <v>Normal Time</v>
      </c>
      <c r="I629" s="1"/>
      <c r="J629" s="15">
        <v>3.75</v>
      </c>
      <c r="K629" s="15"/>
      <c r="L629" s="15"/>
      <c r="M629" s="15"/>
      <c r="N629" s="15"/>
      <c r="O629" s="15" t="str">
        <f>INDEX(projects[job number],MATCH(TimeEntry[[#This Row],[Project_ID]], projects[Project_ID],0))</f>
        <v>215526-27</v>
      </c>
      <c r="P629" s="15" t="str">
        <f>INDEX(projects[Project_Name],MATCH(TimeEntry[[#This Row],[Project_ID]], projects[Project_ID],0))</f>
        <v>CP - Assessment</v>
      </c>
      <c r="Q629" s="6">
        <f>IF(TimeEntry[[#This Row],[Date]]=0,"",WEEKDAY(C629,2))</f>
        <v>4</v>
      </c>
      <c r="R629" s="9">
        <f>YEAR(TimeEntry[[#This Row],[WkEnd]])</f>
        <v>2019</v>
      </c>
      <c r="S629" s="9">
        <f>WEEKNUM(TimeEntry[[#This Row],[WkEnd]])</f>
        <v>24</v>
      </c>
      <c r="T629" s="9" t="str">
        <f>TimeEntry[[#This Row],[Year]]&amp;"-"&amp;TimeEntry[[#This Row],[WkNo]]</f>
        <v>2019-24</v>
      </c>
    </row>
    <row r="630" spans="1:20" x14ac:dyDescent="0.25">
      <c r="A630" s="6">
        <f>MOD(IF(ROW()=2,0.1,IF(INDEX(TimeEntry[WkEnd],ROW()-1)  =  INDEX(TimeEntry[WkEnd],ROW()-2),    INDEX(TimeEntry[format],ROW()-2),    INDEX(TimeEntry[format],ROW()-2)    +1)),2)</f>
        <v>0.10000000000000009</v>
      </c>
      <c r="B630" s="7"/>
      <c r="C630" s="8">
        <v>43622</v>
      </c>
      <c r="D630" s="8"/>
      <c r="E630" s="1" t="s">
        <v>675</v>
      </c>
      <c r="F630" s="8">
        <f>IF(TimeEntry[[#This Row],[Date]]=0,F629,C630+(7-Q630))</f>
        <v>43625</v>
      </c>
      <c r="G630" s="35" t="str">
        <f>INDEX(projects[Charge_Code],MATCH(TimeEntry[[#This Row],[Project_ID]],projects[Project_ID],0))</f>
        <v>071945-07 BCS - promotional</v>
      </c>
      <c r="H630" s="1" t="str">
        <f t="shared" si="19"/>
        <v>Normal Time</v>
      </c>
      <c r="I630" s="1"/>
      <c r="J630" s="15">
        <v>3.75</v>
      </c>
      <c r="K630" s="15"/>
      <c r="L630" s="15"/>
      <c r="M630" s="15"/>
      <c r="N630" s="15"/>
      <c r="O630" s="15" t="str">
        <f>INDEX(projects[job number],MATCH(TimeEntry[[#This Row],[Project_ID]], projects[Project_ID],0))</f>
        <v>071945-07</v>
      </c>
      <c r="P630" s="15" t="str">
        <f>INDEX(projects[Project_Name],MATCH(TimeEntry[[#This Row],[Project_ID]], projects[Project_ID],0))</f>
        <v>BCS - promotional</v>
      </c>
      <c r="Q630" s="6">
        <f>IF(TimeEntry[[#This Row],[Date]]=0,"",WEEKDAY(C630,2))</f>
        <v>4</v>
      </c>
      <c r="R630" s="9">
        <f>YEAR(TimeEntry[[#This Row],[WkEnd]])</f>
        <v>2019</v>
      </c>
      <c r="S630" s="9">
        <f>WEEKNUM(TimeEntry[[#This Row],[WkEnd]])</f>
        <v>24</v>
      </c>
      <c r="T630" s="9" t="str">
        <f>TimeEntry[[#This Row],[Year]]&amp;"-"&amp;TimeEntry[[#This Row],[WkNo]]</f>
        <v>2019-24</v>
      </c>
    </row>
    <row r="631" spans="1:20" x14ac:dyDescent="0.25">
      <c r="A631" s="6">
        <f>MOD(IF(ROW()=2,0.1,IF(INDEX(TimeEntry[WkEnd],ROW()-1)  =  INDEX(TimeEntry[WkEnd],ROW()-2),    INDEX(TimeEntry[format],ROW()-2),    INDEX(TimeEntry[format],ROW()-2)    +1)),2)</f>
        <v>0.10000000000000009</v>
      </c>
      <c r="B631" s="7"/>
      <c r="C631" s="8">
        <v>43623</v>
      </c>
      <c r="D631" s="8"/>
      <c r="E631" s="1" t="s">
        <v>675</v>
      </c>
      <c r="F631" s="8">
        <f>IF(TimeEntry[[#This Row],[Date]]=0,F630,C631+(7-Q631))</f>
        <v>43625</v>
      </c>
      <c r="G631" s="35" t="str">
        <f>INDEX(projects[Charge_Code],MATCH(TimeEntry[[#This Row],[Project_ID]],projects[Project_ID],0))</f>
        <v>071945-07 BCS - promotional</v>
      </c>
      <c r="H631" s="1" t="str">
        <f t="shared" si="19"/>
        <v>Normal Time</v>
      </c>
      <c r="I631" s="1"/>
      <c r="J631" s="15">
        <v>3.75</v>
      </c>
      <c r="K631" s="15"/>
      <c r="L631" s="15"/>
      <c r="M631" s="15"/>
      <c r="N631" s="15"/>
      <c r="O631" s="15" t="str">
        <f>INDEX(projects[job number],MATCH(TimeEntry[[#This Row],[Project_ID]], projects[Project_ID],0))</f>
        <v>071945-07</v>
      </c>
      <c r="P631" s="15" t="str">
        <f>INDEX(projects[Project_Name],MATCH(TimeEntry[[#This Row],[Project_ID]], projects[Project_ID],0))</f>
        <v>BCS - promotional</v>
      </c>
      <c r="Q631" s="6">
        <f>IF(TimeEntry[[#This Row],[Date]]=0,"",WEEKDAY(C631,2))</f>
        <v>5</v>
      </c>
      <c r="R631" s="9">
        <f>YEAR(TimeEntry[[#This Row],[WkEnd]])</f>
        <v>2019</v>
      </c>
      <c r="S631" s="9">
        <f>WEEKNUM(TimeEntry[[#This Row],[WkEnd]])</f>
        <v>24</v>
      </c>
      <c r="T631" s="9" t="str">
        <f>TimeEntry[[#This Row],[Year]]&amp;"-"&amp;TimeEntry[[#This Row],[WkNo]]</f>
        <v>2019-24</v>
      </c>
    </row>
    <row r="632" spans="1:20" x14ac:dyDescent="0.25">
      <c r="A632" s="6">
        <f>MOD(IF(ROW()=2,0.1,IF(INDEX(TimeEntry[WkEnd],ROW()-1)  =  INDEX(TimeEntry[WkEnd],ROW()-2),    INDEX(TimeEntry[format],ROW()-2),    INDEX(TimeEntry[format],ROW()-2)    +1)),2)</f>
        <v>0.10000000000000009</v>
      </c>
      <c r="B632" s="7"/>
      <c r="C632" s="8">
        <v>43623</v>
      </c>
      <c r="D632" s="8"/>
      <c r="E632" s="1" t="s">
        <v>444</v>
      </c>
      <c r="F632" s="8">
        <f>IF(TimeEntry[[#This Row],[Date]]=0,F631,C632+(7-Q632))</f>
        <v>43625</v>
      </c>
      <c r="G632" s="35" t="str">
        <f>INDEX(projects[Charge_Code],MATCH(TimeEntry[[#This Row],[Project_ID]],projects[Project_ID],0))</f>
        <v>LEAVE</v>
      </c>
      <c r="H632" s="1" t="str">
        <f t="shared" si="19"/>
        <v>Normal Time</v>
      </c>
      <c r="I632" s="1"/>
      <c r="J632" s="15">
        <v>3.75</v>
      </c>
      <c r="K632" s="15"/>
      <c r="L632" s="15"/>
      <c r="M632" s="15"/>
      <c r="N632" s="15"/>
      <c r="O632" s="15" t="str">
        <f>INDEX(projects[job number],MATCH(TimeEntry[[#This Row],[Project_ID]], projects[Project_ID],0))</f>
        <v>LEAVE</v>
      </c>
      <c r="P632" s="15">
        <f>INDEX(projects[Project_Name],MATCH(TimeEntry[[#This Row],[Project_ID]], projects[Project_ID],0))</f>
        <v>0</v>
      </c>
      <c r="Q632" s="6">
        <f>IF(TimeEntry[[#This Row],[Date]]=0,"",WEEKDAY(C632,2))</f>
        <v>5</v>
      </c>
      <c r="R632" s="9">
        <f>YEAR(TimeEntry[[#This Row],[WkEnd]])</f>
        <v>2019</v>
      </c>
      <c r="S632" s="9">
        <f>WEEKNUM(TimeEntry[[#This Row],[WkEnd]])</f>
        <v>24</v>
      </c>
      <c r="T632" s="9" t="str">
        <f>TimeEntry[[#This Row],[Year]]&amp;"-"&amp;TimeEntry[[#This Row],[WkNo]]</f>
        <v>2019-24</v>
      </c>
    </row>
    <row r="633" spans="1:20" x14ac:dyDescent="0.25">
      <c r="A633" s="6">
        <f>MOD(IF(ROW()=2,0.1,IF(INDEX(TimeEntry[WkEnd],ROW()-1)  =  INDEX(TimeEntry[WkEnd],ROW()-2),    INDEX(TimeEntry[format],ROW()-2),    INDEX(TimeEntry[format],ROW()-2)    +1)),2)</f>
        <v>1.1000000000000001</v>
      </c>
      <c r="B633" s="7"/>
      <c r="C633" s="8">
        <v>43612</v>
      </c>
      <c r="D633" s="8"/>
      <c r="E633" s="1" t="s">
        <v>449</v>
      </c>
      <c r="F633" s="8">
        <f>IF(TimeEntry[[#This Row],[Date]]=0,F632,C633+(7-Q633))</f>
        <v>43618</v>
      </c>
      <c r="G633" s="35" t="str">
        <f>INDEX(projects[Charge_Code],MATCH(TimeEntry[[#This Row],[Project_ID]],projects[Project_ID],0))</f>
        <v>BANK HOLIDAY Bank Holiday</v>
      </c>
      <c r="H633" s="1" t="str">
        <f t="shared" si="19"/>
        <v>Normal Time</v>
      </c>
      <c r="I633" s="1"/>
      <c r="J633" s="15">
        <v>7.5</v>
      </c>
      <c r="K633" s="15"/>
      <c r="L633" s="15"/>
      <c r="M633" s="15"/>
      <c r="N633" s="15"/>
      <c r="O633" s="15" t="str">
        <f>INDEX(projects[job number],MATCH(TimeEntry[[#This Row],[Project_ID]], projects[Project_ID],0))</f>
        <v>BANK HOLIDAY</v>
      </c>
      <c r="P633" s="15" t="str">
        <f>INDEX(projects[Project_Name],MATCH(TimeEntry[[#This Row],[Project_ID]], projects[Project_ID],0))</f>
        <v>Bank Holiday</v>
      </c>
      <c r="Q633" s="6">
        <f>IF(TimeEntry[[#This Row],[Date]]=0,"",WEEKDAY(C633,2))</f>
        <v>1</v>
      </c>
      <c r="R633" s="9">
        <f>YEAR(TimeEntry[[#This Row],[WkEnd]])</f>
        <v>2019</v>
      </c>
      <c r="S633" s="9">
        <f>WEEKNUM(TimeEntry[[#This Row],[WkEnd]])</f>
        <v>23</v>
      </c>
      <c r="T633" s="9" t="str">
        <f>TimeEntry[[#This Row],[Year]]&amp;"-"&amp;TimeEntry[[#This Row],[WkNo]]</f>
        <v>2019-23</v>
      </c>
    </row>
    <row r="634" spans="1:20" x14ac:dyDescent="0.25">
      <c r="A634" s="6">
        <f>MOD(IF(ROW()=2,0.1,IF(INDEX(TimeEntry[WkEnd],ROW()-1)  =  INDEX(TimeEntry[WkEnd],ROW()-2),    INDEX(TimeEntry[format],ROW()-2),    INDEX(TimeEntry[format],ROW()-2)    +1)),2)</f>
        <v>1.1000000000000001</v>
      </c>
      <c r="B634" s="7"/>
      <c r="C634" s="8">
        <v>43613</v>
      </c>
      <c r="D634" s="8"/>
      <c r="E634" s="1" t="s">
        <v>462</v>
      </c>
      <c r="F634" s="8">
        <f>IF(TimeEntry[[#This Row],[Date]]=0,F633,C634+(7-Q634))</f>
        <v>43618</v>
      </c>
      <c r="G634" s="35" t="str">
        <f>INDEX(projects[Charge_Code],MATCH(TimeEntry[[#This Row],[Project_ID]],projects[Project_ID],0))</f>
        <v>265720-10 VBB - Design Basis</v>
      </c>
      <c r="H634" s="1" t="str">
        <f t="shared" si="19"/>
        <v>Normal Time</v>
      </c>
      <c r="I634" s="1"/>
      <c r="J634" s="15">
        <v>7.5</v>
      </c>
      <c r="K634" s="15"/>
      <c r="L634" s="15"/>
      <c r="M634" s="15"/>
      <c r="N634" s="15"/>
      <c r="O634" s="15" t="str">
        <f>INDEX(projects[job number],MATCH(TimeEntry[[#This Row],[Project_ID]], projects[Project_ID],0))</f>
        <v>265720-10</v>
      </c>
      <c r="P634" s="15" t="str">
        <f>INDEX(projects[Project_Name],MATCH(TimeEntry[[#This Row],[Project_ID]], projects[Project_ID],0))</f>
        <v>VBB - Design Basis</v>
      </c>
      <c r="Q634" s="6">
        <f>IF(TimeEntry[[#This Row],[Date]]=0,"",WEEKDAY(C634,2))</f>
        <v>2</v>
      </c>
      <c r="R634" s="9">
        <f>YEAR(TimeEntry[[#This Row],[WkEnd]])</f>
        <v>2019</v>
      </c>
      <c r="S634" s="9">
        <f>WEEKNUM(TimeEntry[[#This Row],[WkEnd]])</f>
        <v>23</v>
      </c>
      <c r="T634" s="9" t="str">
        <f>TimeEntry[[#This Row],[Year]]&amp;"-"&amp;TimeEntry[[#This Row],[WkNo]]</f>
        <v>2019-23</v>
      </c>
    </row>
    <row r="635" spans="1:20" x14ac:dyDescent="0.25">
      <c r="A635" s="6">
        <f>MOD(IF(ROW()=2,0.1,IF(INDEX(TimeEntry[WkEnd],ROW()-1)  =  INDEX(TimeEntry[WkEnd],ROW()-2),    INDEX(TimeEntry[format],ROW()-2),    INDEX(TimeEntry[format],ROW()-2)    +1)),2)</f>
        <v>1.1000000000000001</v>
      </c>
      <c r="B635" s="7"/>
      <c r="C635" s="8">
        <v>43614</v>
      </c>
      <c r="D635" s="8"/>
      <c r="E635" s="1" t="s">
        <v>462</v>
      </c>
      <c r="F635" s="8">
        <f>IF(TimeEntry[[#This Row],[Date]]=0,F634,C635+(7-Q635))</f>
        <v>43618</v>
      </c>
      <c r="G635" s="35" t="str">
        <f>INDEX(projects[Charge_Code],MATCH(TimeEntry[[#This Row],[Project_ID]],projects[Project_ID],0))</f>
        <v>265720-10 VBB - Design Basis</v>
      </c>
      <c r="H635" s="1" t="str">
        <f t="shared" si="19"/>
        <v>Normal Time</v>
      </c>
      <c r="I635" s="1"/>
      <c r="J635" s="15">
        <v>7.5</v>
      </c>
      <c r="K635" s="15"/>
      <c r="L635" s="15"/>
      <c r="M635" s="15"/>
      <c r="N635" s="15"/>
      <c r="O635" s="15" t="str">
        <f>INDEX(projects[job number],MATCH(TimeEntry[[#This Row],[Project_ID]], projects[Project_ID],0))</f>
        <v>265720-10</v>
      </c>
      <c r="P635" s="15" t="str">
        <f>INDEX(projects[Project_Name],MATCH(TimeEntry[[#This Row],[Project_ID]], projects[Project_ID],0))</f>
        <v>VBB - Design Basis</v>
      </c>
      <c r="Q635" s="6">
        <f>IF(TimeEntry[[#This Row],[Date]]=0,"",WEEKDAY(C635,2))</f>
        <v>3</v>
      </c>
      <c r="R635" s="9">
        <f>YEAR(TimeEntry[[#This Row],[WkEnd]])</f>
        <v>2019</v>
      </c>
      <c r="S635" s="9">
        <f>WEEKNUM(TimeEntry[[#This Row],[WkEnd]])</f>
        <v>23</v>
      </c>
      <c r="T635" s="9" t="str">
        <f>TimeEntry[[#This Row],[Year]]&amp;"-"&amp;TimeEntry[[#This Row],[WkNo]]</f>
        <v>2019-23</v>
      </c>
    </row>
    <row r="636" spans="1:20" x14ac:dyDescent="0.25">
      <c r="A636" s="6">
        <f>MOD(IF(ROW()=2,0.1,IF(INDEX(TimeEntry[WkEnd],ROW()-1)  =  INDEX(TimeEntry[WkEnd],ROW()-2),    INDEX(TimeEntry[format],ROW()-2),    INDEX(TimeEntry[format],ROW()-2)    +1)),2)</f>
        <v>1.1000000000000001</v>
      </c>
      <c r="B636" s="7"/>
      <c r="C636" s="8">
        <v>43614</v>
      </c>
      <c r="D636" s="8"/>
      <c r="E636" s="1" t="s">
        <v>463</v>
      </c>
      <c r="F636" s="8">
        <f>IF(TimeEntry[[#This Row],[Date]]=0,F635,C636+(7-Q636))</f>
        <v>43618</v>
      </c>
      <c r="G636" s="35" t="str">
        <f>INDEX(projects[Charge_Code],MATCH(TimeEntry[[#This Row],[Project_ID]],projects[Project_ID],0))</f>
        <v>262218-08 CAFA</v>
      </c>
      <c r="H636" s="1" t="str">
        <f t="shared" si="19"/>
        <v>Normal Time</v>
      </c>
      <c r="I636" s="1"/>
      <c r="J636" s="15">
        <v>3.5</v>
      </c>
      <c r="K636" s="15"/>
      <c r="L636" s="15"/>
      <c r="M636" s="15"/>
      <c r="N636" s="15"/>
      <c r="O636" s="15" t="str">
        <f>INDEX(projects[job number],MATCH(TimeEntry[[#This Row],[Project_ID]], projects[Project_ID],0))</f>
        <v>262218-08</v>
      </c>
      <c r="P636" s="15" t="str">
        <f>INDEX(projects[Project_Name],MATCH(TimeEntry[[#This Row],[Project_ID]], projects[Project_ID],0))</f>
        <v>CAFA</v>
      </c>
      <c r="Q636" s="6">
        <f>IF(TimeEntry[[#This Row],[Date]]=0,"",WEEKDAY(C636,2))</f>
        <v>3</v>
      </c>
      <c r="R636" s="9">
        <f>YEAR(TimeEntry[[#This Row],[WkEnd]])</f>
        <v>2019</v>
      </c>
      <c r="S636" s="9">
        <f>WEEKNUM(TimeEntry[[#This Row],[WkEnd]])</f>
        <v>23</v>
      </c>
      <c r="T636" s="9" t="str">
        <f>TimeEntry[[#This Row],[Year]]&amp;"-"&amp;TimeEntry[[#This Row],[WkNo]]</f>
        <v>2019-23</v>
      </c>
    </row>
    <row r="637" spans="1:20" x14ac:dyDescent="0.25">
      <c r="A637" s="6">
        <f>MOD(IF(ROW()=2,0.1,IF(INDEX(TimeEntry[WkEnd],ROW()-1)  =  INDEX(TimeEntry[WkEnd],ROW()-2),    INDEX(TimeEntry[format],ROW()-2),    INDEX(TimeEntry[format],ROW()-2)    +1)),2)</f>
        <v>1.1000000000000001</v>
      </c>
      <c r="B637" s="7"/>
      <c r="C637" s="8">
        <v>43615</v>
      </c>
      <c r="D637" s="8"/>
      <c r="E637" s="1" t="s">
        <v>464</v>
      </c>
      <c r="F637" s="8">
        <f>IF(TimeEntry[[#This Row],[Date]]=0,F636,C637+(7-Q637))</f>
        <v>43618</v>
      </c>
      <c r="G637" s="35" t="str">
        <f>INDEX(projects[Charge_Code],MATCH(TimeEntry[[#This Row],[Project_ID]],projects[Project_ID],0))</f>
        <v>266122-24 A465 updates</v>
      </c>
      <c r="H637" s="1" t="str">
        <f t="shared" si="19"/>
        <v>Normal Time</v>
      </c>
      <c r="I637" s="1"/>
      <c r="J637" s="15">
        <v>4</v>
      </c>
      <c r="K637" s="15"/>
      <c r="L637" s="15"/>
      <c r="M637" s="15"/>
      <c r="N637" s="15"/>
      <c r="O637" s="15" t="str">
        <f>INDEX(projects[job number],MATCH(TimeEntry[[#This Row],[Project_ID]], projects[Project_ID],0))</f>
        <v>266122-24</v>
      </c>
      <c r="P637" s="15" t="str">
        <f>INDEX(projects[Project_Name],MATCH(TimeEntry[[#This Row],[Project_ID]], projects[Project_ID],0))</f>
        <v>A465 updates</v>
      </c>
      <c r="Q637" s="6">
        <f>IF(TimeEntry[[#This Row],[Date]]=0,"",WEEKDAY(C637,2))</f>
        <v>4</v>
      </c>
      <c r="R637" s="9">
        <f>YEAR(TimeEntry[[#This Row],[WkEnd]])</f>
        <v>2019</v>
      </c>
      <c r="S637" s="9">
        <f>WEEKNUM(TimeEntry[[#This Row],[WkEnd]])</f>
        <v>23</v>
      </c>
      <c r="T637" s="9" t="str">
        <f>TimeEntry[[#This Row],[Year]]&amp;"-"&amp;TimeEntry[[#This Row],[WkNo]]</f>
        <v>2019-23</v>
      </c>
    </row>
    <row r="638" spans="1:20" x14ac:dyDescent="0.25">
      <c r="A638" s="6">
        <f>MOD(IF(ROW()=2,0.1,IF(INDEX(TimeEntry[WkEnd],ROW()-1)  =  INDEX(TimeEntry[WkEnd],ROW()-2),    INDEX(TimeEntry[format],ROW()-2),    INDEX(TimeEntry[format],ROW()-2)    +1)),2)</f>
        <v>1.1000000000000001</v>
      </c>
      <c r="B638" s="7"/>
      <c r="C638" s="8">
        <v>43616</v>
      </c>
      <c r="D638" s="8"/>
      <c r="E638" s="1" t="s">
        <v>462</v>
      </c>
      <c r="F638" s="8">
        <f>IF(TimeEntry[[#This Row],[Date]]=0,F637,C638+(7-Q638))</f>
        <v>43618</v>
      </c>
      <c r="G638" s="35" t="str">
        <f>INDEX(projects[Charge_Code],MATCH(TimeEntry[[#This Row],[Project_ID]],projects[Project_ID],0))</f>
        <v>265720-10 VBB - Design Basis</v>
      </c>
      <c r="H638" s="1" t="str">
        <f t="shared" si="19"/>
        <v>Normal Time</v>
      </c>
      <c r="I638" s="1"/>
      <c r="J638" s="15">
        <v>7.5</v>
      </c>
      <c r="K638" s="15"/>
      <c r="L638" s="15"/>
      <c r="M638" s="15"/>
      <c r="N638" s="15"/>
      <c r="O638" s="15" t="str">
        <f>INDEX(projects[job number],MATCH(TimeEntry[[#This Row],[Project_ID]], projects[Project_ID],0))</f>
        <v>265720-10</v>
      </c>
      <c r="P638" s="15" t="str">
        <f>INDEX(projects[Project_Name],MATCH(TimeEntry[[#This Row],[Project_ID]], projects[Project_ID],0))</f>
        <v>VBB - Design Basis</v>
      </c>
      <c r="Q638" s="6">
        <f>IF(TimeEntry[[#This Row],[Date]]=0,"",WEEKDAY(C638,2))</f>
        <v>5</v>
      </c>
      <c r="R638" s="9">
        <f>YEAR(TimeEntry[[#This Row],[WkEnd]])</f>
        <v>2019</v>
      </c>
      <c r="S638" s="9">
        <f>WEEKNUM(TimeEntry[[#This Row],[WkEnd]])</f>
        <v>23</v>
      </c>
      <c r="T638" s="9" t="str">
        <f>TimeEntry[[#This Row],[Year]]&amp;"-"&amp;TimeEntry[[#This Row],[WkNo]]</f>
        <v>2019-23</v>
      </c>
    </row>
    <row r="639" spans="1:20" x14ac:dyDescent="0.25">
      <c r="A639" s="6">
        <f>MOD(IF(ROW()=2,0.1,IF(INDEX(TimeEntry[WkEnd],ROW()-1)  =  INDEX(TimeEntry[WkEnd],ROW()-2),    INDEX(TimeEntry[format],ROW()-2),    INDEX(TimeEntry[format],ROW()-2)    +1)),2)</f>
        <v>0.10000000000000009</v>
      </c>
      <c r="B639" s="7"/>
      <c r="C639" s="8">
        <v>43605</v>
      </c>
      <c r="D639" s="8"/>
      <c r="E639" s="1" t="s">
        <v>460</v>
      </c>
      <c r="F639" s="8">
        <f>IF(TimeEntry[[#This Row],[Date]]=0,F638,C639+(7-Q639))</f>
        <v>43611</v>
      </c>
      <c r="G639" s="35" t="str">
        <f>INDEX(projects[Charge_Code],MATCH(TimeEntry[[#This Row],[Project_ID]],projects[Project_ID],0))</f>
        <v>268268-00 Brisa</v>
      </c>
      <c r="H639" s="1" t="str">
        <f t="shared" si="19"/>
        <v>Normal Time</v>
      </c>
      <c r="I639" s="1"/>
      <c r="J639" s="15">
        <v>7.5</v>
      </c>
      <c r="K639" s="15"/>
      <c r="L639" s="15"/>
      <c r="M639" s="15"/>
      <c r="N639" s="15"/>
      <c r="O639" s="15" t="str">
        <f>INDEX(projects[job number],MATCH(TimeEntry[[#This Row],[Project_ID]], projects[Project_ID],0))</f>
        <v>268268-00</v>
      </c>
      <c r="P639" s="15" t="str">
        <f>INDEX(projects[Project_Name],MATCH(TimeEntry[[#This Row],[Project_ID]], projects[Project_ID],0))</f>
        <v>Brisa</v>
      </c>
      <c r="Q639" s="6">
        <f>IF(TimeEntry[[#This Row],[Date]]=0,"",WEEKDAY(C639,2))</f>
        <v>1</v>
      </c>
      <c r="R639" s="9">
        <f>YEAR(TimeEntry[[#This Row],[WkEnd]])</f>
        <v>2019</v>
      </c>
      <c r="S639" s="9">
        <f>WEEKNUM(TimeEntry[[#This Row],[WkEnd]])</f>
        <v>22</v>
      </c>
      <c r="T639" s="9" t="str">
        <f>TimeEntry[[#This Row],[Year]]&amp;"-"&amp;TimeEntry[[#This Row],[WkNo]]</f>
        <v>2019-22</v>
      </c>
    </row>
    <row r="640" spans="1:20" x14ac:dyDescent="0.25">
      <c r="A640" s="6">
        <f>MOD(IF(ROW()=2,0.1,IF(INDEX(TimeEntry[WkEnd],ROW()-1)  =  INDEX(TimeEntry[WkEnd],ROW()-2),    INDEX(TimeEntry[format],ROW()-2),    INDEX(TimeEntry[format],ROW()-2)    +1)),2)</f>
        <v>0.10000000000000009</v>
      </c>
      <c r="B640" s="7"/>
      <c r="C640" s="8">
        <v>43606</v>
      </c>
      <c r="D640" s="8"/>
      <c r="E640" s="1" t="s">
        <v>458</v>
      </c>
      <c r="F640" s="8">
        <f>IF(TimeEntry[[#This Row],[Date]]=0,F639,C640+(7-Q640))</f>
        <v>43611</v>
      </c>
      <c r="G640" s="35" t="str">
        <f>INDEX(projects[Charge_Code],MATCH(TimeEntry[[#This Row],[Project_ID]],projects[Project_ID],0))</f>
        <v>265720-20 VBB - Assessment</v>
      </c>
      <c r="H640" s="1" t="str">
        <f t="shared" si="19"/>
        <v>Normal Time</v>
      </c>
      <c r="I640" s="1"/>
      <c r="J640" s="15">
        <v>7.5</v>
      </c>
      <c r="K640" s="15"/>
      <c r="L640" s="15"/>
      <c r="M640" s="15"/>
      <c r="N640" s="15"/>
      <c r="O640" s="15" t="str">
        <f>INDEX(projects[job number],MATCH(TimeEntry[[#This Row],[Project_ID]], projects[Project_ID],0))</f>
        <v>265720-20</v>
      </c>
      <c r="P640" s="15" t="str">
        <f>INDEX(projects[Project_Name],MATCH(TimeEntry[[#This Row],[Project_ID]], projects[Project_ID],0))</f>
        <v>VBB - Assessment</v>
      </c>
      <c r="Q640" s="6">
        <f>IF(TimeEntry[[#This Row],[Date]]=0,"",WEEKDAY(C640,2))</f>
        <v>2</v>
      </c>
      <c r="R640" s="9">
        <f>YEAR(TimeEntry[[#This Row],[WkEnd]])</f>
        <v>2019</v>
      </c>
      <c r="S640" s="9">
        <f>WEEKNUM(TimeEntry[[#This Row],[WkEnd]])</f>
        <v>22</v>
      </c>
      <c r="T640" s="9" t="str">
        <f>TimeEntry[[#This Row],[Year]]&amp;"-"&amp;TimeEntry[[#This Row],[WkNo]]</f>
        <v>2019-22</v>
      </c>
    </row>
    <row r="641" spans="1:20" x14ac:dyDescent="0.25">
      <c r="A641" s="6">
        <f>MOD(IF(ROW()=2,0.1,IF(INDEX(TimeEntry[WkEnd],ROW()-1)  =  INDEX(TimeEntry[WkEnd],ROW()-2),    INDEX(TimeEntry[format],ROW()-2),    INDEX(TimeEntry[format],ROW()-2)    +1)),2)</f>
        <v>0.10000000000000009</v>
      </c>
      <c r="B641" s="7"/>
      <c r="C641" s="8">
        <v>43607</v>
      </c>
      <c r="D641" s="8"/>
      <c r="E641" s="1" t="s">
        <v>458</v>
      </c>
      <c r="F641" s="8">
        <f>IF(TimeEntry[[#This Row],[Date]]=0,F640,C641+(7-Q641))</f>
        <v>43611</v>
      </c>
      <c r="G641" s="35" t="str">
        <f>INDEX(projects[Charge_Code],MATCH(TimeEntry[[#This Row],[Project_ID]],projects[Project_ID],0))</f>
        <v>265720-20 VBB - Assessment</v>
      </c>
      <c r="H641" s="1" t="str">
        <f t="shared" si="19"/>
        <v>Normal Time</v>
      </c>
      <c r="I641" s="1"/>
      <c r="J641" s="15">
        <v>7.5</v>
      </c>
      <c r="K641" s="15"/>
      <c r="L641" s="15"/>
      <c r="M641" s="15"/>
      <c r="N641" s="15"/>
      <c r="O641" s="15" t="str">
        <f>INDEX(projects[job number],MATCH(TimeEntry[[#This Row],[Project_ID]], projects[Project_ID],0))</f>
        <v>265720-20</v>
      </c>
      <c r="P641" s="15" t="str">
        <f>INDEX(projects[Project_Name],MATCH(TimeEntry[[#This Row],[Project_ID]], projects[Project_ID],0))</f>
        <v>VBB - Assessment</v>
      </c>
      <c r="Q641" s="6">
        <f>IF(TimeEntry[[#This Row],[Date]]=0,"",WEEKDAY(C641,2))</f>
        <v>3</v>
      </c>
      <c r="R641" s="9">
        <f>YEAR(TimeEntry[[#This Row],[WkEnd]])</f>
        <v>2019</v>
      </c>
      <c r="S641" s="9">
        <f>WEEKNUM(TimeEntry[[#This Row],[WkEnd]])</f>
        <v>22</v>
      </c>
      <c r="T641" s="9" t="str">
        <f>TimeEntry[[#This Row],[Year]]&amp;"-"&amp;TimeEntry[[#This Row],[WkNo]]</f>
        <v>2019-22</v>
      </c>
    </row>
    <row r="642" spans="1:20" x14ac:dyDescent="0.25">
      <c r="A642" s="6">
        <f>MOD(IF(ROW()=2,0.1,IF(INDEX(TimeEntry[WkEnd],ROW()-1)  =  INDEX(TimeEntry[WkEnd],ROW()-2),    INDEX(TimeEntry[format],ROW()-2),    INDEX(TimeEntry[format],ROW()-2)    +1)),2)</f>
        <v>0.10000000000000009</v>
      </c>
      <c r="B642" s="7"/>
      <c r="C642" s="8">
        <v>43608</v>
      </c>
      <c r="D642" s="8"/>
      <c r="E642" s="1" t="s">
        <v>458</v>
      </c>
      <c r="F642" s="8">
        <f>IF(TimeEntry[[#This Row],[Date]]=0,F641,C642+(7-Q642))</f>
        <v>43611</v>
      </c>
      <c r="G642" s="35" t="str">
        <f>INDEX(projects[Charge_Code],MATCH(TimeEntry[[#This Row],[Project_ID]],projects[Project_ID],0))</f>
        <v>265720-20 VBB - Assessment</v>
      </c>
      <c r="H642" s="1" t="str">
        <f t="shared" si="19"/>
        <v>Normal Time</v>
      </c>
      <c r="I642" s="1"/>
      <c r="J642" s="15">
        <v>7.5</v>
      </c>
      <c r="K642" s="15"/>
      <c r="L642" s="15"/>
      <c r="M642" s="15"/>
      <c r="N642" s="15"/>
      <c r="O642" s="15" t="str">
        <f>INDEX(projects[job number],MATCH(TimeEntry[[#This Row],[Project_ID]], projects[Project_ID],0))</f>
        <v>265720-20</v>
      </c>
      <c r="P642" s="15" t="str">
        <f>INDEX(projects[Project_Name],MATCH(TimeEntry[[#This Row],[Project_ID]], projects[Project_ID],0))</f>
        <v>VBB - Assessment</v>
      </c>
      <c r="Q642" s="6">
        <f>IF(TimeEntry[[#This Row],[Date]]=0,"",WEEKDAY(C642,2))</f>
        <v>4</v>
      </c>
      <c r="R642" s="9">
        <f>YEAR(TimeEntry[[#This Row],[WkEnd]])</f>
        <v>2019</v>
      </c>
      <c r="S642" s="9">
        <f>WEEKNUM(TimeEntry[[#This Row],[WkEnd]])</f>
        <v>22</v>
      </c>
      <c r="T642" s="9" t="str">
        <f>TimeEntry[[#This Row],[Year]]&amp;"-"&amp;TimeEntry[[#This Row],[WkNo]]</f>
        <v>2019-22</v>
      </c>
    </row>
    <row r="643" spans="1:20" x14ac:dyDescent="0.25">
      <c r="A643" s="6">
        <f>MOD(IF(ROW()=2,0.1,IF(INDEX(TimeEntry[WkEnd],ROW()-1)  =  INDEX(TimeEntry[WkEnd],ROW()-2),    INDEX(TimeEntry[format],ROW()-2),    INDEX(TimeEntry[format],ROW()-2)    +1)),2)</f>
        <v>0.10000000000000009</v>
      </c>
      <c r="B643" s="7"/>
      <c r="C643" s="8">
        <v>43609</v>
      </c>
      <c r="D643" s="8"/>
      <c r="E643" s="1" t="s">
        <v>458</v>
      </c>
      <c r="F643" s="8">
        <f>IF(TimeEntry[[#This Row],[Date]]=0,F642,C643+(7-Q643))</f>
        <v>43611</v>
      </c>
      <c r="G643" s="35" t="str">
        <f>INDEX(projects[Charge_Code],MATCH(TimeEntry[[#This Row],[Project_ID]],projects[Project_ID],0))</f>
        <v>265720-20 VBB - Assessment</v>
      </c>
      <c r="H643" s="1" t="str">
        <f t="shared" si="19"/>
        <v>Normal Time</v>
      </c>
      <c r="I643" s="1"/>
      <c r="J643" s="15">
        <v>3.75</v>
      </c>
      <c r="K643" s="15"/>
      <c r="L643" s="15"/>
      <c r="M643" s="15"/>
      <c r="N643" s="15"/>
      <c r="O643" s="15" t="str">
        <f>INDEX(projects[job number],MATCH(TimeEntry[[#This Row],[Project_ID]], projects[Project_ID],0))</f>
        <v>265720-20</v>
      </c>
      <c r="P643" s="15" t="str">
        <f>INDEX(projects[Project_Name],MATCH(TimeEntry[[#This Row],[Project_ID]], projects[Project_ID],0))</f>
        <v>VBB - Assessment</v>
      </c>
      <c r="Q643" s="6">
        <f>IF(TimeEntry[[#This Row],[Date]]=0,"",WEEKDAY(C643,2))</f>
        <v>5</v>
      </c>
      <c r="R643" s="9">
        <f>YEAR(TimeEntry[[#This Row],[WkEnd]])</f>
        <v>2019</v>
      </c>
      <c r="S643" s="9">
        <f>WEEKNUM(TimeEntry[[#This Row],[WkEnd]])</f>
        <v>22</v>
      </c>
      <c r="T643" s="9" t="str">
        <f>TimeEntry[[#This Row],[Year]]&amp;"-"&amp;TimeEntry[[#This Row],[WkNo]]</f>
        <v>2019-22</v>
      </c>
    </row>
    <row r="644" spans="1:20" x14ac:dyDescent="0.25">
      <c r="A644" s="6">
        <f>MOD(IF(ROW()=2,0.1,IF(INDEX(TimeEntry[WkEnd],ROW()-1)  =  INDEX(TimeEntry[WkEnd],ROW()-2),    INDEX(TimeEntry[format],ROW()-2),    INDEX(TimeEntry[format],ROW()-2)    +1)),2)</f>
        <v>0.10000000000000009</v>
      </c>
      <c r="B644" s="7"/>
      <c r="C644" s="8">
        <v>43609</v>
      </c>
      <c r="D644" s="8"/>
      <c r="E644" s="1" t="s">
        <v>444</v>
      </c>
      <c r="F644" s="8">
        <f>IF(TimeEntry[[#This Row],[Date]]=0,F643,C644+(7-Q644))</f>
        <v>43611</v>
      </c>
      <c r="G644" s="35" t="str">
        <f>INDEX(projects[Charge_Code],MATCH(TimeEntry[[#This Row],[Project_ID]],projects[Project_ID],0))</f>
        <v>LEAVE</v>
      </c>
      <c r="H644" s="1" t="str">
        <f t="shared" si="19"/>
        <v>Normal Time</v>
      </c>
      <c r="I644" s="1"/>
      <c r="J644" s="15">
        <v>3.75</v>
      </c>
      <c r="K644" s="15"/>
      <c r="L644" s="15"/>
      <c r="M644" s="15"/>
      <c r="N644" s="15"/>
      <c r="O644" s="15" t="str">
        <f>INDEX(projects[job number],MATCH(TimeEntry[[#This Row],[Project_ID]], projects[Project_ID],0))</f>
        <v>LEAVE</v>
      </c>
      <c r="P644" s="15">
        <f>INDEX(projects[Project_Name],MATCH(TimeEntry[[#This Row],[Project_ID]], projects[Project_ID],0))</f>
        <v>0</v>
      </c>
      <c r="Q644" s="6">
        <f>IF(TimeEntry[[#This Row],[Date]]=0,"",WEEKDAY(C644,2))</f>
        <v>5</v>
      </c>
      <c r="R644" s="9">
        <f>YEAR(TimeEntry[[#This Row],[WkEnd]])</f>
        <v>2019</v>
      </c>
      <c r="S644" s="9">
        <f>WEEKNUM(TimeEntry[[#This Row],[WkEnd]])</f>
        <v>22</v>
      </c>
      <c r="T644" s="9" t="str">
        <f>TimeEntry[[#This Row],[Year]]&amp;"-"&amp;TimeEntry[[#This Row],[WkNo]]</f>
        <v>2019-22</v>
      </c>
    </row>
    <row r="645" spans="1:20" x14ac:dyDescent="0.25">
      <c r="A645" s="6">
        <f>MOD(IF(ROW()=2,0.1,IF(INDEX(TimeEntry[WkEnd],ROW()-1)  =  INDEX(TimeEntry[WkEnd],ROW()-2),    INDEX(TimeEntry[format],ROW()-2),    INDEX(TimeEntry[format],ROW()-2)    +1)),2)</f>
        <v>1.1000000000000001</v>
      </c>
      <c r="B645" s="7"/>
      <c r="C645" s="8">
        <v>43598</v>
      </c>
      <c r="D645" s="8"/>
      <c r="E645" s="1" t="s">
        <v>465</v>
      </c>
      <c r="F645" s="8">
        <f>IF(TimeEntry[[#This Row],[Date]]=0,F644,C645+(7-Q645))</f>
        <v>43604</v>
      </c>
      <c r="G645" s="35" t="str">
        <f>INDEX(projects[Charge_Code],MATCH(TimeEntry[[#This Row],[Project_ID]],projects[Project_ID],0))</f>
        <v>601593-72 WMRE lot 6</v>
      </c>
      <c r="H645" s="1" t="str">
        <f t="shared" si="19"/>
        <v>Normal Time</v>
      </c>
      <c r="I645" s="1"/>
      <c r="J645" s="15">
        <v>7.5</v>
      </c>
      <c r="K645" s="15"/>
      <c r="L645" s="15"/>
      <c r="M645" s="15"/>
      <c r="N645" s="15"/>
      <c r="O645" s="15" t="str">
        <f>INDEX(projects[job number],MATCH(TimeEntry[[#This Row],[Project_ID]], projects[Project_ID],0))</f>
        <v>601593-72</v>
      </c>
      <c r="P645" s="15" t="str">
        <f>INDEX(projects[Project_Name],MATCH(TimeEntry[[#This Row],[Project_ID]], projects[Project_ID],0))</f>
        <v>WMRE lot 6</v>
      </c>
      <c r="Q645" s="6">
        <f>IF(TimeEntry[[#This Row],[Date]]=0,"",WEEKDAY(C645,2))</f>
        <v>1</v>
      </c>
      <c r="R645" s="9">
        <f>YEAR(TimeEntry[[#This Row],[WkEnd]])</f>
        <v>2019</v>
      </c>
      <c r="S645" s="9">
        <f>WEEKNUM(TimeEntry[[#This Row],[WkEnd]])</f>
        <v>21</v>
      </c>
      <c r="T645" s="9" t="str">
        <f>TimeEntry[[#This Row],[Year]]&amp;"-"&amp;TimeEntry[[#This Row],[WkNo]]</f>
        <v>2019-21</v>
      </c>
    </row>
    <row r="646" spans="1:20" x14ac:dyDescent="0.25">
      <c r="A646" s="6">
        <f>MOD(IF(ROW()=2,0.1,IF(INDEX(TimeEntry[WkEnd],ROW()-1)  =  INDEX(TimeEntry[WkEnd],ROW()-2),    INDEX(TimeEntry[format],ROW()-2),    INDEX(TimeEntry[format],ROW()-2)    +1)),2)</f>
        <v>1.1000000000000001</v>
      </c>
      <c r="B646" s="7"/>
      <c r="C646" s="8">
        <v>43599</v>
      </c>
      <c r="D646" s="8"/>
      <c r="E646" s="1" t="s">
        <v>465</v>
      </c>
      <c r="F646" s="8">
        <f>IF(TimeEntry[[#This Row],[Date]]=0,F645,C646+(7-Q646))</f>
        <v>43604</v>
      </c>
      <c r="G646" s="35" t="str">
        <f>INDEX(projects[Charge_Code],MATCH(TimeEntry[[#This Row],[Project_ID]],projects[Project_ID],0))</f>
        <v>601593-72 WMRE lot 6</v>
      </c>
      <c r="H646" s="1" t="str">
        <f t="shared" si="19"/>
        <v>Normal Time</v>
      </c>
      <c r="I646" s="1"/>
      <c r="J646" s="15">
        <v>5.5</v>
      </c>
      <c r="K646" s="15"/>
      <c r="L646" s="15"/>
      <c r="M646" s="15"/>
      <c r="N646" s="15"/>
      <c r="O646" s="15" t="str">
        <f>INDEX(projects[job number],MATCH(TimeEntry[[#This Row],[Project_ID]], projects[Project_ID],0))</f>
        <v>601593-72</v>
      </c>
      <c r="P646" s="15" t="str">
        <f>INDEX(projects[Project_Name],MATCH(TimeEntry[[#This Row],[Project_ID]], projects[Project_ID],0))</f>
        <v>WMRE lot 6</v>
      </c>
      <c r="Q646" s="6">
        <f>IF(TimeEntry[[#This Row],[Date]]=0,"",WEEKDAY(C646,2))</f>
        <v>2</v>
      </c>
      <c r="R646" s="9">
        <f>YEAR(TimeEntry[[#This Row],[WkEnd]])</f>
        <v>2019</v>
      </c>
      <c r="S646" s="9">
        <f>WEEKNUM(TimeEntry[[#This Row],[WkEnd]])</f>
        <v>21</v>
      </c>
      <c r="T646" s="9" t="str">
        <f>TimeEntry[[#This Row],[Year]]&amp;"-"&amp;TimeEntry[[#This Row],[WkNo]]</f>
        <v>2019-21</v>
      </c>
    </row>
    <row r="647" spans="1:20" x14ac:dyDescent="0.25">
      <c r="A647" s="6">
        <f>MOD(IF(ROW()=2,0.1,IF(INDEX(TimeEntry[WkEnd],ROW()-1)  =  INDEX(TimeEntry[WkEnd],ROW()-2),    INDEX(TimeEntry[format],ROW()-2),    INDEX(TimeEntry[format],ROW()-2)    +1)),2)</f>
        <v>1.1000000000000001</v>
      </c>
      <c r="B647" s="7"/>
      <c r="C647" s="8">
        <v>43599</v>
      </c>
      <c r="D647" s="8"/>
      <c r="E647" s="1" t="s">
        <v>458</v>
      </c>
      <c r="F647" s="8">
        <f>IF(TimeEntry[[#This Row],[Date]]=0,F646,C647+(7-Q647))</f>
        <v>43604</v>
      </c>
      <c r="G647" s="35" t="str">
        <f>INDEX(projects[Charge_Code],MATCH(TimeEntry[[#This Row],[Project_ID]],projects[Project_ID],0))</f>
        <v>265720-20 VBB - Assessment</v>
      </c>
      <c r="H647" s="1" t="str">
        <f t="shared" si="19"/>
        <v>Normal Time</v>
      </c>
      <c r="I647" s="1"/>
      <c r="J647" s="15">
        <v>2</v>
      </c>
      <c r="K647" s="15"/>
      <c r="L647" s="15"/>
      <c r="M647" s="15"/>
      <c r="N647" s="15"/>
      <c r="O647" s="15" t="str">
        <f>INDEX(projects[job number],MATCH(TimeEntry[[#This Row],[Project_ID]], projects[Project_ID],0))</f>
        <v>265720-20</v>
      </c>
      <c r="P647" s="15" t="str">
        <f>INDEX(projects[Project_Name],MATCH(TimeEntry[[#This Row],[Project_ID]], projects[Project_ID],0))</f>
        <v>VBB - Assessment</v>
      </c>
      <c r="Q647" s="6">
        <f>IF(TimeEntry[[#This Row],[Date]]=0,"",WEEKDAY(C647,2))</f>
        <v>2</v>
      </c>
      <c r="R647" s="9">
        <f>YEAR(TimeEntry[[#This Row],[WkEnd]])</f>
        <v>2019</v>
      </c>
      <c r="S647" s="9">
        <f>WEEKNUM(TimeEntry[[#This Row],[WkEnd]])</f>
        <v>21</v>
      </c>
      <c r="T647" s="9" t="str">
        <f>TimeEntry[[#This Row],[Year]]&amp;"-"&amp;TimeEntry[[#This Row],[WkNo]]</f>
        <v>2019-21</v>
      </c>
    </row>
    <row r="648" spans="1:20" x14ac:dyDescent="0.25">
      <c r="A648" s="6">
        <f>MOD(IF(ROW()=2,0.1,IF(INDEX(TimeEntry[WkEnd],ROW()-1)  =  INDEX(TimeEntry[WkEnd],ROW()-2),    INDEX(TimeEntry[format],ROW()-2),    INDEX(TimeEntry[format],ROW()-2)    +1)),2)</f>
        <v>1.1000000000000001</v>
      </c>
      <c r="B648" s="7"/>
      <c r="C648" s="8">
        <v>43600</v>
      </c>
      <c r="D648" s="8"/>
      <c r="E648" s="1" t="s">
        <v>458</v>
      </c>
      <c r="F648" s="8">
        <f>IF(TimeEntry[[#This Row],[Date]]=0,F647,C648+(7-Q648))</f>
        <v>43604</v>
      </c>
      <c r="G648" s="35" t="str">
        <f>INDEX(projects[Charge_Code],MATCH(TimeEntry[[#This Row],[Project_ID]],projects[Project_ID],0))</f>
        <v>265720-20 VBB - Assessment</v>
      </c>
      <c r="H648" s="1" t="str">
        <f t="shared" ref="H648:H711" si="20">"Normal Time"</f>
        <v>Normal Time</v>
      </c>
      <c r="I648" s="1"/>
      <c r="J648" s="15">
        <v>7.5</v>
      </c>
      <c r="K648" s="15"/>
      <c r="L648" s="15"/>
      <c r="M648" s="15"/>
      <c r="N648" s="15"/>
      <c r="O648" s="15" t="str">
        <f>INDEX(projects[job number],MATCH(TimeEntry[[#This Row],[Project_ID]], projects[Project_ID],0))</f>
        <v>265720-20</v>
      </c>
      <c r="P648" s="15" t="str">
        <f>INDEX(projects[Project_Name],MATCH(TimeEntry[[#This Row],[Project_ID]], projects[Project_ID],0))</f>
        <v>VBB - Assessment</v>
      </c>
      <c r="Q648" s="6">
        <f>IF(TimeEntry[[#This Row],[Date]]=0,"",WEEKDAY(C648,2))</f>
        <v>3</v>
      </c>
      <c r="R648" s="9">
        <f>YEAR(TimeEntry[[#This Row],[WkEnd]])</f>
        <v>2019</v>
      </c>
      <c r="S648" s="9">
        <f>WEEKNUM(TimeEntry[[#This Row],[WkEnd]])</f>
        <v>21</v>
      </c>
      <c r="T648" s="9" t="str">
        <f>TimeEntry[[#This Row],[Year]]&amp;"-"&amp;TimeEntry[[#This Row],[WkNo]]</f>
        <v>2019-21</v>
      </c>
    </row>
    <row r="649" spans="1:20" x14ac:dyDescent="0.25">
      <c r="A649" s="6">
        <f>MOD(IF(ROW()=2,0.1,IF(INDEX(TimeEntry[WkEnd],ROW()-1)  =  INDEX(TimeEntry[WkEnd],ROW()-2),    INDEX(TimeEntry[format],ROW()-2),    INDEX(TimeEntry[format],ROW()-2)    +1)),2)</f>
        <v>1.1000000000000001</v>
      </c>
      <c r="B649" s="7"/>
      <c r="C649" s="8">
        <v>43601</v>
      </c>
      <c r="D649" s="8"/>
      <c r="E649" s="1" t="s">
        <v>458</v>
      </c>
      <c r="F649" s="8">
        <f>IF(TimeEntry[[#This Row],[Date]]=0,F648,C649+(7-Q649))</f>
        <v>43604</v>
      </c>
      <c r="G649" s="35" t="str">
        <f>INDEX(projects[Charge_Code],MATCH(TimeEntry[[#This Row],[Project_ID]],projects[Project_ID],0))</f>
        <v>265720-20 VBB - Assessment</v>
      </c>
      <c r="H649" s="1" t="str">
        <f t="shared" si="20"/>
        <v>Normal Time</v>
      </c>
      <c r="I649" s="1"/>
      <c r="J649" s="15">
        <v>7.5</v>
      </c>
      <c r="K649" s="15"/>
      <c r="L649" s="15"/>
      <c r="M649" s="15"/>
      <c r="N649" s="15"/>
      <c r="O649" s="15" t="str">
        <f>INDEX(projects[job number],MATCH(TimeEntry[[#This Row],[Project_ID]], projects[Project_ID],0))</f>
        <v>265720-20</v>
      </c>
      <c r="P649" s="15" t="str">
        <f>INDEX(projects[Project_Name],MATCH(TimeEntry[[#This Row],[Project_ID]], projects[Project_ID],0))</f>
        <v>VBB - Assessment</v>
      </c>
      <c r="Q649" s="6">
        <f>IF(TimeEntry[[#This Row],[Date]]=0,"",WEEKDAY(C649,2))</f>
        <v>4</v>
      </c>
      <c r="R649" s="9">
        <f>YEAR(TimeEntry[[#This Row],[WkEnd]])</f>
        <v>2019</v>
      </c>
      <c r="S649" s="9">
        <f>WEEKNUM(TimeEntry[[#This Row],[WkEnd]])</f>
        <v>21</v>
      </c>
      <c r="T649" s="9" t="str">
        <f>TimeEntry[[#This Row],[Year]]&amp;"-"&amp;TimeEntry[[#This Row],[WkNo]]</f>
        <v>2019-21</v>
      </c>
    </row>
    <row r="650" spans="1:20" x14ac:dyDescent="0.25">
      <c r="A650" s="6">
        <f>MOD(IF(ROW()=2,0.1,IF(INDEX(TimeEntry[WkEnd],ROW()-1)  =  INDEX(TimeEntry[WkEnd],ROW()-2),    INDEX(TimeEntry[format],ROW()-2),    INDEX(TimeEntry[format],ROW()-2)    +1)),2)</f>
        <v>1.1000000000000001</v>
      </c>
      <c r="B650" s="7"/>
      <c r="C650" s="8">
        <v>43602</v>
      </c>
      <c r="D650" s="8"/>
      <c r="E650" s="1" t="s">
        <v>466</v>
      </c>
      <c r="F650" s="8">
        <f>IF(TimeEntry[[#This Row],[Date]]=0,F649,C650+(7-Q650))</f>
        <v>43604</v>
      </c>
      <c r="G650" s="35" t="str">
        <f>INDEX(projects[Charge_Code],MATCH(TimeEntry[[#This Row],[Project_ID]],projects[Project_ID],0))</f>
        <v>265720-01 VBB -  extra fatgiue work</v>
      </c>
      <c r="H650" s="1" t="str">
        <f t="shared" si="20"/>
        <v>Normal Time</v>
      </c>
      <c r="I650" s="1"/>
      <c r="J650" s="15">
        <v>3.75</v>
      </c>
      <c r="K650" s="15"/>
      <c r="L650" s="15"/>
      <c r="M650" s="15"/>
      <c r="N650" s="15"/>
      <c r="O650" s="15" t="str">
        <f>INDEX(projects[job number],MATCH(TimeEntry[[#This Row],[Project_ID]], projects[Project_ID],0))</f>
        <v>265720-01</v>
      </c>
      <c r="P650" s="15" t="str">
        <f>INDEX(projects[Project_Name],MATCH(TimeEntry[[#This Row],[Project_ID]], projects[Project_ID],0))</f>
        <v>VBB -  extra fatgiue work</v>
      </c>
      <c r="Q650" s="6">
        <f>IF(TimeEntry[[#This Row],[Date]]=0,"",WEEKDAY(C650,2))</f>
        <v>5</v>
      </c>
      <c r="R650" s="9">
        <f>YEAR(TimeEntry[[#This Row],[WkEnd]])</f>
        <v>2019</v>
      </c>
      <c r="S650" s="9">
        <f>WEEKNUM(TimeEntry[[#This Row],[WkEnd]])</f>
        <v>21</v>
      </c>
      <c r="T650" s="9" t="str">
        <f>TimeEntry[[#This Row],[Year]]&amp;"-"&amp;TimeEntry[[#This Row],[WkNo]]</f>
        <v>2019-21</v>
      </c>
    </row>
    <row r="651" spans="1:20" x14ac:dyDescent="0.25">
      <c r="A651" s="6">
        <f>MOD(IF(ROW()=2,0.1,IF(INDEX(TimeEntry[WkEnd],ROW()-1)  =  INDEX(TimeEntry[WkEnd],ROW()-2),    INDEX(TimeEntry[format],ROW()-2),    INDEX(TimeEntry[format],ROW()-2)    +1)),2)</f>
        <v>1.1000000000000001</v>
      </c>
      <c r="B651" s="7"/>
      <c r="C651" s="8">
        <v>43602</v>
      </c>
      <c r="D651" s="8"/>
      <c r="E651" s="1" t="s">
        <v>458</v>
      </c>
      <c r="F651" s="8">
        <f>IF(TimeEntry[[#This Row],[Date]]=0,F650,C651+(7-Q651))</f>
        <v>43604</v>
      </c>
      <c r="G651" s="35" t="str">
        <f>INDEX(projects[Charge_Code],MATCH(TimeEntry[[#This Row],[Project_ID]],projects[Project_ID],0))</f>
        <v>265720-20 VBB - Assessment</v>
      </c>
      <c r="H651" s="1" t="str">
        <f t="shared" si="20"/>
        <v>Normal Time</v>
      </c>
      <c r="I651" s="1"/>
      <c r="J651" s="15">
        <v>2.75</v>
      </c>
      <c r="K651" s="15"/>
      <c r="L651" s="15"/>
      <c r="M651" s="15"/>
      <c r="N651" s="15"/>
      <c r="O651" s="15" t="str">
        <f>INDEX(projects[job number],MATCH(TimeEntry[[#This Row],[Project_ID]], projects[Project_ID],0))</f>
        <v>265720-20</v>
      </c>
      <c r="P651" s="15" t="str">
        <f>INDEX(projects[Project_Name],MATCH(TimeEntry[[#This Row],[Project_ID]], projects[Project_ID],0))</f>
        <v>VBB - Assessment</v>
      </c>
      <c r="Q651" s="6">
        <f>IF(TimeEntry[[#This Row],[Date]]=0,"",WEEKDAY(C651,2))</f>
        <v>5</v>
      </c>
      <c r="R651" s="9">
        <f>YEAR(TimeEntry[[#This Row],[WkEnd]])</f>
        <v>2019</v>
      </c>
      <c r="S651" s="9">
        <f>WEEKNUM(TimeEntry[[#This Row],[WkEnd]])</f>
        <v>21</v>
      </c>
      <c r="T651" s="9" t="str">
        <f>TimeEntry[[#This Row],[Year]]&amp;"-"&amp;TimeEntry[[#This Row],[WkNo]]</f>
        <v>2019-21</v>
      </c>
    </row>
    <row r="652" spans="1:20" x14ac:dyDescent="0.25">
      <c r="A652" s="6">
        <f>MOD(IF(ROW()=2,0.1,IF(INDEX(TimeEntry[WkEnd],ROW()-1)  =  INDEX(TimeEntry[WkEnd],ROW()-2),    INDEX(TimeEntry[format],ROW()-2),    INDEX(TimeEntry[format],ROW()-2)    +1)),2)</f>
        <v>1.1000000000000001</v>
      </c>
      <c r="B652" s="7"/>
      <c r="C652" s="8">
        <v>43602</v>
      </c>
      <c r="D652" s="8"/>
      <c r="E652" s="1" t="s">
        <v>677</v>
      </c>
      <c r="F652" s="8">
        <f>IF(TimeEntry[[#This Row],[Date]]=0,F651,C652+(7-Q652))</f>
        <v>43604</v>
      </c>
      <c r="G652" s="35" t="str">
        <f>INDEX(projects[Charge_Code],MATCH(TimeEntry[[#This Row],[Project_ID]],projects[Project_ID],0))</f>
        <v>074097-30 LEADERSHIP &amp; MANAGEMENT CC124 (01-124)</v>
      </c>
      <c r="H652" s="1" t="str">
        <f t="shared" si="20"/>
        <v>Normal Time</v>
      </c>
      <c r="I652" s="1"/>
      <c r="J652" s="15">
        <v>1</v>
      </c>
      <c r="K652" s="15"/>
      <c r="L652" s="15"/>
      <c r="M652" s="15"/>
      <c r="N652" s="15"/>
      <c r="O652" s="15" t="str">
        <f>INDEX(projects[job number],MATCH(TimeEntry[[#This Row],[Project_ID]], projects[Project_ID],0))</f>
        <v>074097-30</v>
      </c>
      <c r="P652" s="15" t="str">
        <f>INDEX(projects[Project_Name],MATCH(TimeEntry[[#This Row],[Project_ID]], projects[Project_ID],0))</f>
        <v>LEADERSHIP &amp; MANAGEMENT CC124</v>
      </c>
      <c r="Q652" s="6">
        <f>IF(TimeEntry[[#This Row],[Date]]=0,"",WEEKDAY(C652,2))</f>
        <v>5</v>
      </c>
      <c r="R652" s="9">
        <f>YEAR(TimeEntry[[#This Row],[WkEnd]])</f>
        <v>2019</v>
      </c>
      <c r="S652" s="9">
        <f>WEEKNUM(TimeEntry[[#This Row],[WkEnd]])</f>
        <v>21</v>
      </c>
      <c r="T652" s="9" t="str">
        <f>TimeEntry[[#This Row],[Year]]&amp;"-"&amp;TimeEntry[[#This Row],[WkNo]]</f>
        <v>2019-21</v>
      </c>
    </row>
    <row r="653" spans="1:20" x14ac:dyDescent="0.25">
      <c r="A653" s="6">
        <f>MOD(IF(ROW()=2,0.1,IF(INDEX(TimeEntry[WkEnd],ROW()-1)  =  INDEX(TimeEntry[WkEnd],ROW()-2),    INDEX(TimeEntry[format],ROW()-2),    INDEX(TimeEntry[format],ROW()-2)    +1)),2)</f>
        <v>0.10000000000000009</v>
      </c>
      <c r="B653" s="7"/>
      <c r="C653" s="8">
        <v>43591</v>
      </c>
      <c r="D653" s="8"/>
      <c r="E653" s="1" t="s">
        <v>449</v>
      </c>
      <c r="F653" s="8">
        <f>IF(TimeEntry[[#This Row],[Date]]=0,F652,C653+(7-Q653))</f>
        <v>43597</v>
      </c>
      <c r="G653" s="35" t="str">
        <f>INDEX(projects[Charge_Code],MATCH(TimeEntry[[#This Row],[Project_ID]],projects[Project_ID],0))</f>
        <v>BANK HOLIDAY Bank Holiday</v>
      </c>
      <c r="H653" s="1" t="str">
        <f t="shared" si="20"/>
        <v>Normal Time</v>
      </c>
      <c r="I653" s="1"/>
      <c r="J653" s="15">
        <v>7.5</v>
      </c>
      <c r="K653" s="15"/>
      <c r="L653" s="15"/>
      <c r="M653" s="15"/>
      <c r="N653" s="15"/>
      <c r="O653" s="15" t="str">
        <f>INDEX(projects[job number],MATCH(TimeEntry[[#This Row],[Project_ID]], projects[Project_ID],0))</f>
        <v>BANK HOLIDAY</v>
      </c>
      <c r="P653" s="15" t="str">
        <f>INDEX(projects[Project_Name],MATCH(TimeEntry[[#This Row],[Project_ID]], projects[Project_ID],0))</f>
        <v>Bank Holiday</v>
      </c>
      <c r="Q653" s="6">
        <f>IF(TimeEntry[[#This Row],[Date]]=0,"",WEEKDAY(C653,2))</f>
        <v>1</v>
      </c>
      <c r="R653" s="9">
        <f>YEAR(TimeEntry[[#This Row],[WkEnd]])</f>
        <v>2019</v>
      </c>
      <c r="S653" s="9">
        <f>WEEKNUM(TimeEntry[[#This Row],[WkEnd]])</f>
        <v>20</v>
      </c>
      <c r="T653" s="9" t="str">
        <f>TimeEntry[[#This Row],[Year]]&amp;"-"&amp;TimeEntry[[#This Row],[WkNo]]</f>
        <v>2019-20</v>
      </c>
    </row>
    <row r="654" spans="1:20" x14ac:dyDescent="0.25">
      <c r="A654" s="6">
        <f>MOD(IF(ROW()=2,0.1,IF(INDEX(TimeEntry[WkEnd],ROW()-1)  =  INDEX(TimeEntry[WkEnd],ROW()-2),    INDEX(TimeEntry[format],ROW()-2),    INDEX(TimeEntry[format],ROW()-2)    +1)),2)</f>
        <v>0.10000000000000009</v>
      </c>
      <c r="B654" s="7"/>
      <c r="C654" s="8">
        <v>43592</v>
      </c>
      <c r="D654" s="8"/>
      <c r="E654" s="1" t="s">
        <v>458</v>
      </c>
      <c r="F654" s="8">
        <f>IF(TimeEntry[[#This Row],[Date]]=0,F653,C654+(7-Q654))</f>
        <v>43597</v>
      </c>
      <c r="G654" s="35" t="str">
        <f>INDEX(projects[Charge_Code],MATCH(TimeEntry[[#This Row],[Project_ID]],projects[Project_ID],0))</f>
        <v>265720-20 VBB - Assessment</v>
      </c>
      <c r="H654" s="1" t="str">
        <f t="shared" si="20"/>
        <v>Normal Time</v>
      </c>
      <c r="I654" s="1"/>
      <c r="J654" s="15">
        <v>7.5</v>
      </c>
      <c r="K654" s="15"/>
      <c r="L654" s="15"/>
      <c r="M654" s="15"/>
      <c r="N654" s="15"/>
      <c r="O654" s="15" t="str">
        <f>INDEX(projects[job number],MATCH(TimeEntry[[#This Row],[Project_ID]], projects[Project_ID],0))</f>
        <v>265720-20</v>
      </c>
      <c r="P654" s="15" t="str">
        <f>INDEX(projects[Project_Name],MATCH(TimeEntry[[#This Row],[Project_ID]], projects[Project_ID],0))</f>
        <v>VBB - Assessment</v>
      </c>
      <c r="Q654" s="6">
        <f>IF(TimeEntry[[#This Row],[Date]]=0,"",WEEKDAY(C654,2))</f>
        <v>2</v>
      </c>
      <c r="R654" s="9">
        <f>YEAR(TimeEntry[[#This Row],[WkEnd]])</f>
        <v>2019</v>
      </c>
      <c r="S654" s="9">
        <f>WEEKNUM(TimeEntry[[#This Row],[WkEnd]])</f>
        <v>20</v>
      </c>
      <c r="T654" s="9" t="str">
        <f>TimeEntry[[#This Row],[Year]]&amp;"-"&amp;TimeEntry[[#This Row],[WkNo]]</f>
        <v>2019-20</v>
      </c>
    </row>
    <row r="655" spans="1:20" x14ac:dyDescent="0.25">
      <c r="A655" s="6">
        <f>MOD(IF(ROW()=2,0.1,IF(INDEX(TimeEntry[WkEnd],ROW()-1)  =  INDEX(TimeEntry[WkEnd],ROW()-2),    INDEX(TimeEntry[format],ROW()-2),    INDEX(TimeEntry[format],ROW()-2)    +1)),2)</f>
        <v>0.10000000000000009</v>
      </c>
      <c r="B655" s="7"/>
      <c r="C655" s="8">
        <v>43593</v>
      </c>
      <c r="D655" s="8"/>
      <c r="E655" s="1" t="s">
        <v>458</v>
      </c>
      <c r="F655" s="8">
        <f>IF(TimeEntry[[#This Row],[Date]]=0,F654,C655+(7-Q655))</f>
        <v>43597</v>
      </c>
      <c r="G655" s="35" t="str">
        <f>INDEX(projects[Charge_Code],MATCH(TimeEntry[[#This Row],[Project_ID]],projects[Project_ID],0))</f>
        <v>265720-20 VBB - Assessment</v>
      </c>
      <c r="H655" s="1" t="str">
        <f t="shared" si="20"/>
        <v>Normal Time</v>
      </c>
      <c r="I655" s="1"/>
      <c r="J655" s="15">
        <v>7.5</v>
      </c>
      <c r="K655" s="15"/>
      <c r="L655" s="15"/>
      <c r="M655" s="15"/>
      <c r="N655" s="15"/>
      <c r="O655" s="15" t="str">
        <f>INDEX(projects[job number],MATCH(TimeEntry[[#This Row],[Project_ID]], projects[Project_ID],0))</f>
        <v>265720-20</v>
      </c>
      <c r="P655" s="15" t="str">
        <f>INDEX(projects[Project_Name],MATCH(TimeEntry[[#This Row],[Project_ID]], projects[Project_ID],0))</f>
        <v>VBB - Assessment</v>
      </c>
      <c r="Q655" s="6">
        <f>IF(TimeEntry[[#This Row],[Date]]=0,"",WEEKDAY(C655,2))</f>
        <v>3</v>
      </c>
      <c r="R655" s="9">
        <f>YEAR(TimeEntry[[#This Row],[WkEnd]])</f>
        <v>2019</v>
      </c>
      <c r="S655" s="9">
        <f>WEEKNUM(TimeEntry[[#This Row],[WkEnd]])</f>
        <v>20</v>
      </c>
      <c r="T655" s="9" t="str">
        <f>TimeEntry[[#This Row],[Year]]&amp;"-"&amp;TimeEntry[[#This Row],[WkNo]]</f>
        <v>2019-20</v>
      </c>
    </row>
    <row r="656" spans="1:20" x14ac:dyDescent="0.25">
      <c r="A656" s="6">
        <f>MOD(IF(ROW()=2,0.1,IF(INDEX(TimeEntry[WkEnd],ROW()-1)  =  INDEX(TimeEntry[WkEnd],ROW()-2),    INDEX(TimeEntry[format],ROW()-2),    INDEX(TimeEntry[format],ROW()-2)    +1)),2)</f>
        <v>0.10000000000000009</v>
      </c>
      <c r="B656" s="7"/>
      <c r="C656" s="8">
        <v>43594</v>
      </c>
      <c r="D656" s="8"/>
      <c r="E656" s="1" t="s">
        <v>458</v>
      </c>
      <c r="F656" s="8">
        <f>IF(TimeEntry[[#This Row],[Date]]=0,F655,C656+(7-Q656))</f>
        <v>43597</v>
      </c>
      <c r="G656" s="35" t="str">
        <f>INDEX(projects[Charge_Code],MATCH(TimeEntry[[#This Row],[Project_ID]],projects[Project_ID],0))</f>
        <v>265720-20 VBB - Assessment</v>
      </c>
      <c r="H656" s="1" t="str">
        <f t="shared" si="20"/>
        <v>Normal Time</v>
      </c>
      <c r="I656" s="1"/>
      <c r="J656" s="15">
        <v>7.5</v>
      </c>
      <c r="K656" s="15"/>
      <c r="L656" s="15"/>
      <c r="M656" s="15"/>
      <c r="N656" s="15"/>
      <c r="O656" s="15" t="str">
        <f>INDEX(projects[job number],MATCH(TimeEntry[[#This Row],[Project_ID]], projects[Project_ID],0))</f>
        <v>265720-20</v>
      </c>
      <c r="P656" s="15" t="str">
        <f>INDEX(projects[Project_Name],MATCH(TimeEntry[[#This Row],[Project_ID]], projects[Project_ID],0))</f>
        <v>VBB - Assessment</v>
      </c>
      <c r="Q656" s="6">
        <f>IF(TimeEntry[[#This Row],[Date]]=0,"",WEEKDAY(C656,2))</f>
        <v>4</v>
      </c>
      <c r="R656" s="9">
        <f>YEAR(TimeEntry[[#This Row],[WkEnd]])</f>
        <v>2019</v>
      </c>
      <c r="S656" s="9">
        <f>WEEKNUM(TimeEntry[[#This Row],[WkEnd]])</f>
        <v>20</v>
      </c>
      <c r="T656" s="9" t="str">
        <f>TimeEntry[[#This Row],[Year]]&amp;"-"&amp;TimeEntry[[#This Row],[WkNo]]</f>
        <v>2019-20</v>
      </c>
    </row>
    <row r="657" spans="1:20" x14ac:dyDescent="0.25">
      <c r="A657" s="6">
        <f>MOD(IF(ROW()=2,0.1,IF(INDEX(TimeEntry[WkEnd],ROW()-1)  =  INDEX(TimeEntry[WkEnd],ROW()-2),    INDEX(TimeEntry[format],ROW()-2),    INDEX(TimeEntry[format],ROW()-2)    +1)),2)</f>
        <v>0.10000000000000009</v>
      </c>
      <c r="B657" s="7"/>
      <c r="C657" s="8">
        <v>43595</v>
      </c>
      <c r="D657" s="8"/>
      <c r="E657" s="1" t="s">
        <v>455</v>
      </c>
      <c r="F657" s="8">
        <f>IF(TimeEntry[[#This Row],[Date]]=0,F656,C657+(7-Q657))</f>
        <v>43597</v>
      </c>
      <c r="G657" s="35" t="str">
        <f>INDEX(projects[Charge_Code],MATCH(TimeEntry[[#This Row],[Project_ID]],projects[Project_ID],0))</f>
        <v>255375-00 M25 West MSA</v>
      </c>
      <c r="H657" s="1" t="str">
        <f t="shared" si="20"/>
        <v>Normal Time</v>
      </c>
      <c r="I657" s="1"/>
      <c r="J657" s="15">
        <v>7.5</v>
      </c>
      <c r="K657" s="15"/>
      <c r="L657" s="15"/>
      <c r="M657" s="15"/>
      <c r="N657" s="15"/>
      <c r="O657" s="15" t="str">
        <f>INDEX(projects[job number],MATCH(TimeEntry[[#This Row],[Project_ID]], projects[Project_ID],0))</f>
        <v>255375-00</v>
      </c>
      <c r="P657" s="15" t="str">
        <f>INDEX(projects[Project_Name],MATCH(TimeEntry[[#This Row],[Project_ID]], projects[Project_ID],0))</f>
        <v>M25 West MSA</v>
      </c>
      <c r="Q657" s="6">
        <f>IF(TimeEntry[[#This Row],[Date]]=0,"",WEEKDAY(C657,2))</f>
        <v>5</v>
      </c>
      <c r="R657" s="9">
        <f>YEAR(TimeEntry[[#This Row],[WkEnd]])</f>
        <v>2019</v>
      </c>
      <c r="S657" s="9">
        <f>WEEKNUM(TimeEntry[[#This Row],[WkEnd]])</f>
        <v>20</v>
      </c>
      <c r="T657" s="9" t="str">
        <f>TimeEntry[[#This Row],[Year]]&amp;"-"&amp;TimeEntry[[#This Row],[WkNo]]</f>
        <v>2019-20</v>
      </c>
    </row>
    <row r="658" spans="1:20" x14ac:dyDescent="0.25">
      <c r="A658" s="6">
        <f>MOD(IF(ROW()=2,0.1,IF(INDEX(TimeEntry[WkEnd],ROW()-1)  =  INDEX(TimeEntry[WkEnd],ROW()-2),    INDEX(TimeEntry[format],ROW()-2),    INDEX(TimeEntry[format],ROW()-2)    +1)),2)</f>
        <v>1.1000000000000001</v>
      </c>
      <c r="B658" s="7"/>
      <c r="C658" s="8">
        <v>43584</v>
      </c>
      <c r="D658" s="8"/>
      <c r="E658" s="1" t="s">
        <v>462</v>
      </c>
      <c r="F658" s="8">
        <f>IF(TimeEntry[[#This Row],[Date]]=0,F657,C658+(7-Q658))</f>
        <v>43590</v>
      </c>
      <c r="G658" s="35" t="str">
        <f>INDEX(projects[Charge_Code],MATCH(TimeEntry[[#This Row],[Project_ID]],projects[Project_ID],0))</f>
        <v>265720-10 VBB - Design Basis</v>
      </c>
      <c r="H658" s="1" t="str">
        <f t="shared" si="20"/>
        <v>Normal Time</v>
      </c>
      <c r="I658" s="1"/>
      <c r="J658" s="15">
        <v>7.5</v>
      </c>
      <c r="K658" s="15"/>
      <c r="L658" s="15"/>
      <c r="M658" s="15"/>
      <c r="N658" s="15"/>
      <c r="O658" s="15" t="str">
        <f>INDEX(projects[job number],MATCH(TimeEntry[[#This Row],[Project_ID]], projects[Project_ID],0))</f>
        <v>265720-10</v>
      </c>
      <c r="P658" s="15" t="str">
        <f>INDEX(projects[Project_Name],MATCH(TimeEntry[[#This Row],[Project_ID]], projects[Project_ID],0))</f>
        <v>VBB - Design Basis</v>
      </c>
      <c r="Q658" s="6">
        <f>IF(TimeEntry[[#This Row],[Date]]=0,"",WEEKDAY(C658,2))</f>
        <v>1</v>
      </c>
      <c r="R658" s="9">
        <f>YEAR(TimeEntry[[#This Row],[WkEnd]])</f>
        <v>2019</v>
      </c>
      <c r="S658" s="9">
        <f>WEEKNUM(TimeEntry[[#This Row],[WkEnd]])</f>
        <v>19</v>
      </c>
      <c r="T658" s="9" t="str">
        <f>TimeEntry[[#This Row],[Year]]&amp;"-"&amp;TimeEntry[[#This Row],[WkNo]]</f>
        <v>2019-19</v>
      </c>
    </row>
    <row r="659" spans="1:20" x14ac:dyDescent="0.25">
      <c r="A659" s="6">
        <f>MOD(IF(ROW()=2,0.1,IF(INDEX(TimeEntry[WkEnd],ROW()-1)  =  INDEX(TimeEntry[WkEnd],ROW()-2),    INDEX(TimeEntry[format],ROW()-2),    INDEX(TimeEntry[format],ROW()-2)    +1)),2)</f>
        <v>1.1000000000000001</v>
      </c>
      <c r="B659" s="7"/>
      <c r="C659" s="8">
        <v>43585</v>
      </c>
      <c r="D659" s="8"/>
      <c r="E659" s="1" t="s">
        <v>462</v>
      </c>
      <c r="F659" s="8">
        <f>IF(TimeEntry[[#This Row],[Date]]=0,F658,C659+(7-Q659))</f>
        <v>43590</v>
      </c>
      <c r="G659" s="35" t="str">
        <f>INDEX(projects[Charge_Code],MATCH(TimeEntry[[#This Row],[Project_ID]],projects[Project_ID],0))</f>
        <v>265720-10 VBB - Design Basis</v>
      </c>
      <c r="H659" s="1" t="str">
        <f t="shared" si="20"/>
        <v>Normal Time</v>
      </c>
      <c r="I659" s="1"/>
      <c r="J659" s="15">
        <v>7.5</v>
      </c>
      <c r="K659" s="15"/>
      <c r="L659" s="15"/>
      <c r="M659" s="15"/>
      <c r="N659" s="15"/>
      <c r="O659" s="15" t="str">
        <f>INDEX(projects[job number],MATCH(TimeEntry[[#This Row],[Project_ID]], projects[Project_ID],0))</f>
        <v>265720-10</v>
      </c>
      <c r="P659" s="15" t="str">
        <f>INDEX(projects[Project_Name],MATCH(TimeEntry[[#This Row],[Project_ID]], projects[Project_ID],0))</f>
        <v>VBB - Design Basis</v>
      </c>
      <c r="Q659" s="6">
        <f>IF(TimeEntry[[#This Row],[Date]]=0,"",WEEKDAY(C659,2))</f>
        <v>2</v>
      </c>
      <c r="R659" s="9">
        <f>YEAR(TimeEntry[[#This Row],[WkEnd]])</f>
        <v>2019</v>
      </c>
      <c r="S659" s="9">
        <f>WEEKNUM(TimeEntry[[#This Row],[WkEnd]])</f>
        <v>19</v>
      </c>
      <c r="T659" s="9" t="str">
        <f>TimeEntry[[#This Row],[Year]]&amp;"-"&amp;TimeEntry[[#This Row],[WkNo]]</f>
        <v>2019-19</v>
      </c>
    </row>
    <row r="660" spans="1:20" x14ac:dyDescent="0.25">
      <c r="A660" s="6">
        <f>MOD(IF(ROW()=2,0.1,IF(INDEX(TimeEntry[WkEnd],ROW()-1)  =  INDEX(TimeEntry[WkEnd],ROW()-2),    INDEX(TimeEntry[format],ROW()-2),    INDEX(TimeEntry[format],ROW()-2)    +1)),2)</f>
        <v>1.1000000000000001</v>
      </c>
      <c r="B660" s="7"/>
      <c r="C660" s="8">
        <v>43586</v>
      </c>
      <c r="D660" s="8"/>
      <c r="E660" s="1" t="s">
        <v>462</v>
      </c>
      <c r="F660" s="8">
        <f>IF(TimeEntry[[#This Row],[Date]]=0,F659,C660+(7-Q660))</f>
        <v>43590</v>
      </c>
      <c r="G660" s="35" t="str">
        <f>INDEX(projects[Charge_Code],MATCH(TimeEntry[[#This Row],[Project_ID]],projects[Project_ID],0))</f>
        <v>265720-10 VBB - Design Basis</v>
      </c>
      <c r="H660" s="1" t="str">
        <f t="shared" si="20"/>
        <v>Normal Time</v>
      </c>
      <c r="I660" s="1"/>
      <c r="J660" s="15">
        <v>7.5</v>
      </c>
      <c r="K660" s="15"/>
      <c r="L660" s="15"/>
      <c r="M660" s="15"/>
      <c r="N660" s="15"/>
      <c r="O660" s="15" t="str">
        <f>INDEX(projects[job number],MATCH(TimeEntry[[#This Row],[Project_ID]], projects[Project_ID],0))</f>
        <v>265720-10</v>
      </c>
      <c r="P660" s="15" t="str">
        <f>INDEX(projects[Project_Name],MATCH(TimeEntry[[#This Row],[Project_ID]], projects[Project_ID],0))</f>
        <v>VBB - Design Basis</v>
      </c>
      <c r="Q660" s="6">
        <f>IF(TimeEntry[[#This Row],[Date]]=0,"",WEEKDAY(C660,2))</f>
        <v>3</v>
      </c>
      <c r="R660" s="9">
        <f>YEAR(TimeEntry[[#This Row],[WkEnd]])</f>
        <v>2019</v>
      </c>
      <c r="S660" s="9">
        <f>WEEKNUM(TimeEntry[[#This Row],[WkEnd]])</f>
        <v>19</v>
      </c>
      <c r="T660" s="9" t="str">
        <f>TimeEntry[[#This Row],[Year]]&amp;"-"&amp;TimeEntry[[#This Row],[WkNo]]</f>
        <v>2019-19</v>
      </c>
    </row>
    <row r="661" spans="1:20" x14ac:dyDescent="0.25">
      <c r="A661" s="6">
        <f>MOD(IF(ROW()=2,0.1,IF(INDEX(TimeEntry[WkEnd],ROW()-1)  =  INDEX(TimeEntry[WkEnd],ROW()-2),    INDEX(TimeEntry[format],ROW()-2),    INDEX(TimeEntry[format],ROW()-2)    +1)),2)</f>
        <v>1.1000000000000001</v>
      </c>
      <c r="B661" s="7"/>
      <c r="C661" s="8">
        <v>43587</v>
      </c>
      <c r="D661" s="8"/>
      <c r="E661" s="1" t="s">
        <v>458</v>
      </c>
      <c r="F661" s="8">
        <f>IF(TimeEntry[[#This Row],[Date]]=0,F660,C661+(7-Q661))</f>
        <v>43590</v>
      </c>
      <c r="G661" s="35" t="str">
        <f>INDEX(projects[Charge_Code],MATCH(TimeEntry[[#This Row],[Project_ID]],projects[Project_ID],0))</f>
        <v>265720-20 VBB - Assessment</v>
      </c>
      <c r="H661" s="1" t="str">
        <f t="shared" si="20"/>
        <v>Normal Time</v>
      </c>
      <c r="I661" s="1"/>
      <c r="J661" s="15">
        <v>3.75</v>
      </c>
      <c r="K661" s="15"/>
      <c r="L661" s="15"/>
      <c r="M661" s="15"/>
      <c r="N661" s="15"/>
      <c r="O661" s="15" t="str">
        <f>INDEX(projects[job number],MATCH(TimeEntry[[#This Row],[Project_ID]], projects[Project_ID],0))</f>
        <v>265720-20</v>
      </c>
      <c r="P661" s="15" t="str">
        <f>INDEX(projects[Project_Name],MATCH(TimeEntry[[#This Row],[Project_ID]], projects[Project_ID],0))</f>
        <v>VBB - Assessment</v>
      </c>
      <c r="Q661" s="6">
        <f>IF(TimeEntry[[#This Row],[Date]]=0,"",WEEKDAY(C661,2))</f>
        <v>4</v>
      </c>
      <c r="R661" s="9">
        <f>YEAR(TimeEntry[[#This Row],[WkEnd]])</f>
        <v>2019</v>
      </c>
      <c r="S661" s="9">
        <f>WEEKNUM(TimeEntry[[#This Row],[WkEnd]])</f>
        <v>19</v>
      </c>
      <c r="T661" s="9" t="str">
        <f>TimeEntry[[#This Row],[Year]]&amp;"-"&amp;TimeEntry[[#This Row],[WkNo]]</f>
        <v>2019-19</v>
      </c>
    </row>
    <row r="662" spans="1:20" x14ac:dyDescent="0.25">
      <c r="A662" s="6">
        <f>MOD(IF(ROW()=2,0.1,IF(INDEX(TimeEntry[WkEnd],ROW()-1)  =  INDEX(TimeEntry[WkEnd],ROW()-2),    INDEX(TimeEntry[format],ROW()-2),    INDEX(TimeEntry[format],ROW()-2)    +1)),2)</f>
        <v>1.1000000000000001</v>
      </c>
      <c r="B662" s="7"/>
      <c r="C662" s="8">
        <v>43587</v>
      </c>
      <c r="D662" s="8"/>
      <c r="E662" s="1" t="s">
        <v>462</v>
      </c>
      <c r="F662" s="8">
        <f>IF(TimeEntry[[#This Row],[Date]]=0,F661,C662+(7-Q662))</f>
        <v>43590</v>
      </c>
      <c r="G662" s="35" t="str">
        <f>INDEX(projects[Charge_Code],MATCH(TimeEntry[[#This Row],[Project_ID]],projects[Project_ID],0))</f>
        <v>265720-10 VBB - Design Basis</v>
      </c>
      <c r="H662" s="1" t="str">
        <f t="shared" si="20"/>
        <v>Normal Time</v>
      </c>
      <c r="I662" s="1"/>
      <c r="J662" s="15">
        <v>3.75</v>
      </c>
      <c r="K662" s="15"/>
      <c r="L662" s="15"/>
      <c r="M662" s="15"/>
      <c r="N662" s="15"/>
      <c r="O662" s="15" t="str">
        <f>INDEX(projects[job number],MATCH(TimeEntry[[#This Row],[Project_ID]], projects[Project_ID],0))</f>
        <v>265720-10</v>
      </c>
      <c r="P662" s="15" t="str">
        <f>INDEX(projects[Project_Name],MATCH(TimeEntry[[#This Row],[Project_ID]], projects[Project_ID],0))</f>
        <v>VBB - Design Basis</v>
      </c>
      <c r="Q662" s="6">
        <f>IF(TimeEntry[[#This Row],[Date]]=0,"",WEEKDAY(C662,2))</f>
        <v>4</v>
      </c>
      <c r="R662" s="9">
        <f>YEAR(TimeEntry[[#This Row],[WkEnd]])</f>
        <v>2019</v>
      </c>
      <c r="S662" s="9">
        <f>WEEKNUM(TimeEntry[[#This Row],[WkEnd]])</f>
        <v>19</v>
      </c>
      <c r="T662" s="9" t="str">
        <f>TimeEntry[[#This Row],[Year]]&amp;"-"&amp;TimeEntry[[#This Row],[WkNo]]</f>
        <v>2019-19</v>
      </c>
    </row>
    <row r="663" spans="1:20" x14ac:dyDescent="0.25">
      <c r="A663" s="6">
        <f>MOD(IF(ROW()=2,0.1,IF(INDEX(TimeEntry[WkEnd],ROW()-1)  =  INDEX(TimeEntry[WkEnd],ROW()-2),    INDEX(TimeEntry[format],ROW()-2),    INDEX(TimeEntry[format],ROW()-2)    +1)),2)</f>
        <v>1.1000000000000001</v>
      </c>
      <c r="B663" s="7"/>
      <c r="C663" s="8">
        <v>43588</v>
      </c>
      <c r="D663" s="8"/>
      <c r="E663" s="1" t="s">
        <v>444</v>
      </c>
      <c r="F663" s="8">
        <f>IF(TimeEntry[[#This Row],[Date]]=0,F662,C663+(7-Q663))</f>
        <v>43590</v>
      </c>
      <c r="G663" s="35" t="str">
        <f>INDEX(projects[Charge_Code],MATCH(TimeEntry[[#This Row],[Project_ID]],projects[Project_ID],0))</f>
        <v>LEAVE</v>
      </c>
      <c r="H663" s="1" t="str">
        <f t="shared" si="20"/>
        <v>Normal Time</v>
      </c>
      <c r="I663" s="1"/>
      <c r="J663" s="15">
        <v>3.75</v>
      </c>
      <c r="K663" s="15"/>
      <c r="L663" s="15"/>
      <c r="M663" s="15"/>
      <c r="N663" s="15"/>
      <c r="O663" s="15" t="str">
        <f>INDEX(projects[job number],MATCH(TimeEntry[[#This Row],[Project_ID]], projects[Project_ID],0))</f>
        <v>LEAVE</v>
      </c>
      <c r="P663" s="15">
        <f>INDEX(projects[Project_Name],MATCH(TimeEntry[[#This Row],[Project_ID]], projects[Project_ID],0))</f>
        <v>0</v>
      </c>
      <c r="Q663" s="6">
        <f>IF(TimeEntry[[#This Row],[Date]]=0,"",WEEKDAY(C663,2))</f>
        <v>5</v>
      </c>
      <c r="R663" s="9">
        <f>YEAR(TimeEntry[[#This Row],[WkEnd]])</f>
        <v>2019</v>
      </c>
      <c r="S663" s="9">
        <f>WEEKNUM(TimeEntry[[#This Row],[WkEnd]])</f>
        <v>19</v>
      </c>
      <c r="T663" s="9" t="str">
        <f>TimeEntry[[#This Row],[Year]]&amp;"-"&amp;TimeEntry[[#This Row],[WkNo]]</f>
        <v>2019-19</v>
      </c>
    </row>
    <row r="664" spans="1:20" x14ac:dyDescent="0.25">
      <c r="A664" s="6">
        <f>MOD(IF(ROW()=2,0.1,IF(INDEX(TimeEntry[WkEnd],ROW()-1)  =  INDEX(TimeEntry[WkEnd],ROW()-2),    INDEX(TimeEntry[format],ROW()-2),    INDEX(TimeEntry[format],ROW()-2)    +1)),2)</f>
        <v>1.1000000000000001</v>
      </c>
      <c r="B664" s="7"/>
      <c r="C664" s="8">
        <v>43588</v>
      </c>
      <c r="D664" s="8"/>
      <c r="E664" s="1" t="s">
        <v>462</v>
      </c>
      <c r="F664" s="8">
        <f>IF(TimeEntry[[#This Row],[Date]]=0,F663,C664+(7-Q664))</f>
        <v>43590</v>
      </c>
      <c r="G664" s="35" t="str">
        <f>INDEX(projects[Charge_Code],MATCH(TimeEntry[[#This Row],[Project_ID]],projects[Project_ID],0))</f>
        <v>265720-10 VBB - Design Basis</v>
      </c>
      <c r="H664" s="1" t="str">
        <f t="shared" si="20"/>
        <v>Normal Time</v>
      </c>
      <c r="I664" s="1"/>
      <c r="J664" s="15">
        <v>3.75</v>
      </c>
      <c r="K664" s="15"/>
      <c r="L664" s="15"/>
      <c r="M664" s="15"/>
      <c r="N664" s="15"/>
      <c r="O664" s="15" t="str">
        <f>INDEX(projects[job number],MATCH(TimeEntry[[#This Row],[Project_ID]], projects[Project_ID],0))</f>
        <v>265720-10</v>
      </c>
      <c r="P664" s="15" t="str">
        <f>INDEX(projects[Project_Name],MATCH(TimeEntry[[#This Row],[Project_ID]], projects[Project_ID],0))</f>
        <v>VBB - Design Basis</v>
      </c>
      <c r="Q664" s="6">
        <f>IF(TimeEntry[[#This Row],[Date]]=0,"",WEEKDAY(C664,2))</f>
        <v>5</v>
      </c>
      <c r="R664" s="9">
        <f>YEAR(TimeEntry[[#This Row],[WkEnd]])</f>
        <v>2019</v>
      </c>
      <c r="S664" s="9">
        <f>WEEKNUM(TimeEntry[[#This Row],[WkEnd]])</f>
        <v>19</v>
      </c>
      <c r="T664" s="9" t="str">
        <f>TimeEntry[[#This Row],[Year]]&amp;"-"&amp;TimeEntry[[#This Row],[WkNo]]</f>
        <v>2019-19</v>
      </c>
    </row>
    <row r="665" spans="1:20" x14ac:dyDescent="0.25">
      <c r="A665" s="6">
        <f>MOD(IF(ROW()=2,0.1,IF(INDEX(TimeEntry[WkEnd],ROW()-1)  =  INDEX(TimeEntry[WkEnd],ROW()-2),    INDEX(TimeEntry[format],ROW()-2),    INDEX(TimeEntry[format],ROW()-2)    +1)),2)</f>
        <v>0.10000000000000009</v>
      </c>
      <c r="B665" s="7"/>
      <c r="C665" s="8">
        <v>43577</v>
      </c>
      <c r="D665" s="8"/>
      <c r="E665" s="1" t="s">
        <v>449</v>
      </c>
      <c r="F665" s="8">
        <f>IF(TimeEntry[[#This Row],[Date]]=0,F664,C665+(7-Q665))</f>
        <v>43583</v>
      </c>
      <c r="G665" s="35" t="str">
        <f>INDEX(projects[Charge_Code],MATCH(TimeEntry[[#This Row],[Project_ID]],projects[Project_ID],0))</f>
        <v>BANK HOLIDAY Bank Holiday</v>
      </c>
      <c r="H665" s="1" t="str">
        <f t="shared" si="20"/>
        <v>Normal Time</v>
      </c>
      <c r="I665" s="1"/>
      <c r="J665" s="15">
        <v>7.5</v>
      </c>
      <c r="K665" s="15"/>
      <c r="L665" s="15"/>
      <c r="M665" s="15"/>
      <c r="N665" s="15"/>
      <c r="O665" s="15" t="str">
        <f>INDEX(projects[job number],MATCH(TimeEntry[[#This Row],[Project_ID]], projects[Project_ID],0))</f>
        <v>BANK HOLIDAY</v>
      </c>
      <c r="P665" s="15" t="str">
        <f>INDEX(projects[Project_Name],MATCH(TimeEntry[[#This Row],[Project_ID]], projects[Project_ID],0))</f>
        <v>Bank Holiday</v>
      </c>
      <c r="Q665" s="6">
        <f>IF(TimeEntry[[#This Row],[Date]]=0,"",WEEKDAY(C665,2))</f>
        <v>1</v>
      </c>
      <c r="R665" s="9">
        <f>YEAR(TimeEntry[[#This Row],[WkEnd]])</f>
        <v>2019</v>
      </c>
      <c r="S665" s="9">
        <f>WEEKNUM(TimeEntry[[#This Row],[WkEnd]])</f>
        <v>18</v>
      </c>
      <c r="T665" s="9" t="str">
        <f>TimeEntry[[#This Row],[Year]]&amp;"-"&amp;TimeEntry[[#This Row],[WkNo]]</f>
        <v>2019-18</v>
      </c>
    </row>
    <row r="666" spans="1:20" x14ac:dyDescent="0.25">
      <c r="A666" s="6">
        <f>MOD(IF(ROW()=2,0.1,IF(INDEX(TimeEntry[WkEnd],ROW()-1)  =  INDEX(TimeEntry[WkEnd],ROW()-2),    INDEX(TimeEntry[format],ROW()-2),    INDEX(TimeEntry[format],ROW()-2)    +1)),2)</f>
        <v>0.10000000000000009</v>
      </c>
      <c r="B666" s="7"/>
      <c r="C666" s="8">
        <v>43578</v>
      </c>
      <c r="D666" s="8"/>
      <c r="E666" s="1" t="s">
        <v>462</v>
      </c>
      <c r="F666" s="8">
        <f>IF(TimeEntry[[#This Row],[Date]]=0,F665,C666+(7-Q666))</f>
        <v>43583</v>
      </c>
      <c r="G666" s="35" t="str">
        <f>INDEX(projects[Charge_Code],MATCH(TimeEntry[[#This Row],[Project_ID]],projects[Project_ID],0))</f>
        <v>265720-10 VBB - Design Basis</v>
      </c>
      <c r="H666" s="1" t="str">
        <f t="shared" si="20"/>
        <v>Normal Time</v>
      </c>
      <c r="I666" s="1"/>
      <c r="J666" s="15">
        <v>7.5</v>
      </c>
      <c r="K666" s="15"/>
      <c r="L666" s="15"/>
      <c r="M666" s="15"/>
      <c r="N666" s="15"/>
      <c r="O666" s="15" t="str">
        <f>INDEX(projects[job number],MATCH(TimeEntry[[#This Row],[Project_ID]], projects[Project_ID],0))</f>
        <v>265720-10</v>
      </c>
      <c r="P666" s="15" t="str">
        <f>INDEX(projects[Project_Name],MATCH(TimeEntry[[#This Row],[Project_ID]], projects[Project_ID],0))</f>
        <v>VBB - Design Basis</v>
      </c>
      <c r="Q666" s="6">
        <f>IF(TimeEntry[[#This Row],[Date]]=0,"",WEEKDAY(C666,2))</f>
        <v>2</v>
      </c>
      <c r="R666" s="9">
        <f>YEAR(TimeEntry[[#This Row],[WkEnd]])</f>
        <v>2019</v>
      </c>
      <c r="S666" s="9">
        <f>WEEKNUM(TimeEntry[[#This Row],[WkEnd]])</f>
        <v>18</v>
      </c>
      <c r="T666" s="9" t="str">
        <f>TimeEntry[[#This Row],[Year]]&amp;"-"&amp;TimeEntry[[#This Row],[WkNo]]</f>
        <v>2019-18</v>
      </c>
    </row>
    <row r="667" spans="1:20" x14ac:dyDescent="0.25">
      <c r="A667" s="6">
        <f>MOD(IF(ROW()=2,0.1,IF(INDEX(TimeEntry[WkEnd],ROW()-1)  =  INDEX(TimeEntry[WkEnd],ROW()-2),    INDEX(TimeEntry[format],ROW()-2),    INDEX(TimeEntry[format],ROW()-2)    +1)),2)</f>
        <v>0.10000000000000009</v>
      </c>
      <c r="B667" s="7"/>
      <c r="C667" s="8">
        <v>43579</v>
      </c>
      <c r="D667" s="8"/>
      <c r="E667" s="1" t="s">
        <v>462</v>
      </c>
      <c r="F667" s="8">
        <f>IF(TimeEntry[[#This Row],[Date]]=0,F666,C667+(7-Q667))</f>
        <v>43583</v>
      </c>
      <c r="G667" s="35" t="str">
        <f>INDEX(projects[Charge_Code],MATCH(TimeEntry[[#This Row],[Project_ID]],projects[Project_ID],0))</f>
        <v>265720-10 VBB - Design Basis</v>
      </c>
      <c r="H667" s="1" t="str">
        <f t="shared" si="20"/>
        <v>Normal Time</v>
      </c>
      <c r="I667" s="1"/>
      <c r="J667" s="15">
        <v>7.5</v>
      </c>
      <c r="K667" s="15"/>
      <c r="L667" s="15"/>
      <c r="M667" s="15"/>
      <c r="N667" s="15"/>
      <c r="O667" s="15" t="str">
        <f>INDEX(projects[job number],MATCH(TimeEntry[[#This Row],[Project_ID]], projects[Project_ID],0))</f>
        <v>265720-10</v>
      </c>
      <c r="P667" s="15" t="str">
        <f>INDEX(projects[Project_Name],MATCH(TimeEntry[[#This Row],[Project_ID]], projects[Project_ID],0))</f>
        <v>VBB - Design Basis</v>
      </c>
      <c r="Q667" s="6">
        <f>IF(TimeEntry[[#This Row],[Date]]=0,"",WEEKDAY(C667,2))</f>
        <v>3</v>
      </c>
      <c r="R667" s="9">
        <f>YEAR(TimeEntry[[#This Row],[WkEnd]])</f>
        <v>2019</v>
      </c>
      <c r="S667" s="9">
        <f>WEEKNUM(TimeEntry[[#This Row],[WkEnd]])</f>
        <v>18</v>
      </c>
      <c r="T667" s="9" t="str">
        <f>TimeEntry[[#This Row],[Year]]&amp;"-"&amp;TimeEntry[[#This Row],[WkNo]]</f>
        <v>2019-18</v>
      </c>
    </row>
    <row r="668" spans="1:20" x14ac:dyDescent="0.25">
      <c r="A668" s="6">
        <f>MOD(IF(ROW()=2,0.1,IF(INDEX(TimeEntry[WkEnd],ROW()-1)  =  INDEX(TimeEntry[WkEnd],ROW()-2),    INDEX(TimeEntry[format],ROW()-2),    INDEX(TimeEntry[format],ROW()-2)    +1)),2)</f>
        <v>0.10000000000000009</v>
      </c>
      <c r="B668" s="7"/>
      <c r="C668" s="8">
        <v>43580</v>
      </c>
      <c r="D668" s="8"/>
      <c r="E668" s="1" t="s">
        <v>462</v>
      </c>
      <c r="F668" s="8">
        <f>IF(TimeEntry[[#This Row],[Date]]=0,F667,C668+(7-Q668))</f>
        <v>43583</v>
      </c>
      <c r="G668" s="35" t="str">
        <f>INDEX(projects[Charge_Code],MATCH(TimeEntry[[#This Row],[Project_ID]],projects[Project_ID],0))</f>
        <v>265720-10 VBB - Design Basis</v>
      </c>
      <c r="H668" s="1" t="str">
        <f t="shared" si="20"/>
        <v>Normal Time</v>
      </c>
      <c r="I668" s="1"/>
      <c r="J668" s="15">
        <v>3.75</v>
      </c>
      <c r="K668" s="15"/>
      <c r="L668" s="15"/>
      <c r="M668" s="15"/>
      <c r="N668" s="15"/>
      <c r="O668" s="15" t="str">
        <f>INDEX(projects[job number],MATCH(TimeEntry[[#This Row],[Project_ID]], projects[Project_ID],0))</f>
        <v>265720-10</v>
      </c>
      <c r="P668" s="15" t="str">
        <f>INDEX(projects[Project_Name],MATCH(TimeEntry[[#This Row],[Project_ID]], projects[Project_ID],0))</f>
        <v>VBB - Design Basis</v>
      </c>
      <c r="Q668" s="6">
        <f>IF(TimeEntry[[#This Row],[Date]]=0,"",WEEKDAY(C668,2))</f>
        <v>4</v>
      </c>
      <c r="R668" s="9">
        <f>YEAR(TimeEntry[[#This Row],[WkEnd]])</f>
        <v>2019</v>
      </c>
      <c r="S668" s="9">
        <f>WEEKNUM(TimeEntry[[#This Row],[WkEnd]])</f>
        <v>18</v>
      </c>
      <c r="T668" s="9" t="str">
        <f>TimeEntry[[#This Row],[Year]]&amp;"-"&amp;TimeEntry[[#This Row],[WkNo]]</f>
        <v>2019-18</v>
      </c>
    </row>
    <row r="669" spans="1:20" x14ac:dyDescent="0.25">
      <c r="A669" s="6">
        <f>MOD(IF(ROW()=2,0.1,IF(INDEX(TimeEntry[WkEnd],ROW()-1)  =  INDEX(TimeEntry[WkEnd],ROW()-2),    INDEX(TimeEntry[format],ROW()-2),    INDEX(TimeEntry[format],ROW()-2)    +1)),2)</f>
        <v>0.10000000000000009</v>
      </c>
      <c r="B669" s="7"/>
      <c r="C669" s="8">
        <v>43580</v>
      </c>
      <c r="D669" s="8"/>
      <c r="E669" s="1" t="s">
        <v>458</v>
      </c>
      <c r="F669" s="8">
        <f>IF(TimeEntry[[#This Row],[Date]]=0,F668,C669+(7-Q669))</f>
        <v>43583</v>
      </c>
      <c r="G669" s="35" t="str">
        <f>INDEX(projects[Charge_Code],MATCH(TimeEntry[[#This Row],[Project_ID]],projects[Project_ID],0))</f>
        <v>265720-20 VBB - Assessment</v>
      </c>
      <c r="H669" s="1" t="str">
        <f t="shared" si="20"/>
        <v>Normal Time</v>
      </c>
      <c r="I669" s="1"/>
      <c r="J669" s="15">
        <v>3.75</v>
      </c>
      <c r="K669" s="15"/>
      <c r="L669" s="15"/>
      <c r="M669" s="15"/>
      <c r="N669" s="15"/>
      <c r="O669" s="15" t="str">
        <f>INDEX(projects[job number],MATCH(TimeEntry[[#This Row],[Project_ID]], projects[Project_ID],0))</f>
        <v>265720-20</v>
      </c>
      <c r="P669" s="15" t="str">
        <f>INDEX(projects[Project_Name],MATCH(TimeEntry[[#This Row],[Project_ID]], projects[Project_ID],0))</f>
        <v>VBB - Assessment</v>
      </c>
      <c r="Q669" s="6">
        <f>IF(TimeEntry[[#This Row],[Date]]=0,"",WEEKDAY(C669,2))</f>
        <v>4</v>
      </c>
      <c r="R669" s="9">
        <f>YEAR(TimeEntry[[#This Row],[WkEnd]])</f>
        <v>2019</v>
      </c>
      <c r="S669" s="9">
        <f>WEEKNUM(TimeEntry[[#This Row],[WkEnd]])</f>
        <v>18</v>
      </c>
      <c r="T669" s="9" t="str">
        <f>TimeEntry[[#This Row],[Year]]&amp;"-"&amp;TimeEntry[[#This Row],[WkNo]]</f>
        <v>2019-18</v>
      </c>
    </row>
    <row r="670" spans="1:20" x14ac:dyDescent="0.25">
      <c r="A670" s="6">
        <f>MOD(IF(ROW()=2,0.1,IF(INDEX(TimeEntry[WkEnd],ROW()-1)  =  INDEX(TimeEntry[WkEnd],ROW()-2),    INDEX(TimeEntry[format],ROW()-2),    INDEX(TimeEntry[format],ROW()-2)    +1)),2)</f>
        <v>0.10000000000000009</v>
      </c>
      <c r="B670" s="7"/>
      <c r="C670" s="8">
        <v>43581</v>
      </c>
      <c r="D670" s="8"/>
      <c r="E670" s="1" t="s">
        <v>458</v>
      </c>
      <c r="F670" s="8">
        <f>IF(TimeEntry[[#This Row],[Date]]=0,F669,C670+(7-Q670))</f>
        <v>43583</v>
      </c>
      <c r="G670" s="35" t="str">
        <f>INDEX(projects[Charge_Code],MATCH(TimeEntry[[#This Row],[Project_ID]],projects[Project_ID],0))</f>
        <v>265720-20 VBB - Assessment</v>
      </c>
      <c r="H670" s="1" t="str">
        <f t="shared" si="20"/>
        <v>Normal Time</v>
      </c>
      <c r="I670" s="1"/>
      <c r="J670" s="15">
        <v>3.75</v>
      </c>
      <c r="K670" s="15"/>
      <c r="L670" s="15"/>
      <c r="M670" s="15"/>
      <c r="N670" s="15"/>
      <c r="O670" s="15" t="str">
        <f>INDEX(projects[job number],MATCH(TimeEntry[[#This Row],[Project_ID]], projects[Project_ID],0))</f>
        <v>265720-20</v>
      </c>
      <c r="P670" s="15" t="str">
        <f>INDEX(projects[Project_Name],MATCH(TimeEntry[[#This Row],[Project_ID]], projects[Project_ID],0))</f>
        <v>VBB - Assessment</v>
      </c>
      <c r="Q670" s="6">
        <f>IF(TimeEntry[[#This Row],[Date]]=0,"",WEEKDAY(C670,2))</f>
        <v>5</v>
      </c>
      <c r="R670" s="9">
        <f>YEAR(TimeEntry[[#This Row],[WkEnd]])</f>
        <v>2019</v>
      </c>
      <c r="S670" s="9">
        <f>WEEKNUM(TimeEntry[[#This Row],[WkEnd]])</f>
        <v>18</v>
      </c>
      <c r="T670" s="9" t="str">
        <f>TimeEntry[[#This Row],[Year]]&amp;"-"&amp;TimeEntry[[#This Row],[WkNo]]</f>
        <v>2019-18</v>
      </c>
    </row>
    <row r="671" spans="1:20" x14ac:dyDescent="0.25">
      <c r="A671" s="6">
        <f>MOD(IF(ROW()=2,0.1,IF(INDEX(TimeEntry[WkEnd],ROW()-1)  =  INDEX(TimeEntry[WkEnd],ROW()-2),    INDEX(TimeEntry[format],ROW()-2),    INDEX(TimeEntry[format],ROW()-2)    +1)),2)</f>
        <v>0.10000000000000009</v>
      </c>
      <c r="B671" s="7"/>
      <c r="C671" s="8">
        <v>43581</v>
      </c>
      <c r="D671" s="8"/>
      <c r="E671" s="1" t="s">
        <v>458</v>
      </c>
      <c r="F671" s="8">
        <f>IF(TimeEntry[[#This Row],[Date]]=0,F670,C671+(7-Q671))</f>
        <v>43583</v>
      </c>
      <c r="G671" s="35" t="str">
        <f>INDEX(projects[Charge_Code],MATCH(TimeEntry[[#This Row],[Project_ID]],projects[Project_ID],0))</f>
        <v>265720-20 VBB - Assessment</v>
      </c>
      <c r="H671" s="1" t="str">
        <f t="shared" si="20"/>
        <v>Normal Time</v>
      </c>
      <c r="I671" s="1"/>
      <c r="J671" s="15">
        <v>3.75</v>
      </c>
      <c r="K671" s="15"/>
      <c r="L671" s="15"/>
      <c r="M671" s="15"/>
      <c r="N671" s="15"/>
      <c r="O671" s="15" t="str">
        <f>INDEX(projects[job number],MATCH(TimeEntry[[#This Row],[Project_ID]], projects[Project_ID],0))</f>
        <v>265720-20</v>
      </c>
      <c r="P671" s="15" t="str">
        <f>INDEX(projects[Project_Name],MATCH(TimeEntry[[#This Row],[Project_ID]], projects[Project_ID],0))</f>
        <v>VBB - Assessment</v>
      </c>
      <c r="Q671" s="6">
        <f>IF(TimeEntry[[#This Row],[Date]]=0,"",WEEKDAY(C671,2))</f>
        <v>5</v>
      </c>
      <c r="R671" s="9">
        <f>YEAR(TimeEntry[[#This Row],[WkEnd]])</f>
        <v>2019</v>
      </c>
      <c r="S671" s="9">
        <f>WEEKNUM(TimeEntry[[#This Row],[WkEnd]])</f>
        <v>18</v>
      </c>
      <c r="T671" s="9" t="str">
        <f>TimeEntry[[#This Row],[Year]]&amp;"-"&amp;TimeEntry[[#This Row],[WkNo]]</f>
        <v>2019-18</v>
      </c>
    </row>
    <row r="672" spans="1:20" x14ac:dyDescent="0.25">
      <c r="A672" s="6">
        <f>MOD(IF(ROW()=2,0.1,IF(INDEX(TimeEntry[WkEnd],ROW()-1)  =  INDEX(TimeEntry[WkEnd],ROW()-2),    INDEX(TimeEntry[format],ROW()-2),    INDEX(TimeEntry[format],ROW()-2)    +1)),2)</f>
        <v>1.1000000000000001</v>
      </c>
      <c r="B672" s="7"/>
      <c r="C672" s="8">
        <v>43570</v>
      </c>
      <c r="D672" s="8"/>
      <c r="E672" s="1" t="s">
        <v>462</v>
      </c>
      <c r="F672" s="8">
        <f>IF(TimeEntry[[#This Row],[Date]]=0,F671,C672+(7-Q672))</f>
        <v>43576</v>
      </c>
      <c r="G672" s="35" t="str">
        <f>INDEX(projects[Charge_Code],MATCH(TimeEntry[[#This Row],[Project_ID]],projects[Project_ID],0))</f>
        <v>265720-10 VBB - Design Basis</v>
      </c>
      <c r="H672" s="1" t="str">
        <f t="shared" si="20"/>
        <v>Normal Time</v>
      </c>
      <c r="I672" s="1"/>
      <c r="J672" s="15">
        <v>2.5</v>
      </c>
      <c r="K672" s="15"/>
      <c r="L672" s="15"/>
      <c r="M672" s="15"/>
      <c r="N672" s="15"/>
      <c r="O672" s="15" t="str">
        <f>INDEX(projects[job number],MATCH(TimeEntry[[#This Row],[Project_ID]], projects[Project_ID],0))</f>
        <v>265720-10</v>
      </c>
      <c r="P672" s="15" t="str">
        <f>INDEX(projects[Project_Name],MATCH(TimeEntry[[#This Row],[Project_ID]], projects[Project_ID],0))</f>
        <v>VBB - Design Basis</v>
      </c>
      <c r="Q672" s="6">
        <f>IF(TimeEntry[[#This Row],[Date]]=0,"",WEEKDAY(C672,2))</f>
        <v>1</v>
      </c>
      <c r="R672" s="9">
        <f>YEAR(TimeEntry[[#This Row],[WkEnd]])</f>
        <v>2019</v>
      </c>
      <c r="S672" s="9">
        <f>WEEKNUM(TimeEntry[[#This Row],[WkEnd]])</f>
        <v>17</v>
      </c>
      <c r="T672" s="9" t="str">
        <f>TimeEntry[[#This Row],[Year]]&amp;"-"&amp;TimeEntry[[#This Row],[WkNo]]</f>
        <v>2019-17</v>
      </c>
    </row>
    <row r="673" spans="1:20" x14ac:dyDescent="0.25">
      <c r="A673" s="6">
        <f>MOD(IF(ROW()=2,0.1,IF(INDEX(TimeEntry[WkEnd],ROW()-1)  =  INDEX(TimeEntry[WkEnd],ROW()-2),    INDEX(TimeEntry[format],ROW()-2),    INDEX(TimeEntry[format],ROW()-2)    +1)),2)</f>
        <v>1.1000000000000001</v>
      </c>
      <c r="B673" s="7"/>
      <c r="C673" s="8">
        <v>43570</v>
      </c>
      <c r="D673" s="8"/>
      <c r="E673" s="1" t="s">
        <v>462</v>
      </c>
      <c r="F673" s="8">
        <f>IF(TimeEntry[[#This Row],[Date]]=0,F672,C673+(7-Q673))</f>
        <v>43576</v>
      </c>
      <c r="G673" s="35" t="str">
        <f>INDEX(projects[Charge_Code],MATCH(TimeEntry[[#This Row],[Project_ID]],projects[Project_ID],0))</f>
        <v>265720-10 VBB - Design Basis</v>
      </c>
      <c r="H673" s="1" t="str">
        <f t="shared" si="20"/>
        <v>Normal Time</v>
      </c>
      <c r="I673" s="1"/>
      <c r="J673" s="15">
        <v>5</v>
      </c>
      <c r="K673" s="15"/>
      <c r="L673" s="15"/>
      <c r="M673" s="15"/>
      <c r="N673" s="15"/>
      <c r="O673" s="15" t="str">
        <f>INDEX(projects[job number],MATCH(TimeEntry[[#This Row],[Project_ID]], projects[Project_ID],0))</f>
        <v>265720-10</v>
      </c>
      <c r="P673" s="15" t="str">
        <f>INDEX(projects[Project_Name],MATCH(TimeEntry[[#This Row],[Project_ID]], projects[Project_ID],0))</f>
        <v>VBB - Design Basis</v>
      </c>
      <c r="Q673" s="6">
        <f>IF(TimeEntry[[#This Row],[Date]]=0,"",WEEKDAY(C673,2))</f>
        <v>1</v>
      </c>
      <c r="R673" s="9">
        <f>YEAR(TimeEntry[[#This Row],[WkEnd]])</f>
        <v>2019</v>
      </c>
      <c r="S673" s="9">
        <f>WEEKNUM(TimeEntry[[#This Row],[WkEnd]])</f>
        <v>17</v>
      </c>
      <c r="T673" s="9" t="str">
        <f>TimeEntry[[#This Row],[Year]]&amp;"-"&amp;TimeEntry[[#This Row],[WkNo]]</f>
        <v>2019-17</v>
      </c>
    </row>
    <row r="674" spans="1:20" x14ac:dyDescent="0.25">
      <c r="A674" s="6">
        <f>MOD(IF(ROW()=2,0.1,IF(INDEX(TimeEntry[WkEnd],ROW()-1)  =  INDEX(TimeEntry[WkEnd],ROW()-2),    INDEX(TimeEntry[format],ROW()-2),    INDEX(TimeEntry[format],ROW()-2)    +1)),2)</f>
        <v>1.1000000000000001</v>
      </c>
      <c r="B674" s="7"/>
      <c r="C674" s="8">
        <v>43571</v>
      </c>
      <c r="D674" s="8"/>
      <c r="E674" s="1" t="s">
        <v>462</v>
      </c>
      <c r="F674" s="8">
        <f>IF(TimeEntry[[#This Row],[Date]]=0,F673,C674+(7-Q674))</f>
        <v>43576</v>
      </c>
      <c r="G674" s="35" t="str">
        <f>INDEX(projects[Charge_Code],MATCH(TimeEntry[[#This Row],[Project_ID]],projects[Project_ID],0))</f>
        <v>265720-10 VBB - Design Basis</v>
      </c>
      <c r="H674" s="1" t="str">
        <f t="shared" si="20"/>
        <v>Normal Time</v>
      </c>
      <c r="I674" s="1"/>
      <c r="J674" s="15">
        <v>5</v>
      </c>
      <c r="K674" s="15"/>
      <c r="L674" s="15"/>
      <c r="M674" s="15"/>
      <c r="N674" s="15"/>
      <c r="O674" s="15" t="str">
        <f>INDEX(projects[job number],MATCH(TimeEntry[[#This Row],[Project_ID]], projects[Project_ID],0))</f>
        <v>265720-10</v>
      </c>
      <c r="P674" s="15" t="str">
        <f>INDEX(projects[Project_Name],MATCH(TimeEntry[[#This Row],[Project_ID]], projects[Project_ID],0))</f>
        <v>VBB - Design Basis</v>
      </c>
      <c r="Q674" s="6">
        <f>IF(TimeEntry[[#This Row],[Date]]=0,"",WEEKDAY(C674,2))</f>
        <v>2</v>
      </c>
      <c r="R674" s="9">
        <f>YEAR(TimeEntry[[#This Row],[WkEnd]])</f>
        <v>2019</v>
      </c>
      <c r="S674" s="9">
        <f>WEEKNUM(TimeEntry[[#This Row],[WkEnd]])</f>
        <v>17</v>
      </c>
      <c r="T674" s="9" t="str">
        <f>TimeEntry[[#This Row],[Year]]&amp;"-"&amp;TimeEntry[[#This Row],[WkNo]]</f>
        <v>2019-17</v>
      </c>
    </row>
    <row r="675" spans="1:20" x14ac:dyDescent="0.25">
      <c r="A675" s="6">
        <f>MOD(IF(ROW()=2,0.1,IF(INDEX(TimeEntry[WkEnd],ROW()-1)  =  INDEX(TimeEntry[WkEnd],ROW()-2),    INDEX(TimeEntry[format],ROW()-2),    INDEX(TimeEntry[format],ROW()-2)    +1)),2)</f>
        <v>1.1000000000000001</v>
      </c>
      <c r="B675" s="7"/>
      <c r="C675" s="8">
        <v>43571</v>
      </c>
      <c r="D675" s="8"/>
      <c r="E675" s="1" t="s">
        <v>462</v>
      </c>
      <c r="F675" s="8">
        <f>IF(TimeEntry[[#This Row],[Date]]=0,F674,C675+(7-Q675))</f>
        <v>43576</v>
      </c>
      <c r="G675" s="35" t="str">
        <f>INDEX(projects[Charge_Code],MATCH(TimeEntry[[#This Row],[Project_ID]],projects[Project_ID],0))</f>
        <v>265720-10 VBB - Design Basis</v>
      </c>
      <c r="H675" s="1" t="str">
        <f t="shared" si="20"/>
        <v>Normal Time</v>
      </c>
      <c r="I675" s="1"/>
      <c r="J675" s="15">
        <v>2.5</v>
      </c>
      <c r="K675" s="15"/>
      <c r="L675" s="15"/>
      <c r="M675" s="15"/>
      <c r="N675" s="15"/>
      <c r="O675" s="15" t="str">
        <f>INDEX(projects[job number],MATCH(TimeEntry[[#This Row],[Project_ID]], projects[Project_ID],0))</f>
        <v>265720-10</v>
      </c>
      <c r="P675" s="15" t="str">
        <f>INDEX(projects[Project_Name],MATCH(TimeEntry[[#This Row],[Project_ID]], projects[Project_ID],0))</f>
        <v>VBB - Design Basis</v>
      </c>
      <c r="Q675" s="6">
        <f>IF(TimeEntry[[#This Row],[Date]]=0,"",WEEKDAY(C675,2))</f>
        <v>2</v>
      </c>
      <c r="R675" s="9">
        <f>YEAR(TimeEntry[[#This Row],[WkEnd]])</f>
        <v>2019</v>
      </c>
      <c r="S675" s="9">
        <f>WEEKNUM(TimeEntry[[#This Row],[WkEnd]])</f>
        <v>17</v>
      </c>
      <c r="T675" s="9" t="str">
        <f>TimeEntry[[#This Row],[Year]]&amp;"-"&amp;TimeEntry[[#This Row],[WkNo]]</f>
        <v>2019-17</v>
      </c>
    </row>
    <row r="676" spans="1:20" x14ac:dyDescent="0.25">
      <c r="A676" s="6">
        <f>MOD(IF(ROW()=2,0.1,IF(INDEX(TimeEntry[WkEnd],ROW()-1)  =  INDEX(TimeEntry[WkEnd],ROW()-2),    INDEX(TimeEntry[format],ROW()-2),    INDEX(TimeEntry[format],ROW()-2)    +1)),2)</f>
        <v>1.1000000000000001</v>
      </c>
      <c r="B676" s="7"/>
      <c r="C676" s="8">
        <v>43572</v>
      </c>
      <c r="D676" s="8"/>
      <c r="E676" s="1" t="s">
        <v>462</v>
      </c>
      <c r="F676" s="8">
        <f>IF(TimeEntry[[#This Row],[Date]]=0,F675,C676+(7-Q676))</f>
        <v>43576</v>
      </c>
      <c r="G676" s="35" t="str">
        <f>INDEX(projects[Charge_Code],MATCH(TimeEntry[[#This Row],[Project_ID]],projects[Project_ID],0))</f>
        <v>265720-10 VBB - Design Basis</v>
      </c>
      <c r="H676" s="1" t="str">
        <f t="shared" si="20"/>
        <v>Normal Time</v>
      </c>
      <c r="I676" s="1"/>
      <c r="J676" s="15">
        <v>7.5</v>
      </c>
      <c r="K676" s="15"/>
      <c r="L676" s="15"/>
      <c r="M676" s="15"/>
      <c r="N676" s="15"/>
      <c r="O676" s="15" t="str">
        <f>INDEX(projects[job number],MATCH(TimeEntry[[#This Row],[Project_ID]], projects[Project_ID],0))</f>
        <v>265720-10</v>
      </c>
      <c r="P676" s="15" t="str">
        <f>INDEX(projects[Project_Name],MATCH(TimeEntry[[#This Row],[Project_ID]], projects[Project_ID],0))</f>
        <v>VBB - Design Basis</v>
      </c>
      <c r="Q676" s="6">
        <f>IF(TimeEntry[[#This Row],[Date]]=0,"",WEEKDAY(C676,2))</f>
        <v>3</v>
      </c>
      <c r="R676" s="9">
        <f>YEAR(TimeEntry[[#This Row],[WkEnd]])</f>
        <v>2019</v>
      </c>
      <c r="S676" s="9">
        <f>WEEKNUM(TimeEntry[[#This Row],[WkEnd]])</f>
        <v>17</v>
      </c>
      <c r="T676" s="9" t="str">
        <f>TimeEntry[[#This Row],[Year]]&amp;"-"&amp;TimeEntry[[#This Row],[WkNo]]</f>
        <v>2019-17</v>
      </c>
    </row>
    <row r="677" spans="1:20" x14ac:dyDescent="0.25">
      <c r="A677" s="6">
        <f>MOD(IF(ROW()=2,0.1,IF(INDEX(TimeEntry[WkEnd],ROW()-1)  =  INDEX(TimeEntry[WkEnd],ROW()-2),    INDEX(TimeEntry[format],ROW()-2),    INDEX(TimeEntry[format],ROW()-2)    +1)),2)</f>
        <v>1.1000000000000001</v>
      </c>
      <c r="B677" s="7"/>
      <c r="C677" s="8">
        <v>43573</v>
      </c>
      <c r="D677" s="8"/>
      <c r="E677" s="1" t="s">
        <v>462</v>
      </c>
      <c r="F677" s="8">
        <f>IF(TimeEntry[[#This Row],[Date]]=0,F676,C677+(7-Q677))</f>
        <v>43576</v>
      </c>
      <c r="G677" s="35" t="str">
        <f>INDEX(projects[Charge_Code],MATCH(TimeEntry[[#This Row],[Project_ID]],projects[Project_ID],0))</f>
        <v>265720-10 VBB - Design Basis</v>
      </c>
      <c r="H677" s="1" t="str">
        <f t="shared" si="20"/>
        <v>Normal Time</v>
      </c>
      <c r="I677" s="1"/>
      <c r="J677" s="15">
        <v>3.75</v>
      </c>
      <c r="K677" s="15"/>
      <c r="L677" s="15"/>
      <c r="M677" s="15"/>
      <c r="N677" s="15"/>
      <c r="O677" s="15" t="str">
        <f>INDEX(projects[job number],MATCH(TimeEntry[[#This Row],[Project_ID]], projects[Project_ID],0))</f>
        <v>265720-10</v>
      </c>
      <c r="P677" s="15" t="str">
        <f>INDEX(projects[Project_Name],MATCH(TimeEntry[[#This Row],[Project_ID]], projects[Project_ID],0))</f>
        <v>VBB - Design Basis</v>
      </c>
      <c r="Q677" s="6">
        <f>IF(TimeEntry[[#This Row],[Date]]=0,"",WEEKDAY(C677,2))</f>
        <v>4</v>
      </c>
      <c r="R677" s="9">
        <f>YEAR(TimeEntry[[#This Row],[WkEnd]])</f>
        <v>2019</v>
      </c>
      <c r="S677" s="9">
        <f>WEEKNUM(TimeEntry[[#This Row],[WkEnd]])</f>
        <v>17</v>
      </c>
      <c r="T677" s="9" t="str">
        <f>TimeEntry[[#This Row],[Year]]&amp;"-"&amp;TimeEntry[[#This Row],[WkNo]]</f>
        <v>2019-17</v>
      </c>
    </row>
    <row r="678" spans="1:20" x14ac:dyDescent="0.25">
      <c r="A678" s="6">
        <f>MOD(IF(ROW()=2,0.1,IF(INDEX(TimeEntry[WkEnd],ROW()-1)  =  INDEX(TimeEntry[WkEnd],ROW()-2),    INDEX(TimeEntry[format],ROW()-2),    INDEX(TimeEntry[format],ROW()-2)    +1)),2)</f>
        <v>1.1000000000000001</v>
      </c>
      <c r="B678" s="7"/>
      <c r="C678" s="8">
        <v>43573</v>
      </c>
      <c r="D678" s="8"/>
      <c r="E678" s="1" t="s">
        <v>462</v>
      </c>
      <c r="F678" s="8">
        <f>IF(TimeEntry[[#This Row],[Date]]=0,F677,C678+(7-Q678))</f>
        <v>43576</v>
      </c>
      <c r="G678" s="35" t="str">
        <f>INDEX(projects[Charge_Code],MATCH(TimeEntry[[#This Row],[Project_ID]],projects[Project_ID],0))</f>
        <v>265720-10 VBB - Design Basis</v>
      </c>
      <c r="H678" s="1" t="str">
        <f t="shared" si="20"/>
        <v>Normal Time</v>
      </c>
      <c r="I678" s="1"/>
      <c r="J678" s="15">
        <v>3.75</v>
      </c>
      <c r="K678" s="15"/>
      <c r="L678" s="15"/>
      <c r="M678" s="15"/>
      <c r="N678" s="15"/>
      <c r="O678" s="15" t="str">
        <f>INDEX(projects[job number],MATCH(TimeEntry[[#This Row],[Project_ID]], projects[Project_ID],0))</f>
        <v>265720-10</v>
      </c>
      <c r="P678" s="15" t="str">
        <f>INDEX(projects[Project_Name],MATCH(TimeEntry[[#This Row],[Project_ID]], projects[Project_ID],0))</f>
        <v>VBB - Design Basis</v>
      </c>
      <c r="Q678" s="6">
        <f>IF(TimeEntry[[#This Row],[Date]]=0,"",WEEKDAY(C678,2))</f>
        <v>4</v>
      </c>
      <c r="R678" s="9">
        <f>YEAR(TimeEntry[[#This Row],[WkEnd]])</f>
        <v>2019</v>
      </c>
      <c r="S678" s="9">
        <f>WEEKNUM(TimeEntry[[#This Row],[WkEnd]])</f>
        <v>17</v>
      </c>
      <c r="T678" s="9" t="str">
        <f>TimeEntry[[#This Row],[Year]]&amp;"-"&amp;TimeEntry[[#This Row],[WkNo]]</f>
        <v>2019-17</v>
      </c>
    </row>
    <row r="679" spans="1:20" x14ac:dyDescent="0.25">
      <c r="A679" s="6">
        <f>MOD(IF(ROW()=2,0.1,IF(INDEX(TimeEntry[WkEnd],ROW()-1)  =  INDEX(TimeEntry[WkEnd],ROW()-2),    INDEX(TimeEntry[format],ROW()-2),    INDEX(TimeEntry[format],ROW()-2)    +1)),2)</f>
        <v>1.1000000000000001</v>
      </c>
      <c r="B679" s="7"/>
      <c r="C679" s="8">
        <v>43574</v>
      </c>
      <c r="D679" s="8"/>
      <c r="E679" s="1" t="s">
        <v>444</v>
      </c>
      <c r="F679" s="8">
        <f>IF(TimeEntry[[#This Row],[Date]]=0,F678,C679+(7-Q679))</f>
        <v>43576</v>
      </c>
      <c r="G679" s="35" t="str">
        <f>INDEX(projects[Charge_Code],MATCH(TimeEntry[[#This Row],[Project_ID]],projects[Project_ID],0))</f>
        <v>LEAVE</v>
      </c>
      <c r="H679" s="1" t="str">
        <f t="shared" si="20"/>
        <v>Normal Time</v>
      </c>
      <c r="I679" s="1"/>
      <c r="J679" s="15">
        <v>7.5</v>
      </c>
      <c r="K679" s="15"/>
      <c r="L679" s="15"/>
      <c r="M679" s="15"/>
      <c r="N679" s="15"/>
      <c r="O679" s="15" t="str">
        <f>INDEX(projects[job number],MATCH(TimeEntry[[#This Row],[Project_ID]], projects[Project_ID],0))</f>
        <v>LEAVE</v>
      </c>
      <c r="P679" s="15">
        <f>INDEX(projects[Project_Name],MATCH(TimeEntry[[#This Row],[Project_ID]], projects[Project_ID],0))</f>
        <v>0</v>
      </c>
      <c r="Q679" s="6">
        <f>IF(TimeEntry[[#This Row],[Date]]=0,"",WEEKDAY(C679,2))</f>
        <v>5</v>
      </c>
      <c r="R679" s="9">
        <f>YEAR(TimeEntry[[#This Row],[WkEnd]])</f>
        <v>2019</v>
      </c>
      <c r="S679" s="9">
        <f>WEEKNUM(TimeEntry[[#This Row],[WkEnd]])</f>
        <v>17</v>
      </c>
      <c r="T679" s="9" t="str">
        <f>TimeEntry[[#This Row],[Year]]&amp;"-"&amp;TimeEntry[[#This Row],[WkNo]]</f>
        <v>2019-17</v>
      </c>
    </row>
    <row r="680" spans="1:20" x14ac:dyDescent="0.25">
      <c r="A680" s="6">
        <f>MOD(IF(ROW()=2,0.1,IF(INDEX(TimeEntry[WkEnd],ROW()-1)  =  INDEX(TimeEntry[WkEnd],ROW()-2),    INDEX(TimeEntry[format],ROW()-2),    INDEX(TimeEntry[format],ROW()-2)    +1)),2)</f>
        <v>0.10000000000000009</v>
      </c>
      <c r="B680" s="7"/>
      <c r="C680" s="8">
        <v>43563</v>
      </c>
      <c r="D680" s="8"/>
      <c r="E680" s="1" t="s">
        <v>462</v>
      </c>
      <c r="F680" s="8">
        <f>IF(TimeEntry[[#This Row],[Date]]=0,F679,C680+(7-Q680))</f>
        <v>43569</v>
      </c>
      <c r="G680" s="35" t="str">
        <f>INDEX(projects[Charge_Code],MATCH(TimeEntry[[#This Row],[Project_ID]],projects[Project_ID],0))</f>
        <v>265720-10 VBB - Design Basis</v>
      </c>
      <c r="H680" s="1" t="str">
        <f t="shared" si="20"/>
        <v>Normal Time</v>
      </c>
      <c r="I680" s="1"/>
      <c r="J680" s="15">
        <v>7.5</v>
      </c>
      <c r="K680" s="15"/>
      <c r="L680" s="15"/>
      <c r="M680" s="15"/>
      <c r="N680" s="15"/>
      <c r="O680" s="15" t="str">
        <f>INDEX(projects[job number],MATCH(TimeEntry[[#This Row],[Project_ID]], projects[Project_ID],0))</f>
        <v>265720-10</v>
      </c>
      <c r="P680" s="15" t="str">
        <f>INDEX(projects[Project_Name],MATCH(TimeEntry[[#This Row],[Project_ID]], projects[Project_ID],0))</f>
        <v>VBB - Design Basis</v>
      </c>
      <c r="Q680" s="6">
        <f>IF(TimeEntry[[#This Row],[Date]]=0,"",WEEKDAY(C680,2))</f>
        <v>1</v>
      </c>
      <c r="R680" s="9">
        <f>YEAR(TimeEntry[[#This Row],[WkEnd]])</f>
        <v>2019</v>
      </c>
      <c r="S680" s="9">
        <f>WEEKNUM(TimeEntry[[#This Row],[WkEnd]])</f>
        <v>16</v>
      </c>
      <c r="T680" s="9" t="str">
        <f>TimeEntry[[#This Row],[Year]]&amp;"-"&amp;TimeEntry[[#This Row],[WkNo]]</f>
        <v>2019-16</v>
      </c>
    </row>
    <row r="681" spans="1:20" x14ac:dyDescent="0.25">
      <c r="A681" s="6">
        <f>MOD(IF(ROW()=2,0.1,IF(INDEX(TimeEntry[WkEnd],ROW()-1)  =  INDEX(TimeEntry[WkEnd],ROW()-2),    INDEX(TimeEntry[format],ROW()-2),    INDEX(TimeEntry[format],ROW()-2)    +1)),2)</f>
        <v>0.10000000000000009</v>
      </c>
      <c r="B681" s="7"/>
      <c r="C681" s="8">
        <v>43564</v>
      </c>
      <c r="D681" s="8"/>
      <c r="E681" s="1" t="s">
        <v>462</v>
      </c>
      <c r="F681" s="8">
        <f>IF(TimeEntry[[#This Row],[Date]]=0,F680,C681+(7-Q681))</f>
        <v>43569</v>
      </c>
      <c r="G681" s="35" t="str">
        <f>INDEX(projects[Charge_Code],MATCH(TimeEntry[[#This Row],[Project_ID]],projects[Project_ID],0))</f>
        <v>265720-10 VBB - Design Basis</v>
      </c>
      <c r="H681" s="1" t="str">
        <f t="shared" si="20"/>
        <v>Normal Time</v>
      </c>
      <c r="I681" s="1"/>
      <c r="J681" s="15">
        <v>7.5</v>
      </c>
      <c r="K681" s="15"/>
      <c r="L681" s="15"/>
      <c r="M681" s="15"/>
      <c r="N681" s="15"/>
      <c r="O681" s="15" t="str">
        <f>INDEX(projects[job number],MATCH(TimeEntry[[#This Row],[Project_ID]], projects[Project_ID],0))</f>
        <v>265720-10</v>
      </c>
      <c r="P681" s="15" t="str">
        <f>INDEX(projects[Project_Name],MATCH(TimeEntry[[#This Row],[Project_ID]], projects[Project_ID],0))</f>
        <v>VBB - Design Basis</v>
      </c>
      <c r="Q681" s="6">
        <f>IF(TimeEntry[[#This Row],[Date]]=0,"",WEEKDAY(C681,2))</f>
        <v>2</v>
      </c>
      <c r="R681" s="9">
        <f>YEAR(TimeEntry[[#This Row],[WkEnd]])</f>
        <v>2019</v>
      </c>
      <c r="S681" s="9">
        <f>WEEKNUM(TimeEntry[[#This Row],[WkEnd]])</f>
        <v>16</v>
      </c>
      <c r="T681" s="9" t="str">
        <f>TimeEntry[[#This Row],[Year]]&amp;"-"&amp;TimeEntry[[#This Row],[WkNo]]</f>
        <v>2019-16</v>
      </c>
    </row>
    <row r="682" spans="1:20" x14ac:dyDescent="0.25">
      <c r="A682" s="6">
        <f>MOD(IF(ROW()=2,0.1,IF(INDEX(TimeEntry[WkEnd],ROW()-1)  =  INDEX(TimeEntry[WkEnd],ROW()-2),    INDEX(TimeEntry[format],ROW()-2),    INDEX(TimeEntry[format],ROW()-2)    +1)),2)</f>
        <v>0.10000000000000009</v>
      </c>
      <c r="B682" s="7"/>
      <c r="C682" s="8">
        <v>43565</v>
      </c>
      <c r="D682" s="8"/>
      <c r="E682" s="1" t="s">
        <v>462</v>
      </c>
      <c r="F682" s="8">
        <f>IF(TimeEntry[[#This Row],[Date]]=0,F681,C682+(7-Q682))</f>
        <v>43569</v>
      </c>
      <c r="G682" s="35" t="str">
        <f>INDEX(projects[Charge_Code],MATCH(TimeEntry[[#This Row],[Project_ID]],projects[Project_ID],0))</f>
        <v>265720-10 VBB - Design Basis</v>
      </c>
      <c r="H682" s="1" t="str">
        <f t="shared" si="20"/>
        <v>Normal Time</v>
      </c>
      <c r="I682" s="1"/>
      <c r="J682" s="15">
        <v>2.5</v>
      </c>
      <c r="K682" s="15"/>
      <c r="L682" s="15"/>
      <c r="M682" s="15"/>
      <c r="N682" s="15"/>
      <c r="O682" s="15" t="str">
        <f>INDEX(projects[job number],MATCH(TimeEntry[[#This Row],[Project_ID]], projects[Project_ID],0))</f>
        <v>265720-10</v>
      </c>
      <c r="P682" s="15" t="str">
        <f>INDEX(projects[Project_Name],MATCH(TimeEntry[[#This Row],[Project_ID]], projects[Project_ID],0))</f>
        <v>VBB - Design Basis</v>
      </c>
      <c r="Q682" s="6">
        <f>IF(TimeEntry[[#This Row],[Date]]=0,"",WEEKDAY(C682,2))</f>
        <v>3</v>
      </c>
      <c r="R682" s="9">
        <f>YEAR(TimeEntry[[#This Row],[WkEnd]])</f>
        <v>2019</v>
      </c>
      <c r="S682" s="9">
        <f>WEEKNUM(TimeEntry[[#This Row],[WkEnd]])</f>
        <v>16</v>
      </c>
      <c r="T682" s="9" t="str">
        <f>TimeEntry[[#This Row],[Year]]&amp;"-"&amp;TimeEntry[[#This Row],[WkNo]]</f>
        <v>2019-16</v>
      </c>
    </row>
    <row r="683" spans="1:20" x14ac:dyDescent="0.25">
      <c r="A683" s="6">
        <f>MOD(IF(ROW()=2,0.1,IF(INDEX(TimeEntry[WkEnd],ROW()-1)  =  INDEX(TimeEntry[WkEnd],ROW()-2),    INDEX(TimeEntry[format],ROW()-2),    INDEX(TimeEntry[format],ROW()-2)    +1)),2)</f>
        <v>0.10000000000000009</v>
      </c>
      <c r="B683" s="7"/>
      <c r="C683" s="8">
        <v>43565</v>
      </c>
      <c r="D683" s="8"/>
      <c r="E683" s="1" t="s">
        <v>462</v>
      </c>
      <c r="F683" s="8">
        <f>IF(TimeEntry[[#This Row],[Date]]=0,F682,C683+(7-Q683))</f>
        <v>43569</v>
      </c>
      <c r="G683" s="35" t="str">
        <f>INDEX(projects[Charge_Code],MATCH(TimeEntry[[#This Row],[Project_ID]],projects[Project_ID],0))</f>
        <v>265720-10 VBB - Design Basis</v>
      </c>
      <c r="H683" s="1" t="str">
        <f t="shared" si="20"/>
        <v>Normal Time</v>
      </c>
      <c r="I683" s="1"/>
      <c r="J683" s="15">
        <v>5</v>
      </c>
      <c r="K683" s="15"/>
      <c r="L683" s="15"/>
      <c r="M683" s="15"/>
      <c r="N683" s="15"/>
      <c r="O683" s="15" t="str">
        <f>INDEX(projects[job number],MATCH(TimeEntry[[#This Row],[Project_ID]], projects[Project_ID],0))</f>
        <v>265720-10</v>
      </c>
      <c r="P683" s="15" t="str">
        <f>INDEX(projects[Project_Name],MATCH(TimeEntry[[#This Row],[Project_ID]], projects[Project_ID],0))</f>
        <v>VBB - Design Basis</v>
      </c>
      <c r="Q683" s="6">
        <f>IF(TimeEntry[[#This Row],[Date]]=0,"",WEEKDAY(C683,2))</f>
        <v>3</v>
      </c>
      <c r="R683" s="9">
        <f>YEAR(TimeEntry[[#This Row],[WkEnd]])</f>
        <v>2019</v>
      </c>
      <c r="S683" s="9">
        <f>WEEKNUM(TimeEntry[[#This Row],[WkEnd]])</f>
        <v>16</v>
      </c>
      <c r="T683" s="9" t="str">
        <f>TimeEntry[[#This Row],[Year]]&amp;"-"&amp;TimeEntry[[#This Row],[WkNo]]</f>
        <v>2019-16</v>
      </c>
    </row>
    <row r="684" spans="1:20" x14ac:dyDescent="0.25">
      <c r="A684" s="6">
        <f>MOD(IF(ROW()=2,0.1,IF(INDEX(TimeEntry[WkEnd],ROW()-1)  =  INDEX(TimeEntry[WkEnd],ROW()-2),    INDEX(TimeEntry[format],ROW()-2),    INDEX(TimeEntry[format],ROW()-2)    +1)),2)</f>
        <v>0.10000000000000009</v>
      </c>
      <c r="B684" s="7"/>
      <c r="C684" s="8">
        <v>43566</v>
      </c>
      <c r="D684" s="8"/>
      <c r="E684" s="1" t="s">
        <v>467</v>
      </c>
      <c r="F684" s="8">
        <f>IF(TimeEntry[[#This Row],[Date]]=0,F683,C684+(7-Q684))</f>
        <v>43569</v>
      </c>
      <c r="G684" s="35" t="str">
        <f>INDEX(projects[Charge_Code],MATCH(TimeEntry[[#This Row],[Project_ID]],projects[Project_ID],0))</f>
        <v>261723-02 SMP</v>
      </c>
      <c r="H684" s="1" t="str">
        <f t="shared" si="20"/>
        <v>Normal Time</v>
      </c>
      <c r="I684" s="1"/>
      <c r="J684" s="15">
        <v>3.75</v>
      </c>
      <c r="K684" s="15"/>
      <c r="L684" s="15"/>
      <c r="M684" s="15"/>
      <c r="N684" s="15"/>
      <c r="O684" s="15" t="str">
        <f>INDEX(projects[job number],MATCH(TimeEntry[[#This Row],[Project_ID]], projects[Project_ID],0))</f>
        <v>261723-02</v>
      </c>
      <c r="P684" s="15" t="str">
        <f>INDEX(projects[Project_Name],MATCH(TimeEntry[[#This Row],[Project_ID]], projects[Project_ID],0))</f>
        <v>SMP</v>
      </c>
      <c r="Q684" s="6">
        <f>IF(TimeEntry[[#This Row],[Date]]=0,"",WEEKDAY(C684,2))</f>
        <v>4</v>
      </c>
      <c r="R684" s="9">
        <f>YEAR(TimeEntry[[#This Row],[WkEnd]])</f>
        <v>2019</v>
      </c>
      <c r="S684" s="9">
        <f>WEEKNUM(TimeEntry[[#This Row],[WkEnd]])</f>
        <v>16</v>
      </c>
      <c r="T684" s="9" t="str">
        <f>TimeEntry[[#This Row],[Year]]&amp;"-"&amp;TimeEntry[[#This Row],[WkNo]]</f>
        <v>2019-16</v>
      </c>
    </row>
    <row r="685" spans="1:20" x14ac:dyDescent="0.25">
      <c r="A685" s="6">
        <f>MOD(IF(ROW()=2,0.1,IF(INDEX(TimeEntry[WkEnd],ROW()-1)  =  INDEX(TimeEntry[WkEnd],ROW()-2),    INDEX(TimeEntry[format],ROW()-2),    INDEX(TimeEntry[format],ROW()-2)    +1)),2)</f>
        <v>0.10000000000000009</v>
      </c>
      <c r="B685" s="7"/>
      <c r="C685" s="8">
        <v>43566</v>
      </c>
      <c r="D685" s="8"/>
      <c r="E685" s="1" t="s">
        <v>462</v>
      </c>
      <c r="F685" s="8">
        <f>IF(TimeEntry[[#This Row],[Date]]=0,F684,C685+(7-Q685))</f>
        <v>43569</v>
      </c>
      <c r="G685" s="35" t="str">
        <f>INDEX(projects[Charge_Code],MATCH(TimeEntry[[#This Row],[Project_ID]],projects[Project_ID],0))</f>
        <v>265720-10 VBB - Design Basis</v>
      </c>
      <c r="H685" s="1" t="str">
        <f t="shared" si="20"/>
        <v>Normal Time</v>
      </c>
      <c r="I685" s="1"/>
      <c r="J685" s="15">
        <v>3.75</v>
      </c>
      <c r="K685" s="15"/>
      <c r="L685" s="15"/>
      <c r="M685" s="15"/>
      <c r="N685" s="15"/>
      <c r="O685" s="15" t="str">
        <f>INDEX(projects[job number],MATCH(TimeEntry[[#This Row],[Project_ID]], projects[Project_ID],0))</f>
        <v>265720-10</v>
      </c>
      <c r="P685" s="15" t="str">
        <f>INDEX(projects[Project_Name],MATCH(TimeEntry[[#This Row],[Project_ID]], projects[Project_ID],0))</f>
        <v>VBB - Design Basis</v>
      </c>
      <c r="Q685" s="6">
        <f>IF(TimeEntry[[#This Row],[Date]]=0,"",WEEKDAY(C685,2))</f>
        <v>4</v>
      </c>
      <c r="R685" s="9">
        <f>YEAR(TimeEntry[[#This Row],[WkEnd]])</f>
        <v>2019</v>
      </c>
      <c r="S685" s="9">
        <f>WEEKNUM(TimeEntry[[#This Row],[WkEnd]])</f>
        <v>16</v>
      </c>
      <c r="T685" s="9" t="str">
        <f>TimeEntry[[#This Row],[Year]]&amp;"-"&amp;TimeEntry[[#This Row],[WkNo]]</f>
        <v>2019-16</v>
      </c>
    </row>
    <row r="686" spans="1:20" x14ac:dyDescent="0.25">
      <c r="A686" s="6">
        <f>MOD(IF(ROW()=2,0.1,IF(INDEX(TimeEntry[WkEnd],ROW()-1)  =  INDEX(TimeEntry[WkEnd],ROW()-2),    INDEX(TimeEntry[format],ROW()-2),    INDEX(TimeEntry[format],ROW()-2)    +1)),2)</f>
        <v>0.10000000000000009</v>
      </c>
      <c r="B686" s="7"/>
      <c r="C686" s="8">
        <v>43567</v>
      </c>
      <c r="D686" s="8"/>
      <c r="E686" s="1" t="s">
        <v>467</v>
      </c>
      <c r="F686" s="8">
        <f>IF(TimeEntry[[#This Row],[Date]]=0,F685,C686+(7-Q686))</f>
        <v>43569</v>
      </c>
      <c r="G686" s="35" t="str">
        <f>INDEX(projects[Charge_Code],MATCH(TimeEntry[[#This Row],[Project_ID]],projects[Project_ID],0))</f>
        <v>261723-02 SMP</v>
      </c>
      <c r="H686" s="1" t="str">
        <f t="shared" si="20"/>
        <v>Normal Time</v>
      </c>
      <c r="I686" s="1"/>
      <c r="J686" s="15">
        <v>3.75</v>
      </c>
      <c r="K686" s="15"/>
      <c r="L686" s="15"/>
      <c r="M686" s="15"/>
      <c r="N686" s="15"/>
      <c r="O686" s="15" t="str">
        <f>INDEX(projects[job number],MATCH(TimeEntry[[#This Row],[Project_ID]], projects[Project_ID],0))</f>
        <v>261723-02</v>
      </c>
      <c r="P686" s="15" t="str">
        <f>INDEX(projects[Project_Name],MATCH(TimeEntry[[#This Row],[Project_ID]], projects[Project_ID],0))</f>
        <v>SMP</v>
      </c>
      <c r="Q686" s="6">
        <f>IF(TimeEntry[[#This Row],[Date]]=0,"",WEEKDAY(C686,2))</f>
        <v>5</v>
      </c>
      <c r="R686" s="9">
        <f>YEAR(TimeEntry[[#This Row],[WkEnd]])</f>
        <v>2019</v>
      </c>
      <c r="S686" s="9">
        <f>WEEKNUM(TimeEntry[[#This Row],[WkEnd]])</f>
        <v>16</v>
      </c>
      <c r="T686" s="9" t="str">
        <f>TimeEntry[[#This Row],[Year]]&amp;"-"&amp;TimeEntry[[#This Row],[WkNo]]</f>
        <v>2019-16</v>
      </c>
    </row>
    <row r="687" spans="1:20" x14ac:dyDescent="0.25">
      <c r="A687" s="6">
        <f>MOD(IF(ROW()=2,0.1,IF(INDEX(TimeEntry[WkEnd],ROW()-1)  =  INDEX(TimeEntry[WkEnd],ROW()-2),    INDEX(TimeEntry[format],ROW()-2),    INDEX(TimeEntry[format],ROW()-2)    +1)),2)</f>
        <v>0.10000000000000009</v>
      </c>
      <c r="B687" s="7"/>
      <c r="C687" s="8">
        <v>43567</v>
      </c>
      <c r="D687" s="8"/>
      <c r="E687" s="1" t="s">
        <v>462</v>
      </c>
      <c r="F687" s="8">
        <f>IF(TimeEntry[[#This Row],[Date]]=0,F686,C687+(7-Q687))</f>
        <v>43569</v>
      </c>
      <c r="G687" s="35" t="str">
        <f>INDEX(projects[Charge_Code],MATCH(TimeEntry[[#This Row],[Project_ID]],projects[Project_ID],0))</f>
        <v>265720-10 VBB - Design Basis</v>
      </c>
      <c r="H687" s="1" t="str">
        <f t="shared" si="20"/>
        <v>Normal Time</v>
      </c>
      <c r="I687" s="1"/>
      <c r="J687" s="15">
        <v>3.75</v>
      </c>
      <c r="K687" s="15"/>
      <c r="L687" s="15"/>
      <c r="M687" s="15"/>
      <c r="N687" s="15"/>
      <c r="O687" s="15" t="str">
        <f>INDEX(projects[job number],MATCH(TimeEntry[[#This Row],[Project_ID]], projects[Project_ID],0))</f>
        <v>265720-10</v>
      </c>
      <c r="P687" s="15" t="str">
        <f>INDEX(projects[Project_Name],MATCH(TimeEntry[[#This Row],[Project_ID]], projects[Project_ID],0))</f>
        <v>VBB - Design Basis</v>
      </c>
      <c r="Q687" s="6">
        <f>IF(TimeEntry[[#This Row],[Date]]=0,"",WEEKDAY(C687,2))</f>
        <v>5</v>
      </c>
      <c r="R687" s="9">
        <f>YEAR(TimeEntry[[#This Row],[WkEnd]])</f>
        <v>2019</v>
      </c>
      <c r="S687" s="9">
        <f>WEEKNUM(TimeEntry[[#This Row],[WkEnd]])</f>
        <v>16</v>
      </c>
      <c r="T687" s="9" t="str">
        <f>TimeEntry[[#This Row],[Year]]&amp;"-"&amp;TimeEntry[[#This Row],[WkNo]]</f>
        <v>2019-16</v>
      </c>
    </row>
    <row r="688" spans="1:20" x14ac:dyDescent="0.25">
      <c r="A688" s="6">
        <f>MOD(IF(ROW()=2,0.1,IF(INDEX(TimeEntry[WkEnd],ROW()-1)  =  INDEX(TimeEntry[WkEnd],ROW()-2),    INDEX(TimeEntry[format],ROW()-2),    INDEX(TimeEntry[format],ROW()-2)    +1)),2)</f>
        <v>1.1000000000000001</v>
      </c>
      <c r="B688" s="7"/>
      <c r="C688" s="8">
        <v>43556</v>
      </c>
      <c r="D688" s="8"/>
      <c r="E688" s="1" t="s">
        <v>462</v>
      </c>
      <c r="F688" s="8">
        <f>IF(TimeEntry[[#This Row],[Date]]=0,F687,C688+(7-Q688))</f>
        <v>43562</v>
      </c>
      <c r="G688" s="35" t="str">
        <f>INDEX(projects[Charge_Code],MATCH(TimeEntry[[#This Row],[Project_ID]],projects[Project_ID],0))</f>
        <v>265720-10 VBB - Design Basis</v>
      </c>
      <c r="H688" s="1" t="str">
        <f t="shared" si="20"/>
        <v>Normal Time</v>
      </c>
      <c r="I688" s="1"/>
      <c r="J688" s="15">
        <v>4</v>
      </c>
      <c r="K688" s="15"/>
      <c r="L688" s="15"/>
      <c r="M688" s="15"/>
      <c r="N688" s="15"/>
      <c r="O688" s="15" t="str">
        <f>INDEX(projects[job number],MATCH(TimeEntry[[#This Row],[Project_ID]], projects[Project_ID],0))</f>
        <v>265720-10</v>
      </c>
      <c r="P688" s="15" t="str">
        <f>INDEX(projects[Project_Name],MATCH(TimeEntry[[#This Row],[Project_ID]], projects[Project_ID],0))</f>
        <v>VBB - Design Basis</v>
      </c>
      <c r="Q688" s="6">
        <f>IF(TimeEntry[[#This Row],[Date]]=0,"",WEEKDAY(C688,2))</f>
        <v>1</v>
      </c>
      <c r="R688" s="9">
        <f>YEAR(TimeEntry[[#This Row],[WkEnd]])</f>
        <v>2019</v>
      </c>
      <c r="S688" s="9">
        <f>WEEKNUM(TimeEntry[[#This Row],[WkEnd]])</f>
        <v>15</v>
      </c>
      <c r="T688" s="9" t="str">
        <f>TimeEntry[[#This Row],[Year]]&amp;"-"&amp;TimeEntry[[#This Row],[WkNo]]</f>
        <v>2019-15</v>
      </c>
    </row>
    <row r="689" spans="1:20" x14ac:dyDescent="0.25">
      <c r="A689" s="6">
        <f>MOD(IF(ROW()=2,0.1,IF(INDEX(TimeEntry[WkEnd],ROW()-1)  =  INDEX(TimeEntry[WkEnd],ROW()-2),    INDEX(TimeEntry[format],ROW()-2),    INDEX(TimeEntry[format],ROW()-2)    +1)),2)</f>
        <v>1.1000000000000001</v>
      </c>
      <c r="B689" s="7"/>
      <c r="C689" s="8">
        <v>43556</v>
      </c>
      <c r="D689" s="8"/>
      <c r="E689" s="1" t="s">
        <v>462</v>
      </c>
      <c r="F689" s="8">
        <f>IF(TimeEntry[[#This Row],[Date]]=0,F688,C689+(7-Q689))</f>
        <v>43562</v>
      </c>
      <c r="G689" s="35" t="str">
        <f>INDEX(projects[Charge_Code],MATCH(TimeEntry[[#This Row],[Project_ID]],projects[Project_ID],0))</f>
        <v>265720-10 VBB - Design Basis</v>
      </c>
      <c r="H689" s="1" t="str">
        <f t="shared" si="20"/>
        <v>Normal Time</v>
      </c>
      <c r="I689" s="1"/>
      <c r="J689" s="15">
        <v>2</v>
      </c>
      <c r="K689" s="15"/>
      <c r="L689" s="15"/>
      <c r="M689" s="15"/>
      <c r="N689" s="15"/>
      <c r="O689" s="15" t="str">
        <f>INDEX(projects[job number],MATCH(TimeEntry[[#This Row],[Project_ID]], projects[Project_ID],0))</f>
        <v>265720-10</v>
      </c>
      <c r="P689" s="15" t="str">
        <f>INDEX(projects[Project_Name],MATCH(TimeEntry[[#This Row],[Project_ID]], projects[Project_ID],0))</f>
        <v>VBB - Design Basis</v>
      </c>
      <c r="Q689" s="6">
        <f>IF(TimeEntry[[#This Row],[Date]]=0,"",WEEKDAY(C689,2))</f>
        <v>1</v>
      </c>
      <c r="R689" s="9">
        <f>YEAR(TimeEntry[[#This Row],[WkEnd]])</f>
        <v>2019</v>
      </c>
      <c r="S689" s="9">
        <f>WEEKNUM(TimeEntry[[#This Row],[WkEnd]])</f>
        <v>15</v>
      </c>
      <c r="T689" s="9" t="str">
        <f>TimeEntry[[#This Row],[Year]]&amp;"-"&amp;TimeEntry[[#This Row],[WkNo]]</f>
        <v>2019-15</v>
      </c>
    </row>
    <row r="690" spans="1:20" x14ac:dyDescent="0.25">
      <c r="A690" s="6">
        <f>MOD(IF(ROW()=2,0.1,IF(INDEX(TimeEntry[WkEnd],ROW()-1)  =  INDEX(TimeEntry[WkEnd],ROW()-2),    INDEX(TimeEntry[format],ROW()-2),    INDEX(TimeEntry[format],ROW()-2)    +1)),2)</f>
        <v>1.1000000000000001</v>
      </c>
      <c r="B690" s="7"/>
      <c r="C690" s="8">
        <v>43556</v>
      </c>
      <c r="D690" s="8"/>
      <c r="E690" s="1" t="s">
        <v>462</v>
      </c>
      <c r="F690" s="8">
        <f>IF(TimeEntry[[#This Row],[Date]]=0,F689,C690+(7-Q690))</f>
        <v>43562</v>
      </c>
      <c r="G690" s="35" t="str">
        <f>INDEX(projects[Charge_Code],MATCH(TimeEntry[[#This Row],[Project_ID]],projects[Project_ID],0))</f>
        <v>265720-10 VBB - Design Basis</v>
      </c>
      <c r="H690" s="1" t="str">
        <f t="shared" si="20"/>
        <v>Normal Time</v>
      </c>
      <c r="I690" s="1"/>
      <c r="J690" s="15">
        <v>1.5</v>
      </c>
      <c r="K690" s="15"/>
      <c r="L690" s="15"/>
      <c r="M690" s="15"/>
      <c r="N690" s="15"/>
      <c r="O690" s="15" t="str">
        <f>INDEX(projects[job number],MATCH(TimeEntry[[#This Row],[Project_ID]], projects[Project_ID],0))</f>
        <v>265720-10</v>
      </c>
      <c r="P690" s="15" t="str">
        <f>INDEX(projects[Project_Name],MATCH(TimeEntry[[#This Row],[Project_ID]], projects[Project_ID],0))</f>
        <v>VBB - Design Basis</v>
      </c>
      <c r="Q690" s="6">
        <f>IF(TimeEntry[[#This Row],[Date]]=0,"",WEEKDAY(C690,2))</f>
        <v>1</v>
      </c>
      <c r="R690" s="9">
        <f>YEAR(TimeEntry[[#This Row],[WkEnd]])</f>
        <v>2019</v>
      </c>
      <c r="S690" s="9">
        <f>WEEKNUM(TimeEntry[[#This Row],[WkEnd]])</f>
        <v>15</v>
      </c>
      <c r="T690" s="9" t="str">
        <f>TimeEntry[[#This Row],[Year]]&amp;"-"&amp;TimeEntry[[#This Row],[WkNo]]</f>
        <v>2019-15</v>
      </c>
    </row>
    <row r="691" spans="1:20" x14ac:dyDescent="0.25">
      <c r="A691" s="6">
        <f>MOD(IF(ROW()=2,0.1,IF(INDEX(TimeEntry[WkEnd],ROW()-1)  =  INDEX(TimeEntry[WkEnd],ROW()-2),    INDEX(TimeEntry[format],ROW()-2),    INDEX(TimeEntry[format],ROW()-2)    +1)),2)</f>
        <v>1.1000000000000001</v>
      </c>
      <c r="B691" s="7"/>
      <c r="C691" s="8">
        <v>43557</v>
      </c>
      <c r="D691" s="8"/>
      <c r="E691" s="1" t="s">
        <v>462</v>
      </c>
      <c r="F691" s="8">
        <f>IF(TimeEntry[[#This Row],[Date]]=0,F690,C691+(7-Q691))</f>
        <v>43562</v>
      </c>
      <c r="G691" s="35" t="str">
        <f>INDEX(projects[Charge_Code],MATCH(TimeEntry[[#This Row],[Project_ID]],projects[Project_ID],0))</f>
        <v>265720-10 VBB - Design Basis</v>
      </c>
      <c r="H691" s="1" t="str">
        <f t="shared" si="20"/>
        <v>Normal Time</v>
      </c>
      <c r="I691" s="1"/>
      <c r="J691" s="15">
        <v>7.5</v>
      </c>
      <c r="K691" s="15"/>
      <c r="L691" s="15"/>
      <c r="M691" s="15"/>
      <c r="N691" s="15"/>
      <c r="O691" s="15" t="str">
        <f>INDEX(projects[job number],MATCH(TimeEntry[[#This Row],[Project_ID]], projects[Project_ID],0))</f>
        <v>265720-10</v>
      </c>
      <c r="P691" s="15" t="str">
        <f>INDEX(projects[Project_Name],MATCH(TimeEntry[[#This Row],[Project_ID]], projects[Project_ID],0))</f>
        <v>VBB - Design Basis</v>
      </c>
      <c r="Q691" s="6">
        <f>IF(TimeEntry[[#This Row],[Date]]=0,"",WEEKDAY(C691,2))</f>
        <v>2</v>
      </c>
      <c r="R691" s="9">
        <f>YEAR(TimeEntry[[#This Row],[WkEnd]])</f>
        <v>2019</v>
      </c>
      <c r="S691" s="9">
        <f>WEEKNUM(TimeEntry[[#This Row],[WkEnd]])</f>
        <v>15</v>
      </c>
      <c r="T691" s="9" t="str">
        <f>TimeEntry[[#This Row],[Year]]&amp;"-"&amp;TimeEntry[[#This Row],[WkNo]]</f>
        <v>2019-15</v>
      </c>
    </row>
    <row r="692" spans="1:20" x14ac:dyDescent="0.25">
      <c r="A692" s="6">
        <f>MOD(IF(ROW()=2,0.1,IF(INDEX(TimeEntry[WkEnd],ROW()-1)  =  INDEX(TimeEntry[WkEnd],ROW()-2),    INDEX(TimeEntry[format],ROW()-2),    INDEX(TimeEntry[format],ROW()-2)    +1)),2)</f>
        <v>1.1000000000000001</v>
      </c>
      <c r="B692" s="7"/>
      <c r="C692" s="8">
        <v>43558</v>
      </c>
      <c r="D692" s="8"/>
      <c r="E692" s="1" t="s">
        <v>462</v>
      </c>
      <c r="F692" s="8">
        <f>IF(TimeEntry[[#This Row],[Date]]=0,F691,C692+(7-Q692))</f>
        <v>43562</v>
      </c>
      <c r="G692" s="35" t="str">
        <f>INDEX(projects[Charge_Code],MATCH(TimeEntry[[#This Row],[Project_ID]],projects[Project_ID],0))</f>
        <v>265720-10 VBB - Design Basis</v>
      </c>
      <c r="H692" s="1" t="str">
        <f t="shared" si="20"/>
        <v>Normal Time</v>
      </c>
      <c r="I692" s="1"/>
      <c r="J692" s="15">
        <v>7.5</v>
      </c>
      <c r="K692" s="15"/>
      <c r="L692" s="15"/>
      <c r="M692" s="15"/>
      <c r="N692" s="15"/>
      <c r="O692" s="15" t="str">
        <f>INDEX(projects[job number],MATCH(TimeEntry[[#This Row],[Project_ID]], projects[Project_ID],0))</f>
        <v>265720-10</v>
      </c>
      <c r="P692" s="15" t="str">
        <f>INDEX(projects[Project_Name],MATCH(TimeEntry[[#This Row],[Project_ID]], projects[Project_ID],0))</f>
        <v>VBB - Design Basis</v>
      </c>
      <c r="Q692" s="6">
        <f>IF(TimeEntry[[#This Row],[Date]]=0,"",WEEKDAY(C692,2))</f>
        <v>3</v>
      </c>
      <c r="R692" s="9">
        <f>YEAR(TimeEntry[[#This Row],[WkEnd]])</f>
        <v>2019</v>
      </c>
      <c r="S692" s="9">
        <f>WEEKNUM(TimeEntry[[#This Row],[WkEnd]])</f>
        <v>15</v>
      </c>
      <c r="T692" s="9" t="str">
        <f>TimeEntry[[#This Row],[Year]]&amp;"-"&amp;TimeEntry[[#This Row],[WkNo]]</f>
        <v>2019-15</v>
      </c>
    </row>
    <row r="693" spans="1:20" x14ac:dyDescent="0.25">
      <c r="A693" s="6">
        <f>MOD(IF(ROW()=2,0.1,IF(INDEX(TimeEntry[WkEnd],ROW()-1)  =  INDEX(TimeEntry[WkEnd],ROW()-2),    INDEX(TimeEntry[format],ROW()-2),    INDEX(TimeEntry[format],ROW()-2)    +1)),2)</f>
        <v>1.1000000000000001</v>
      </c>
      <c r="B693" s="7"/>
      <c r="C693" s="8">
        <v>43559</v>
      </c>
      <c r="D693" s="8"/>
      <c r="E693" s="1" t="s">
        <v>462</v>
      </c>
      <c r="F693" s="8">
        <f>IF(TimeEntry[[#This Row],[Date]]=0,F692,C693+(7-Q693))</f>
        <v>43562</v>
      </c>
      <c r="G693" s="35" t="str">
        <f>INDEX(projects[Charge_Code],MATCH(TimeEntry[[#This Row],[Project_ID]],projects[Project_ID],0))</f>
        <v>265720-10 VBB - Design Basis</v>
      </c>
      <c r="H693" s="1" t="str">
        <f t="shared" si="20"/>
        <v>Normal Time</v>
      </c>
      <c r="I693" s="1"/>
      <c r="J693" s="15">
        <v>7.5</v>
      </c>
      <c r="K693" s="15"/>
      <c r="L693" s="15"/>
      <c r="M693" s="15"/>
      <c r="N693" s="15"/>
      <c r="O693" s="15" t="str">
        <f>INDEX(projects[job number],MATCH(TimeEntry[[#This Row],[Project_ID]], projects[Project_ID],0))</f>
        <v>265720-10</v>
      </c>
      <c r="P693" s="15" t="str">
        <f>INDEX(projects[Project_Name],MATCH(TimeEntry[[#This Row],[Project_ID]], projects[Project_ID],0))</f>
        <v>VBB - Design Basis</v>
      </c>
      <c r="Q693" s="6">
        <f>IF(TimeEntry[[#This Row],[Date]]=0,"",WEEKDAY(C693,2))</f>
        <v>4</v>
      </c>
      <c r="R693" s="9">
        <f>YEAR(TimeEntry[[#This Row],[WkEnd]])</f>
        <v>2019</v>
      </c>
      <c r="S693" s="9">
        <f>WEEKNUM(TimeEntry[[#This Row],[WkEnd]])</f>
        <v>15</v>
      </c>
      <c r="T693" s="9" t="str">
        <f>TimeEntry[[#This Row],[Year]]&amp;"-"&amp;TimeEntry[[#This Row],[WkNo]]</f>
        <v>2019-15</v>
      </c>
    </row>
    <row r="694" spans="1:20" x14ac:dyDescent="0.25">
      <c r="A694" s="6">
        <f>MOD(IF(ROW()=2,0.1,IF(INDEX(TimeEntry[WkEnd],ROW()-1)  =  INDEX(TimeEntry[WkEnd],ROW()-2),    INDEX(TimeEntry[format],ROW()-2),    INDEX(TimeEntry[format],ROW()-2)    +1)),2)</f>
        <v>1.1000000000000001</v>
      </c>
      <c r="B694" s="7"/>
      <c r="C694" s="8">
        <v>43560</v>
      </c>
      <c r="D694" s="8"/>
      <c r="E694" s="1" t="s">
        <v>462</v>
      </c>
      <c r="F694" s="8">
        <f>IF(TimeEntry[[#This Row],[Date]]=0,F693,C694+(7-Q694))</f>
        <v>43562</v>
      </c>
      <c r="G694" s="35" t="str">
        <f>INDEX(projects[Charge_Code],MATCH(TimeEntry[[#This Row],[Project_ID]],projects[Project_ID],0))</f>
        <v>265720-10 VBB - Design Basis</v>
      </c>
      <c r="H694" s="1" t="str">
        <f t="shared" si="20"/>
        <v>Normal Time</v>
      </c>
      <c r="I694" s="1"/>
      <c r="J694" s="15">
        <v>7.5</v>
      </c>
      <c r="K694" s="15"/>
      <c r="L694" s="15"/>
      <c r="M694" s="15"/>
      <c r="N694" s="15"/>
      <c r="O694" s="15" t="str">
        <f>INDEX(projects[job number],MATCH(TimeEntry[[#This Row],[Project_ID]], projects[Project_ID],0))</f>
        <v>265720-10</v>
      </c>
      <c r="P694" s="15" t="str">
        <f>INDEX(projects[Project_Name],MATCH(TimeEntry[[#This Row],[Project_ID]], projects[Project_ID],0))</f>
        <v>VBB - Design Basis</v>
      </c>
      <c r="Q694" s="6">
        <f>IF(TimeEntry[[#This Row],[Date]]=0,"",WEEKDAY(C694,2))</f>
        <v>5</v>
      </c>
      <c r="R694" s="9">
        <f>YEAR(TimeEntry[[#This Row],[WkEnd]])</f>
        <v>2019</v>
      </c>
      <c r="S694" s="9">
        <f>WEEKNUM(TimeEntry[[#This Row],[WkEnd]])</f>
        <v>15</v>
      </c>
      <c r="T694" s="9" t="str">
        <f>TimeEntry[[#This Row],[Year]]&amp;"-"&amp;TimeEntry[[#This Row],[WkNo]]</f>
        <v>2019-15</v>
      </c>
    </row>
    <row r="695" spans="1:20" x14ac:dyDescent="0.25">
      <c r="A695" s="6">
        <f>MOD(IF(ROW()=2,0.1,IF(INDEX(TimeEntry[WkEnd],ROW()-1)  =  INDEX(TimeEntry[WkEnd],ROW()-2),    INDEX(TimeEntry[format],ROW()-2),    INDEX(TimeEntry[format],ROW()-2)    +1)),2)</f>
        <v>0.10000000000000009</v>
      </c>
      <c r="B695" s="7"/>
      <c r="C695" s="8">
        <v>43549</v>
      </c>
      <c r="D695" s="8"/>
      <c r="E695" s="1" t="s">
        <v>462</v>
      </c>
      <c r="F695" s="8">
        <f>IF(TimeEntry[[#This Row],[Date]]=0,F694,C695+(7-Q695))</f>
        <v>43555</v>
      </c>
      <c r="G695" s="35" t="str">
        <f>INDEX(projects[Charge_Code],MATCH(TimeEntry[[#This Row],[Project_ID]],projects[Project_ID],0))</f>
        <v>265720-10 VBB - Design Basis</v>
      </c>
      <c r="H695" s="1" t="str">
        <f t="shared" si="20"/>
        <v>Normal Time</v>
      </c>
      <c r="I695" s="1"/>
      <c r="J695" s="15">
        <v>7.5</v>
      </c>
      <c r="K695" s="15"/>
      <c r="L695" s="15"/>
      <c r="M695" s="15"/>
      <c r="N695" s="15"/>
      <c r="O695" s="15" t="str">
        <f>INDEX(projects[job number],MATCH(TimeEntry[[#This Row],[Project_ID]], projects[Project_ID],0))</f>
        <v>265720-10</v>
      </c>
      <c r="P695" s="15" t="str">
        <f>INDEX(projects[Project_Name],MATCH(TimeEntry[[#This Row],[Project_ID]], projects[Project_ID],0))</f>
        <v>VBB - Design Basis</v>
      </c>
      <c r="Q695" s="6">
        <f>IF(TimeEntry[[#This Row],[Date]]=0,"",WEEKDAY(C695,2))</f>
        <v>1</v>
      </c>
      <c r="R695" s="9">
        <f>YEAR(TimeEntry[[#This Row],[WkEnd]])</f>
        <v>2019</v>
      </c>
      <c r="S695" s="9">
        <f>WEEKNUM(TimeEntry[[#This Row],[WkEnd]])</f>
        <v>14</v>
      </c>
      <c r="T695" s="9" t="str">
        <f>TimeEntry[[#This Row],[Year]]&amp;"-"&amp;TimeEntry[[#This Row],[WkNo]]</f>
        <v>2019-14</v>
      </c>
    </row>
    <row r="696" spans="1:20" x14ac:dyDescent="0.25">
      <c r="A696" s="6">
        <f>MOD(IF(ROW()=2,0.1,IF(INDEX(TimeEntry[WkEnd],ROW()-1)  =  INDEX(TimeEntry[WkEnd],ROW()-2),    INDEX(TimeEntry[format],ROW()-2),    INDEX(TimeEntry[format],ROW()-2)    +1)),2)</f>
        <v>0.10000000000000009</v>
      </c>
      <c r="B696" s="7"/>
      <c r="C696" s="8">
        <v>43550</v>
      </c>
      <c r="D696" s="8"/>
      <c r="E696" s="1" t="s">
        <v>462</v>
      </c>
      <c r="F696" s="8">
        <f>IF(TimeEntry[[#This Row],[Date]]=0,F695,C696+(7-Q696))</f>
        <v>43555</v>
      </c>
      <c r="G696" s="35" t="str">
        <f>INDEX(projects[Charge_Code],MATCH(TimeEntry[[#This Row],[Project_ID]],projects[Project_ID],0))</f>
        <v>265720-10 VBB - Design Basis</v>
      </c>
      <c r="H696" s="1" t="str">
        <f t="shared" si="20"/>
        <v>Normal Time</v>
      </c>
      <c r="I696" s="1"/>
      <c r="J696" s="15">
        <v>2</v>
      </c>
      <c r="K696" s="15"/>
      <c r="L696" s="15"/>
      <c r="M696" s="15"/>
      <c r="N696" s="15"/>
      <c r="O696" s="15" t="str">
        <f>INDEX(projects[job number],MATCH(TimeEntry[[#This Row],[Project_ID]], projects[Project_ID],0))</f>
        <v>265720-10</v>
      </c>
      <c r="P696" s="15" t="str">
        <f>INDEX(projects[Project_Name],MATCH(TimeEntry[[#This Row],[Project_ID]], projects[Project_ID],0))</f>
        <v>VBB - Design Basis</v>
      </c>
      <c r="Q696" s="6">
        <f>IF(TimeEntry[[#This Row],[Date]]=0,"",WEEKDAY(C696,2))</f>
        <v>2</v>
      </c>
      <c r="R696" s="9">
        <f>YEAR(TimeEntry[[#This Row],[WkEnd]])</f>
        <v>2019</v>
      </c>
      <c r="S696" s="9">
        <f>WEEKNUM(TimeEntry[[#This Row],[WkEnd]])</f>
        <v>14</v>
      </c>
      <c r="T696" s="9" t="str">
        <f>TimeEntry[[#This Row],[Year]]&amp;"-"&amp;TimeEntry[[#This Row],[WkNo]]</f>
        <v>2019-14</v>
      </c>
    </row>
    <row r="697" spans="1:20" x14ac:dyDescent="0.25">
      <c r="A697" s="6">
        <f>MOD(IF(ROW()=2,0.1,IF(INDEX(TimeEntry[WkEnd],ROW()-1)  =  INDEX(TimeEntry[WkEnd],ROW()-2),    INDEX(TimeEntry[format],ROW()-2),    INDEX(TimeEntry[format],ROW()-2)    +1)),2)</f>
        <v>0.10000000000000009</v>
      </c>
      <c r="B697" s="7"/>
      <c r="C697" s="8">
        <v>43550</v>
      </c>
      <c r="D697" s="8"/>
      <c r="E697" s="1" t="s">
        <v>462</v>
      </c>
      <c r="F697" s="8">
        <f>IF(TimeEntry[[#This Row],[Date]]=0,F696,C697+(7-Q697))</f>
        <v>43555</v>
      </c>
      <c r="G697" s="35" t="str">
        <f>INDEX(projects[Charge_Code],MATCH(TimeEntry[[#This Row],[Project_ID]],projects[Project_ID],0))</f>
        <v>265720-10 VBB - Design Basis</v>
      </c>
      <c r="H697" s="1" t="str">
        <f t="shared" si="20"/>
        <v>Normal Time</v>
      </c>
      <c r="I697" s="1"/>
      <c r="J697" s="15">
        <v>3</v>
      </c>
      <c r="K697" s="15"/>
      <c r="L697" s="15"/>
      <c r="M697" s="15"/>
      <c r="N697" s="15"/>
      <c r="O697" s="15" t="str">
        <f>INDEX(projects[job number],MATCH(TimeEntry[[#This Row],[Project_ID]], projects[Project_ID],0))</f>
        <v>265720-10</v>
      </c>
      <c r="P697" s="15" t="str">
        <f>INDEX(projects[Project_Name],MATCH(TimeEntry[[#This Row],[Project_ID]], projects[Project_ID],0))</f>
        <v>VBB - Design Basis</v>
      </c>
      <c r="Q697" s="6">
        <f>IF(TimeEntry[[#This Row],[Date]]=0,"",WEEKDAY(C697,2))</f>
        <v>2</v>
      </c>
      <c r="R697" s="9">
        <f>YEAR(TimeEntry[[#This Row],[WkEnd]])</f>
        <v>2019</v>
      </c>
      <c r="S697" s="9">
        <f>WEEKNUM(TimeEntry[[#This Row],[WkEnd]])</f>
        <v>14</v>
      </c>
      <c r="T697" s="9" t="str">
        <f>TimeEntry[[#This Row],[Year]]&amp;"-"&amp;TimeEntry[[#This Row],[WkNo]]</f>
        <v>2019-14</v>
      </c>
    </row>
    <row r="698" spans="1:20" x14ac:dyDescent="0.25">
      <c r="A698" s="6">
        <f>MOD(IF(ROW()=2,0.1,IF(INDEX(TimeEntry[WkEnd],ROW()-1)  =  INDEX(TimeEntry[WkEnd],ROW()-2),    INDEX(TimeEntry[format],ROW()-2),    INDEX(TimeEntry[format],ROW()-2)    +1)),2)</f>
        <v>0.10000000000000009</v>
      </c>
      <c r="B698" s="7"/>
      <c r="C698" s="8">
        <v>43550</v>
      </c>
      <c r="D698" s="8"/>
      <c r="E698" s="1" t="s">
        <v>467</v>
      </c>
      <c r="F698" s="8">
        <f>IF(TimeEntry[[#This Row],[Date]]=0,F697,C698+(7-Q698))</f>
        <v>43555</v>
      </c>
      <c r="G698" s="35" t="str">
        <f>INDEX(projects[Charge_Code],MATCH(TimeEntry[[#This Row],[Project_ID]],projects[Project_ID],0))</f>
        <v>261723-02 SMP</v>
      </c>
      <c r="H698" s="1" t="str">
        <f t="shared" si="20"/>
        <v>Normal Time</v>
      </c>
      <c r="I698" s="1"/>
      <c r="J698" s="15">
        <v>2.5</v>
      </c>
      <c r="K698" s="15"/>
      <c r="L698" s="15"/>
      <c r="M698" s="15"/>
      <c r="N698" s="15"/>
      <c r="O698" s="15" t="str">
        <f>INDEX(projects[job number],MATCH(TimeEntry[[#This Row],[Project_ID]], projects[Project_ID],0))</f>
        <v>261723-02</v>
      </c>
      <c r="P698" s="15" t="str">
        <f>INDEX(projects[Project_Name],MATCH(TimeEntry[[#This Row],[Project_ID]], projects[Project_ID],0))</f>
        <v>SMP</v>
      </c>
      <c r="Q698" s="6">
        <f>IF(TimeEntry[[#This Row],[Date]]=0,"",WEEKDAY(C698,2))</f>
        <v>2</v>
      </c>
      <c r="R698" s="9">
        <f>YEAR(TimeEntry[[#This Row],[WkEnd]])</f>
        <v>2019</v>
      </c>
      <c r="S698" s="9">
        <f>WEEKNUM(TimeEntry[[#This Row],[WkEnd]])</f>
        <v>14</v>
      </c>
      <c r="T698" s="9" t="str">
        <f>TimeEntry[[#This Row],[Year]]&amp;"-"&amp;TimeEntry[[#This Row],[WkNo]]</f>
        <v>2019-14</v>
      </c>
    </row>
    <row r="699" spans="1:20" x14ac:dyDescent="0.25">
      <c r="A699" s="6">
        <f>MOD(IF(ROW()=2,0.1,IF(INDEX(TimeEntry[WkEnd],ROW()-1)  =  INDEX(TimeEntry[WkEnd],ROW()-2),    INDEX(TimeEntry[format],ROW()-2),    INDEX(TimeEntry[format],ROW()-2)    +1)),2)</f>
        <v>0.10000000000000009</v>
      </c>
      <c r="B699" s="7"/>
      <c r="C699" s="8">
        <v>43551</v>
      </c>
      <c r="D699" s="8"/>
      <c r="E699" s="1" t="s">
        <v>467</v>
      </c>
      <c r="F699" s="8">
        <f>IF(TimeEntry[[#This Row],[Date]]=0,F698,C699+(7-Q699))</f>
        <v>43555</v>
      </c>
      <c r="G699" s="35" t="str">
        <f>INDEX(projects[Charge_Code],MATCH(TimeEntry[[#This Row],[Project_ID]],projects[Project_ID],0))</f>
        <v>261723-02 SMP</v>
      </c>
      <c r="H699" s="1" t="str">
        <f t="shared" si="20"/>
        <v>Normal Time</v>
      </c>
      <c r="I699" s="1"/>
      <c r="J699" s="15">
        <v>5</v>
      </c>
      <c r="K699" s="15"/>
      <c r="L699" s="15"/>
      <c r="M699" s="15"/>
      <c r="N699" s="15"/>
      <c r="O699" s="15" t="str">
        <f>INDEX(projects[job number],MATCH(TimeEntry[[#This Row],[Project_ID]], projects[Project_ID],0))</f>
        <v>261723-02</v>
      </c>
      <c r="P699" s="15" t="str">
        <f>INDEX(projects[Project_Name],MATCH(TimeEntry[[#This Row],[Project_ID]], projects[Project_ID],0))</f>
        <v>SMP</v>
      </c>
      <c r="Q699" s="6">
        <f>IF(TimeEntry[[#This Row],[Date]]=0,"",WEEKDAY(C699,2))</f>
        <v>3</v>
      </c>
      <c r="R699" s="9">
        <f>YEAR(TimeEntry[[#This Row],[WkEnd]])</f>
        <v>2019</v>
      </c>
      <c r="S699" s="9">
        <f>WEEKNUM(TimeEntry[[#This Row],[WkEnd]])</f>
        <v>14</v>
      </c>
      <c r="T699" s="9" t="str">
        <f>TimeEntry[[#This Row],[Year]]&amp;"-"&amp;TimeEntry[[#This Row],[WkNo]]</f>
        <v>2019-14</v>
      </c>
    </row>
    <row r="700" spans="1:20" x14ac:dyDescent="0.25">
      <c r="A700" s="6">
        <f>MOD(IF(ROW()=2,0.1,IF(INDEX(TimeEntry[WkEnd],ROW()-1)  =  INDEX(TimeEntry[WkEnd],ROW()-2),    INDEX(TimeEntry[format],ROW()-2),    INDEX(TimeEntry[format],ROW()-2)    +1)),2)</f>
        <v>0.10000000000000009</v>
      </c>
      <c r="B700" s="7"/>
      <c r="C700" s="8">
        <v>43551</v>
      </c>
      <c r="D700" s="8"/>
      <c r="E700" s="1" t="s">
        <v>462</v>
      </c>
      <c r="F700" s="8">
        <f>IF(TimeEntry[[#This Row],[Date]]=0,F699,C700+(7-Q700))</f>
        <v>43555</v>
      </c>
      <c r="G700" s="35" t="str">
        <f>INDEX(projects[Charge_Code],MATCH(TimeEntry[[#This Row],[Project_ID]],projects[Project_ID],0))</f>
        <v>265720-10 VBB - Design Basis</v>
      </c>
      <c r="H700" s="1" t="str">
        <f t="shared" si="20"/>
        <v>Normal Time</v>
      </c>
      <c r="I700" s="1"/>
      <c r="J700" s="15">
        <v>2.5</v>
      </c>
      <c r="K700" s="15"/>
      <c r="L700" s="15"/>
      <c r="M700" s="15"/>
      <c r="N700" s="15"/>
      <c r="O700" s="15" t="str">
        <f>INDEX(projects[job number],MATCH(TimeEntry[[#This Row],[Project_ID]], projects[Project_ID],0))</f>
        <v>265720-10</v>
      </c>
      <c r="P700" s="15" t="str">
        <f>INDEX(projects[Project_Name],MATCH(TimeEntry[[#This Row],[Project_ID]], projects[Project_ID],0))</f>
        <v>VBB - Design Basis</v>
      </c>
      <c r="Q700" s="6">
        <f>IF(TimeEntry[[#This Row],[Date]]=0,"",WEEKDAY(C700,2))</f>
        <v>3</v>
      </c>
      <c r="R700" s="9">
        <f>YEAR(TimeEntry[[#This Row],[WkEnd]])</f>
        <v>2019</v>
      </c>
      <c r="S700" s="9">
        <f>WEEKNUM(TimeEntry[[#This Row],[WkEnd]])</f>
        <v>14</v>
      </c>
      <c r="T700" s="9" t="str">
        <f>TimeEntry[[#This Row],[Year]]&amp;"-"&amp;TimeEntry[[#This Row],[WkNo]]</f>
        <v>2019-14</v>
      </c>
    </row>
    <row r="701" spans="1:20" x14ac:dyDescent="0.25">
      <c r="A701" s="6">
        <f>MOD(IF(ROW()=2,0.1,IF(INDEX(TimeEntry[WkEnd],ROW()-1)  =  INDEX(TimeEntry[WkEnd],ROW()-2),    INDEX(TimeEntry[format],ROW()-2),    INDEX(TimeEntry[format],ROW()-2)    +1)),2)</f>
        <v>0.10000000000000009</v>
      </c>
      <c r="B701" s="7"/>
      <c r="C701" s="8">
        <v>43552</v>
      </c>
      <c r="D701" s="8"/>
      <c r="E701" s="1" t="s">
        <v>467</v>
      </c>
      <c r="F701" s="8">
        <f>IF(TimeEntry[[#This Row],[Date]]=0,F700,C701+(7-Q701))</f>
        <v>43555</v>
      </c>
      <c r="G701" s="35" t="str">
        <f>INDEX(projects[Charge_Code],MATCH(TimeEntry[[#This Row],[Project_ID]],projects[Project_ID],0))</f>
        <v>261723-02 SMP</v>
      </c>
      <c r="H701" s="1" t="str">
        <f t="shared" si="20"/>
        <v>Normal Time</v>
      </c>
      <c r="I701" s="1"/>
      <c r="J701" s="15">
        <v>2.5</v>
      </c>
      <c r="K701" s="15"/>
      <c r="L701" s="15"/>
      <c r="M701" s="15"/>
      <c r="N701" s="15"/>
      <c r="O701" s="15" t="str">
        <f>INDEX(projects[job number],MATCH(TimeEntry[[#This Row],[Project_ID]], projects[Project_ID],0))</f>
        <v>261723-02</v>
      </c>
      <c r="P701" s="15" t="str">
        <f>INDEX(projects[Project_Name],MATCH(TimeEntry[[#This Row],[Project_ID]], projects[Project_ID],0))</f>
        <v>SMP</v>
      </c>
      <c r="Q701" s="6">
        <f>IF(TimeEntry[[#This Row],[Date]]=0,"",WEEKDAY(C701,2))</f>
        <v>4</v>
      </c>
      <c r="R701" s="9">
        <f>YEAR(TimeEntry[[#This Row],[WkEnd]])</f>
        <v>2019</v>
      </c>
      <c r="S701" s="9">
        <f>WEEKNUM(TimeEntry[[#This Row],[WkEnd]])</f>
        <v>14</v>
      </c>
      <c r="T701" s="9" t="str">
        <f>TimeEntry[[#This Row],[Year]]&amp;"-"&amp;TimeEntry[[#This Row],[WkNo]]</f>
        <v>2019-14</v>
      </c>
    </row>
    <row r="702" spans="1:20" x14ac:dyDescent="0.25">
      <c r="A702" s="6">
        <f>MOD(IF(ROW()=2,0.1,IF(INDEX(TimeEntry[WkEnd],ROW()-1)  =  INDEX(TimeEntry[WkEnd],ROW()-2),    INDEX(TimeEntry[format],ROW()-2),    INDEX(TimeEntry[format],ROW()-2)    +1)),2)</f>
        <v>0.10000000000000009</v>
      </c>
      <c r="B702" s="7"/>
      <c r="C702" s="8">
        <v>43552</v>
      </c>
      <c r="D702" s="8"/>
      <c r="E702" s="1" t="s">
        <v>462</v>
      </c>
      <c r="F702" s="8">
        <f>IF(TimeEntry[[#This Row],[Date]]=0,F701,C702+(7-Q702))</f>
        <v>43555</v>
      </c>
      <c r="G702" s="35" t="str">
        <f>INDEX(projects[Charge_Code],MATCH(TimeEntry[[#This Row],[Project_ID]],projects[Project_ID],0))</f>
        <v>265720-10 VBB - Design Basis</v>
      </c>
      <c r="H702" s="1" t="str">
        <f t="shared" si="20"/>
        <v>Normal Time</v>
      </c>
      <c r="I702" s="1"/>
      <c r="J702" s="15">
        <v>5</v>
      </c>
      <c r="K702" s="15"/>
      <c r="L702" s="15"/>
      <c r="M702" s="15"/>
      <c r="N702" s="15"/>
      <c r="O702" s="15" t="str">
        <f>INDEX(projects[job number],MATCH(TimeEntry[[#This Row],[Project_ID]], projects[Project_ID],0))</f>
        <v>265720-10</v>
      </c>
      <c r="P702" s="15" t="str">
        <f>INDEX(projects[Project_Name],MATCH(TimeEntry[[#This Row],[Project_ID]], projects[Project_ID],0))</f>
        <v>VBB - Design Basis</v>
      </c>
      <c r="Q702" s="6">
        <f>IF(TimeEntry[[#This Row],[Date]]=0,"",WEEKDAY(C702,2))</f>
        <v>4</v>
      </c>
      <c r="R702" s="9">
        <f>YEAR(TimeEntry[[#This Row],[WkEnd]])</f>
        <v>2019</v>
      </c>
      <c r="S702" s="9">
        <f>WEEKNUM(TimeEntry[[#This Row],[WkEnd]])</f>
        <v>14</v>
      </c>
      <c r="T702" s="9" t="str">
        <f>TimeEntry[[#This Row],[Year]]&amp;"-"&amp;TimeEntry[[#This Row],[WkNo]]</f>
        <v>2019-14</v>
      </c>
    </row>
    <row r="703" spans="1:20" x14ac:dyDescent="0.25">
      <c r="A703" s="6">
        <f>MOD(IF(ROW()=2,0.1,IF(INDEX(TimeEntry[WkEnd],ROW()-1)  =  INDEX(TimeEntry[WkEnd],ROW()-2),    INDEX(TimeEntry[format],ROW()-2),    INDEX(TimeEntry[format],ROW()-2)    +1)),2)</f>
        <v>0.10000000000000009</v>
      </c>
      <c r="B703" s="7"/>
      <c r="C703" s="8">
        <v>43553</v>
      </c>
      <c r="D703" s="8"/>
      <c r="E703" s="1" t="s">
        <v>462</v>
      </c>
      <c r="F703" s="8">
        <f>IF(TimeEntry[[#This Row],[Date]]=0,F702,C703+(7-Q703))</f>
        <v>43555</v>
      </c>
      <c r="G703" s="35" t="str">
        <f>INDEX(projects[Charge_Code],MATCH(TimeEntry[[#This Row],[Project_ID]],projects[Project_ID],0))</f>
        <v>265720-10 VBB - Design Basis</v>
      </c>
      <c r="H703" s="1" t="str">
        <f t="shared" si="20"/>
        <v>Normal Time</v>
      </c>
      <c r="I703" s="1"/>
      <c r="J703" s="15">
        <v>7.5</v>
      </c>
      <c r="K703" s="15"/>
      <c r="L703" s="15"/>
      <c r="M703" s="15"/>
      <c r="N703" s="15"/>
      <c r="O703" s="15" t="str">
        <f>INDEX(projects[job number],MATCH(TimeEntry[[#This Row],[Project_ID]], projects[Project_ID],0))</f>
        <v>265720-10</v>
      </c>
      <c r="P703" s="15" t="str">
        <f>INDEX(projects[Project_Name],MATCH(TimeEntry[[#This Row],[Project_ID]], projects[Project_ID],0))</f>
        <v>VBB - Design Basis</v>
      </c>
      <c r="Q703" s="6">
        <f>IF(TimeEntry[[#This Row],[Date]]=0,"",WEEKDAY(C703,2))</f>
        <v>5</v>
      </c>
      <c r="R703" s="9">
        <f>YEAR(TimeEntry[[#This Row],[WkEnd]])</f>
        <v>2019</v>
      </c>
      <c r="S703" s="9">
        <f>WEEKNUM(TimeEntry[[#This Row],[WkEnd]])</f>
        <v>14</v>
      </c>
      <c r="T703" s="9" t="str">
        <f>TimeEntry[[#This Row],[Year]]&amp;"-"&amp;TimeEntry[[#This Row],[WkNo]]</f>
        <v>2019-14</v>
      </c>
    </row>
    <row r="704" spans="1:20" x14ac:dyDescent="0.25">
      <c r="A704" s="6">
        <f>MOD(IF(ROW()=2,0.1,IF(INDEX(TimeEntry[WkEnd],ROW()-1)  =  INDEX(TimeEntry[WkEnd],ROW()-2),    INDEX(TimeEntry[format],ROW()-2),    INDEX(TimeEntry[format],ROW()-2)    +1)),2)</f>
        <v>1.1000000000000001</v>
      </c>
      <c r="B704" s="7"/>
      <c r="C704" s="8">
        <v>43542</v>
      </c>
      <c r="D704" s="8"/>
      <c r="E704" s="1" t="s">
        <v>468</v>
      </c>
      <c r="F704" s="8">
        <f>IF(TimeEntry[[#This Row],[Date]]=0,F703,C704+(7-Q704))</f>
        <v>43548</v>
      </c>
      <c r="G704" s="35" t="str">
        <f>INDEX(projects[Charge_Code],MATCH(TimeEntry[[#This Row],[Project_ID]],projects[Project_ID],0))</f>
        <v>266122-21 A465</v>
      </c>
      <c r="H704" s="1" t="str">
        <f t="shared" si="20"/>
        <v>Normal Time</v>
      </c>
      <c r="I704" s="1"/>
      <c r="J704" s="15">
        <v>7.5</v>
      </c>
      <c r="K704" s="15"/>
      <c r="L704" s="15"/>
      <c r="M704" s="15"/>
      <c r="N704" s="15"/>
      <c r="O704" s="15" t="str">
        <f>INDEX(projects[job number],MATCH(TimeEntry[[#This Row],[Project_ID]], projects[Project_ID],0))</f>
        <v>266122-21</v>
      </c>
      <c r="P704" s="15" t="str">
        <f>INDEX(projects[Project_Name],MATCH(TimeEntry[[#This Row],[Project_ID]], projects[Project_ID],0))</f>
        <v>A465</v>
      </c>
      <c r="Q704" s="6">
        <f>IF(TimeEntry[[#This Row],[Date]]=0,"",WEEKDAY(C704,2))</f>
        <v>1</v>
      </c>
      <c r="R704" s="9">
        <f>YEAR(TimeEntry[[#This Row],[WkEnd]])</f>
        <v>2019</v>
      </c>
      <c r="S704" s="9">
        <f>WEEKNUM(TimeEntry[[#This Row],[WkEnd]])</f>
        <v>13</v>
      </c>
      <c r="T704" s="9" t="str">
        <f>TimeEntry[[#This Row],[Year]]&amp;"-"&amp;TimeEntry[[#This Row],[WkNo]]</f>
        <v>2019-13</v>
      </c>
    </row>
    <row r="705" spans="1:20" x14ac:dyDescent="0.25">
      <c r="A705" s="6">
        <f>MOD(IF(ROW()=2,0.1,IF(INDEX(TimeEntry[WkEnd],ROW()-1)  =  INDEX(TimeEntry[WkEnd],ROW()-2),    INDEX(TimeEntry[format],ROW()-2),    INDEX(TimeEntry[format],ROW()-2)    +1)),2)</f>
        <v>1.1000000000000001</v>
      </c>
      <c r="B705" s="7"/>
      <c r="C705" s="8">
        <v>43543</v>
      </c>
      <c r="D705" s="8"/>
      <c r="E705" s="1" t="s">
        <v>462</v>
      </c>
      <c r="F705" s="8">
        <f>IF(TimeEntry[[#This Row],[Date]]=0,F704,C705+(7-Q705))</f>
        <v>43548</v>
      </c>
      <c r="G705" s="35" t="str">
        <f>INDEX(projects[Charge_Code],MATCH(TimeEntry[[#This Row],[Project_ID]],projects[Project_ID],0))</f>
        <v>265720-10 VBB - Design Basis</v>
      </c>
      <c r="H705" s="1" t="str">
        <f t="shared" si="20"/>
        <v>Normal Time</v>
      </c>
      <c r="I705" s="1"/>
      <c r="J705" s="15">
        <v>7.5</v>
      </c>
      <c r="K705" s="15"/>
      <c r="L705" s="15"/>
      <c r="M705" s="15"/>
      <c r="N705" s="15"/>
      <c r="O705" s="15" t="str">
        <f>INDEX(projects[job number],MATCH(TimeEntry[[#This Row],[Project_ID]], projects[Project_ID],0))</f>
        <v>265720-10</v>
      </c>
      <c r="P705" s="15" t="str">
        <f>INDEX(projects[Project_Name],MATCH(TimeEntry[[#This Row],[Project_ID]], projects[Project_ID],0))</f>
        <v>VBB - Design Basis</v>
      </c>
      <c r="Q705" s="6">
        <f>IF(TimeEntry[[#This Row],[Date]]=0,"",WEEKDAY(C705,2))</f>
        <v>2</v>
      </c>
      <c r="R705" s="9">
        <f>YEAR(TimeEntry[[#This Row],[WkEnd]])</f>
        <v>2019</v>
      </c>
      <c r="S705" s="9">
        <f>WEEKNUM(TimeEntry[[#This Row],[WkEnd]])</f>
        <v>13</v>
      </c>
      <c r="T705" s="9" t="str">
        <f>TimeEntry[[#This Row],[Year]]&amp;"-"&amp;TimeEntry[[#This Row],[WkNo]]</f>
        <v>2019-13</v>
      </c>
    </row>
    <row r="706" spans="1:20" x14ac:dyDescent="0.25">
      <c r="A706" s="6">
        <f>MOD(IF(ROW()=2,0.1,IF(INDEX(TimeEntry[WkEnd],ROW()-1)  =  INDEX(TimeEntry[WkEnd],ROW()-2),    INDEX(TimeEntry[format],ROW()-2),    INDEX(TimeEntry[format],ROW()-2)    +1)),2)</f>
        <v>1.1000000000000001</v>
      </c>
      <c r="B706" s="7"/>
      <c r="C706" s="8">
        <v>43544</v>
      </c>
      <c r="D706" s="8"/>
      <c r="E706" s="1" t="s">
        <v>462</v>
      </c>
      <c r="F706" s="8">
        <f>IF(TimeEntry[[#This Row],[Date]]=0,F705,C706+(7-Q706))</f>
        <v>43548</v>
      </c>
      <c r="G706" s="35" t="str">
        <f>INDEX(projects[Charge_Code],MATCH(TimeEntry[[#This Row],[Project_ID]],projects[Project_ID],0))</f>
        <v>265720-10 VBB - Design Basis</v>
      </c>
      <c r="H706" s="1" t="str">
        <f t="shared" si="20"/>
        <v>Normal Time</v>
      </c>
      <c r="I706" s="1"/>
      <c r="J706" s="15">
        <v>7.5</v>
      </c>
      <c r="K706" s="15"/>
      <c r="L706" s="15"/>
      <c r="M706" s="15"/>
      <c r="N706" s="15"/>
      <c r="O706" s="15" t="str">
        <f>INDEX(projects[job number],MATCH(TimeEntry[[#This Row],[Project_ID]], projects[Project_ID],0))</f>
        <v>265720-10</v>
      </c>
      <c r="P706" s="15" t="str">
        <f>INDEX(projects[Project_Name],MATCH(TimeEntry[[#This Row],[Project_ID]], projects[Project_ID],0))</f>
        <v>VBB - Design Basis</v>
      </c>
      <c r="Q706" s="6">
        <f>IF(TimeEntry[[#This Row],[Date]]=0,"",WEEKDAY(C706,2))</f>
        <v>3</v>
      </c>
      <c r="R706" s="9">
        <f>YEAR(TimeEntry[[#This Row],[WkEnd]])</f>
        <v>2019</v>
      </c>
      <c r="S706" s="9">
        <f>WEEKNUM(TimeEntry[[#This Row],[WkEnd]])</f>
        <v>13</v>
      </c>
      <c r="T706" s="9" t="str">
        <f>TimeEntry[[#This Row],[Year]]&amp;"-"&amp;TimeEntry[[#This Row],[WkNo]]</f>
        <v>2019-13</v>
      </c>
    </row>
    <row r="707" spans="1:20" x14ac:dyDescent="0.25">
      <c r="A707" s="6">
        <f>MOD(IF(ROW()=2,0.1,IF(INDEX(TimeEntry[WkEnd],ROW()-1)  =  INDEX(TimeEntry[WkEnd],ROW()-2),    INDEX(TimeEntry[format],ROW()-2),    INDEX(TimeEntry[format],ROW()-2)    +1)),2)</f>
        <v>1.1000000000000001</v>
      </c>
      <c r="B707" s="7"/>
      <c r="C707" s="8">
        <v>43545</v>
      </c>
      <c r="D707" s="8"/>
      <c r="E707" s="1" t="s">
        <v>462</v>
      </c>
      <c r="F707" s="8">
        <f>IF(TimeEntry[[#This Row],[Date]]=0,F706,C707+(7-Q707))</f>
        <v>43548</v>
      </c>
      <c r="G707" s="35" t="str">
        <f>INDEX(projects[Charge_Code],MATCH(TimeEntry[[#This Row],[Project_ID]],projects[Project_ID],0))</f>
        <v>265720-10 VBB - Design Basis</v>
      </c>
      <c r="H707" s="1" t="str">
        <f t="shared" si="20"/>
        <v>Normal Time</v>
      </c>
      <c r="I707" s="1"/>
      <c r="J707" s="15">
        <v>7.5</v>
      </c>
      <c r="K707" s="15"/>
      <c r="L707" s="15"/>
      <c r="M707" s="15"/>
      <c r="N707" s="15"/>
      <c r="O707" s="15" t="str">
        <f>INDEX(projects[job number],MATCH(TimeEntry[[#This Row],[Project_ID]], projects[Project_ID],0))</f>
        <v>265720-10</v>
      </c>
      <c r="P707" s="15" t="str">
        <f>INDEX(projects[Project_Name],MATCH(TimeEntry[[#This Row],[Project_ID]], projects[Project_ID],0))</f>
        <v>VBB - Design Basis</v>
      </c>
      <c r="Q707" s="6">
        <f>IF(TimeEntry[[#This Row],[Date]]=0,"",WEEKDAY(C707,2))</f>
        <v>4</v>
      </c>
      <c r="R707" s="9">
        <f>YEAR(TimeEntry[[#This Row],[WkEnd]])</f>
        <v>2019</v>
      </c>
      <c r="S707" s="9">
        <f>WEEKNUM(TimeEntry[[#This Row],[WkEnd]])</f>
        <v>13</v>
      </c>
      <c r="T707" s="9" t="str">
        <f>TimeEntry[[#This Row],[Year]]&amp;"-"&amp;TimeEntry[[#This Row],[WkNo]]</f>
        <v>2019-13</v>
      </c>
    </row>
    <row r="708" spans="1:20" x14ac:dyDescent="0.25">
      <c r="A708" s="6">
        <f>MOD(IF(ROW()=2,0.1,IF(INDEX(TimeEntry[WkEnd],ROW()-1)  =  INDEX(TimeEntry[WkEnd],ROW()-2),    INDEX(TimeEntry[format],ROW()-2),    INDEX(TimeEntry[format],ROW()-2)    +1)),2)</f>
        <v>1.1000000000000001</v>
      </c>
      <c r="B708" s="7"/>
      <c r="C708" s="8">
        <v>43546</v>
      </c>
      <c r="D708" s="8"/>
      <c r="E708" s="1" t="s">
        <v>468</v>
      </c>
      <c r="F708" s="8">
        <f>IF(TimeEntry[[#This Row],[Date]]=0,F707,C708+(7-Q708))</f>
        <v>43548</v>
      </c>
      <c r="G708" s="35" t="str">
        <f>INDEX(projects[Charge_Code],MATCH(TimeEntry[[#This Row],[Project_ID]],projects[Project_ID],0))</f>
        <v>266122-21 A465</v>
      </c>
      <c r="H708" s="1" t="str">
        <f t="shared" si="20"/>
        <v>Normal Time</v>
      </c>
      <c r="I708" s="1"/>
      <c r="J708" s="15">
        <v>7.5</v>
      </c>
      <c r="K708" s="15"/>
      <c r="L708" s="15"/>
      <c r="M708" s="15"/>
      <c r="N708" s="15"/>
      <c r="O708" s="15" t="str">
        <f>INDEX(projects[job number],MATCH(TimeEntry[[#This Row],[Project_ID]], projects[Project_ID],0))</f>
        <v>266122-21</v>
      </c>
      <c r="P708" s="15" t="str">
        <f>INDEX(projects[Project_Name],MATCH(TimeEntry[[#This Row],[Project_ID]], projects[Project_ID],0))</f>
        <v>A465</v>
      </c>
      <c r="Q708" s="6">
        <f>IF(TimeEntry[[#This Row],[Date]]=0,"",WEEKDAY(C708,2))</f>
        <v>5</v>
      </c>
      <c r="R708" s="9">
        <f>YEAR(TimeEntry[[#This Row],[WkEnd]])</f>
        <v>2019</v>
      </c>
      <c r="S708" s="9">
        <f>WEEKNUM(TimeEntry[[#This Row],[WkEnd]])</f>
        <v>13</v>
      </c>
      <c r="T708" s="9" t="str">
        <f>TimeEntry[[#This Row],[Year]]&amp;"-"&amp;TimeEntry[[#This Row],[WkNo]]</f>
        <v>2019-13</v>
      </c>
    </row>
    <row r="709" spans="1:20" x14ac:dyDescent="0.25">
      <c r="A709" s="6">
        <f>MOD(IF(ROW()=2,0.1,IF(INDEX(TimeEntry[WkEnd],ROW()-1)  =  INDEX(TimeEntry[WkEnd],ROW()-2),    INDEX(TimeEntry[format],ROW()-2),    INDEX(TimeEntry[format],ROW()-2)    +1)),2)</f>
        <v>0.10000000000000009</v>
      </c>
      <c r="B709" s="7"/>
      <c r="C709" s="8">
        <v>43535</v>
      </c>
      <c r="D709" s="8"/>
      <c r="E709" s="1" t="s">
        <v>468</v>
      </c>
      <c r="F709" s="8">
        <f>IF(TimeEntry[[#This Row],[Date]]=0,F708,C709+(7-Q709))</f>
        <v>43541</v>
      </c>
      <c r="G709" s="35" t="str">
        <f>INDEX(projects[Charge_Code],MATCH(TimeEntry[[#This Row],[Project_ID]],projects[Project_ID],0))</f>
        <v>266122-21 A465</v>
      </c>
      <c r="H709" s="1" t="str">
        <f t="shared" si="20"/>
        <v>Normal Time</v>
      </c>
      <c r="I709" s="1"/>
      <c r="J709" s="15">
        <v>5</v>
      </c>
      <c r="K709" s="15"/>
      <c r="L709" s="15"/>
      <c r="M709" s="15"/>
      <c r="N709" s="15"/>
      <c r="O709" s="15" t="str">
        <f>INDEX(projects[job number],MATCH(TimeEntry[[#This Row],[Project_ID]], projects[Project_ID],0))</f>
        <v>266122-21</v>
      </c>
      <c r="P709" s="15" t="str">
        <f>INDEX(projects[Project_Name],MATCH(TimeEntry[[#This Row],[Project_ID]], projects[Project_ID],0))</f>
        <v>A465</v>
      </c>
      <c r="Q709" s="6">
        <f>IF(TimeEntry[[#This Row],[Date]]=0,"",WEEKDAY(C709,2))</f>
        <v>1</v>
      </c>
      <c r="R709" s="9">
        <f>YEAR(TimeEntry[[#This Row],[WkEnd]])</f>
        <v>2019</v>
      </c>
      <c r="S709" s="9">
        <f>WEEKNUM(TimeEntry[[#This Row],[WkEnd]])</f>
        <v>12</v>
      </c>
      <c r="T709" s="9" t="str">
        <f>TimeEntry[[#This Row],[Year]]&amp;"-"&amp;TimeEntry[[#This Row],[WkNo]]</f>
        <v>2019-12</v>
      </c>
    </row>
    <row r="710" spans="1:20" x14ac:dyDescent="0.25">
      <c r="A710" s="6">
        <f>MOD(IF(ROW()=2,0.1,IF(INDEX(TimeEntry[WkEnd],ROW()-1)  =  INDEX(TimeEntry[WkEnd],ROW()-2),    INDEX(TimeEntry[format],ROW()-2),    INDEX(TimeEntry[format],ROW()-2)    +1)),2)</f>
        <v>0.10000000000000009</v>
      </c>
      <c r="B710" s="7"/>
      <c r="C710" s="8">
        <v>43535</v>
      </c>
      <c r="D710" s="8"/>
      <c r="E710" s="1" t="s">
        <v>468</v>
      </c>
      <c r="F710" s="8">
        <f>IF(TimeEntry[[#This Row],[Date]]=0,F709,C710+(7-Q710))</f>
        <v>43541</v>
      </c>
      <c r="G710" s="35" t="str">
        <f>INDEX(projects[Charge_Code],MATCH(TimeEntry[[#This Row],[Project_ID]],projects[Project_ID],0))</f>
        <v>266122-21 A465</v>
      </c>
      <c r="H710" s="1" t="str">
        <f t="shared" si="20"/>
        <v>Normal Time</v>
      </c>
      <c r="I710" s="1"/>
      <c r="J710" s="15">
        <v>2.5</v>
      </c>
      <c r="K710" s="15"/>
      <c r="L710" s="15"/>
      <c r="M710" s="15"/>
      <c r="N710" s="15"/>
      <c r="O710" s="15" t="str">
        <f>INDEX(projects[job number],MATCH(TimeEntry[[#This Row],[Project_ID]], projects[Project_ID],0))</f>
        <v>266122-21</v>
      </c>
      <c r="P710" s="15" t="str">
        <f>INDEX(projects[Project_Name],MATCH(TimeEntry[[#This Row],[Project_ID]], projects[Project_ID],0))</f>
        <v>A465</v>
      </c>
      <c r="Q710" s="6">
        <f>IF(TimeEntry[[#This Row],[Date]]=0,"",WEEKDAY(C710,2))</f>
        <v>1</v>
      </c>
      <c r="R710" s="9">
        <f>YEAR(TimeEntry[[#This Row],[WkEnd]])</f>
        <v>2019</v>
      </c>
      <c r="S710" s="9">
        <f>WEEKNUM(TimeEntry[[#This Row],[WkEnd]])</f>
        <v>12</v>
      </c>
      <c r="T710" s="9" t="str">
        <f>TimeEntry[[#This Row],[Year]]&amp;"-"&amp;TimeEntry[[#This Row],[WkNo]]</f>
        <v>2019-12</v>
      </c>
    </row>
    <row r="711" spans="1:20" x14ac:dyDescent="0.25">
      <c r="A711" s="6">
        <f>MOD(IF(ROW()=2,0.1,IF(INDEX(TimeEntry[WkEnd],ROW()-1)  =  INDEX(TimeEntry[WkEnd],ROW()-2),    INDEX(TimeEntry[format],ROW()-2),    INDEX(TimeEntry[format],ROW()-2)    +1)),2)</f>
        <v>0.10000000000000009</v>
      </c>
      <c r="B711" s="7"/>
      <c r="C711" s="8">
        <v>43536</v>
      </c>
      <c r="D711" s="8"/>
      <c r="E711" s="1" t="s">
        <v>468</v>
      </c>
      <c r="F711" s="8">
        <f>IF(TimeEntry[[#This Row],[Date]]=0,F710,C711+(7-Q711))</f>
        <v>43541</v>
      </c>
      <c r="G711" s="35" t="str">
        <f>INDEX(projects[Charge_Code],MATCH(TimeEntry[[#This Row],[Project_ID]],projects[Project_ID],0))</f>
        <v>266122-21 A465</v>
      </c>
      <c r="H711" s="1" t="str">
        <f t="shared" si="20"/>
        <v>Normal Time</v>
      </c>
      <c r="I711" s="1"/>
      <c r="J711" s="15">
        <v>7.5</v>
      </c>
      <c r="K711" s="15"/>
      <c r="L711" s="15"/>
      <c r="M711" s="15"/>
      <c r="N711" s="15"/>
      <c r="O711" s="15" t="str">
        <f>INDEX(projects[job number],MATCH(TimeEntry[[#This Row],[Project_ID]], projects[Project_ID],0))</f>
        <v>266122-21</v>
      </c>
      <c r="P711" s="15" t="str">
        <f>INDEX(projects[Project_Name],MATCH(TimeEntry[[#This Row],[Project_ID]], projects[Project_ID],0))</f>
        <v>A465</v>
      </c>
      <c r="Q711" s="6">
        <f>IF(TimeEntry[[#This Row],[Date]]=0,"",WEEKDAY(C711,2))</f>
        <v>2</v>
      </c>
      <c r="R711" s="9">
        <f>YEAR(TimeEntry[[#This Row],[WkEnd]])</f>
        <v>2019</v>
      </c>
      <c r="S711" s="9">
        <f>WEEKNUM(TimeEntry[[#This Row],[WkEnd]])</f>
        <v>12</v>
      </c>
      <c r="T711" s="9" t="str">
        <f>TimeEntry[[#This Row],[Year]]&amp;"-"&amp;TimeEntry[[#This Row],[WkNo]]</f>
        <v>2019-12</v>
      </c>
    </row>
    <row r="712" spans="1:20" x14ac:dyDescent="0.25">
      <c r="A712" s="6">
        <f>MOD(IF(ROW()=2,0.1,IF(INDEX(TimeEntry[WkEnd],ROW()-1)  =  INDEX(TimeEntry[WkEnd],ROW()-2),    INDEX(TimeEntry[format],ROW()-2),    INDEX(TimeEntry[format],ROW()-2)    +1)),2)</f>
        <v>0.10000000000000009</v>
      </c>
      <c r="B712" s="7"/>
      <c r="C712" s="8">
        <v>43537</v>
      </c>
      <c r="D712" s="8"/>
      <c r="E712" s="1" t="s">
        <v>462</v>
      </c>
      <c r="F712" s="8">
        <f>IF(TimeEntry[[#This Row],[Date]]=0,F711,C712+(7-Q712))</f>
        <v>43541</v>
      </c>
      <c r="G712" s="35" t="str">
        <f>INDEX(projects[Charge_Code],MATCH(TimeEntry[[#This Row],[Project_ID]],projects[Project_ID],0))</f>
        <v>265720-10 VBB - Design Basis</v>
      </c>
      <c r="H712" s="1" t="str">
        <f t="shared" ref="H712:H775" si="21">"Normal Time"</f>
        <v>Normal Time</v>
      </c>
      <c r="I712" s="1"/>
      <c r="J712" s="15">
        <v>7.5</v>
      </c>
      <c r="K712" s="15"/>
      <c r="L712" s="15"/>
      <c r="M712" s="15"/>
      <c r="N712" s="15"/>
      <c r="O712" s="15" t="str">
        <f>INDEX(projects[job number],MATCH(TimeEntry[[#This Row],[Project_ID]], projects[Project_ID],0))</f>
        <v>265720-10</v>
      </c>
      <c r="P712" s="15" t="str">
        <f>INDEX(projects[Project_Name],MATCH(TimeEntry[[#This Row],[Project_ID]], projects[Project_ID],0))</f>
        <v>VBB - Design Basis</v>
      </c>
      <c r="Q712" s="6">
        <f>IF(TimeEntry[[#This Row],[Date]]=0,"",WEEKDAY(C712,2))</f>
        <v>3</v>
      </c>
      <c r="R712" s="9">
        <f>YEAR(TimeEntry[[#This Row],[WkEnd]])</f>
        <v>2019</v>
      </c>
      <c r="S712" s="9">
        <f>WEEKNUM(TimeEntry[[#This Row],[WkEnd]])</f>
        <v>12</v>
      </c>
      <c r="T712" s="9" t="str">
        <f>TimeEntry[[#This Row],[Year]]&amp;"-"&amp;TimeEntry[[#This Row],[WkNo]]</f>
        <v>2019-12</v>
      </c>
    </row>
    <row r="713" spans="1:20" x14ac:dyDescent="0.25">
      <c r="A713" s="6">
        <f>MOD(IF(ROW()=2,0.1,IF(INDEX(TimeEntry[WkEnd],ROW()-1)  =  INDEX(TimeEntry[WkEnd],ROW()-2),    INDEX(TimeEntry[format],ROW()-2),    INDEX(TimeEntry[format],ROW()-2)    +1)),2)</f>
        <v>0.10000000000000009</v>
      </c>
      <c r="B713" s="7"/>
      <c r="C713" s="8">
        <v>43538</v>
      </c>
      <c r="D713" s="8"/>
      <c r="E713" s="1" t="s">
        <v>462</v>
      </c>
      <c r="F713" s="8">
        <f>IF(TimeEntry[[#This Row],[Date]]=0,F712,C713+(7-Q713))</f>
        <v>43541</v>
      </c>
      <c r="G713" s="35" t="str">
        <f>INDEX(projects[Charge_Code],MATCH(TimeEntry[[#This Row],[Project_ID]],projects[Project_ID],0))</f>
        <v>265720-10 VBB - Design Basis</v>
      </c>
      <c r="H713" s="1" t="str">
        <f t="shared" si="21"/>
        <v>Normal Time</v>
      </c>
      <c r="I713" s="1"/>
      <c r="J713" s="15">
        <v>7.5</v>
      </c>
      <c r="K713" s="15"/>
      <c r="L713" s="15"/>
      <c r="M713" s="15"/>
      <c r="N713" s="15"/>
      <c r="O713" s="15" t="str">
        <f>INDEX(projects[job number],MATCH(TimeEntry[[#This Row],[Project_ID]], projects[Project_ID],0))</f>
        <v>265720-10</v>
      </c>
      <c r="P713" s="15" t="str">
        <f>INDEX(projects[Project_Name],MATCH(TimeEntry[[#This Row],[Project_ID]], projects[Project_ID],0))</f>
        <v>VBB - Design Basis</v>
      </c>
      <c r="Q713" s="6">
        <f>IF(TimeEntry[[#This Row],[Date]]=0,"",WEEKDAY(C713,2))</f>
        <v>4</v>
      </c>
      <c r="R713" s="9">
        <f>YEAR(TimeEntry[[#This Row],[WkEnd]])</f>
        <v>2019</v>
      </c>
      <c r="S713" s="9">
        <f>WEEKNUM(TimeEntry[[#This Row],[WkEnd]])</f>
        <v>12</v>
      </c>
      <c r="T713" s="9" t="str">
        <f>TimeEntry[[#This Row],[Year]]&amp;"-"&amp;TimeEntry[[#This Row],[WkNo]]</f>
        <v>2019-12</v>
      </c>
    </row>
    <row r="714" spans="1:20" x14ac:dyDescent="0.25">
      <c r="A714" s="6">
        <f>MOD(IF(ROW()=2,0.1,IF(INDEX(TimeEntry[WkEnd],ROW()-1)  =  INDEX(TimeEntry[WkEnd],ROW()-2),    INDEX(TimeEntry[format],ROW()-2),    INDEX(TimeEntry[format],ROW()-2)    +1)),2)</f>
        <v>0.10000000000000009</v>
      </c>
      <c r="B714" s="7"/>
      <c r="C714" s="8">
        <v>43539</v>
      </c>
      <c r="D714" s="8"/>
      <c r="E714" s="1" t="s">
        <v>468</v>
      </c>
      <c r="F714" s="8">
        <f>IF(TimeEntry[[#This Row],[Date]]=0,F713,C714+(7-Q714))</f>
        <v>43541</v>
      </c>
      <c r="G714" s="35" t="str">
        <f>INDEX(projects[Charge_Code],MATCH(TimeEntry[[#This Row],[Project_ID]],projects[Project_ID],0))</f>
        <v>266122-21 A465</v>
      </c>
      <c r="H714" s="1" t="str">
        <f t="shared" si="21"/>
        <v>Normal Time</v>
      </c>
      <c r="I714" s="1"/>
      <c r="J714" s="15">
        <v>7.5</v>
      </c>
      <c r="K714" s="15"/>
      <c r="L714" s="15"/>
      <c r="M714" s="15"/>
      <c r="N714" s="15"/>
      <c r="O714" s="15" t="str">
        <f>INDEX(projects[job number],MATCH(TimeEntry[[#This Row],[Project_ID]], projects[Project_ID],0))</f>
        <v>266122-21</v>
      </c>
      <c r="P714" s="15" t="str">
        <f>INDEX(projects[Project_Name],MATCH(TimeEntry[[#This Row],[Project_ID]], projects[Project_ID],0))</f>
        <v>A465</v>
      </c>
      <c r="Q714" s="6">
        <f>IF(TimeEntry[[#This Row],[Date]]=0,"",WEEKDAY(C714,2))</f>
        <v>5</v>
      </c>
      <c r="R714" s="9">
        <f>YEAR(TimeEntry[[#This Row],[WkEnd]])</f>
        <v>2019</v>
      </c>
      <c r="S714" s="9">
        <f>WEEKNUM(TimeEntry[[#This Row],[WkEnd]])</f>
        <v>12</v>
      </c>
      <c r="T714" s="9" t="str">
        <f>TimeEntry[[#This Row],[Year]]&amp;"-"&amp;TimeEntry[[#This Row],[WkNo]]</f>
        <v>2019-12</v>
      </c>
    </row>
    <row r="715" spans="1:20" x14ac:dyDescent="0.25">
      <c r="A715" s="6">
        <f>MOD(IF(ROW()=2,0.1,IF(INDEX(TimeEntry[WkEnd],ROW()-1)  =  INDEX(TimeEntry[WkEnd],ROW()-2),    INDEX(TimeEntry[format],ROW()-2),    INDEX(TimeEntry[format],ROW()-2)    +1)),2)</f>
        <v>1.1000000000000001</v>
      </c>
      <c r="B715" s="7"/>
      <c r="C715" s="8">
        <v>43528</v>
      </c>
      <c r="D715" s="8"/>
      <c r="E715" s="1" t="s">
        <v>468</v>
      </c>
      <c r="F715" s="8">
        <f>IF(TimeEntry[[#This Row],[Date]]=0,F714,C715+(7-Q715))</f>
        <v>43534</v>
      </c>
      <c r="G715" s="35" t="str">
        <f>INDEX(projects[Charge_Code],MATCH(TimeEntry[[#This Row],[Project_ID]],projects[Project_ID],0))</f>
        <v>266122-21 A465</v>
      </c>
      <c r="H715" s="1" t="str">
        <f t="shared" si="21"/>
        <v>Normal Time</v>
      </c>
      <c r="I715" s="1"/>
      <c r="J715" s="15">
        <v>2</v>
      </c>
      <c r="K715" s="15"/>
      <c r="L715" s="15"/>
      <c r="M715" s="15"/>
      <c r="N715" s="15"/>
      <c r="O715" s="15" t="str">
        <f>INDEX(projects[job number],MATCH(TimeEntry[[#This Row],[Project_ID]], projects[Project_ID],0))</f>
        <v>266122-21</v>
      </c>
      <c r="P715" s="15" t="str">
        <f>INDEX(projects[Project_Name],MATCH(TimeEntry[[#This Row],[Project_ID]], projects[Project_ID],0))</f>
        <v>A465</v>
      </c>
      <c r="Q715" s="6">
        <f>IF(TimeEntry[[#This Row],[Date]]=0,"",WEEKDAY(C715,2))</f>
        <v>1</v>
      </c>
      <c r="R715" s="9">
        <f>YEAR(TimeEntry[[#This Row],[WkEnd]])</f>
        <v>2019</v>
      </c>
      <c r="S715" s="9">
        <f>WEEKNUM(TimeEntry[[#This Row],[WkEnd]])</f>
        <v>11</v>
      </c>
      <c r="T715" s="9" t="str">
        <f>TimeEntry[[#This Row],[Year]]&amp;"-"&amp;TimeEntry[[#This Row],[WkNo]]</f>
        <v>2019-11</v>
      </c>
    </row>
    <row r="716" spans="1:20" x14ac:dyDescent="0.25">
      <c r="A716" s="6">
        <f>MOD(IF(ROW()=2,0.1,IF(INDEX(TimeEntry[WkEnd],ROW()-1)  =  INDEX(TimeEntry[WkEnd],ROW()-2),    INDEX(TimeEntry[format],ROW()-2),    INDEX(TimeEntry[format],ROW()-2)    +1)),2)</f>
        <v>1.1000000000000001</v>
      </c>
      <c r="B716" s="7"/>
      <c r="C716" s="8">
        <v>43528</v>
      </c>
      <c r="D716" s="8"/>
      <c r="E716" s="1" t="s">
        <v>468</v>
      </c>
      <c r="F716" s="8">
        <f>IF(TimeEntry[[#This Row],[Date]]=0,F715,C716+(7-Q716))</f>
        <v>43534</v>
      </c>
      <c r="G716" s="35" t="str">
        <f>INDEX(projects[Charge_Code],MATCH(TimeEntry[[#This Row],[Project_ID]],projects[Project_ID],0))</f>
        <v>266122-21 A465</v>
      </c>
      <c r="H716" s="1" t="str">
        <f t="shared" si="21"/>
        <v>Normal Time</v>
      </c>
      <c r="I716" s="1"/>
      <c r="J716" s="15">
        <v>5.5</v>
      </c>
      <c r="K716" s="15"/>
      <c r="L716" s="15"/>
      <c r="M716" s="15"/>
      <c r="N716" s="15"/>
      <c r="O716" s="15" t="str">
        <f>INDEX(projects[job number],MATCH(TimeEntry[[#This Row],[Project_ID]], projects[Project_ID],0))</f>
        <v>266122-21</v>
      </c>
      <c r="P716" s="15" t="str">
        <f>INDEX(projects[Project_Name],MATCH(TimeEntry[[#This Row],[Project_ID]], projects[Project_ID],0))</f>
        <v>A465</v>
      </c>
      <c r="Q716" s="6">
        <f>IF(TimeEntry[[#This Row],[Date]]=0,"",WEEKDAY(C716,2))</f>
        <v>1</v>
      </c>
      <c r="R716" s="9">
        <f>YEAR(TimeEntry[[#This Row],[WkEnd]])</f>
        <v>2019</v>
      </c>
      <c r="S716" s="9">
        <f>WEEKNUM(TimeEntry[[#This Row],[WkEnd]])</f>
        <v>11</v>
      </c>
      <c r="T716" s="9" t="str">
        <f>TimeEntry[[#This Row],[Year]]&amp;"-"&amp;TimeEntry[[#This Row],[WkNo]]</f>
        <v>2019-11</v>
      </c>
    </row>
    <row r="717" spans="1:20" x14ac:dyDescent="0.25">
      <c r="A717" s="6">
        <f>MOD(IF(ROW()=2,0.1,IF(INDEX(TimeEntry[WkEnd],ROW()-1)  =  INDEX(TimeEntry[WkEnd],ROW()-2),    INDEX(TimeEntry[format],ROW()-2),    INDEX(TimeEntry[format],ROW()-2)    +1)),2)</f>
        <v>1.1000000000000001</v>
      </c>
      <c r="B717" s="7"/>
      <c r="C717" s="8">
        <v>43529</v>
      </c>
      <c r="D717" s="8"/>
      <c r="E717" s="1" t="s">
        <v>468</v>
      </c>
      <c r="F717" s="8">
        <f>IF(TimeEntry[[#This Row],[Date]]=0,F716,C717+(7-Q717))</f>
        <v>43534</v>
      </c>
      <c r="G717" s="35" t="str">
        <f>INDEX(projects[Charge_Code],MATCH(TimeEntry[[#This Row],[Project_ID]],projects[Project_ID],0))</f>
        <v>266122-21 A465</v>
      </c>
      <c r="H717" s="1" t="str">
        <f t="shared" si="21"/>
        <v>Normal Time</v>
      </c>
      <c r="I717" s="1"/>
      <c r="J717" s="15">
        <v>2.5</v>
      </c>
      <c r="K717" s="15"/>
      <c r="L717" s="15"/>
      <c r="M717" s="15"/>
      <c r="N717" s="15"/>
      <c r="O717" s="15" t="str">
        <f>INDEX(projects[job number],MATCH(TimeEntry[[#This Row],[Project_ID]], projects[Project_ID],0))</f>
        <v>266122-21</v>
      </c>
      <c r="P717" s="15" t="str">
        <f>INDEX(projects[Project_Name],MATCH(TimeEntry[[#This Row],[Project_ID]], projects[Project_ID],0))</f>
        <v>A465</v>
      </c>
      <c r="Q717" s="6">
        <f>IF(TimeEntry[[#This Row],[Date]]=0,"",WEEKDAY(C717,2))</f>
        <v>2</v>
      </c>
      <c r="R717" s="9">
        <f>YEAR(TimeEntry[[#This Row],[WkEnd]])</f>
        <v>2019</v>
      </c>
      <c r="S717" s="9">
        <f>WEEKNUM(TimeEntry[[#This Row],[WkEnd]])</f>
        <v>11</v>
      </c>
      <c r="T717" s="9" t="str">
        <f>TimeEntry[[#This Row],[Year]]&amp;"-"&amp;TimeEntry[[#This Row],[WkNo]]</f>
        <v>2019-11</v>
      </c>
    </row>
    <row r="718" spans="1:20" x14ac:dyDescent="0.25">
      <c r="A718" s="6">
        <f>MOD(IF(ROW()=2,0.1,IF(INDEX(TimeEntry[WkEnd],ROW()-1)  =  INDEX(TimeEntry[WkEnd],ROW()-2),    INDEX(TimeEntry[format],ROW()-2),    INDEX(TimeEntry[format],ROW()-2)    +1)),2)</f>
        <v>1.1000000000000001</v>
      </c>
      <c r="B718" s="7"/>
      <c r="C718" s="8">
        <v>43529</v>
      </c>
      <c r="D718" s="8"/>
      <c r="E718" s="1" t="s">
        <v>469</v>
      </c>
      <c r="F718" s="8">
        <f>IF(TimeEntry[[#This Row],[Date]]=0,F717,C718+(7-Q718))</f>
        <v>43534</v>
      </c>
      <c r="G718" s="35" t="str">
        <f>INDEX(projects[Charge_Code],MATCH(TimeEntry[[#This Row],[Project_ID]],projects[Project_ID],0))</f>
        <v>264520-00 Gatwick</v>
      </c>
      <c r="H718" s="1" t="str">
        <f t="shared" si="21"/>
        <v>Normal Time</v>
      </c>
      <c r="I718" s="1"/>
      <c r="J718" s="15">
        <v>5</v>
      </c>
      <c r="K718" s="15"/>
      <c r="L718" s="15"/>
      <c r="M718" s="15"/>
      <c r="N718" s="15"/>
      <c r="O718" s="15" t="str">
        <f>INDEX(projects[job number],MATCH(TimeEntry[[#This Row],[Project_ID]], projects[Project_ID],0))</f>
        <v>264520-00</v>
      </c>
      <c r="P718" s="15" t="str">
        <f>INDEX(projects[Project_Name],MATCH(TimeEntry[[#This Row],[Project_ID]], projects[Project_ID],0))</f>
        <v>Gatwick</v>
      </c>
      <c r="Q718" s="6">
        <f>IF(TimeEntry[[#This Row],[Date]]=0,"",WEEKDAY(C718,2))</f>
        <v>2</v>
      </c>
      <c r="R718" s="9">
        <f>YEAR(TimeEntry[[#This Row],[WkEnd]])</f>
        <v>2019</v>
      </c>
      <c r="S718" s="9">
        <f>WEEKNUM(TimeEntry[[#This Row],[WkEnd]])</f>
        <v>11</v>
      </c>
      <c r="T718" s="9" t="str">
        <f>TimeEntry[[#This Row],[Year]]&amp;"-"&amp;TimeEntry[[#This Row],[WkNo]]</f>
        <v>2019-11</v>
      </c>
    </row>
    <row r="719" spans="1:20" x14ac:dyDescent="0.25">
      <c r="A719" s="6">
        <f>MOD(IF(ROW()=2,0.1,IF(INDEX(TimeEntry[WkEnd],ROW()-1)  =  INDEX(TimeEntry[WkEnd],ROW()-2),    INDEX(TimeEntry[format],ROW()-2),    INDEX(TimeEntry[format],ROW()-2)    +1)),2)</f>
        <v>1.1000000000000001</v>
      </c>
      <c r="B719" s="7"/>
      <c r="C719" s="8">
        <v>43530</v>
      </c>
      <c r="D719" s="8"/>
      <c r="E719" s="1" t="s">
        <v>470</v>
      </c>
      <c r="F719" s="8">
        <f>IF(TimeEntry[[#This Row],[Date]]=0,F718,C719+(7-Q719))</f>
        <v>43534</v>
      </c>
      <c r="G719" s="35" t="str">
        <f>INDEX(projects[Charge_Code],MATCH(TimeEntry[[#This Row],[Project_ID]],projects[Project_ID],0))</f>
        <v>239230-42 SHB - Existing</v>
      </c>
      <c r="H719" s="1" t="str">
        <f t="shared" si="21"/>
        <v>Normal Time</v>
      </c>
      <c r="I719" s="1"/>
      <c r="J719" s="15">
        <v>7.5</v>
      </c>
      <c r="K719" s="15"/>
      <c r="L719" s="15"/>
      <c r="M719" s="15"/>
      <c r="N719" s="15"/>
      <c r="O719" s="15" t="str">
        <f>INDEX(projects[job number],MATCH(TimeEntry[[#This Row],[Project_ID]], projects[Project_ID],0))</f>
        <v>239230-42</v>
      </c>
      <c r="P719" s="15" t="str">
        <f>INDEX(projects[Project_Name],MATCH(TimeEntry[[#This Row],[Project_ID]], projects[Project_ID],0))</f>
        <v>SHB - Existing</v>
      </c>
      <c r="Q719" s="6">
        <f>IF(TimeEntry[[#This Row],[Date]]=0,"",WEEKDAY(C719,2))</f>
        <v>3</v>
      </c>
      <c r="R719" s="9">
        <f>YEAR(TimeEntry[[#This Row],[WkEnd]])</f>
        <v>2019</v>
      </c>
      <c r="S719" s="9">
        <f>WEEKNUM(TimeEntry[[#This Row],[WkEnd]])</f>
        <v>11</v>
      </c>
      <c r="T719" s="9" t="str">
        <f>TimeEntry[[#This Row],[Year]]&amp;"-"&amp;TimeEntry[[#This Row],[WkNo]]</f>
        <v>2019-11</v>
      </c>
    </row>
    <row r="720" spans="1:20" x14ac:dyDescent="0.25">
      <c r="A720" s="6">
        <f>MOD(IF(ROW()=2,0.1,IF(INDEX(TimeEntry[WkEnd],ROW()-1)  =  INDEX(TimeEntry[WkEnd],ROW()-2),    INDEX(TimeEntry[format],ROW()-2),    INDEX(TimeEntry[format],ROW()-2)    +1)),2)</f>
        <v>1.1000000000000001</v>
      </c>
      <c r="B720" s="7"/>
      <c r="C720" s="8">
        <v>43531</v>
      </c>
      <c r="D720" s="8"/>
      <c r="E720" s="1" t="s">
        <v>462</v>
      </c>
      <c r="F720" s="8">
        <f>IF(TimeEntry[[#This Row],[Date]]=0,F719,C720+(7-Q720))</f>
        <v>43534</v>
      </c>
      <c r="G720" s="35" t="str">
        <f>INDEX(projects[Charge_Code],MATCH(TimeEntry[[#This Row],[Project_ID]],projects[Project_ID],0))</f>
        <v>265720-10 VBB - Design Basis</v>
      </c>
      <c r="H720" s="1" t="str">
        <f t="shared" si="21"/>
        <v>Normal Time</v>
      </c>
      <c r="I720" s="1"/>
      <c r="J720" s="15">
        <v>7.5</v>
      </c>
      <c r="K720" s="15"/>
      <c r="L720" s="15"/>
      <c r="M720" s="15"/>
      <c r="N720" s="15"/>
      <c r="O720" s="15" t="str">
        <f>INDEX(projects[job number],MATCH(TimeEntry[[#This Row],[Project_ID]], projects[Project_ID],0))</f>
        <v>265720-10</v>
      </c>
      <c r="P720" s="15" t="str">
        <f>INDEX(projects[Project_Name],MATCH(TimeEntry[[#This Row],[Project_ID]], projects[Project_ID],0))</f>
        <v>VBB - Design Basis</v>
      </c>
      <c r="Q720" s="6">
        <f>IF(TimeEntry[[#This Row],[Date]]=0,"",WEEKDAY(C720,2))</f>
        <v>4</v>
      </c>
      <c r="R720" s="9">
        <f>YEAR(TimeEntry[[#This Row],[WkEnd]])</f>
        <v>2019</v>
      </c>
      <c r="S720" s="9">
        <f>WEEKNUM(TimeEntry[[#This Row],[WkEnd]])</f>
        <v>11</v>
      </c>
      <c r="T720" s="9" t="str">
        <f>TimeEntry[[#This Row],[Year]]&amp;"-"&amp;TimeEntry[[#This Row],[WkNo]]</f>
        <v>2019-11</v>
      </c>
    </row>
    <row r="721" spans="1:20" x14ac:dyDescent="0.25">
      <c r="A721" s="6">
        <f>MOD(IF(ROW()=2,0.1,IF(INDEX(TimeEntry[WkEnd],ROW()-1)  =  INDEX(TimeEntry[WkEnd],ROW()-2),    INDEX(TimeEntry[format],ROW()-2),    INDEX(TimeEntry[format],ROW()-2)    +1)),2)</f>
        <v>1.1000000000000001</v>
      </c>
      <c r="B721" s="7"/>
      <c r="C721" s="8">
        <v>43532</v>
      </c>
      <c r="D721" s="8"/>
      <c r="E721" s="1" t="s">
        <v>468</v>
      </c>
      <c r="F721" s="8">
        <f>IF(TimeEntry[[#This Row],[Date]]=0,F720,C721+(7-Q721))</f>
        <v>43534</v>
      </c>
      <c r="G721" s="35" t="str">
        <f>INDEX(projects[Charge_Code],MATCH(TimeEntry[[#This Row],[Project_ID]],projects[Project_ID],0))</f>
        <v>266122-21 A465</v>
      </c>
      <c r="H721" s="1" t="str">
        <f t="shared" si="21"/>
        <v>Normal Time</v>
      </c>
      <c r="I721" s="1"/>
      <c r="J721" s="15">
        <v>5</v>
      </c>
      <c r="K721" s="15"/>
      <c r="L721" s="15"/>
      <c r="M721" s="15"/>
      <c r="N721" s="15"/>
      <c r="O721" s="15" t="str">
        <f>INDEX(projects[job number],MATCH(TimeEntry[[#This Row],[Project_ID]], projects[Project_ID],0))</f>
        <v>266122-21</v>
      </c>
      <c r="P721" s="15" t="str">
        <f>INDEX(projects[Project_Name],MATCH(TimeEntry[[#This Row],[Project_ID]], projects[Project_ID],0))</f>
        <v>A465</v>
      </c>
      <c r="Q721" s="6">
        <f>IF(TimeEntry[[#This Row],[Date]]=0,"",WEEKDAY(C721,2))</f>
        <v>5</v>
      </c>
      <c r="R721" s="9">
        <f>YEAR(TimeEntry[[#This Row],[WkEnd]])</f>
        <v>2019</v>
      </c>
      <c r="S721" s="9">
        <f>WEEKNUM(TimeEntry[[#This Row],[WkEnd]])</f>
        <v>11</v>
      </c>
      <c r="T721" s="9" t="str">
        <f>TimeEntry[[#This Row],[Year]]&amp;"-"&amp;TimeEntry[[#This Row],[WkNo]]</f>
        <v>2019-11</v>
      </c>
    </row>
    <row r="722" spans="1:20" x14ac:dyDescent="0.25">
      <c r="A722" s="6">
        <f>MOD(IF(ROW()=2,0.1,IF(INDEX(TimeEntry[WkEnd],ROW()-1)  =  INDEX(TimeEntry[WkEnd],ROW()-2),    INDEX(TimeEntry[format],ROW()-2),    INDEX(TimeEntry[format],ROW()-2)    +1)),2)</f>
        <v>1.1000000000000001</v>
      </c>
      <c r="B722" s="7"/>
      <c r="C722" s="8">
        <v>43532</v>
      </c>
      <c r="D722" s="8"/>
      <c r="E722" s="1" t="s">
        <v>468</v>
      </c>
      <c r="F722" s="8">
        <f>IF(TimeEntry[[#This Row],[Date]]=0,F721,C722+(7-Q722))</f>
        <v>43534</v>
      </c>
      <c r="G722" s="35" t="str">
        <f>INDEX(projects[Charge_Code],MATCH(TimeEntry[[#This Row],[Project_ID]],projects[Project_ID],0))</f>
        <v>266122-21 A465</v>
      </c>
      <c r="H722" s="1" t="str">
        <f t="shared" si="21"/>
        <v>Normal Time</v>
      </c>
      <c r="I722" s="1"/>
      <c r="J722" s="15">
        <v>2.5</v>
      </c>
      <c r="K722" s="15"/>
      <c r="L722" s="15"/>
      <c r="M722" s="15"/>
      <c r="N722" s="15"/>
      <c r="O722" s="15" t="str">
        <f>INDEX(projects[job number],MATCH(TimeEntry[[#This Row],[Project_ID]], projects[Project_ID],0))</f>
        <v>266122-21</v>
      </c>
      <c r="P722" s="15" t="str">
        <f>INDEX(projects[Project_Name],MATCH(TimeEntry[[#This Row],[Project_ID]], projects[Project_ID],0))</f>
        <v>A465</v>
      </c>
      <c r="Q722" s="6">
        <f>IF(TimeEntry[[#This Row],[Date]]=0,"",WEEKDAY(C722,2))</f>
        <v>5</v>
      </c>
      <c r="R722" s="9">
        <f>YEAR(TimeEntry[[#This Row],[WkEnd]])</f>
        <v>2019</v>
      </c>
      <c r="S722" s="9">
        <f>WEEKNUM(TimeEntry[[#This Row],[WkEnd]])</f>
        <v>11</v>
      </c>
      <c r="T722" s="9" t="str">
        <f>TimeEntry[[#This Row],[Year]]&amp;"-"&amp;TimeEntry[[#This Row],[WkNo]]</f>
        <v>2019-11</v>
      </c>
    </row>
    <row r="723" spans="1:20" x14ac:dyDescent="0.25">
      <c r="A723" s="6">
        <f>MOD(IF(ROW()=2,0.1,IF(INDEX(TimeEntry[WkEnd],ROW()-1)  =  INDEX(TimeEntry[WkEnd],ROW()-2),    INDEX(TimeEntry[format],ROW()-2),    INDEX(TimeEntry[format],ROW()-2)    +1)),2)</f>
        <v>0.10000000000000009</v>
      </c>
      <c r="B723" s="7"/>
      <c r="C723" s="8">
        <v>43521</v>
      </c>
      <c r="D723" s="8"/>
      <c r="E723" s="1" t="s">
        <v>471</v>
      </c>
      <c r="F723" s="8">
        <f>IF(TimeEntry[[#This Row],[Date]]=0,F722,C723+(7-Q723))</f>
        <v>43527</v>
      </c>
      <c r="G723" s="35" t="str">
        <f>INDEX(projects[Charge_Code],MATCH(TimeEntry[[#This Row],[Project_ID]],projects[Project_ID],0))</f>
        <v>264744-00 WLW</v>
      </c>
      <c r="H723" s="1" t="str">
        <f t="shared" si="21"/>
        <v>Normal Time</v>
      </c>
      <c r="I723" s="1"/>
      <c r="J723" s="15">
        <v>2</v>
      </c>
      <c r="K723" s="15"/>
      <c r="L723" s="15"/>
      <c r="M723" s="15"/>
      <c r="N723" s="15"/>
      <c r="O723" s="15" t="str">
        <f>INDEX(projects[job number],MATCH(TimeEntry[[#This Row],[Project_ID]], projects[Project_ID],0))</f>
        <v>264744-00</v>
      </c>
      <c r="P723" s="15" t="str">
        <f>INDEX(projects[Project_Name],MATCH(TimeEntry[[#This Row],[Project_ID]], projects[Project_ID],0))</f>
        <v>WLW</v>
      </c>
      <c r="Q723" s="6">
        <f>IF(TimeEntry[[#This Row],[Date]]=0,"",WEEKDAY(C723,2))</f>
        <v>1</v>
      </c>
      <c r="R723" s="9">
        <f>YEAR(TimeEntry[[#This Row],[WkEnd]])</f>
        <v>2019</v>
      </c>
      <c r="S723" s="9">
        <f>WEEKNUM(TimeEntry[[#This Row],[WkEnd]])</f>
        <v>10</v>
      </c>
      <c r="T723" s="9" t="str">
        <f>TimeEntry[[#This Row],[Year]]&amp;"-"&amp;TimeEntry[[#This Row],[WkNo]]</f>
        <v>2019-10</v>
      </c>
    </row>
    <row r="724" spans="1:20" x14ac:dyDescent="0.25">
      <c r="A724" s="6">
        <f>MOD(IF(ROW()=2,0.1,IF(INDEX(TimeEntry[WkEnd],ROW()-1)  =  INDEX(TimeEntry[WkEnd],ROW()-2),    INDEX(TimeEntry[format],ROW()-2),    INDEX(TimeEntry[format],ROW()-2)    +1)),2)</f>
        <v>0.10000000000000009</v>
      </c>
      <c r="B724" s="7"/>
      <c r="C724" s="8">
        <v>43521</v>
      </c>
      <c r="D724" s="8"/>
      <c r="E724" s="1" t="s">
        <v>472</v>
      </c>
      <c r="F724" s="8">
        <f>IF(TimeEntry[[#This Row],[Date]]=0,F723,C724+(7-Q724))</f>
        <v>43527</v>
      </c>
      <c r="G724" s="35" t="str">
        <f>INDEX(projects[Charge_Code],MATCH(TimeEntry[[#This Row],[Project_ID]],projects[Project_ID],0))</f>
        <v>000000-00 AMS Support</v>
      </c>
      <c r="H724" s="1" t="str">
        <f t="shared" si="21"/>
        <v>Normal Time</v>
      </c>
      <c r="I724" s="1"/>
      <c r="J724" s="15">
        <v>2.5</v>
      </c>
      <c r="K724" s="15"/>
      <c r="L724" s="15"/>
      <c r="M724" s="15"/>
      <c r="N724" s="15"/>
      <c r="O724" s="15" t="str">
        <f>INDEX(projects[job number],MATCH(TimeEntry[[#This Row],[Project_ID]], projects[Project_ID],0))</f>
        <v>000000-00</v>
      </c>
      <c r="P724" s="15" t="str">
        <f>INDEX(projects[Project_Name],MATCH(TimeEntry[[#This Row],[Project_ID]], projects[Project_ID],0))</f>
        <v>AMS Support</v>
      </c>
      <c r="Q724" s="6">
        <f>IF(TimeEntry[[#This Row],[Date]]=0,"",WEEKDAY(C724,2))</f>
        <v>1</v>
      </c>
      <c r="R724" s="9">
        <f>YEAR(TimeEntry[[#This Row],[WkEnd]])</f>
        <v>2019</v>
      </c>
      <c r="S724" s="9">
        <f>WEEKNUM(TimeEntry[[#This Row],[WkEnd]])</f>
        <v>10</v>
      </c>
      <c r="T724" s="9" t="str">
        <f>TimeEntry[[#This Row],[Year]]&amp;"-"&amp;TimeEntry[[#This Row],[WkNo]]</f>
        <v>2019-10</v>
      </c>
    </row>
    <row r="725" spans="1:20" x14ac:dyDescent="0.25">
      <c r="A725" s="6">
        <f>MOD(IF(ROW()=2,0.1,IF(INDEX(TimeEntry[WkEnd],ROW()-1)  =  INDEX(TimeEntry[WkEnd],ROW()-2),    INDEX(TimeEntry[format],ROW()-2),    INDEX(TimeEntry[format],ROW()-2)    +1)),2)</f>
        <v>0.10000000000000009</v>
      </c>
      <c r="B725" s="7"/>
      <c r="C725" s="8">
        <v>43521</v>
      </c>
      <c r="D725" s="8"/>
      <c r="E725" s="1" t="s">
        <v>472</v>
      </c>
      <c r="F725" s="8">
        <f>IF(TimeEntry[[#This Row],[Date]]=0,F724,C725+(7-Q725))</f>
        <v>43527</v>
      </c>
      <c r="G725" s="35" t="str">
        <f>INDEX(projects[Charge_Code],MATCH(TimeEntry[[#This Row],[Project_ID]],projects[Project_ID],0))</f>
        <v>000000-00 AMS Support</v>
      </c>
      <c r="H725" s="1" t="str">
        <f t="shared" si="21"/>
        <v>Normal Time</v>
      </c>
      <c r="I725" s="1"/>
      <c r="J725" s="15">
        <v>1</v>
      </c>
      <c r="K725" s="15"/>
      <c r="L725" s="15"/>
      <c r="M725" s="15"/>
      <c r="N725" s="15"/>
      <c r="O725" s="15" t="str">
        <f>INDEX(projects[job number],MATCH(TimeEntry[[#This Row],[Project_ID]], projects[Project_ID],0))</f>
        <v>000000-00</v>
      </c>
      <c r="P725" s="15" t="str">
        <f>INDEX(projects[Project_Name],MATCH(TimeEntry[[#This Row],[Project_ID]], projects[Project_ID],0))</f>
        <v>AMS Support</v>
      </c>
      <c r="Q725" s="6">
        <f>IF(TimeEntry[[#This Row],[Date]]=0,"",WEEKDAY(C725,2))</f>
        <v>1</v>
      </c>
      <c r="R725" s="9">
        <f>YEAR(TimeEntry[[#This Row],[WkEnd]])</f>
        <v>2019</v>
      </c>
      <c r="S725" s="9">
        <f>WEEKNUM(TimeEntry[[#This Row],[WkEnd]])</f>
        <v>10</v>
      </c>
      <c r="T725" s="9" t="str">
        <f>TimeEntry[[#This Row],[Year]]&amp;"-"&amp;TimeEntry[[#This Row],[WkNo]]</f>
        <v>2019-10</v>
      </c>
    </row>
    <row r="726" spans="1:20" x14ac:dyDescent="0.25">
      <c r="A726" s="6">
        <f>MOD(IF(ROW()=2,0.1,IF(INDEX(TimeEntry[WkEnd],ROW()-1)  =  INDEX(TimeEntry[WkEnd],ROW()-2),    INDEX(TimeEntry[format],ROW()-2),    INDEX(TimeEntry[format],ROW()-2)    +1)),2)</f>
        <v>0.10000000000000009</v>
      </c>
      <c r="B726" s="7"/>
      <c r="C726" s="8">
        <v>43521</v>
      </c>
      <c r="D726" s="8"/>
      <c r="E726" s="1" t="s">
        <v>470</v>
      </c>
      <c r="F726" s="8">
        <f>IF(TimeEntry[[#This Row],[Date]]=0,F725,C726+(7-Q726))</f>
        <v>43527</v>
      </c>
      <c r="G726" s="35" t="str">
        <f>INDEX(projects[Charge_Code],MATCH(TimeEntry[[#This Row],[Project_ID]],projects[Project_ID],0))</f>
        <v>239230-42 SHB - Existing</v>
      </c>
      <c r="H726" s="1" t="str">
        <f t="shared" si="21"/>
        <v>Normal Time</v>
      </c>
      <c r="I726" s="1"/>
      <c r="J726" s="15">
        <v>1</v>
      </c>
      <c r="K726" s="15"/>
      <c r="L726" s="15"/>
      <c r="M726" s="15"/>
      <c r="N726" s="15"/>
      <c r="O726" s="15" t="str">
        <f>INDEX(projects[job number],MATCH(TimeEntry[[#This Row],[Project_ID]], projects[Project_ID],0))</f>
        <v>239230-42</v>
      </c>
      <c r="P726" s="15" t="str">
        <f>INDEX(projects[Project_Name],MATCH(TimeEntry[[#This Row],[Project_ID]], projects[Project_ID],0))</f>
        <v>SHB - Existing</v>
      </c>
      <c r="Q726" s="6">
        <f>IF(TimeEntry[[#This Row],[Date]]=0,"",WEEKDAY(C726,2))</f>
        <v>1</v>
      </c>
      <c r="R726" s="9">
        <f>YEAR(TimeEntry[[#This Row],[WkEnd]])</f>
        <v>2019</v>
      </c>
      <c r="S726" s="9">
        <f>WEEKNUM(TimeEntry[[#This Row],[WkEnd]])</f>
        <v>10</v>
      </c>
      <c r="T726" s="9" t="str">
        <f>TimeEntry[[#This Row],[Year]]&amp;"-"&amp;TimeEntry[[#This Row],[WkNo]]</f>
        <v>2019-10</v>
      </c>
    </row>
    <row r="727" spans="1:20" x14ac:dyDescent="0.25">
      <c r="A727" s="6">
        <f>MOD(IF(ROW()=2,0.1,IF(INDEX(TimeEntry[WkEnd],ROW()-1)  =  INDEX(TimeEntry[WkEnd],ROW()-2),    INDEX(TimeEntry[format],ROW()-2),    INDEX(TimeEntry[format],ROW()-2)    +1)),2)</f>
        <v>0.10000000000000009</v>
      </c>
      <c r="B727" s="7"/>
      <c r="C727" s="8">
        <v>43521</v>
      </c>
      <c r="D727" s="8"/>
      <c r="E727" s="1" t="s">
        <v>468</v>
      </c>
      <c r="F727" s="8">
        <f>IF(TimeEntry[[#This Row],[Date]]=0,F726,C727+(7-Q727))</f>
        <v>43527</v>
      </c>
      <c r="G727" s="35" t="str">
        <f>INDEX(projects[Charge_Code],MATCH(TimeEntry[[#This Row],[Project_ID]],projects[Project_ID],0))</f>
        <v>266122-21 A465</v>
      </c>
      <c r="H727" s="1" t="str">
        <f t="shared" si="21"/>
        <v>Normal Time</v>
      </c>
      <c r="I727" s="1"/>
      <c r="J727" s="15">
        <v>1</v>
      </c>
      <c r="K727" s="15"/>
      <c r="L727" s="15"/>
      <c r="M727" s="15"/>
      <c r="N727" s="15"/>
      <c r="O727" s="15" t="str">
        <f>INDEX(projects[job number],MATCH(TimeEntry[[#This Row],[Project_ID]], projects[Project_ID],0))</f>
        <v>266122-21</v>
      </c>
      <c r="P727" s="15" t="str">
        <f>INDEX(projects[Project_Name],MATCH(TimeEntry[[#This Row],[Project_ID]], projects[Project_ID],0))</f>
        <v>A465</v>
      </c>
      <c r="Q727" s="6">
        <f>IF(TimeEntry[[#This Row],[Date]]=0,"",WEEKDAY(C727,2))</f>
        <v>1</v>
      </c>
      <c r="R727" s="9">
        <f>YEAR(TimeEntry[[#This Row],[WkEnd]])</f>
        <v>2019</v>
      </c>
      <c r="S727" s="9">
        <f>WEEKNUM(TimeEntry[[#This Row],[WkEnd]])</f>
        <v>10</v>
      </c>
      <c r="T727" s="9" t="str">
        <f>TimeEntry[[#This Row],[Year]]&amp;"-"&amp;TimeEntry[[#This Row],[WkNo]]</f>
        <v>2019-10</v>
      </c>
    </row>
    <row r="728" spans="1:20" x14ac:dyDescent="0.25">
      <c r="A728" s="6">
        <f>MOD(IF(ROW()=2,0.1,IF(INDEX(TimeEntry[WkEnd],ROW()-1)  =  INDEX(TimeEntry[WkEnd],ROW()-2),    INDEX(TimeEntry[format],ROW()-2),    INDEX(TimeEntry[format],ROW()-2)    +1)),2)</f>
        <v>0.10000000000000009</v>
      </c>
      <c r="B728" s="7"/>
      <c r="C728" s="8">
        <v>43522</v>
      </c>
      <c r="D728" s="8"/>
      <c r="E728" s="1" t="s">
        <v>473</v>
      </c>
      <c r="F728" s="8">
        <f>IF(TimeEntry[[#This Row],[Date]]=0,F727,C728+(7-Q728))</f>
        <v>43527</v>
      </c>
      <c r="G728" s="35" t="str">
        <f>INDEX(projects[Charge_Code],MATCH(TimeEntry[[#This Row],[Project_ID]],projects[Project_ID],0))</f>
        <v>259933-00 Waalbrug</v>
      </c>
      <c r="H728" s="1" t="str">
        <f t="shared" si="21"/>
        <v>Normal Time</v>
      </c>
      <c r="I728" s="1"/>
      <c r="J728" s="15">
        <v>5.5</v>
      </c>
      <c r="K728" s="15"/>
      <c r="L728" s="15"/>
      <c r="M728" s="15"/>
      <c r="N728" s="15"/>
      <c r="O728" s="15" t="str">
        <f>INDEX(projects[job number],MATCH(TimeEntry[[#This Row],[Project_ID]], projects[Project_ID],0))</f>
        <v>259933-00</v>
      </c>
      <c r="P728" s="15" t="str">
        <f>INDEX(projects[Project_Name],MATCH(TimeEntry[[#This Row],[Project_ID]], projects[Project_ID],0))</f>
        <v>Waalbrug</v>
      </c>
      <c r="Q728" s="6">
        <f>IF(TimeEntry[[#This Row],[Date]]=0,"",WEEKDAY(C728,2))</f>
        <v>2</v>
      </c>
      <c r="R728" s="9">
        <f>YEAR(TimeEntry[[#This Row],[WkEnd]])</f>
        <v>2019</v>
      </c>
      <c r="S728" s="9">
        <f>WEEKNUM(TimeEntry[[#This Row],[WkEnd]])</f>
        <v>10</v>
      </c>
      <c r="T728" s="9" t="str">
        <f>TimeEntry[[#This Row],[Year]]&amp;"-"&amp;TimeEntry[[#This Row],[WkNo]]</f>
        <v>2019-10</v>
      </c>
    </row>
    <row r="729" spans="1:20" x14ac:dyDescent="0.25">
      <c r="A729" s="6">
        <f>MOD(IF(ROW()=2,0.1,IF(INDEX(TimeEntry[WkEnd],ROW()-1)  =  INDEX(TimeEntry[WkEnd],ROW()-2),    INDEX(TimeEntry[format],ROW()-2),    INDEX(TimeEntry[format],ROW()-2)    +1)),2)</f>
        <v>0.10000000000000009</v>
      </c>
      <c r="B729" s="7"/>
      <c r="C729" s="8">
        <v>43522</v>
      </c>
      <c r="D729" s="8"/>
      <c r="E729" s="1" t="s">
        <v>470</v>
      </c>
      <c r="F729" s="8">
        <f>IF(TimeEntry[[#This Row],[Date]]=0,F728,C729+(7-Q729))</f>
        <v>43527</v>
      </c>
      <c r="G729" s="35" t="str">
        <f>INDEX(projects[Charge_Code],MATCH(TimeEntry[[#This Row],[Project_ID]],projects[Project_ID],0))</f>
        <v>239230-42 SHB - Existing</v>
      </c>
      <c r="H729" s="1" t="str">
        <f t="shared" si="21"/>
        <v>Normal Time</v>
      </c>
      <c r="I729" s="1"/>
      <c r="J729" s="15">
        <v>2</v>
      </c>
      <c r="K729" s="15"/>
      <c r="L729" s="15"/>
      <c r="M729" s="15"/>
      <c r="N729" s="15"/>
      <c r="O729" s="15" t="str">
        <f>INDEX(projects[job number],MATCH(TimeEntry[[#This Row],[Project_ID]], projects[Project_ID],0))</f>
        <v>239230-42</v>
      </c>
      <c r="P729" s="15" t="str">
        <f>INDEX(projects[Project_Name],MATCH(TimeEntry[[#This Row],[Project_ID]], projects[Project_ID],0))</f>
        <v>SHB - Existing</v>
      </c>
      <c r="Q729" s="6">
        <f>IF(TimeEntry[[#This Row],[Date]]=0,"",WEEKDAY(C729,2))</f>
        <v>2</v>
      </c>
      <c r="R729" s="9">
        <f>YEAR(TimeEntry[[#This Row],[WkEnd]])</f>
        <v>2019</v>
      </c>
      <c r="S729" s="9">
        <f>WEEKNUM(TimeEntry[[#This Row],[WkEnd]])</f>
        <v>10</v>
      </c>
      <c r="T729" s="9" t="str">
        <f>TimeEntry[[#This Row],[Year]]&amp;"-"&amp;TimeEntry[[#This Row],[WkNo]]</f>
        <v>2019-10</v>
      </c>
    </row>
    <row r="730" spans="1:20" x14ac:dyDescent="0.25">
      <c r="A730" s="6">
        <f>MOD(IF(ROW()=2,0.1,IF(INDEX(TimeEntry[WkEnd],ROW()-1)  =  INDEX(TimeEntry[WkEnd],ROW()-2),    INDEX(TimeEntry[format],ROW()-2),    INDEX(TimeEntry[format],ROW()-2)    +1)),2)</f>
        <v>0.10000000000000009</v>
      </c>
      <c r="B730" s="7"/>
      <c r="C730" s="8">
        <v>43523</v>
      </c>
      <c r="D730" s="8"/>
      <c r="E730" s="1" t="s">
        <v>468</v>
      </c>
      <c r="F730" s="8">
        <f>IF(TimeEntry[[#This Row],[Date]]=0,F729,C730+(7-Q730))</f>
        <v>43527</v>
      </c>
      <c r="G730" s="35" t="str">
        <f>INDEX(projects[Charge_Code],MATCH(TimeEntry[[#This Row],[Project_ID]],projects[Project_ID],0))</f>
        <v>266122-21 A465</v>
      </c>
      <c r="H730" s="1" t="str">
        <f t="shared" si="21"/>
        <v>Normal Time</v>
      </c>
      <c r="I730" s="1"/>
      <c r="J730" s="15">
        <v>3.75</v>
      </c>
      <c r="K730" s="15"/>
      <c r="L730" s="15"/>
      <c r="M730" s="15"/>
      <c r="N730" s="15"/>
      <c r="O730" s="15" t="str">
        <f>INDEX(projects[job number],MATCH(TimeEntry[[#This Row],[Project_ID]], projects[Project_ID],0))</f>
        <v>266122-21</v>
      </c>
      <c r="P730" s="15" t="str">
        <f>INDEX(projects[Project_Name],MATCH(TimeEntry[[#This Row],[Project_ID]], projects[Project_ID],0))</f>
        <v>A465</v>
      </c>
      <c r="Q730" s="6">
        <f>IF(TimeEntry[[#This Row],[Date]]=0,"",WEEKDAY(C730,2))</f>
        <v>3</v>
      </c>
      <c r="R730" s="9">
        <f>YEAR(TimeEntry[[#This Row],[WkEnd]])</f>
        <v>2019</v>
      </c>
      <c r="S730" s="9">
        <f>WEEKNUM(TimeEntry[[#This Row],[WkEnd]])</f>
        <v>10</v>
      </c>
      <c r="T730" s="9" t="str">
        <f>TimeEntry[[#This Row],[Year]]&amp;"-"&amp;TimeEntry[[#This Row],[WkNo]]</f>
        <v>2019-10</v>
      </c>
    </row>
    <row r="731" spans="1:20" x14ac:dyDescent="0.25">
      <c r="A731" s="6">
        <f>MOD(IF(ROW()=2,0.1,IF(INDEX(TimeEntry[WkEnd],ROW()-1)  =  INDEX(TimeEntry[WkEnd],ROW()-2),    INDEX(TimeEntry[format],ROW()-2),    INDEX(TimeEntry[format],ROW()-2)    +1)),2)</f>
        <v>0.10000000000000009</v>
      </c>
      <c r="B731" s="7"/>
      <c r="C731" s="8">
        <v>43523</v>
      </c>
      <c r="D731" s="8"/>
      <c r="E731" s="1" t="s">
        <v>468</v>
      </c>
      <c r="F731" s="8">
        <f>IF(TimeEntry[[#This Row],[Date]]=0,F730,C731+(7-Q731))</f>
        <v>43527</v>
      </c>
      <c r="G731" s="35" t="str">
        <f>INDEX(projects[Charge_Code],MATCH(TimeEntry[[#This Row],[Project_ID]],projects[Project_ID],0))</f>
        <v>266122-21 A465</v>
      </c>
      <c r="H731" s="1" t="str">
        <f t="shared" si="21"/>
        <v>Normal Time</v>
      </c>
      <c r="I731" s="1"/>
      <c r="J731" s="15">
        <v>3.75</v>
      </c>
      <c r="K731" s="15"/>
      <c r="L731" s="15"/>
      <c r="M731" s="15"/>
      <c r="N731" s="15"/>
      <c r="O731" s="15" t="str">
        <f>INDEX(projects[job number],MATCH(TimeEntry[[#This Row],[Project_ID]], projects[Project_ID],0))</f>
        <v>266122-21</v>
      </c>
      <c r="P731" s="15" t="str">
        <f>INDEX(projects[Project_Name],MATCH(TimeEntry[[#This Row],[Project_ID]], projects[Project_ID],0))</f>
        <v>A465</v>
      </c>
      <c r="Q731" s="6">
        <f>IF(TimeEntry[[#This Row],[Date]]=0,"",WEEKDAY(C731,2))</f>
        <v>3</v>
      </c>
      <c r="R731" s="9">
        <f>YEAR(TimeEntry[[#This Row],[WkEnd]])</f>
        <v>2019</v>
      </c>
      <c r="S731" s="9">
        <f>WEEKNUM(TimeEntry[[#This Row],[WkEnd]])</f>
        <v>10</v>
      </c>
      <c r="T731" s="9" t="str">
        <f>TimeEntry[[#This Row],[Year]]&amp;"-"&amp;TimeEntry[[#This Row],[WkNo]]</f>
        <v>2019-10</v>
      </c>
    </row>
    <row r="732" spans="1:20" x14ac:dyDescent="0.25">
      <c r="A732" s="6">
        <f>MOD(IF(ROW()=2,0.1,IF(INDEX(TimeEntry[WkEnd],ROW()-1)  =  INDEX(TimeEntry[WkEnd],ROW()-2),    INDEX(TimeEntry[format],ROW()-2),    INDEX(TimeEntry[format],ROW()-2)    +1)),2)</f>
        <v>0.10000000000000009</v>
      </c>
      <c r="B732" s="7"/>
      <c r="C732" s="8">
        <v>43524</v>
      </c>
      <c r="D732" s="8"/>
      <c r="E732" s="1" t="s">
        <v>467</v>
      </c>
      <c r="F732" s="8">
        <f>IF(TimeEntry[[#This Row],[Date]]=0,F731,C732+(7-Q732))</f>
        <v>43527</v>
      </c>
      <c r="G732" s="35" t="str">
        <f>INDEX(projects[Charge_Code],MATCH(TimeEntry[[#This Row],[Project_ID]],projects[Project_ID],0))</f>
        <v>261723-02 SMP</v>
      </c>
      <c r="H732" s="1" t="str">
        <f t="shared" si="21"/>
        <v>Normal Time</v>
      </c>
      <c r="I732" s="1"/>
      <c r="J732" s="15">
        <v>2.5</v>
      </c>
      <c r="K732" s="15"/>
      <c r="L732" s="15"/>
      <c r="M732" s="15"/>
      <c r="N732" s="15"/>
      <c r="O732" s="15" t="str">
        <f>INDEX(projects[job number],MATCH(TimeEntry[[#This Row],[Project_ID]], projects[Project_ID],0))</f>
        <v>261723-02</v>
      </c>
      <c r="P732" s="15" t="str">
        <f>INDEX(projects[Project_Name],MATCH(TimeEntry[[#This Row],[Project_ID]], projects[Project_ID],0))</f>
        <v>SMP</v>
      </c>
      <c r="Q732" s="6">
        <f>IF(TimeEntry[[#This Row],[Date]]=0,"",WEEKDAY(C732,2))</f>
        <v>4</v>
      </c>
      <c r="R732" s="9">
        <f>YEAR(TimeEntry[[#This Row],[WkEnd]])</f>
        <v>2019</v>
      </c>
      <c r="S732" s="9">
        <f>WEEKNUM(TimeEntry[[#This Row],[WkEnd]])</f>
        <v>10</v>
      </c>
      <c r="T732" s="9" t="str">
        <f>TimeEntry[[#This Row],[Year]]&amp;"-"&amp;TimeEntry[[#This Row],[WkNo]]</f>
        <v>2019-10</v>
      </c>
    </row>
    <row r="733" spans="1:20" x14ac:dyDescent="0.25">
      <c r="A733" s="6">
        <f>MOD(IF(ROW()=2,0.1,IF(INDEX(TimeEntry[WkEnd],ROW()-1)  =  INDEX(TimeEntry[WkEnd],ROW()-2),    INDEX(TimeEntry[format],ROW()-2),    INDEX(TimeEntry[format],ROW()-2)    +1)),2)</f>
        <v>0.10000000000000009</v>
      </c>
      <c r="B733" s="7"/>
      <c r="C733" s="8">
        <v>43524</v>
      </c>
      <c r="D733" s="8"/>
      <c r="E733" s="1" t="s">
        <v>450</v>
      </c>
      <c r="F733" s="8">
        <f>IF(TimeEntry[[#This Row],[Date]]=0,F732,C733+(7-Q733))</f>
        <v>43527</v>
      </c>
      <c r="G733" s="35" t="str">
        <f>INDEX(projects[Charge_Code],MATCH(TimeEntry[[#This Row],[Project_ID]],projects[Project_ID],0))</f>
        <v>254304-96 HCC - Paul Cully (01-382)</v>
      </c>
      <c r="H733" s="1" t="str">
        <f t="shared" si="21"/>
        <v>Normal Time</v>
      </c>
      <c r="I733" s="1"/>
      <c r="J733" s="15">
        <v>2.5</v>
      </c>
      <c r="K733" s="15"/>
      <c r="L733" s="15"/>
      <c r="M733" s="15"/>
      <c r="N733" s="15"/>
      <c r="O733" s="15" t="str">
        <f>INDEX(projects[job number],MATCH(TimeEntry[[#This Row],[Project_ID]], projects[Project_ID],0))</f>
        <v>254304-96</v>
      </c>
      <c r="P733" s="15" t="str">
        <f>INDEX(projects[Project_Name],MATCH(TimeEntry[[#This Row],[Project_ID]], projects[Project_ID],0))</f>
        <v>HCC - Paul Cully</v>
      </c>
      <c r="Q733" s="6">
        <f>IF(TimeEntry[[#This Row],[Date]]=0,"",WEEKDAY(C733,2))</f>
        <v>4</v>
      </c>
      <c r="R733" s="9">
        <f>YEAR(TimeEntry[[#This Row],[WkEnd]])</f>
        <v>2019</v>
      </c>
      <c r="S733" s="9">
        <f>WEEKNUM(TimeEntry[[#This Row],[WkEnd]])</f>
        <v>10</v>
      </c>
      <c r="T733" s="9" t="str">
        <f>TimeEntry[[#This Row],[Year]]&amp;"-"&amp;TimeEntry[[#This Row],[WkNo]]</f>
        <v>2019-10</v>
      </c>
    </row>
    <row r="734" spans="1:20" x14ac:dyDescent="0.25">
      <c r="A734" s="6">
        <f>MOD(IF(ROW()=2,0.1,IF(INDEX(TimeEntry[WkEnd],ROW()-1)  =  INDEX(TimeEntry[WkEnd],ROW()-2),    INDEX(TimeEntry[format],ROW()-2),    INDEX(TimeEntry[format],ROW()-2)    +1)),2)</f>
        <v>0.10000000000000009</v>
      </c>
      <c r="B734" s="7"/>
      <c r="C734" s="8">
        <v>43524</v>
      </c>
      <c r="D734" s="8"/>
      <c r="E734" s="1" t="s">
        <v>450</v>
      </c>
      <c r="F734" s="8">
        <f>IF(TimeEntry[[#This Row],[Date]]=0,F733,C734+(7-Q734))</f>
        <v>43527</v>
      </c>
      <c r="G734" s="35" t="str">
        <f>INDEX(projects[Charge_Code],MATCH(TimeEntry[[#This Row],[Project_ID]],projects[Project_ID],0))</f>
        <v>254304-96 HCC - Paul Cully (01-382)</v>
      </c>
      <c r="H734" s="1" t="str">
        <f t="shared" si="21"/>
        <v>Normal Time</v>
      </c>
      <c r="I734" s="1"/>
      <c r="J734" s="15">
        <v>2.5</v>
      </c>
      <c r="K734" s="15"/>
      <c r="L734" s="15"/>
      <c r="M734" s="15"/>
      <c r="N734" s="15"/>
      <c r="O734" s="15" t="str">
        <f>INDEX(projects[job number],MATCH(TimeEntry[[#This Row],[Project_ID]], projects[Project_ID],0))</f>
        <v>254304-96</v>
      </c>
      <c r="P734" s="15" t="str">
        <f>INDEX(projects[Project_Name],MATCH(TimeEntry[[#This Row],[Project_ID]], projects[Project_ID],0))</f>
        <v>HCC - Paul Cully</v>
      </c>
      <c r="Q734" s="6">
        <f>IF(TimeEntry[[#This Row],[Date]]=0,"",WEEKDAY(C734,2))</f>
        <v>4</v>
      </c>
      <c r="R734" s="9">
        <f>YEAR(TimeEntry[[#This Row],[WkEnd]])</f>
        <v>2019</v>
      </c>
      <c r="S734" s="9">
        <f>WEEKNUM(TimeEntry[[#This Row],[WkEnd]])</f>
        <v>10</v>
      </c>
      <c r="T734" s="9" t="str">
        <f>TimeEntry[[#This Row],[Year]]&amp;"-"&amp;TimeEntry[[#This Row],[WkNo]]</f>
        <v>2019-10</v>
      </c>
    </row>
    <row r="735" spans="1:20" x14ac:dyDescent="0.25">
      <c r="A735" s="6">
        <f>MOD(IF(ROW()=2,0.1,IF(INDEX(TimeEntry[WkEnd],ROW()-1)  =  INDEX(TimeEntry[WkEnd],ROW()-2),    INDEX(TimeEntry[format],ROW()-2),    INDEX(TimeEntry[format],ROW()-2)    +1)),2)</f>
        <v>0.10000000000000009</v>
      </c>
      <c r="B735" s="7"/>
      <c r="C735" s="8">
        <v>43525</v>
      </c>
      <c r="D735" s="8"/>
      <c r="E735" s="1" t="s">
        <v>468</v>
      </c>
      <c r="F735" s="8">
        <f>IF(TimeEntry[[#This Row],[Date]]=0,F734,C735+(7-Q735))</f>
        <v>43527</v>
      </c>
      <c r="G735" s="35" t="str">
        <f>INDEX(projects[Charge_Code],MATCH(TimeEntry[[#This Row],[Project_ID]],projects[Project_ID],0))</f>
        <v>266122-21 A465</v>
      </c>
      <c r="H735" s="1" t="str">
        <f t="shared" si="21"/>
        <v>Normal Time</v>
      </c>
      <c r="I735" s="1"/>
      <c r="J735" s="15">
        <v>7.5</v>
      </c>
      <c r="K735" s="15"/>
      <c r="L735" s="15"/>
      <c r="M735" s="15"/>
      <c r="N735" s="15"/>
      <c r="O735" s="15" t="str">
        <f>INDEX(projects[job number],MATCH(TimeEntry[[#This Row],[Project_ID]], projects[Project_ID],0))</f>
        <v>266122-21</v>
      </c>
      <c r="P735" s="15" t="str">
        <f>INDEX(projects[Project_Name],MATCH(TimeEntry[[#This Row],[Project_ID]], projects[Project_ID],0))</f>
        <v>A465</v>
      </c>
      <c r="Q735" s="6">
        <f>IF(TimeEntry[[#This Row],[Date]]=0,"",WEEKDAY(C735,2))</f>
        <v>5</v>
      </c>
      <c r="R735" s="9">
        <f>YEAR(TimeEntry[[#This Row],[WkEnd]])</f>
        <v>2019</v>
      </c>
      <c r="S735" s="9">
        <f>WEEKNUM(TimeEntry[[#This Row],[WkEnd]])</f>
        <v>10</v>
      </c>
      <c r="T735" s="9" t="str">
        <f>TimeEntry[[#This Row],[Year]]&amp;"-"&amp;TimeEntry[[#This Row],[WkNo]]</f>
        <v>2019-10</v>
      </c>
    </row>
    <row r="736" spans="1:20" x14ac:dyDescent="0.25">
      <c r="A736" s="6">
        <f>MOD(IF(ROW()=2,0.1,IF(INDEX(TimeEntry[WkEnd],ROW()-1)  =  INDEX(TimeEntry[WkEnd],ROW()-2),    INDEX(TimeEntry[format],ROW()-2),    INDEX(TimeEntry[format],ROW()-2)    +1)),2)</f>
        <v>1.1000000000000001</v>
      </c>
      <c r="B736" s="7"/>
      <c r="C736" s="8">
        <v>43514</v>
      </c>
      <c r="D736" s="8"/>
      <c r="E736" s="1" t="s">
        <v>468</v>
      </c>
      <c r="F736" s="8">
        <f>IF(TimeEntry[[#This Row],[Date]]=0,F735,C736+(7-Q736))</f>
        <v>43520</v>
      </c>
      <c r="G736" s="35" t="str">
        <f>INDEX(projects[Charge_Code],MATCH(TimeEntry[[#This Row],[Project_ID]],projects[Project_ID],0))</f>
        <v>266122-21 A465</v>
      </c>
      <c r="H736" s="1" t="str">
        <f t="shared" si="21"/>
        <v>Normal Time</v>
      </c>
      <c r="I736" s="1"/>
      <c r="J736" s="15">
        <v>7.5</v>
      </c>
      <c r="K736" s="15"/>
      <c r="L736" s="15"/>
      <c r="M736" s="15"/>
      <c r="N736" s="15"/>
      <c r="O736" s="15" t="str">
        <f>INDEX(projects[job number],MATCH(TimeEntry[[#This Row],[Project_ID]], projects[Project_ID],0))</f>
        <v>266122-21</v>
      </c>
      <c r="P736" s="15" t="str">
        <f>INDEX(projects[Project_Name],MATCH(TimeEntry[[#This Row],[Project_ID]], projects[Project_ID],0))</f>
        <v>A465</v>
      </c>
      <c r="Q736" s="6">
        <f>IF(TimeEntry[[#This Row],[Date]]=0,"",WEEKDAY(C736,2))</f>
        <v>1</v>
      </c>
      <c r="R736" s="9">
        <f>YEAR(TimeEntry[[#This Row],[WkEnd]])</f>
        <v>2019</v>
      </c>
      <c r="S736" s="9">
        <f>WEEKNUM(TimeEntry[[#This Row],[WkEnd]])</f>
        <v>9</v>
      </c>
      <c r="T736" s="9" t="str">
        <f>TimeEntry[[#This Row],[Year]]&amp;"-"&amp;TimeEntry[[#This Row],[WkNo]]</f>
        <v>2019-9</v>
      </c>
    </row>
    <row r="737" spans="1:20" x14ac:dyDescent="0.25">
      <c r="A737" s="6">
        <f>MOD(IF(ROW()=2,0.1,IF(INDEX(TimeEntry[WkEnd],ROW()-1)  =  INDEX(TimeEntry[WkEnd],ROW()-2),    INDEX(TimeEntry[format],ROW()-2),    INDEX(TimeEntry[format],ROW()-2)    +1)),2)</f>
        <v>1.1000000000000001</v>
      </c>
      <c r="B737" s="7"/>
      <c r="C737" s="8">
        <v>43515</v>
      </c>
      <c r="D737" s="8"/>
      <c r="E737" s="1" t="s">
        <v>455</v>
      </c>
      <c r="F737" s="8">
        <f>IF(TimeEntry[[#This Row],[Date]]=0,F736,C737+(7-Q737))</f>
        <v>43520</v>
      </c>
      <c r="G737" s="35" t="str">
        <f>INDEX(projects[Charge_Code],MATCH(TimeEntry[[#This Row],[Project_ID]],projects[Project_ID],0))</f>
        <v>255375-00 M25 West MSA</v>
      </c>
      <c r="H737" s="1" t="str">
        <f t="shared" si="21"/>
        <v>Normal Time</v>
      </c>
      <c r="I737" s="1"/>
      <c r="J737" s="15">
        <v>6.5</v>
      </c>
      <c r="K737" s="15"/>
      <c r="L737" s="15"/>
      <c r="M737" s="15"/>
      <c r="N737" s="15"/>
      <c r="O737" s="15" t="str">
        <f>INDEX(projects[job number],MATCH(TimeEntry[[#This Row],[Project_ID]], projects[Project_ID],0))</f>
        <v>255375-00</v>
      </c>
      <c r="P737" s="15" t="str">
        <f>INDEX(projects[Project_Name],MATCH(TimeEntry[[#This Row],[Project_ID]], projects[Project_ID],0))</f>
        <v>M25 West MSA</v>
      </c>
      <c r="Q737" s="6">
        <f>IF(TimeEntry[[#This Row],[Date]]=0,"",WEEKDAY(C737,2))</f>
        <v>2</v>
      </c>
      <c r="R737" s="9">
        <f>YEAR(TimeEntry[[#This Row],[WkEnd]])</f>
        <v>2019</v>
      </c>
      <c r="S737" s="9">
        <f>WEEKNUM(TimeEntry[[#This Row],[WkEnd]])</f>
        <v>9</v>
      </c>
      <c r="T737" s="9" t="str">
        <f>TimeEntry[[#This Row],[Year]]&amp;"-"&amp;TimeEntry[[#This Row],[WkNo]]</f>
        <v>2019-9</v>
      </c>
    </row>
    <row r="738" spans="1:20" x14ac:dyDescent="0.25">
      <c r="A738" s="6">
        <f>MOD(IF(ROW()=2,0.1,IF(INDEX(TimeEntry[WkEnd],ROW()-1)  =  INDEX(TimeEntry[WkEnd],ROW()-2),    INDEX(TimeEntry[format],ROW()-2),    INDEX(TimeEntry[format],ROW()-2)    +1)),2)</f>
        <v>1.1000000000000001</v>
      </c>
      <c r="B738" s="7"/>
      <c r="C738" s="8">
        <v>43515</v>
      </c>
      <c r="D738" s="8"/>
      <c r="E738" s="1" t="s">
        <v>447</v>
      </c>
      <c r="F738" s="8">
        <f>IF(TimeEntry[[#This Row],[Date]]=0,F737,C738+(7-Q738))</f>
        <v>43520</v>
      </c>
      <c r="G738" s="35" t="str">
        <f>INDEX(projects[Charge_Code],MATCH(TimeEntry[[#This Row],[Project_ID]],projects[Project_ID],0))</f>
        <v>255670-17 LOWER KINGS ROAD ASSESSMENT (01-382)</v>
      </c>
      <c r="H738" s="1" t="str">
        <f t="shared" si="21"/>
        <v>Normal Time</v>
      </c>
      <c r="I738" s="1"/>
      <c r="J738" s="15">
        <v>1</v>
      </c>
      <c r="K738" s="15"/>
      <c r="L738" s="15"/>
      <c r="M738" s="15"/>
      <c r="N738" s="15"/>
      <c r="O738" s="15" t="str">
        <f>INDEX(projects[job number],MATCH(TimeEntry[[#This Row],[Project_ID]], projects[Project_ID],0))</f>
        <v>255670-17</v>
      </c>
      <c r="P738" s="15" t="str">
        <f>INDEX(projects[Project_Name],MATCH(TimeEntry[[#This Row],[Project_ID]], projects[Project_ID],0))</f>
        <v>LOWER KINGS ROAD ASSESSMENT</v>
      </c>
      <c r="Q738" s="6">
        <f>IF(TimeEntry[[#This Row],[Date]]=0,"",WEEKDAY(C738,2))</f>
        <v>2</v>
      </c>
      <c r="R738" s="9">
        <f>YEAR(TimeEntry[[#This Row],[WkEnd]])</f>
        <v>2019</v>
      </c>
      <c r="S738" s="9">
        <f>WEEKNUM(TimeEntry[[#This Row],[WkEnd]])</f>
        <v>9</v>
      </c>
      <c r="T738" s="9" t="str">
        <f>TimeEntry[[#This Row],[Year]]&amp;"-"&amp;TimeEntry[[#This Row],[WkNo]]</f>
        <v>2019-9</v>
      </c>
    </row>
    <row r="739" spans="1:20" x14ac:dyDescent="0.25">
      <c r="A739" s="6">
        <f>MOD(IF(ROW()=2,0.1,IF(INDEX(TimeEntry[WkEnd],ROW()-1)  =  INDEX(TimeEntry[WkEnd],ROW()-2),    INDEX(TimeEntry[format],ROW()-2),    INDEX(TimeEntry[format],ROW()-2)    +1)),2)</f>
        <v>1.1000000000000001</v>
      </c>
      <c r="B739" s="7"/>
      <c r="C739" s="8">
        <v>43516</v>
      </c>
      <c r="D739" s="8"/>
      <c r="E739" s="1" t="s">
        <v>471</v>
      </c>
      <c r="F739" s="8">
        <f>IF(TimeEntry[[#This Row],[Date]]=0,F738,C739+(7-Q739))</f>
        <v>43520</v>
      </c>
      <c r="G739" s="35" t="str">
        <f>INDEX(projects[Charge_Code],MATCH(TimeEntry[[#This Row],[Project_ID]],projects[Project_ID],0))</f>
        <v>264744-00 WLW</v>
      </c>
      <c r="H739" s="1" t="str">
        <f t="shared" si="21"/>
        <v>Normal Time</v>
      </c>
      <c r="I739" s="1"/>
      <c r="J739" s="15">
        <v>2</v>
      </c>
      <c r="K739" s="15"/>
      <c r="L739" s="15"/>
      <c r="M739" s="15"/>
      <c r="N739" s="15"/>
      <c r="O739" s="15" t="str">
        <f>INDEX(projects[job number],MATCH(TimeEntry[[#This Row],[Project_ID]], projects[Project_ID],0))</f>
        <v>264744-00</v>
      </c>
      <c r="P739" s="15" t="str">
        <f>INDEX(projects[Project_Name],MATCH(TimeEntry[[#This Row],[Project_ID]], projects[Project_ID],0))</f>
        <v>WLW</v>
      </c>
      <c r="Q739" s="6">
        <f>IF(TimeEntry[[#This Row],[Date]]=0,"",WEEKDAY(C739,2))</f>
        <v>3</v>
      </c>
      <c r="R739" s="9">
        <f>YEAR(TimeEntry[[#This Row],[WkEnd]])</f>
        <v>2019</v>
      </c>
      <c r="S739" s="9">
        <f>WEEKNUM(TimeEntry[[#This Row],[WkEnd]])</f>
        <v>9</v>
      </c>
      <c r="T739" s="9" t="str">
        <f>TimeEntry[[#This Row],[Year]]&amp;"-"&amp;TimeEntry[[#This Row],[WkNo]]</f>
        <v>2019-9</v>
      </c>
    </row>
    <row r="740" spans="1:20" x14ac:dyDescent="0.25">
      <c r="A740" s="6">
        <f>MOD(IF(ROW()=2,0.1,IF(INDEX(TimeEntry[WkEnd],ROW()-1)  =  INDEX(TimeEntry[WkEnd],ROW()-2),    INDEX(TimeEntry[format],ROW()-2),    INDEX(TimeEntry[format],ROW()-2)    +1)),2)</f>
        <v>1.1000000000000001</v>
      </c>
      <c r="B740" s="7"/>
      <c r="C740" s="8">
        <v>43516</v>
      </c>
      <c r="D740" s="8"/>
      <c r="E740" s="1" t="s">
        <v>467</v>
      </c>
      <c r="F740" s="8">
        <f>IF(TimeEntry[[#This Row],[Date]]=0,F739,C740+(7-Q740))</f>
        <v>43520</v>
      </c>
      <c r="G740" s="35" t="str">
        <f>INDEX(projects[Charge_Code],MATCH(TimeEntry[[#This Row],[Project_ID]],projects[Project_ID],0))</f>
        <v>261723-02 SMP</v>
      </c>
      <c r="H740" s="1" t="str">
        <f t="shared" si="21"/>
        <v>Normal Time</v>
      </c>
      <c r="I740" s="1"/>
      <c r="J740" s="15">
        <v>2</v>
      </c>
      <c r="K740" s="15"/>
      <c r="L740" s="15"/>
      <c r="M740" s="15"/>
      <c r="N740" s="15"/>
      <c r="O740" s="15" t="str">
        <f>INDEX(projects[job number],MATCH(TimeEntry[[#This Row],[Project_ID]], projects[Project_ID],0))</f>
        <v>261723-02</v>
      </c>
      <c r="P740" s="15" t="str">
        <f>INDEX(projects[Project_Name],MATCH(TimeEntry[[#This Row],[Project_ID]], projects[Project_ID],0))</f>
        <v>SMP</v>
      </c>
      <c r="Q740" s="6">
        <f>IF(TimeEntry[[#This Row],[Date]]=0,"",WEEKDAY(C740,2))</f>
        <v>3</v>
      </c>
      <c r="R740" s="9">
        <f>YEAR(TimeEntry[[#This Row],[WkEnd]])</f>
        <v>2019</v>
      </c>
      <c r="S740" s="9">
        <f>WEEKNUM(TimeEntry[[#This Row],[WkEnd]])</f>
        <v>9</v>
      </c>
      <c r="T740" s="9" t="str">
        <f>TimeEntry[[#This Row],[Year]]&amp;"-"&amp;TimeEntry[[#This Row],[WkNo]]</f>
        <v>2019-9</v>
      </c>
    </row>
    <row r="741" spans="1:20" x14ac:dyDescent="0.25">
      <c r="A741" s="6">
        <f>MOD(IF(ROW()=2,0.1,IF(INDEX(TimeEntry[WkEnd],ROW()-1)  =  INDEX(TimeEntry[WkEnd],ROW()-2),    INDEX(TimeEntry[format],ROW()-2),    INDEX(TimeEntry[format],ROW()-2)    +1)),2)</f>
        <v>1.1000000000000001</v>
      </c>
      <c r="B741" s="7"/>
      <c r="C741" s="8">
        <v>43516</v>
      </c>
      <c r="D741" s="8"/>
      <c r="E741" s="1" t="s">
        <v>468</v>
      </c>
      <c r="F741" s="8">
        <f>IF(TimeEntry[[#This Row],[Date]]=0,F740,C741+(7-Q741))</f>
        <v>43520</v>
      </c>
      <c r="G741" s="35" t="str">
        <f>INDEX(projects[Charge_Code],MATCH(TimeEntry[[#This Row],[Project_ID]],projects[Project_ID],0))</f>
        <v>266122-21 A465</v>
      </c>
      <c r="H741" s="1" t="str">
        <f t="shared" si="21"/>
        <v>Normal Time</v>
      </c>
      <c r="I741" s="1"/>
      <c r="J741" s="15">
        <v>3.5</v>
      </c>
      <c r="K741" s="15"/>
      <c r="L741" s="15"/>
      <c r="M741" s="15"/>
      <c r="N741" s="15"/>
      <c r="O741" s="15" t="str">
        <f>INDEX(projects[job number],MATCH(TimeEntry[[#This Row],[Project_ID]], projects[Project_ID],0))</f>
        <v>266122-21</v>
      </c>
      <c r="P741" s="15" t="str">
        <f>INDEX(projects[Project_Name],MATCH(TimeEntry[[#This Row],[Project_ID]], projects[Project_ID],0))</f>
        <v>A465</v>
      </c>
      <c r="Q741" s="6">
        <f>IF(TimeEntry[[#This Row],[Date]]=0,"",WEEKDAY(C741,2))</f>
        <v>3</v>
      </c>
      <c r="R741" s="9">
        <f>YEAR(TimeEntry[[#This Row],[WkEnd]])</f>
        <v>2019</v>
      </c>
      <c r="S741" s="9">
        <f>WEEKNUM(TimeEntry[[#This Row],[WkEnd]])</f>
        <v>9</v>
      </c>
      <c r="T741" s="9" t="str">
        <f>TimeEntry[[#This Row],[Year]]&amp;"-"&amp;TimeEntry[[#This Row],[WkNo]]</f>
        <v>2019-9</v>
      </c>
    </row>
    <row r="742" spans="1:20" x14ac:dyDescent="0.25">
      <c r="A742" s="6">
        <f>MOD(IF(ROW()=2,0.1,IF(INDEX(TimeEntry[WkEnd],ROW()-1)  =  INDEX(TimeEntry[WkEnd],ROW()-2),    INDEX(TimeEntry[format],ROW()-2),    INDEX(TimeEntry[format],ROW()-2)    +1)),2)</f>
        <v>1.1000000000000001</v>
      </c>
      <c r="B742" s="7"/>
      <c r="C742" s="8">
        <v>43517</v>
      </c>
      <c r="D742" s="8"/>
      <c r="E742" s="1" t="s">
        <v>474</v>
      </c>
      <c r="F742" s="8">
        <f>IF(TimeEntry[[#This Row],[Date]]=0,F741,C742+(7-Q742))</f>
        <v>43520</v>
      </c>
      <c r="G742" s="35" t="str">
        <f>INDEX(projects[Charge_Code],MATCH(TimeEntry[[#This Row],[Project_ID]],projects[Project_ID],0))</f>
        <v>Interview</v>
      </c>
      <c r="H742" s="1" t="str">
        <f t="shared" si="21"/>
        <v>Normal Time</v>
      </c>
      <c r="I742" s="1"/>
      <c r="J742" s="15">
        <v>4</v>
      </c>
      <c r="K742" s="15"/>
      <c r="L742" s="15"/>
      <c r="M742" s="15"/>
      <c r="N742" s="15"/>
      <c r="O742" s="15">
        <f>INDEX(projects[job number],MATCH(TimeEntry[[#This Row],[Project_ID]], projects[Project_ID],0))</f>
        <v>0</v>
      </c>
      <c r="P742" s="15" t="str">
        <f>INDEX(projects[Project_Name],MATCH(TimeEntry[[#This Row],[Project_ID]], projects[Project_ID],0))</f>
        <v>Interview</v>
      </c>
      <c r="Q742" s="6">
        <f>IF(TimeEntry[[#This Row],[Date]]=0,"",WEEKDAY(C742,2))</f>
        <v>4</v>
      </c>
      <c r="R742" s="9">
        <f>YEAR(TimeEntry[[#This Row],[WkEnd]])</f>
        <v>2019</v>
      </c>
      <c r="S742" s="9">
        <f>WEEKNUM(TimeEntry[[#This Row],[WkEnd]])</f>
        <v>9</v>
      </c>
      <c r="T742" s="9" t="str">
        <f>TimeEntry[[#This Row],[Year]]&amp;"-"&amp;TimeEntry[[#This Row],[WkNo]]</f>
        <v>2019-9</v>
      </c>
    </row>
    <row r="743" spans="1:20" x14ac:dyDescent="0.25">
      <c r="A743" s="6">
        <f>MOD(IF(ROW()=2,0.1,IF(INDEX(TimeEntry[WkEnd],ROW()-1)  =  INDEX(TimeEntry[WkEnd],ROW()-2),    INDEX(TimeEntry[format],ROW()-2),    INDEX(TimeEntry[format],ROW()-2)    +1)),2)</f>
        <v>1.1000000000000001</v>
      </c>
      <c r="B743" s="7"/>
      <c r="C743" s="8">
        <v>43517</v>
      </c>
      <c r="D743" s="8"/>
      <c r="E743" s="1" t="s">
        <v>468</v>
      </c>
      <c r="F743" s="8">
        <f>IF(TimeEntry[[#This Row],[Date]]=0,F742,C743+(7-Q743))</f>
        <v>43520</v>
      </c>
      <c r="G743" s="35" t="str">
        <f>INDEX(projects[Charge_Code],MATCH(TimeEntry[[#This Row],[Project_ID]],projects[Project_ID],0))</f>
        <v>266122-21 A465</v>
      </c>
      <c r="H743" s="1" t="str">
        <f t="shared" si="21"/>
        <v>Normal Time</v>
      </c>
      <c r="I743" s="1"/>
      <c r="J743" s="15">
        <v>3.5</v>
      </c>
      <c r="K743" s="15"/>
      <c r="L743" s="15"/>
      <c r="M743" s="15"/>
      <c r="N743" s="15"/>
      <c r="O743" s="15" t="str">
        <f>INDEX(projects[job number],MATCH(TimeEntry[[#This Row],[Project_ID]], projects[Project_ID],0))</f>
        <v>266122-21</v>
      </c>
      <c r="P743" s="15" t="str">
        <f>INDEX(projects[Project_Name],MATCH(TimeEntry[[#This Row],[Project_ID]], projects[Project_ID],0))</f>
        <v>A465</v>
      </c>
      <c r="Q743" s="6">
        <f>IF(TimeEntry[[#This Row],[Date]]=0,"",WEEKDAY(C743,2))</f>
        <v>4</v>
      </c>
      <c r="R743" s="9">
        <f>YEAR(TimeEntry[[#This Row],[WkEnd]])</f>
        <v>2019</v>
      </c>
      <c r="S743" s="9">
        <f>WEEKNUM(TimeEntry[[#This Row],[WkEnd]])</f>
        <v>9</v>
      </c>
      <c r="T743" s="9" t="str">
        <f>TimeEntry[[#This Row],[Year]]&amp;"-"&amp;TimeEntry[[#This Row],[WkNo]]</f>
        <v>2019-9</v>
      </c>
    </row>
    <row r="744" spans="1:20" x14ac:dyDescent="0.25">
      <c r="A744" s="6">
        <f>MOD(IF(ROW()=2,0.1,IF(INDEX(TimeEntry[WkEnd],ROW()-1)  =  INDEX(TimeEntry[WkEnd],ROW()-2),    INDEX(TimeEntry[format],ROW()-2),    INDEX(TimeEntry[format],ROW()-2)    +1)),2)</f>
        <v>1.1000000000000001</v>
      </c>
      <c r="B744" s="7"/>
      <c r="C744" s="8">
        <v>43518</v>
      </c>
      <c r="D744" s="8"/>
      <c r="E744" s="1" t="s">
        <v>468</v>
      </c>
      <c r="F744" s="8">
        <f>IF(TimeEntry[[#This Row],[Date]]=0,F743,C744+(7-Q744))</f>
        <v>43520</v>
      </c>
      <c r="G744" s="35" t="str">
        <f>INDEX(projects[Charge_Code],MATCH(TimeEntry[[#This Row],[Project_ID]],projects[Project_ID],0))</f>
        <v>266122-21 A465</v>
      </c>
      <c r="H744" s="1" t="str">
        <f t="shared" si="21"/>
        <v>Normal Time</v>
      </c>
      <c r="I744" s="1"/>
      <c r="J744" s="15">
        <v>7.5</v>
      </c>
      <c r="K744" s="15"/>
      <c r="L744" s="15"/>
      <c r="M744" s="15"/>
      <c r="N744" s="15"/>
      <c r="O744" s="15" t="str">
        <f>INDEX(projects[job number],MATCH(TimeEntry[[#This Row],[Project_ID]], projects[Project_ID],0))</f>
        <v>266122-21</v>
      </c>
      <c r="P744" s="15" t="str">
        <f>INDEX(projects[Project_Name],MATCH(TimeEntry[[#This Row],[Project_ID]], projects[Project_ID],0))</f>
        <v>A465</v>
      </c>
      <c r="Q744" s="6">
        <f>IF(TimeEntry[[#This Row],[Date]]=0,"",WEEKDAY(C744,2))</f>
        <v>5</v>
      </c>
      <c r="R744" s="9">
        <f>YEAR(TimeEntry[[#This Row],[WkEnd]])</f>
        <v>2019</v>
      </c>
      <c r="S744" s="9">
        <f>WEEKNUM(TimeEntry[[#This Row],[WkEnd]])</f>
        <v>9</v>
      </c>
      <c r="T744" s="9" t="str">
        <f>TimeEntry[[#This Row],[Year]]&amp;"-"&amp;TimeEntry[[#This Row],[WkNo]]</f>
        <v>2019-9</v>
      </c>
    </row>
    <row r="745" spans="1:20" x14ac:dyDescent="0.25">
      <c r="A745" s="6">
        <f>MOD(IF(ROW()=2,0.1,IF(INDEX(TimeEntry[WkEnd],ROW()-1)  =  INDEX(TimeEntry[WkEnd],ROW()-2),    INDEX(TimeEntry[format],ROW()-2),    INDEX(TimeEntry[format],ROW()-2)    +1)),2)</f>
        <v>0.10000000000000009</v>
      </c>
      <c r="B745" s="7"/>
      <c r="C745" s="8">
        <v>43507</v>
      </c>
      <c r="D745" s="8"/>
      <c r="E745" s="1" t="s">
        <v>444</v>
      </c>
      <c r="F745" s="8">
        <f>IF(TimeEntry[[#This Row],[Date]]=0,F744,C745+(7-Q745))</f>
        <v>43513</v>
      </c>
      <c r="G745" s="35" t="str">
        <f>INDEX(projects[Charge_Code],MATCH(TimeEntry[[#This Row],[Project_ID]],projects[Project_ID],0))</f>
        <v>LEAVE</v>
      </c>
      <c r="H745" s="1" t="str">
        <f t="shared" si="21"/>
        <v>Normal Time</v>
      </c>
      <c r="I745" s="1"/>
      <c r="J745" s="15">
        <v>7.5</v>
      </c>
      <c r="K745" s="15"/>
      <c r="L745" s="15"/>
      <c r="M745" s="15"/>
      <c r="N745" s="15"/>
      <c r="O745" s="15" t="str">
        <f>INDEX(projects[job number],MATCH(TimeEntry[[#This Row],[Project_ID]], projects[Project_ID],0))</f>
        <v>LEAVE</v>
      </c>
      <c r="P745" s="15">
        <f>INDEX(projects[Project_Name],MATCH(TimeEntry[[#This Row],[Project_ID]], projects[Project_ID],0))</f>
        <v>0</v>
      </c>
      <c r="Q745" s="6">
        <f>IF(TimeEntry[[#This Row],[Date]]=0,"",WEEKDAY(C745,2))</f>
        <v>1</v>
      </c>
      <c r="R745" s="9">
        <f>YEAR(TimeEntry[[#This Row],[WkEnd]])</f>
        <v>2019</v>
      </c>
      <c r="S745" s="9">
        <f>WEEKNUM(TimeEntry[[#This Row],[WkEnd]])</f>
        <v>8</v>
      </c>
      <c r="T745" s="9" t="str">
        <f>TimeEntry[[#This Row],[Year]]&amp;"-"&amp;TimeEntry[[#This Row],[WkNo]]</f>
        <v>2019-8</v>
      </c>
    </row>
    <row r="746" spans="1:20" x14ac:dyDescent="0.25">
      <c r="A746" s="6">
        <f>MOD(IF(ROW()=2,0.1,IF(INDEX(TimeEntry[WkEnd],ROW()-1)  =  INDEX(TimeEntry[WkEnd],ROW()-2),    INDEX(TimeEntry[format],ROW()-2),    INDEX(TimeEntry[format],ROW()-2)    +1)),2)</f>
        <v>0.10000000000000009</v>
      </c>
      <c r="B746" s="7"/>
      <c r="C746" s="8">
        <v>43508</v>
      </c>
      <c r="D746" s="8"/>
      <c r="E746" s="1" t="s">
        <v>444</v>
      </c>
      <c r="F746" s="8">
        <f>IF(TimeEntry[[#This Row],[Date]]=0,F745,C746+(7-Q746))</f>
        <v>43513</v>
      </c>
      <c r="G746" s="35" t="str">
        <f>INDEX(projects[Charge_Code],MATCH(TimeEntry[[#This Row],[Project_ID]],projects[Project_ID],0))</f>
        <v>LEAVE</v>
      </c>
      <c r="H746" s="1" t="str">
        <f t="shared" si="21"/>
        <v>Normal Time</v>
      </c>
      <c r="I746" s="1"/>
      <c r="J746" s="15">
        <v>7.5</v>
      </c>
      <c r="K746" s="15"/>
      <c r="L746" s="15"/>
      <c r="M746" s="15"/>
      <c r="N746" s="15"/>
      <c r="O746" s="15" t="str">
        <f>INDEX(projects[job number],MATCH(TimeEntry[[#This Row],[Project_ID]], projects[Project_ID],0))</f>
        <v>LEAVE</v>
      </c>
      <c r="P746" s="15">
        <f>INDEX(projects[Project_Name],MATCH(TimeEntry[[#This Row],[Project_ID]], projects[Project_ID],0))</f>
        <v>0</v>
      </c>
      <c r="Q746" s="6">
        <f>IF(TimeEntry[[#This Row],[Date]]=0,"",WEEKDAY(C746,2))</f>
        <v>2</v>
      </c>
      <c r="R746" s="9">
        <f>YEAR(TimeEntry[[#This Row],[WkEnd]])</f>
        <v>2019</v>
      </c>
      <c r="S746" s="9">
        <f>WEEKNUM(TimeEntry[[#This Row],[WkEnd]])</f>
        <v>8</v>
      </c>
      <c r="T746" s="9" t="str">
        <f>TimeEntry[[#This Row],[Year]]&amp;"-"&amp;TimeEntry[[#This Row],[WkNo]]</f>
        <v>2019-8</v>
      </c>
    </row>
    <row r="747" spans="1:20" x14ac:dyDescent="0.25">
      <c r="A747" s="6">
        <f>MOD(IF(ROW()=2,0.1,IF(INDEX(TimeEntry[WkEnd],ROW()-1)  =  INDEX(TimeEntry[WkEnd],ROW()-2),    INDEX(TimeEntry[format],ROW()-2),    INDEX(TimeEntry[format],ROW()-2)    +1)),2)</f>
        <v>0.10000000000000009</v>
      </c>
      <c r="B747" s="7"/>
      <c r="C747" s="8">
        <v>43509</v>
      </c>
      <c r="D747" s="8"/>
      <c r="E747" s="1" t="s">
        <v>444</v>
      </c>
      <c r="F747" s="8">
        <f>IF(TimeEntry[[#This Row],[Date]]=0,F746,C747+(7-Q747))</f>
        <v>43513</v>
      </c>
      <c r="G747" s="35" t="str">
        <f>INDEX(projects[Charge_Code],MATCH(TimeEntry[[#This Row],[Project_ID]],projects[Project_ID],0))</f>
        <v>LEAVE</v>
      </c>
      <c r="H747" s="1" t="str">
        <f t="shared" si="21"/>
        <v>Normal Time</v>
      </c>
      <c r="I747" s="1"/>
      <c r="J747" s="15">
        <v>7.5</v>
      </c>
      <c r="K747" s="15"/>
      <c r="L747" s="15"/>
      <c r="M747" s="15"/>
      <c r="N747" s="15"/>
      <c r="O747" s="15" t="str">
        <f>INDEX(projects[job number],MATCH(TimeEntry[[#This Row],[Project_ID]], projects[Project_ID],0))</f>
        <v>LEAVE</v>
      </c>
      <c r="P747" s="15">
        <f>INDEX(projects[Project_Name],MATCH(TimeEntry[[#This Row],[Project_ID]], projects[Project_ID],0))</f>
        <v>0</v>
      </c>
      <c r="Q747" s="6">
        <f>IF(TimeEntry[[#This Row],[Date]]=0,"",WEEKDAY(C747,2))</f>
        <v>3</v>
      </c>
      <c r="R747" s="9">
        <f>YEAR(TimeEntry[[#This Row],[WkEnd]])</f>
        <v>2019</v>
      </c>
      <c r="S747" s="9">
        <f>WEEKNUM(TimeEntry[[#This Row],[WkEnd]])</f>
        <v>8</v>
      </c>
      <c r="T747" s="9" t="str">
        <f>TimeEntry[[#This Row],[Year]]&amp;"-"&amp;TimeEntry[[#This Row],[WkNo]]</f>
        <v>2019-8</v>
      </c>
    </row>
    <row r="748" spans="1:20" x14ac:dyDescent="0.25">
      <c r="A748" s="6">
        <f>MOD(IF(ROW()=2,0.1,IF(INDEX(TimeEntry[WkEnd],ROW()-1)  =  INDEX(TimeEntry[WkEnd],ROW()-2),    INDEX(TimeEntry[format],ROW()-2),    INDEX(TimeEntry[format],ROW()-2)    +1)),2)</f>
        <v>0.10000000000000009</v>
      </c>
      <c r="B748" s="7"/>
      <c r="C748" s="8">
        <v>43510</v>
      </c>
      <c r="D748" s="8"/>
      <c r="E748" s="1" t="s">
        <v>444</v>
      </c>
      <c r="F748" s="8">
        <f>IF(TimeEntry[[#This Row],[Date]]=0,F747,C748+(7-Q748))</f>
        <v>43513</v>
      </c>
      <c r="G748" s="35" t="str">
        <f>INDEX(projects[Charge_Code],MATCH(TimeEntry[[#This Row],[Project_ID]],projects[Project_ID],0))</f>
        <v>LEAVE</v>
      </c>
      <c r="H748" s="1" t="str">
        <f t="shared" si="21"/>
        <v>Normal Time</v>
      </c>
      <c r="I748" s="1"/>
      <c r="J748" s="15">
        <v>7.5</v>
      </c>
      <c r="K748" s="15"/>
      <c r="L748" s="15"/>
      <c r="M748" s="15"/>
      <c r="N748" s="15"/>
      <c r="O748" s="15" t="str">
        <f>INDEX(projects[job number],MATCH(TimeEntry[[#This Row],[Project_ID]], projects[Project_ID],0))</f>
        <v>LEAVE</v>
      </c>
      <c r="P748" s="15">
        <f>INDEX(projects[Project_Name],MATCH(TimeEntry[[#This Row],[Project_ID]], projects[Project_ID],0))</f>
        <v>0</v>
      </c>
      <c r="Q748" s="6">
        <f>IF(TimeEntry[[#This Row],[Date]]=0,"",WEEKDAY(C748,2))</f>
        <v>4</v>
      </c>
      <c r="R748" s="9">
        <f>YEAR(TimeEntry[[#This Row],[WkEnd]])</f>
        <v>2019</v>
      </c>
      <c r="S748" s="9">
        <f>WEEKNUM(TimeEntry[[#This Row],[WkEnd]])</f>
        <v>8</v>
      </c>
      <c r="T748" s="9" t="str">
        <f>TimeEntry[[#This Row],[Year]]&amp;"-"&amp;TimeEntry[[#This Row],[WkNo]]</f>
        <v>2019-8</v>
      </c>
    </row>
    <row r="749" spans="1:20" x14ac:dyDescent="0.25">
      <c r="A749" s="6">
        <f>MOD(IF(ROW()=2,0.1,IF(INDEX(TimeEntry[WkEnd],ROW()-1)  =  INDEX(TimeEntry[WkEnd],ROW()-2),    INDEX(TimeEntry[format],ROW()-2),    INDEX(TimeEntry[format],ROW()-2)    +1)),2)</f>
        <v>0.10000000000000009</v>
      </c>
      <c r="B749" s="7"/>
      <c r="C749" s="8">
        <v>43511</v>
      </c>
      <c r="D749" s="8"/>
      <c r="E749" s="1" t="s">
        <v>444</v>
      </c>
      <c r="F749" s="8">
        <f>IF(TimeEntry[[#This Row],[Date]]=0,F748,C749+(7-Q749))</f>
        <v>43513</v>
      </c>
      <c r="G749" s="35" t="str">
        <f>INDEX(projects[Charge_Code],MATCH(TimeEntry[[#This Row],[Project_ID]],projects[Project_ID],0))</f>
        <v>LEAVE</v>
      </c>
      <c r="H749" s="1" t="str">
        <f t="shared" si="21"/>
        <v>Normal Time</v>
      </c>
      <c r="I749" s="1"/>
      <c r="J749" s="15">
        <v>7.5</v>
      </c>
      <c r="K749" s="15"/>
      <c r="L749" s="15"/>
      <c r="M749" s="15"/>
      <c r="N749" s="15"/>
      <c r="O749" s="15" t="str">
        <f>INDEX(projects[job number],MATCH(TimeEntry[[#This Row],[Project_ID]], projects[Project_ID],0))</f>
        <v>LEAVE</v>
      </c>
      <c r="P749" s="15">
        <f>INDEX(projects[Project_Name],MATCH(TimeEntry[[#This Row],[Project_ID]], projects[Project_ID],0))</f>
        <v>0</v>
      </c>
      <c r="Q749" s="6">
        <f>IF(TimeEntry[[#This Row],[Date]]=0,"",WEEKDAY(C749,2))</f>
        <v>5</v>
      </c>
      <c r="R749" s="9">
        <f>YEAR(TimeEntry[[#This Row],[WkEnd]])</f>
        <v>2019</v>
      </c>
      <c r="S749" s="9">
        <f>WEEKNUM(TimeEntry[[#This Row],[WkEnd]])</f>
        <v>8</v>
      </c>
      <c r="T749" s="9" t="str">
        <f>TimeEntry[[#This Row],[Year]]&amp;"-"&amp;TimeEntry[[#This Row],[WkNo]]</f>
        <v>2019-8</v>
      </c>
    </row>
    <row r="750" spans="1:20" x14ac:dyDescent="0.25">
      <c r="A750" s="6">
        <f>MOD(IF(ROW()=2,0.1,IF(INDEX(TimeEntry[WkEnd],ROW()-1)  =  INDEX(TimeEntry[WkEnd],ROW()-2),    INDEX(TimeEntry[format],ROW()-2),    INDEX(TimeEntry[format],ROW()-2)    +1)),2)</f>
        <v>1.1000000000000001</v>
      </c>
      <c r="B750" s="7"/>
      <c r="C750" s="8">
        <v>43500</v>
      </c>
      <c r="D750" s="8"/>
      <c r="E750" s="1" t="s">
        <v>475</v>
      </c>
      <c r="F750" s="8">
        <f>IF(TimeEntry[[#This Row],[Date]]=0,F749,C750+(7-Q750))</f>
        <v>43506</v>
      </c>
      <c r="G750" s="35" t="str">
        <f>INDEX(projects[Charge_Code],MATCH(TimeEntry[[#This Row],[Project_ID]],projects[Project_ID],0))</f>
        <v>260258-41 Galecopper - joints and bearings</v>
      </c>
      <c r="H750" s="1" t="str">
        <f t="shared" si="21"/>
        <v>Normal Time</v>
      </c>
      <c r="I750" s="1"/>
      <c r="J750" s="15">
        <v>3.75</v>
      </c>
      <c r="K750" s="15"/>
      <c r="L750" s="15"/>
      <c r="M750" s="15"/>
      <c r="N750" s="15"/>
      <c r="O750" s="15" t="str">
        <f>INDEX(projects[job number],MATCH(TimeEntry[[#This Row],[Project_ID]], projects[Project_ID],0))</f>
        <v>260258-41</v>
      </c>
      <c r="P750" s="15" t="str">
        <f>INDEX(projects[Project_Name],MATCH(TimeEntry[[#This Row],[Project_ID]], projects[Project_ID],0))</f>
        <v>Galecopper - joints and bearings</v>
      </c>
      <c r="Q750" s="6">
        <f>IF(TimeEntry[[#This Row],[Date]]=0,"",WEEKDAY(C750,2))</f>
        <v>1</v>
      </c>
      <c r="R750" s="9">
        <f>YEAR(TimeEntry[[#This Row],[WkEnd]])</f>
        <v>2019</v>
      </c>
      <c r="S750" s="9">
        <f>WEEKNUM(TimeEntry[[#This Row],[WkEnd]])</f>
        <v>7</v>
      </c>
      <c r="T750" s="9" t="str">
        <f>TimeEntry[[#This Row],[Year]]&amp;"-"&amp;TimeEntry[[#This Row],[WkNo]]</f>
        <v>2019-7</v>
      </c>
    </row>
    <row r="751" spans="1:20" x14ac:dyDescent="0.25">
      <c r="A751" s="6">
        <f>MOD(IF(ROW()=2,0.1,IF(INDEX(TimeEntry[WkEnd],ROW()-1)  =  INDEX(TimeEntry[WkEnd],ROW()-2),    INDEX(TimeEntry[format],ROW()-2),    INDEX(TimeEntry[format],ROW()-2)    +1)),2)</f>
        <v>1.1000000000000001</v>
      </c>
      <c r="B751" s="7"/>
      <c r="C751" s="8">
        <v>43500</v>
      </c>
      <c r="D751" s="8"/>
      <c r="E751" s="1" t="s">
        <v>455</v>
      </c>
      <c r="F751" s="8">
        <f>IF(TimeEntry[[#This Row],[Date]]=0,F750,C751+(7-Q751))</f>
        <v>43506</v>
      </c>
      <c r="G751" s="35" t="str">
        <f>INDEX(projects[Charge_Code],MATCH(TimeEntry[[#This Row],[Project_ID]],projects[Project_ID],0))</f>
        <v>255375-00 M25 West MSA</v>
      </c>
      <c r="H751" s="1" t="str">
        <f t="shared" si="21"/>
        <v>Normal Time</v>
      </c>
      <c r="I751" s="1"/>
      <c r="J751" s="15">
        <v>3.75</v>
      </c>
      <c r="K751" s="15"/>
      <c r="L751" s="15"/>
      <c r="M751" s="15"/>
      <c r="N751" s="15"/>
      <c r="O751" s="15" t="str">
        <f>INDEX(projects[job number],MATCH(TimeEntry[[#This Row],[Project_ID]], projects[Project_ID],0))</f>
        <v>255375-00</v>
      </c>
      <c r="P751" s="15" t="str">
        <f>INDEX(projects[Project_Name],MATCH(TimeEntry[[#This Row],[Project_ID]], projects[Project_ID],0))</f>
        <v>M25 West MSA</v>
      </c>
      <c r="Q751" s="6">
        <f>IF(TimeEntry[[#This Row],[Date]]=0,"",WEEKDAY(C751,2))</f>
        <v>1</v>
      </c>
      <c r="R751" s="9">
        <f>YEAR(TimeEntry[[#This Row],[WkEnd]])</f>
        <v>2019</v>
      </c>
      <c r="S751" s="9">
        <f>WEEKNUM(TimeEntry[[#This Row],[WkEnd]])</f>
        <v>7</v>
      </c>
      <c r="T751" s="9" t="str">
        <f>TimeEntry[[#This Row],[Year]]&amp;"-"&amp;TimeEntry[[#This Row],[WkNo]]</f>
        <v>2019-7</v>
      </c>
    </row>
    <row r="752" spans="1:20" x14ac:dyDescent="0.25">
      <c r="A752" s="6">
        <f>MOD(IF(ROW()=2,0.1,IF(INDEX(TimeEntry[WkEnd],ROW()-1)  =  INDEX(TimeEntry[WkEnd],ROW()-2),    INDEX(TimeEntry[format],ROW()-2),    INDEX(TimeEntry[format],ROW()-2)    +1)),2)</f>
        <v>1.1000000000000001</v>
      </c>
      <c r="B752" s="7"/>
      <c r="C752" s="8">
        <v>43501</v>
      </c>
      <c r="D752" s="8"/>
      <c r="E752" s="1" t="s">
        <v>468</v>
      </c>
      <c r="F752" s="8">
        <f>IF(TimeEntry[[#This Row],[Date]]=0,F751,C752+(7-Q752))</f>
        <v>43506</v>
      </c>
      <c r="G752" s="35" t="str">
        <f>INDEX(projects[Charge_Code],MATCH(TimeEntry[[#This Row],[Project_ID]],projects[Project_ID],0))</f>
        <v>266122-21 A465</v>
      </c>
      <c r="H752" s="1" t="str">
        <f t="shared" si="21"/>
        <v>Normal Time</v>
      </c>
      <c r="I752" s="1"/>
      <c r="J752" s="15">
        <v>7.5</v>
      </c>
      <c r="K752" s="15"/>
      <c r="L752" s="15"/>
      <c r="M752" s="15"/>
      <c r="N752" s="15"/>
      <c r="O752" s="15" t="str">
        <f>INDEX(projects[job number],MATCH(TimeEntry[[#This Row],[Project_ID]], projects[Project_ID],0))</f>
        <v>266122-21</v>
      </c>
      <c r="P752" s="15" t="str">
        <f>INDEX(projects[Project_Name],MATCH(TimeEntry[[#This Row],[Project_ID]], projects[Project_ID],0))</f>
        <v>A465</v>
      </c>
      <c r="Q752" s="6">
        <f>IF(TimeEntry[[#This Row],[Date]]=0,"",WEEKDAY(C752,2))</f>
        <v>2</v>
      </c>
      <c r="R752" s="9">
        <f>YEAR(TimeEntry[[#This Row],[WkEnd]])</f>
        <v>2019</v>
      </c>
      <c r="S752" s="9">
        <f>WEEKNUM(TimeEntry[[#This Row],[WkEnd]])</f>
        <v>7</v>
      </c>
      <c r="T752" s="9" t="str">
        <f>TimeEntry[[#This Row],[Year]]&amp;"-"&amp;TimeEntry[[#This Row],[WkNo]]</f>
        <v>2019-7</v>
      </c>
    </row>
    <row r="753" spans="1:20" x14ac:dyDescent="0.25">
      <c r="A753" s="6">
        <f>MOD(IF(ROW()=2,0.1,IF(INDEX(TimeEntry[WkEnd],ROW()-1)  =  INDEX(TimeEntry[WkEnd],ROW()-2),    INDEX(TimeEntry[format],ROW()-2),    INDEX(TimeEntry[format],ROW()-2)    +1)),2)</f>
        <v>1.1000000000000001</v>
      </c>
      <c r="B753" s="7"/>
      <c r="C753" s="8">
        <v>43502</v>
      </c>
      <c r="D753" s="8"/>
      <c r="E753" s="1" t="s">
        <v>475</v>
      </c>
      <c r="F753" s="8">
        <f>IF(TimeEntry[[#This Row],[Date]]=0,F752,C753+(7-Q753))</f>
        <v>43506</v>
      </c>
      <c r="G753" s="35" t="str">
        <f>INDEX(projects[Charge_Code],MATCH(TimeEntry[[#This Row],[Project_ID]],projects[Project_ID],0))</f>
        <v>260258-41 Galecopper - joints and bearings</v>
      </c>
      <c r="H753" s="1" t="str">
        <f t="shared" si="21"/>
        <v>Normal Time</v>
      </c>
      <c r="I753" s="1"/>
      <c r="J753" s="15">
        <v>7.5</v>
      </c>
      <c r="K753" s="15"/>
      <c r="L753" s="15"/>
      <c r="M753" s="15"/>
      <c r="N753" s="15"/>
      <c r="O753" s="15" t="str">
        <f>INDEX(projects[job number],MATCH(TimeEntry[[#This Row],[Project_ID]], projects[Project_ID],0))</f>
        <v>260258-41</v>
      </c>
      <c r="P753" s="15" t="str">
        <f>INDEX(projects[Project_Name],MATCH(TimeEntry[[#This Row],[Project_ID]], projects[Project_ID],0))</f>
        <v>Galecopper - joints and bearings</v>
      </c>
      <c r="Q753" s="6">
        <f>IF(TimeEntry[[#This Row],[Date]]=0,"",WEEKDAY(C753,2))</f>
        <v>3</v>
      </c>
      <c r="R753" s="9">
        <f>YEAR(TimeEntry[[#This Row],[WkEnd]])</f>
        <v>2019</v>
      </c>
      <c r="S753" s="9">
        <f>WEEKNUM(TimeEntry[[#This Row],[WkEnd]])</f>
        <v>7</v>
      </c>
      <c r="T753" s="9" t="str">
        <f>TimeEntry[[#This Row],[Year]]&amp;"-"&amp;TimeEntry[[#This Row],[WkNo]]</f>
        <v>2019-7</v>
      </c>
    </row>
    <row r="754" spans="1:20" x14ac:dyDescent="0.25">
      <c r="A754" s="6">
        <f>MOD(IF(ROW()=2,0.1,IF(INDEX(TimeEntry[WkEnd],ROW()-1)  =  INDEX(TimeEntry[WkEnd],ROW()-2),    INDEX(TimeEntry[format],ROW()-2),    INDEX(TimeEntry[format],ROW()-2)    +1)),2)</f>
        <v>1.1000000000000001</v>
      </c>
      <c r="B754" s="7"/>
      <c r="C754" s="8">
        <v>43503</v>
      </c>
      <c r="D754" s="8"/>
      <c r="E754" s="1" t="s">
        <v>476</v>
      </c>
      <c r="F754" s="8">
        <f>IF(TimeEntry[[#This Row],[Date]]=0,F753,C754+(7-Q754))</f>
        <v>43506</v>
      </c>
      <c r="G754" s="35" t="str">
        <f>INDEX(projects[Charge_Code],MATCH(TimeEntry[[#This Row],[Project_ID]],projects[Project_ID],0))</f>
        <v>077616-63 Infra BIM</v>
      </c>
      <c r="H754" s="1" t="str">
        <f t="shared" si="21"/>
        <v>Normal Time</v>
      </c>
      <c r="I754" s="1"/>
      <c r="J754" s="15">
        <v>7.5</v>
      </c>
      <c r="K754" s="15"/>
      <c r="L754" s="15"/>
      <c r="M754" s="15"/>
      <c r="N754" s="15"/>
      <c r="O754" s="15" t="str">
        <f>INDEX(projects[job number],MATCH(TimeEntry[[#This Row],[Project_ID]], projects[Project_ID],0))</f>
        <v>077616-63</v>
      </c>
      <c r="P754" s="15" t="str">
        <f>INDEX(projects[Project_Name],MATCH(TimeEntry[[#This Row],[Project_ID]], projects[Project_ID],0))</f>
        <v>Infra BIM</v>
      </c>
      <c r="Q754" s="6">
        <f>IF(TimeEntry[[#This Row],[Date]]=0,"",WEEKDAY(C754,2))</f>
        <v>4</v>
      </c>
      <c r="R754" s="9">
        <f>YEAR(TimeEntry[[#This Row],[WkEnd]])</f>
        <v>2019</v>
      </c>
      <c r="S754" s="9">
        <f>WEEKNUM(TimeEntry[[#This Row],[WkEnd]])</f>
        <v>7</v>
      </c>
      <c r="T754" s="9" t="str">
        <f>TimeEntry[[#This Row],[Year]]&amp;"-"&amp;TimeEntry[[#This Row],[WkNo]]</f>
        <v>2019-7</v>
      </c>
    </row>
    <row r="755" spans="1:20" x14ac:dyDescent="0.25">
      <c r="A755" s="6">
        <f>MOD(IF(ROW()=2,0.1,IF(INDEX(TimeEntry[WkEnd],ROW()-1)  =  INDEX(TimeEntry[WkEnd],ROW()-2),    INDEX(TimeEntry[format],ROW()-2),    INDEX(TimeEntry[format],ROW()-2)    +1)),2)</f>
        <v>1.1000000000000001</v>
      </c>
      <c r="B755" s="7"/>
      <c r="C755" s="8">
        <v>43504</v>
      </c>
      <c r="D755" s="8"/>
      <c r="E755" s="1" t="s">
        <v>468</v>
      </c>
      <c r="F755" s="8">
        <f>IF(TimeEntry[[#This Row],[Date]]=0,F754,C755+(7-Q755))</f>
        <v>43506</v>
      </c>
      <c r="G755" s="35" t="str">
        <f>INDEX(projects[Charge_Code],MATCH(TimeEntry[[#This Row],[Project_ID]],projects[Project_ID],0))</f>
        <v>266122-21 A465</v>
      </c>
      <c r="H755" s="1" t="str">
        <f t="shared" si="21"/>
        <v>Normal Time</v>
      </c>
      <c r="I755" s="1"/>
      <c r="J755" s="15">
        <v>3.75</v>
      </c>
      <c r="K755" s="15"/>
      <c r="L755" s="15"/>
      <c r="M755" s="15"/>
      <c r="N755" s="15"/>
      <c r="O755" s="15" t="str">
        <f>INDEX(projects[job number],MATCH(TimeEntry[[#This Row],[Project_ID]], projects[Project_ID],0))</f>
        <v>266122-21</v>
      </c>
      <c r="P755" s="15" t="str">
        <f>INDEX(projects[Project_Name],MATCH(TimeEntry[[#This Row],[Project_ID]], projects[Project_ID],0))</f>
        <v>A465</v>
      </c>
      <c r="Q755" s="6">
        <f>IF(TimeEntry[[#This Row],[Date]]=0,"",WEEKDAY(C755,2))</f>
        <v>5</v>
      </c>
      <c r="R755" s="9">
        <f>YEAR(TimeEntry[[#This Row],[WkEnd]])</f>
        <v>2019</v>
      </c>
      <c r="S755" s="9">
        <f>WEEKNUM(TimeEntry[[#This Row],[WkEnd]])</f>
        <v>7</v>
      </c>
      <c r="T755" s="9" t="str">
        <f>TimeEntry[[#This Row],[Year]]&amp;"-"&amp;TimeEntry[[#This Row],[WkNo]]</f>
        <v>2019-7</v>
      </c>
    </row>
    <row r="756" spans="1:20" x14ac:dyDescent="0.25">
      <c r="A756" s="6">
        <f>MOD(IF(ROW()=2,0.1,IF(INDEX(TimeEntry[WkEnd],ROW()-1)  =  INDEX(TimeEntry[WkEnd],ROW()-2),    INDEX(TimeEntry[format],ROW()-2),    INDEX(TimeEntry[format],ROW()-2)    +1)),2)</f>
        <v>1.1000000000000001</v>
      </c>
      <c r="B756" s="7"/>
      <c r="C756" s="8">
        <v>43504</v>
      </c>
      <c r="D756" s="8"/>
      <c r="E756" s="1" t="s">
        <v>475</v>
      </c>
      <c r="F756" s="8">
        <f>IF(TimeEntry[[#This Row],[Date]]=0,F755,C756+(7-Q756))</f>
        <v>43506</v>
      </c>
      <c r="G756" s="35" t="str">
        <f>INDEX(projects[Charge_Code],MATCH(TimeEntry[[#This Row],[Project_ID]],projects[Project_ID],0))</f>
        <v>260258-41 Galecopper - joints and bearings</v>
      </c>
      <c r="H756" s="1" t="str">
        <f t="shared" si="21"/>
        <v>Normal Time</v>
      </c>
      <c r="I756" s="1"/>
      <c r="J756" s="15">
        <v>1</v>
      </c>
      <c r="K756" s="15"/>
      <c r="L756" s="15"/>
      <c r="M756" s="15"/>
      <c r="N756" s="15"/>
      <c r="O756" s="15" t="str">
        <f>INDEX(projects[job number],MATCH(TimeEntry[[#This Row],[Project_ID]], projects[Project_ID],0))</f>
        <v>260258-41</v>
      </c>
      <c r="P756" s="15" t="str">
        <f>INDEX(projects[Project_Name],MATCH(TimeEntry[[#This Row],[Project_ID]], projects[Project_ID],0))</f>
        <v>Galecopper - joints and bearings</v>
      </c>
      <c r="Q756" s="6">
        <f>IF(TimeEntry[[#This Row],[Date]]=0,"",WEEKDAY(C756,2))</f>
        <v>5</v>
      </c>
      <c r="R756" s="9">
        <f>YEAR(TimeEntry[[#This Row],[WkEnd]])</f>
        <v>2019</v>
      </c>
      <c r="S756" s="9">
        <f>WEEKNUM(TimeEntry[[#This Row],[WkEnd]])</f>
        <v>7</v>
      </c>
      <c r="T756" s="9" t="str">
        <f>TimeEntry[[#This Row],[Year]]&amp;"-"&amp;TimeEntry[[#This Row],[WkNo]]</f>
        <v>2019-7</v>
      </c>
    </row>
    <row r="757" spans="1:20" x14ac:dyDescent="0.25">
      <c r="A757" s="6">
        <f>MOD(IF(ROW()=2,0.1,IF(INDEX(TimeEntry[WkEnd],ROW()-1)  =  INDEX(TimeEntry[WkEnd],ROW()-2),    INDEX(TimeEntry[format],ROW()-2),    INDEX(TimeEntry[format],ROW()-2)    +1)),2)</f>
        <v>1.1000000000000001</v>
      </c>
      <c r="B757" s="7"/>
      <c r="C757" s="8">
        <v>43504</v>
      </c>
      <c r="D757" s="8"/>
      <c r="E757" s="1" t="s">
        <v>450</v>
      </c>
      <c r="F757" s="8">
        <f>IF(TimeEntry[[#This Row],[Date]]=0,F756,C757+(7-Q757))</f>
        <v>43506</v>
      </c>
      <c r="G757" s="35" t="str">
        <f>INDEX(projects[Charge_Code],MATCH(TimeEntry[[#This Row],[Project_ID]],projects[Project_ID],0))</f>
        <v>254304-96 HCC - Paul Cully (01-382)</v>
      </c>
      <c r="H757" s="1" t="str">
        <f t="shared" si="21"/>
        <v>Normal Time</v>
      </c>
      <c r="I757" s="1"/>
      <c r="J757" s="15">
        <v>1.5</v>
      </c>
      <c r="K757" s="15"/>
      <c r="L757" s="15"/>
      <c r="M757" s="15"/>
      <c r="N757" s="15"/>
      <c r="O757" s="15" t="str">
        <f>INDEX(projects[job number],MATCH(TimeEntry[[#This Row],[Project_ID]], projects[Project_ID],0))</f>
        <v>254304-96</v>
      </c>
      <c r="P757" s="15" t="str">
        <f>INDEX(projects[Project_Name],MATCH(TimeEntry[[#This Row],[Project_ID]], projects[Project_ID],0))</f>
        <v>HCC - Paul Cully</v>
      </c>
      <c r="Q757" s="6">
        <f>IF(TimeEntry[[#This Row],[Date]]=0,"",WEEKDAY(C757,2))</f>
        <v>5</v>
      </c>
      <c r="R757" s="9">
        <f>YEAR(TimeEntry[[#This Row],[WkEnd]])</f>
        <v>2019</v>
      </c>
      <c r="S757" s="9">
        <f>WEEKNUM(TimeEntry[[#This Row],[WkEnd]])</f>
        <v>7</v>
      </c>
      <c r="T757" s="9" t="str">
        <f>TimeEntry[[#This Row],[Year]]&amp;"-"&amp;TimeEntry[[#This Row],[WkNo]]</f>
        <v>2019-7</v>
      </c>
    </row>
    <row r="758" spans="1:20" x14ac:dyDescent="0.25">
      <c r="A758" s="6">
        <f>MOD(IF(ROW()=2,0.1,IF(INDEX(TimeEntry[WkEnd],ROW()-1)  =  INDEX(TimeEntry[WkEnd],ROW()-2),    INDEX(TimeEntry[format],ROW()-2),    INDEX(TimeEntry[format],ROW()-2)    +1)),2)</f>
        <v>1.1000000000000001</v>
      </c>
      <c r="B758" s="7"/>
      <c r="C758" s="8">
        <v>43504</v>
      </c>
      <c r="D758" s="8"/>
      <c r="E758" s="1" t="s">
        <v>450</v>
      </c>
      <c r="F758" s="8">
        <f>IF(TimeEntry[[#This Row],[Date]]=0,F757,C758+(7-Q758))</f>
        <v>43506</v>
      </c>
      <c r="G758" s="35" t="str">
        <f>INDEX(projects[Charge_Code],MATCH(TimeEntry[[#This Row],[Project_ID]],projects[Project_ID],0))</f>
        <v>254304-96 HCC - Paul Cully (01-382)</v>
      </c>
      <c r="H758" s="1" t="str">
        <f t="shared" si="21"/>
        <v>Normal Time</v>
      </c>
      <c r="I758" s="1"/>
      <c r="J758" s="15">
        <v>1.25</v>
      </c>
      <c r="K758" s="15"/>
      <c r="L758" s="15"/>
      <c r="M758" s="15"/>
      <c r="N758" s="15"/>
      <c r="O758" s="15" t="str">
        <f>INDEX(projects[job number],MATCH(TimeEntry[[#This Row],[Project_ID]], projects[Project_ID],0))</f>
        <v>254304-96</v>
      </c>
      <c r="P758" s="15" t="str">
        <f>INDEX(projects[Project_Name],MATCH(TimeEntry[[#This Row],[Project_ID]], projects[Project_ID],0))</f>
        <v>HCC - Paul Cully</v>
      </c>
      <c r="Q758" s="6">
        <f>IF(TimeEntry[[#This Row],[Date]]=0,"",WEEKDAY(C758,2))</f>
        <v>5</v>
      </c>
      <c r="R758" s="9">
        <f>YEAR(TimeEntry[[#This Row],[WkEnd]])</f>
        <v>2019</v>
      </c>
      <c r="S758" s="9">
        <f>WEEKNUM(TimeEntry[[#This Row],[WkEnd]])</f>
        <v>7</v>
      </c>
      <c r="T758" s="9" t="str">
        <f>TimeEntry[[#This Row],[Year]]&amp;"-"&amp;TimeEntry[[#This Row],[WkNo]]</f>
        <v>2019-7</v>
      </c>
    </row>
    <row r="759" spans="1:20" x14ac:dyDescent="0.25">
      <c r="A759" s="6">
        <f>MOD(IF(ROW()=2,0.1,IF(INDEX(TimeEntry[WkEnd],ROW()-1)  =  INDEX(TimeEntry[WkEnd],ROW()-2),    INDEX(TimeEntry[format],ROW()-2),    INDEX(TimeEntry[format],ROW()-2)    +1)),2)</f>
        <v>0.10000000000000009</v>
      </c>
      <c r="B759" s="7"/>
      <c r="C759" s="8">
        <v>43493</v>
      </c>
      <c r="D759" s="8"/>
      <c r="E759" s="1" t="s">
        <v>450</v>
      </c>
      <c r="F759" s="8">
        <f>IF(TimeEntry[[#This Row],[Date]]=0,F758,C759+(7-Q759))</f>
        <v>43499</v>
      </c>
      <c r="G759" s="35" t="str">
        <f>INDEX(projects[Charge_Code],MATCH(TimeEntry[[#This Row],[Project_ID]],projects[Project_ID],0))</f>
        <v>254304-96 HCC - Paul Cully (01-382)</v>
      </c>
      <c r="H759" s="1" t="str">
        <f t="shared" si="21"/>
        <v>Normal Time</v>
      </c>
      <c r="I759" s="1"/>
      <c r="J759" s="15">
        <v>2.5</v>
      </c>
      <c r="K759" s="15"/>
      <c r="L759" s="15"/>
      <c r="M759" s="15"/>
      <c r="N759" s="15"/>
      <c r="O759" s="15" t="str">
        <f>INDEX(projects[job number],MATCH(TimeEntry[[#This Row],[Project_ID]], projects[Project_ID],0))</f>
        <v>254304-96</v>
      </c>
      <c r="P759" s="15" t="str">
        <f>INDEX(projects[Project_Name],MATCH(TimeEntry[[#This Row],[Project_ID]], projects[Project_ID],0))</f>
        <v>HCC - Paul Cully</v>
      </c>
      <c r="Q759" s="6">
        <f>IF(TimeEntry[[#This Row],[Date]]=0,"",WEEKDAY(C759,2))</f>
        <v>1</v>
      </c>
      <c r="R759" s="9">
        <f>YEAR(TimeEntry[[#This Row],[WkEnd]])</f>
        <v>2019</v>
      </c>
      <c r="S759" s="9">
        <f>WEEKNUM(TimeEntry[[#This Row],[WkEnd]])</f>
        <v>6</v>
      </c>
      <c r="T759" s="9" t="str">
        <f>TimeEntry[[#This Row],[Year]]&amp;"-"&amp;TimeEntry[[#This Row],[WkNo]]</f>
        <v>2019-6</v>
      </c>
    </row>
    <row r="760" spans="1:20" x14ac:dyDescent="0.25">
      <c r="A760" s="6">
        <f>MOD(IF(ROW()=2,0.1,IF(INDEX(TimeEntry[WkEnd],ROW()-1)  =  INDEX(TimeEntry[WkEnd],ROW()-2),    INDEX(TimeEntry[format],ROW()-2),    INDEX(TimeEntry[format],ROW()-2)    +1)),2)</f>
        <v>0.10000000000000009</v>
      </c>
      <c r="B760" s="7"/>
      <c r="C760" s="8">
        <v>43493</v>
      </c>
      <c r="D760" s="8"/>
      <c r="E760" s="1" t="s">
        <v>468</v>
      </c>
      <c r="F760" s="8">
        <f>IF(TimeEntry[[#This Row],[Date]]=0,F759,C760+(7-Q760))</f>
        <v>43499</v>
      </c>
      <c r="G760" s="35" t="str">
        <f>INDEX(projects[Charge_Code],MATCH(TimeEntry[[#This Row],[Project_ID]],projects[Project_ID],0))</f>
        <v>266122-21 A465</v>
      </c>
      <c r="H760" s="1" t="str">
        <f t="shared" si="21"/>
        <v>Normal Time</v>
      </c>
      <c r="I760" s="1"/>
      <c r="J760" s="15">
        <v>2</v>
      </c>
      <c r="K760" s="15"/>
      <c r="L760" s="15"/>
      <c r="M760" s="15"/>
      <c r="N760" s="15"/>
      <c r="O760" s="15" t="str">
        <f>INDEX(projects[job number],MATCH(TimeEntry[[#This Row],[Project_ID]], projects[Project_ID],0))</f>
        <v>266122-21</v>
      </c>
      <c r="P760" s="15" t="str">
        <f>INDEX(projects[Project_Name],MATCH(TimeEntry[[#This Row],[Project_ID]], projects[Project_ID],0))</f>
        <v>A465</v>
      </c>
      <c r="Q760" s="6">
        <f>IF(TimeEntry[[#This Row],[Date]]=0,"",WEEKDAY(C760,2))</f>
        <v>1</v>
      </c>
      <c r="R760" s="9">
        <f>YEAR(TimeEntry[[#This Row],[WkEnd]])</f>
        <v>2019</v>
      </c>
      <c r="S760" s="9">
        <f>WEEKNUM(TimeEntry[[#This Row],[WkEnd]])</f>
        <v>6</v>
      </c>
      <c r="T760" s="9" t="str">
        <f>TimeEntry[[#This Row],[Year]]&amp;"-"&amp;TimeEntry[[#This Row],[WkNo]]</f>
        <v>2019-6</v>
      </c>
    </row>
    <row r="761" spans="1:20" x14ac:dyDescent="0.25">
      <c r="A761" s="6">
        <f>MOD(IF(ROW()=2,0.1,IF(INDEX(TimeEntry[WkEnd],ROW()-1)  =  INDEX(TimeEntry[WkEnd],ROW()-2),    INDEX(TimeEntry[format],ROW()-2),    INDEX(TimeEntry[format],ROW()-2)    +1)),2)</f>
        <v>0.10000000000000009</v>
      </c>
      <c r="B761" s="7"/>
      <c r="C761" s="8">
        <v>43493</v>
      </c>
      <c r="D761" s="8"/>
      <c r="E761" s="1" t="s">
        <v>468</v>
      </c>
      <c r="F761" s="8">
        <f>IF(TimeEntry[[#This Row],[Date]]=0,F760,C761+(7-Q761))</f>
        <v>43499</v>
      </c>
      <c r="G761" s="35" t="str">
        <f>INDEX(projects[Charge_Code],MATCH(TimeEntry[[#This Row],[Project_ID]],projects[Project_ID],0))</f>
        <v>266122-21 A465</v>
      </c>
      <c r="H761" s="1" t="str">
        <f t="shared" si="21"/>
        <v>Normal Time</v>
      </c>
      <c r="I761" s="1"/>
      <c r="J761" s="15">
        <v>3</v>
      </c>
      <c r="K761" s="15"/>
      <c r="L761" s="15"/>
      <c r="M761" s="15"/>
      <c r="N761" s="15"/>
      <c r="O761" s="15" t="str">
        <f>INDEX(projects[job number],MATCH(TimeEntry[[#This Row],[Project_ID]], projects[Project_ID],0))</f>
        <v>266122-21</v>
      </c>
      <c r="P761" s="15" t="str">
        <f>INDEX(projects[Project_Name],MATCH(TimeEntry[[#This Row],[Project_ID]], projects[Project_ID],0))</f>
        <v>A465</v>
      </c>
      <c r="Q761" s="6">
        <f>IF(TimeEntry[[#This Row],[Date]]=0,"",WEEKDAY(C761,2))</f>
        <v>1</v>
      </c>
      <c r="R761" s="9">
        <f>YEAR(TimeEntry[[#This Row],[WkEnd]])</f>
        <v>2019</v>
      </c>
      <c r="S761" s="9">
        <f>WEEKNUM(TimeEntry[[#This Row],[WkEnd]])</f>
        <v>6</v>
      </c>
      <c r="T761" s="9" t="str">
        <f>TimeEntry[[#This Row],[Year]]&amp;"-"&amp;TimeEntry[[#This Row],[WkNo]]</f>
        <v>2019-6</v>
      </c>
    </row>
    <row r="762" spans="1:20" x14ac:dyDescent="0.25">
      <c r="A762" s="6">
        <f>MOD(IF(ROW()=2,0.1,IF(INDEX(TimeEntry[WkEnd],ROW()-1)  =  INDEX(TimeEntry[WkEnd],ROW()-2),    INDEX(TimeEntry[format],ROW()-2),    INDEX(TimeEntry[format],ROW()-2)    +1)),2)</f>
        <v>0.10000000000000009</v>
      </c>
      <c r="B762" s="7"/>
      <c r="C762" s="8">
        <v>43494</v>
      </c>
      <c r="D762" s="8"/>
      <c r="E762" s="1" t="s">
        <v>468</v>
      </c>
      <c r="F762" s="8">
        <f>IF(TimeEntry[[#This Row],[Date]]=0,F761,C762+(7-Q762))</f>
        <v>43499</v>
      </c>
      <c r="G762" s="35" t="str">
        <f>INDEX(projects[Charge_Code],MATCH(TimeEntry[[#This Row],[Project_ID]],projects[Project_ID],0))</f>
        <v>266122-21 A465</v>
      </c>
      <c r="H762" s="1" t="str">
        <f t="shared" si="21"/>
        <v>Normal Time</v>
      </c>
      <c r="I762" s="1"/>
      <c r="J762" s="15">
        <v>7.5</v>
      </c>
      <c r="K762" s="15"/>
      <c r="L762" s="15"/>
      <c r="M762" s="15"/>
      <c r="N762" s="15"/>
      <c r="O762" s="15" t="str">
        <f>INDEX(projects[job number],MATCH(TimeEntry[[#This Row],[Project_ID]], projects[Project_ID],0))</f>
        <v>266122-21</v>
      </c>
      <c r="P762" s="15" t="str">
        <f>INDEX(projects[Project_Name],MATCH(TimeEntry[[#This Row],[Project_ID]], projects[Project_ID],0))</f>
        <v>A465</v>
      </c>
      <c r="Q762" s="6">
        <f>IF(TimeEntry[[#This Row],[Date]]=0,"",WEEKDAY(C762,2))</f>
        <v>2</v>
      </c>
      <c r="R762" s="9">
        <f>YEAR(TimeEntry[[#This Row],[WkEnd]])</f>
        <v>2019</v>
      </c>
      <c r="S762" s="9">
        <f>WEEKNUM(TimeEntry[[#This Row],[WkEnd]])</f>
        <v>6</v>
      </c>
      <c r="T762" s="9" t="str">
        <f>TimeEntry[[#This Row],[Year]]&amp;"-"&amp;TimeEntry[[#This Row],[WkNo]]</f>
        <v>2019-6</v>
      </c>
    </row>
    <row r="763" spans="1:20" x14ac:dyDescent="0.25">
      <c r="A763" s="6">
        <f>MOD(IF(ROW()=2,0.1,IF(INDEX(TimeEntry[WkEnd],ROW()-1)  =  INDEX(TimeEntry[WkEnd],ROW()-2),    INDEX(TimeEntry[format],ROW()-2),    INDEX(TimeEntry[format],ROW()-2)    +1)),2)</f>
        <v>0.10000000000000009</v>
      </c>
      <c r="B763" s="7"/>
      <c r="C763" s="8">
        <v>43495</v>
      </c>
      <c r="D763" s="8"/>
      <c r="E763" s="1" t="s">
        <v>455</v>
      </c>
      <c r="F763" s="8">
        <f>IF(TimeEntry[[#This Row],[Date]]=0,F762,C763+(7-Q763))</f>
        <v>43499</v>
      </c>
      <c r="G763" s="35" t="str">
        <f>INDEX(projects[Charge_Code],MATCH(TimeEntry[[#This Row],[Project_ID]],projects[Project_ID],0))</f>
        <v>255375-00 M25 West MSA</v>
      </c>
      <c r="H763" s="1" t="str">
        <f t="shared" si="21"/>
        <v>Normal Time</v>
      </c>
      <c r="I763" s="1"/>
      <c r="J763" s="15">
        <v>7.5</v>
      </c>
      <c r="K763" s="15"/>
      <c r="L763" s="15"/>
      <c r="M763" s="15"/>
      <c r="N763" s="15"/>
      <c r="O763" s="15" t="str">
        <f>INDEX(projects[job number],MATCH(TimeEntry[[#This Row],[Project_ID]], projects[Project_ID],0))</f>
        <v>255375-00</v>
      </c>
      <c r="P763" s="15" t="str">
        <f>INDEX(projects[Project_Name],MATCH(TimeEntry[[#This Row],[Project_ID]], projects[Project_ID],0))</f>
        <v>M25 West MSA</v>
      </c>
      <c r="Q763" s="6">
        <f>IF(TimeEntry[[#This Row],[Date]]=0,"",WEEKDAY(C763,2))</f>
        <v>3</v>
      </c>
      <c r="R763" s="9">
        <f>YEAR(TimeEntry[[#This Row],[WkEnd]])</f>
        <v>2019</v>
      </c>
      <c r="S763" s="9">
        <f>WEEKNUM(TimeEntry[[#This Row],[WkEnd]])</f>
        <v>6</v>
      </c>
      <c r="T763" s="9" t="str">
        <f>TimeEntry[[#This Row],[Year]]&amp;"-"&amp;TimeEntry[[#This Row],[WkNo]]</f>
        <v>2019-6</v>
      </c>
    </row>
    <row r="764" spans="1:20" x14ac:dyDescent="0.25">
      <c r="A764" s="6">
        <f>MOD(IF(ROW()=2,0.1,IF(INDEX(TimeEntry[WkEnd],ROW()-1)  =  INDEX(TimeEntry[WkEnd],ROW()-2),    INDEX(TimeEntry[format],ROW()-2),    INDEX(TimeEntry[format],ROW()-2)    +1)),2)</f>
        <v>0.10000000000000009</v>
      </c>
      <c r="B764" s="7"/>
      <c r="C764" s="8">
        <v>43496</v>
      </c>
      <c r="D764" s="8"/>
      <c r="E764" s="1" t="s">
        <v>461</v>
      </c>
      <c r="F764" s="8">
        <f>IF(TimeEntry[[#This Row],[Date]]=0,F763,C764+(7-Q764))</f>
        <v>43499</v>
      </c>
      <c r="G764" s="35" t="str">
        <f>INDEX(projects[Charge_Code],MATCH(TimeEntry[[#This Row],[Project_ID]],projects[Project_ID],0))</f>
        <v>215526-27 CP - Assessment (01-124)</v>
      </c>
      <c r="H764" s="1" t="str">
        <f t="shared" si="21"/>
        <v>Normal Time</v>
      </c>
      <c r="I764" s="1"/>
      <c r="J764" s="15">
        <v>3.75</v>
      </c>
      <c r="K764" s="15"/>
      <c r="L764" s="15"/>
      <c r="M764" s="15"/>
      <c r="N764" s="15"/>
      <c r="O764" s="15" t="str">
        <f>INDEX(projects[job number],MATCH(TimeEntry[[#This Row],[Project_ID]], projects[Project_ID],0))</f>
        <v>215526-27</v>
      </c>
      <c r="P764" s="15" t="str">
        <f>INDEX(projects[Project_Name],MATCH(TimeEntry[[#This Row],[Project_ID]], projects[Project_ID],0))</f>
        <v>CP - Assessment</v>
      </c>
      <c r="Q764" s="6">
        <f>IF(TimeEntry[[#This Row],[Date]]=0,"",WEEKDAY(C764,2))</f>
        <v>4</v>
      </c>
      <c r="R764" s="9">
        <f>YEAR(TimeEntry[[#This Row],[WkEnd]])</f>
        <v>2019</v>
      </c>
      <c r="S764" s="9">
        <f>WEEKNUM(TimeEntry[[#This Row],[WkEnd]])</f>
        <v>6</v>
      </c>
      <c r="T764" s="9" t="str">
        <f>TimeEntry[[#This Row],[Year]]&amp;"-"&amp;TimeEntry[[#This Row],[WkNo]]</f>
        <v>2019-6</v>
      </c>
    </row>
    <row r="765" spans="1:20" x14ac:dyDescent="0.25">
      <c r="A765" s="6">
        <f>MOD(IF(ROW()=2,0.1,IF(INDEX(TimeEntry[WkEnd],ROW()-1)  =  INDEX(TimeEntry[WkEnd],ROW()-2),    INDEX(TimeEntry[format],ROW()-2),    INDEX(TimeEntry[format],ROW()-2)    +1)),2)</f>
        <v>0.10000000000000009</v>
      </c>
      <c r="B765" s="7"/>
      <c r="C765" s="8">
        <v>43496</v>
      </c>
      <c r="D765" s="8"/>
      <c r="E765" s="1" t="s">
        <v>468</v>
      </c>
      <c r="F765" s="8">
        <f>IF(TimeEntry[[#This Row],[Date]]=0,F764,C765+(7-Q765))</f>
        <v>43499</v>
      </c>
      <c r="G765" s="35" t="str">
        <f>INDEX(projects[Charge_Code],MATCH(TimeEntry[[#This Row],[Project_ID]],projects[Project_ID],0))</f>
        <v>266122-21 A465</v>
      </c>
      <c r="H765" s="1" t="str">
        <f t="shared" si="21"/>
        <v>Normal Time</v>
      </c>
      <c r="I765" s="1"/>
      <c r="J765" s="15">
        <v>3.75</v>
      </c>
      <c r="K765" s="15"/>
      <c r="L765" s="15"/>
      <c r="M765" s="15"/>
      <c r="N765" s="15"/>
      <c r="O765" s="15" t="str">
        <f>INDEX(projects[job number],MATCH(TimeEntry[[#This Row],[Project_ID]], projects[Project_ID],0))</f>
        <v>266122-21</v>
      </c>
      <c r="P765" s="15" t="str">
        <f>INDEX(projects[Project_Name],MATCH(TimeEntry[[#This Row],[Project_ID]], projects[Project_ID],0))</f>
        <v>A465</v>
      </c>
      <c r="Q765" s="6">
        <f>IF(TimeEntry[[#This Row],[Date]]=0,"",WEEKDAY(C765,2))</f>
        <v>4</v>
      </c>
      <c r="R765" s="9">
        <f>YEAR(TimeEntry[[#This Row],[WkEnd]])</f>
        <v>2019</v>
      </c>
      <c r="S765" s="9">
        <f>WEEKNUM(TimeEntry[[#This Row],[WkEnd]])</f>
        <v>6</v>
      </c>
      <c r="T765" s="9" t="str">
        <f>TimeEntry[[#This Row],[Year]]&amp;"-"&amp;TimeEntry[[#This Row],[WkNo]]</f>
        <v>2019-6</v>
      </c>
    </row>
    <row r="766" spans="1:20" x14ac:dyDescent="0.25">
      <c r="A766" s="6">
        <f>MOD(IF(ROW()=2,0.1,IF(INDEX(TimeEntry[WkEnd],ROW()-1)  =  INDEX(TimeEntry[WkEnd],ROW()-2),    INDEX(TimeEntry[format],ROW()-2),    INDEX(TimeEntry[format],ROW()-2)    +1)),2)</f>
        <v>0.10000000000000009</v>
      </c>
      <c r="B766" s="7"/>
      <c r="C766" s="8">
        <v>43497</v>
      </c>
      <c r="D766" s="8"/>
      <c r="E766" s="1" t="s">
        <v>468</v>
      </c>
      <c r="F766" s="8">
        <f>IF(TimeEntry[[#This Row],[Date]]=0,F765,C766+(7-Q766))</f>
        <v>43499</v>
      </c>
      <c r="G766" s="35" t="str">
        <f>INDEX(projects[Charge_Code],MATCH(TimeEntry[[#This Row],[Project_ID]],projects[Project_ID],0))</f>
        <v>266122-21 A465</v>
      </c>
      <c r="H766" s="1" t="str">
        <f t="shared" si="21"/>
        <v>Normal Time</v>
      </c>
      <c r="I766" s="1"/>
      <c r="J766" s="15">
        <v>3.75</v>
      </c>
      <c r="K766" s="15"/>
      <c r="L766" s="15"/>
      <c r="M766" s="15"/>
      <c r="N766" s="15"/>
      <c r="O766" s="15" t="str">
        <f>INDEX(projects[job number],MATCH(TimeEntry[[#This Row],[Project_ID]], projects[Project_ID],0))</f>
        <v>266122-21</v>
      </c>
      <c r="P766" s="15" t="str">
        <f>INDEX(projects[Project_Name],MATCH(TimeEntry[[#This Row],[Project_ID]], projects[Project_ID],0))</f>
        <v>A465</v>
      </c>
      <c r="Q766" s="6">
        <f>IF(TimeEntry[[#This Row],[Date]]=0,"",WEEKDAY(C766,2))</f>
        <v>5</v>
      </c>
      <c r="R766" s="9">
        <f>YEAR(TimeEntry[[#This Row],[WkEnd]])</f>
        <v>2019</v>
      </c>
      <c r="S766" s="9">
        <f>WEEKNUM(TimeEntry[[#This Row],[WkEnd]])</f>
        <v>6</v>
      </c>
      <c r="T766" s="9" t="str">
        <f>TimeEntry[[#This Row],[Year]]&amp;"-"&amp;TimeEntry[[#This Row],[WkNo]]</f>
        <v>2019-6</v>
      </c>
    </row>
    <row r="767" spans="1:20" x14ac:dyDescent="0.25">
      <c r="A767" s="6">
        <f>MOD(IF(ROW()=2,0.1,IF(INDEX(TimeEntry[WkEnd],ROW()-1)  =  INDEX(TimeEntry[WkEnd],ROW()-2),    INDEX(TimeEntry[format],ROW()-2),    INDEX(TimeEntry[format],ROW()-2)    +1)),2)</f>
        <v>0.10000000000000009</v>
      </c>
      <c r="B767" s="7"/>
      <c r="C767" s="8">
        <v>43497</v>
      </c>
      <c r="D767" s="8"/>
      <c r="E767" s="1" t="s">
        <v>468</v>
      </c>
      <c r="F767" s="8">
        <f>IF(TimeEntry[[#This Row],[Date]]=0,F766,C767+(7-Q767))</f>
        <v>43499</v>
      </c>
      <c r="G767" s="35" t="str">
        <f>INDEX(projects[Charge_Code],MATCH(TimeEntry[[#This Row],[Project_ID]],projects[Project_ID],0))</f>
        <v>266122-21 A465</v>
      </c>
      <c r="H767" s="1" t="str">
        <f t="shared" si="21"/>
        <v>Normal Time</v>
      </c>
      <c r="I767" s="1"/>
      <c r="J767" s="15">
        <v>3.75</v>
      </c>
      <c r="K767" s="15"/>
      <c r="L767" s="15"/>
      <c r="M767" s="15"/>
      <c r="N767" s="15"/>
      <c r="O767" s="15" t="str">
        <f>INDEX(projects[job number],MATCH(TimeEntry[[#This Row],[Project_ID]], projects[Project_ID],0))</f>
        <v>266122-21</v>
      </c>
      <c r="P767" s="15" t="str">
        <f>INDEX(projects[Project_Name],MATCH(TimeEntry[[#This Row],[Project_ID]], projects[Project_ID],0))</f>
        <v>A465</v>
      </c>
      <c r="Q767" s="6">
        <f>IF(TimeEntry[[#This Row],[Date]]=0,"",WEEKDAY(C767,2))</f>
        <v>5</v>
      </c>
      <c r="R767" s="9">
        <f>YEAR(TimeEntry[[#This Row],[WkEnd]])</f>
        <v>2019</v>
      </c>
      <c r="S767" s="9">
        <f>WEEKNUM(TimeEntry[[#This Row],[WkEnd]])</f>
        <v>6</v>
      </c>
      <c r="T767" s="9" t="str">
        <f>TimeEntry[[#This Row],[Year]]&amp;"-"&amp;TimeEntry[[#This Row],[WkNo]]</f>
        <v>2019-6</v>
      </c>
    </row>
    <row r="768" spans="1:20" x14ac:dyDescent="0.25">
      <c r="A768" s="6">
        <f>MOD(IF(ROW()=2,0.1,IF(INDEX(TimeEntry[WkEnd],ROW()-1)  =  INDEX(TimeEntry[WkEnd],ROW()-2),    INDEX(TimeEntry[format],ROW()-2),    INDEX(TimeEntry[format],ROW()-2)    +1)),2)</f>
        <v>1.1000000000000001</v>
      </c>
      <c r="B768" s="7"/>
      <c r="C768" s="8">
        <v>43486</v>
      </c>
      <c r="D768" s="8"/>
      <c r="E768" s="1" t="s">
        <v>468</v>
      </c>
      <c r="F768" s="8">
        <f>IF(TimeEntry[[#This Row],[Date]]=0,F767,C768+(7-Q768))</f>
        <v>43492</v>
      </c>
      <c r="G768" s="35" t="str">
        <f>INDEX(projects[Charge_Code],MATCH(TimeEntry[[#This Row],[Project_ID]],projects[Project_ID],0))</f>
        <v>266122-21 A465</v>
      </c>
      <c r="H768" s="1" t="str">
        <f t="shared" si="21"/>
        <v>Normal Time</v>
      </c>
      <c r="I768" s="1"/>
      <c r="J768" s="15">
        <v>7.5</v>
      </c>
      <c r="K768" s="15"/>
      <c r="L768" s="15"/>
      <c r="M768" s="15"/>
      <c r="N768" s="15"/>
      <c r="O768" s="15" t="str">
        <f>INDEX(projects[job number],MATCH(TimeEntry[[#This Row],[Project_ID]], projects[Project_ID],0))</f>
        <v>266122-21</v>
      </c>
      <c r="P768" s="15" t="str">
        <f>INDEX(projects[Project_Name],MATCH(TimeEntry[[#This Row],[Project_ID]], projects[Project_ID],0))</f>
        <v>A465</v>
      </c>
      <c r="Q768" s="6">
        <f>IF(TimeEntry[[#This Row],[Date]]=0,"",WEEKDAY(C768,2))</f>
        <v>1</v>
      </c>
      <c r="R768" s="9">
        <f>YEAR(TimeEntry[[#This Row],[WkEnd]])</f>
        <v>2019</v>
      </c>
      <c r="S768" s="9">
        <f>WEEKNUM(TimeEntry[[#This Row],[WkEnd]])</f>
        <v>5</v>
      </c>
      <c r="T768" s="9" t="str">
        <f>TimeEntry[[#This Row],[Year]]&amp;"-"&amp;TimeEntry[[#This Row],[WkNo]]</f>
        <v>2019-5</v>
      </c>
    </row>
    <row r="769" spans="1:20" x14ac:dyDescent="0.25">
      <c r="A769" s="6">
        <f>MOD(IF(ROW()=2,0.1,IF(INDEX(TimeEntry[WkEnd],ROW()-1)  =  INDEX(TimeEntry[WkEnd],ROW()-2),    INDEX(TimeEntry[format],ROW()-2),    INDEX(TimeEntry[format],ROW()-2)    +1)),2)</f>
        <v>1.1000000000000001</v>
      </c>
      <c r="B769" s="7"/>
      <c r="C769" s="8">
        <v>43487</v>
      </c>
      <c r="D769" s="8"/>
      <c r="E769" s="1" t="s">
        <v>472</v>
      </c>
      <c r="F769" s="8">
        <f>IF(TimeEntry[[#This Row],[Date]]=0,F768,C769+(7-Q769))</f>
        <v>43492</v>
      </c>
      <c r="G769" s="35" t="str">
        <f>INDEX(projects[Charge_Code],MATCH(TimeEntry[[#This Row],[Project_ID]],projects[Project_ID],0))</f>
        <v>000000-00 AMS Support</v>
      </c>
      <c r="H769" s="1" t="str">
        <f t="shared" si="21"/>
        <v>Normal Time</v>
      </c>
      <c r="I769" s="1"/>
      <c r="J769" s="15">
        <v>7.5</v>
      </c>
      <c r="K769" s="15"/>
      <c r="L769" s="15"/>
      <c r="M769" s="15"/>
      <c r="N769" s="15"/>
      <c r="O769" s="15" t="str">
        <f>INDEX(projects[job number],MATCH(TimeEntry[[#This Row],[Project_ID]], projects[Project_ID],0))</f>
        <v>000000-00</v>
      </c>
      <c r="P769" s="15" t="str">
        <f>INDEX(projects[Project_Name],MATCH(TimeEntry[[#This Row],[Project_ID]], projects[Project_ID],0))</f>
        <v>AMS Support</v>
      </c>
      <c r="Q769" s="6">
        <f>IF(TimeEntry[[#This Row],[Date]]=0,"",WEEKDAY(C769,2))</f>
        <v>2</v>
      </c>
      <c r="R769" s="9">
        <f>YEAR(TimeEntry[[#This Row],[WkEnd]])</f>
        <v>2019</v>
      </c>
      <c r="S769" s="9">
        <f>WEEKNUM(TimeEntry[[#This Row],[WkEnd]])</f>
        <v>5</v>
      </c>
      <c r="T769" s="9" t="str">
        <f>TimeEntry[[#This Row],[Year]]&amp;"-"&amp;TimeEntry[[#This Row],[WkNo]]</f>
        <v>2019-5</v>
      </c>
    </row>
    <row r="770" spans="1:20" x14ac:dyDescent="0.25">
      <c r="A770" s="6">
        <f>MOD(IF(ROW()=2,0.1,IF(INDEX(TimeEntry[WkEnd],ROW()-1)  =  INDEX(TimeEntry[WkEnd],ROW()-2),    INDEX(TimeEntry[format],ROW()-2),    INDEX(TimeEntry[format],ROW()-2)    +1)),2)</f>
        <v>1.1000000000000001</v>
      </c>
      <c r="B770" s="7"/>
      <c r="C770" s="8">
        <v>43488</v>
      </c>
      <c r="D770" s="8"/>
      <c r="E770" s="1" t="s">
        <v>477</v>
      </c>
      <c r="F770" s="8">
        <f>IF(TimeEntry[[#This Row],[Date]]=0,F769,C770+(7-Q770))</f>
        <v>43492</v>
      </c>
      <c r="G770" s="35" t="str">
        <f>INDEX(projects[Charge_Code],MATCH(TimeEntry[[#This Row],[Project_ID]],projects[Project_ID],0))</f>
        <v>265675-00 de Locht</v>
      </c>
      <c r="H770" s="1" t="str">
        <f t="shared" si="21"/>
        <v>Normal Time</v>
      </c>
      <c r="I770" s="1"/>
      <c r="J770" s="15">
        <v>2</v>
      </c>
      <c r="K770" s="15"/>
      <c r="L770" s="15"/>
      <c r="M770" s="15"/>
      <c r="N770" s="15"/>
      <c r="O770" s="15" t="str">
        <f>INDEX(projects[job number],MATCH(TimeEntry[[#This Row],[Project_ID]], projects[Project_ID],0))</f>
        <v>265675-00</v>
      </c>
      <c r="P770" s="15" t="str">
        <f>INDEX(projects[Project_Name],MATCH(TimeEntry[[#This Row],[Project_ID]], projects[Project_ID],0))</f>
        <v>de Locht</v>
      </c>
      <c r="Q770" s="6">
        <f>IF(TimeEntry[[#This Row],[Date]]=0,"",WEEKDAY(C770,2))</f>
        <v>3</v>
      </c>
      <c r="R770" s="9">
        <f>YEAR(TimeEntry[[#This Row],[WkEnd]])</f>
        <v>2019</v>
      </c>
      <c r="S770" s="9">
        <f>WEEKNUM(TimeEntry[[#This Row],[WkEnd]])</f>
        <v>5</v>
      </c>
      <c r="T770" s="9" t="str">
        <f>TimeEntry[[#This Row],[Year]]&amp;"-"&amp;TimeEntry[[#This Row],[WkNo]]</f>
        <v>2019-5</v>
      </c>
    </row>
    <row r="771" spans="1:20" x14ac:dyDescent="0.25">
      <c r="A771" s="6">
        <f>MOD(IF(ROW()=2,0.1,IF(INDEX(TimeEntry[WkEnd],ROW()-1)  =  INDEX(TimeEntry[WkEnd],ROW()-2),    INDEX(TimeEntry[format],ROW()-2),    INDEX(TimeEntry[format],ROW()-2)    +1)),2)</f>
        <v>1.1000000000000001</v>
      </c>
      <c r="B771" s="7"/>
      <c r="C771" s="8">
        <v>43488</v>
      </c>
      <c r="D771" s="8"/>
      <c r="E771" s="1" t="s">
        <v>472</v>
      </c>
      <c r="F771" s="8">
        <f>IF(TimeEntry[[#This Row],[Date]]=0,F770,C771+(7-Q771))</f>
        <v>43492</v>
      </c>
      <c r="G771" s="35" t="str">
        <f>INDEX(projects[Charge_Code],MATCH(TimeEntry[[#This Row],[Project_ID]],projects[Project_ID],0))</f>
        <v>000000-00 AMS Support</v>
      </c>
      <c r="H771" s="1" t="str">
        <f t="shared" si="21"/>
        <v>Normal Time</v>
      </c>
      <c r="I771" s="1"/>
      <c r="J771" s="15">
        <v>5.5</v>
      </c>
      <c r="K771" s="15"/>
      <c r="L771" s="15"/>
      <c r="M771" s="15"/>
      <c r="N771" s="15"/>
      <c r="O771" s="15" t="str">
        <f>INDEX(projects[job number],MATCH(TimeEntry[[#This Row],[Project_ID]], projects[Project_ID],0))</f>
        <v>000000-00</v>
      </c>
      <c r="P771" s="15" t="str">
        <f>INDEX(projects[Project_Name],MATCH(TimeEntry[[#This Row],[Project_ID]], projects[Project_ID],0))</f>
        <v>AMS Support</v>
      </c>
      <c r="Q771" s="6">
        <f>IF(TimeEntry[[#This Row],[Date]]=0,"",WEEKDAY(C771,2))</f>
        <v>3</v>
      </c>
      <c r="R771" s="9">
        <f>YEAR(TimeEntry[[#This Row],[WkEnd]])</f>
        <v>2019</v>
      </c>
      <c r="S771" s="9">
        <f>WEEKNUM(TimeEntry[[#This Row],[WkEnd]])</f>
        <v>5</v>
      </c>
      <c r="T771" s="9" t="str">
        <f>TimeEntry[[#This Row],[Year]]&amp;"-"&amp;TimeEntry[[#This Row],[WkNo]]</f>
        <v>2019-5</v>
      </c>
    </row>
    <row r="772" spans="1:20" x14ac:dyDescent="0.25">
      <c r="A772" s="6">
        <f>MOD(IF(ROW()=2,0.1,IF(INDEX(TimeEntry[WkEnd],ROW()-1)  =  INDEX(TimeEntry[WkEnd],ROW()-2),    INDEX(TimeEntry[format],ROW()-2),    INDEX(TimeEntry[format],ROW()-2)    +1)),2)</f>
        <v>1.1000000000000001</v>
      </c>
      <c r="B772" s="7"/>
      <c r="C772" s="8">
        <v>43489</v>
      </c>
      <c r="D772" s="8"/>
      <c r="E772" s="1" t="s">
        <v>473</v>
      </c>
      <c r="F772" s="8">
        <f>IF(TimeEntry[[#This Row],[Date]]=0,F771,C772+(7-Q772))</f>
        <v>43492</v>
      </c>
      <c r="G772" s="35" t="str">
        <f>INDEX(projects[Charge_Code],MATCH(TimeEntry[[#This Row],[Project_ID]],projects[Project_ID],0))</f>
        <v>259933-00 Waalbrug</v>
      </c>
      <c r="H772" s="1" t="str">
        <f t="shared" si="21"/>
        <v>Normal Time</v>
      </c>
      <c r="I772" s="1"/>
      <c r="J772" s="15">
        <v>7.5</v>
      </c>
      <c r="K772" s="15"/>
      <c r="L772" s="15"/>
      <c r="M772" s="15"/>
      <c r="N772" s="15"/>
      <c r="O772" s="15" t="str">
        <f>INDEX(projects[job number],MATCH(TimeEntry[[#This Row],[Project_ID]], projects[Project_ID],0))</f>
        <v>259933-00</v>
      </c>
      <c r="P772" s="15" t="str">
        <f>INDEX(projects[Project_Name],MATCH(TimeEntry[[#This Row],[Project_ID]], projects[Project_ID],0))</f>
        <v>Waalbrug</v>
      </c>
      <c r="Q772" s="6">
        <f>IF(TimeEntry[[#This Row],[Date]]=0,"",WEEKDAY(C772,2))</f>
        <v>4</v>
      </c>
      <c r="R772" s="9">
        <f>YEAR(TimeEntry[[#This Row],[WkEnd]])</f>
        <v>2019</v>
      </c>
      <c r="S772" s="9">
        <f>WEEKNUM(TimeEntry[[#This Row],[WkEnd]])</f>
        <v>5</v>
      </c>
      <c r="T772" s="9" t="str">
        <f>TimeEntry[[#This Row],[Year]]&amp;"-"&amp;TimeEntry[[#This Row],[WkNo]]</f>
        <v>2019-5</v>
      </c>
    </row>
    <row r="773" spans="1:20" x14ac:dyDescent="0.25">
      <c r="A773" s="6">
        <f>MOD(IF(ROW()=2,0.1,IF(INDEX(TimeEntry[WkEnd],ROW()-1)  =  INDEX(TimeEntry[WkEnd],ROW()-2),    INDEX(TimeEntry[format],ROW()-2),    INDEX(TimeEntry[format],ROW()-2)    +1)),2)</f>
        <v>1.1000000000000001</v>
      </c>
      <c r="B773" s="7"/>
      <c r="C773" s="8">
        <v>43490</v>
      </c>
      <c r="D773" s="8"/>
      <c r="E773" s="1" t="s">
        <v>450</v>
      </c>
      <c r="F773" s="8">
        <f>IF(TimeEntry[[#This Row],[Date]]=0,F772,C773+(7-Q773))</f>
        <v>43492</v>
      </c>
      <c r="G773" s="35" t="str">
        <f>INDEX(projects[Charge_Code],MATCH(TimeEntry[[#This Row],[Project_ID]],projects[Project_ID],0))</f>
        <v>254304-96 HCC - Paul Cully (01-382)</v>
      </c>
      <c r="H773" s="1" t="str">
        <f t="shared" si="21"/>
        <v>Normal Time</v>
      </c>
      <c r="I773" s="1"/>
      <c r="J773" s="15">
        <v>3.75</v>
      </c>
      <c r="K773" s="15"/>
      <c r="L773" s="15"/>
      <c r="M773" s="15"/>
      <c r="N773" s="15"/>
      <c r="O773" s="15" t="str">
        <f>INDEX(projects[job number],MATCH(TimeEntry[[#This Row],[Project_ID]], projects[Project_ID],0))</f>
        <v>254304-96</v>
      </c>
      <c r="P773" s="15" t="str">
        <f>INDEX(projects[Project_Name],MATCH(TimeEntry[[#This Row],[Project_ID]], projects[Project_ID],0))</f>
        <v>HCC - Paul Cully</v>
      </c>
      <c r="Q773" s="6">
        <f>IF(TimeEntry[[#This Row],[Date]]=0,"",WEEKDAY(C773,2))</f>
        <v>5</v>
      </c>
      <c r="R773" s="9">
        <f>YEAR(TimeEntry[[#This Row],[WkEnd]])</f>
        <v>2019</v>
      </c>
      <c r="S773" s="9">
        <f>WEEKNUM(TimeEntry[[#This Row],[WkEnd]])</f>
        <v>5</v>
      </c>
      <c r="T773" s="9" t="str">
        <f>TimeEntry[[#This Row],[Year]]&amp;"-"&amp;TimeEntry[[#This Row],[WkNo]]</f>
        <v>2019-5</v>
      </c>
    </row>
    <row r="774" spans="1:20" x14ac:dyDescent="0.25">
      <c r="A774" s="6">
        <f>MOD(IF(ROW()=2,0.1,IF(INDEX(TimeEntry[WkEnd],ROW()-1)  =  INDEX(TimeEntry[WkEnd],ROW()-2),    INDEX(TimeEntry[format],ROW()-2),    INDEX(TimeEntry[format],ROW()-2)    +1)),2)</f>
        <v>1.1000000000000001</v>
      </c>
      <c r="B774" s="7"/>
      <c r="C774" s="8">
        <v>43490</v>
      </c>
      <c r="D774" s="8"/>
      <c r="E774" s="1" t="s">
        <v>468</v>
      </c>
      <c r="F774" s="8">
        <f>IF(TimeEntry[[#This Row],[Date]]=0,F773,C774+(7-Q774))</f>
        <v>43492</v>
      </c>
      <c r="G774" s="35" t="str">
        <f>INDEX(projects[Charge_Code],MATCH(TimeEntry[[#This Row],[Project_ID]],projects[Project_ID],0))</f>
        <v>266122-21 A465</v>
      </c>
      <c r="H774" s="1" t="str">
        <f t="shared" si="21"/>
        <v>Normal Time</v>
      </c>
      <c r="I774" s="1"/>
      <c r="J774" s="15">
        <v>3.75</v>
      </c>
      <c r="K774" s="15"/>
      <c r="L774" s="15"/>
      <c r="M774" s="15"/>
      <c r="N774" s="15"/>
      <c r="O774" s="15" t="str">
        <f>INDEX(projects[job number],MATCH(TimeEntry[[#This Row],[Project_ID]], projects[Project_ID],0))</f>
        <v>266122-21</v>
      </c>
      <c r="P774" s="15" t="str">
        <f>INDEX(projects[Project_Name],MATCH(TimeEntry[[#This Row],[Project_ID]], projects[Project_ID],0))</f>
        <v>A465</v>
      </c>
      <c r="Q774" s="6">
        <f>IF(TimeEntry[[#This Row],[Date]]=0,"",WEEKDAY(C774,2))</f>
        <v>5</v>
      </c>
      <c r="R774" s="9">
        <f>YEAR(TimeEntry[[#This Row],[WkEnd]])</f>
        <v>2019</v>
      </c>
      <c r="S774" s="9">
        <f>WEEKNUM(TimeEntry[[#This Row],[WkEnd]])</f>
        <v>5</v>
      </c>
      <c r="T774" s="9" t="str">
        <f>TimeEntry[[#This Row],[Year]]&amp;"-"&amp;TimeEntry[[#This Row],[WkNo]]</f>
        <v>2019-5</v>
      </c>
    </row>
    <row r="775" spans="1:20" x14ac:dyDescent="0.25">
      <c r="A775" s="6">
        <f>MOD(IF(ROW()=2,0.1,IF(INDEX(TimeEntry[WkEnd],ROW()-1)  =  INDEX(TimeEntry[WkEnd],ROW()-2),    INDEX(TimeEntry[format],ROW()-2),    INDEX(TimeEntry[format],ROW()-2)    +1)),2)</f>
        <v>0.10000000000000009</v>
      </c>
      <c r="B775" s="7"/>
      <c r="C775" s="8">
        <v>43479</v>
      </c>
      <c r="D775" s="8"/>
      <c r="E775" s="1" t="s">
        <v>473</v>
      </c>
      <c r="F775" s="8">
        <f>IF(TimeEntry[[#This Row],[Date]]=0,F774,C775+(7-Q775))</f>
        <v>43485</v>
      </c>
      <c r="G775" s="35" t="str">
        <f>INDEX(projects[Charge_Code],MATCH(TimeEntry[[#This Row],[Project_ID]],projects[Project_ID],0))</f>
        <v>259933-00 Waalbrug</v>
      </c>
      <c r="H775" s="1" t="str">
        <f t="shared" si="21"/>
        <v>Normal Time</v>
      </c>
      <c r="I775" s="1"/>
      <c r="J775" s="15">
        <v>7.5</v>
      </c>
      <c r="K775" s="15"/>
      <c r="L775" s="15"/>
      <c r="M775" s="15"/>
      <c r="N775" s="15"/>
      <c r="O775" s="15" t="str">
        <f>INDEX(projects[job number],MATCH(TimeEntry[[#This Row],[Project_ID]], projects[Project_ID],0))</f>
        <v>259933-00</v>
      </c>
      <c r="P775" s="15" t="str">
        <f>INDEX(projects[Project_Name],MATCH(TimeEntry[[#This Row],[Project_ID]], projects[Project_ID],0))</f>
        <v>Waalbrug</v>
      </c>
      <c r="Q775" s="6">
        <f>IF(TimeEntry[[#This Row],[Date]]=0,"",WEEKDAY(C775,2))</f>
        <v>1</v>
      </c>
      <c r="R775" s="9">
        <f>YEAR(TimeEntry[[#This Row],[WkEnd]])</f>
        <v>2019</v>
      </c>
      <c r="S775" s="9">
        <f>WEEKNUM(TimeEntry[[#This Row],[WkEnd]])</f>
        <v>4</v>
      </c>
      <c r="T775" s="9" t="str">
        <f>TimeEntry[[#This Row],[Year]]&amp;"-"&amp;TimeEntry[[#This Row],[WkNo]]</f>
        <v>2019-4</v>
      </c>
    </row>
    <row r="776" spans="1:20" x14ac:dyDescent="0.25">
      <c r="A776" s="6">
        <f>MOD(IF(ROW()=2,0.1,IF(INDEX(TimeEntry[WkEnd],ROW()-1)  =  INDEX(TimeEntry[WkEnd],ROW()-2),    INDEX(TimeEntry[format],ROW()-2),    INDEX(TimeEntry[format],ROW()-2)    +1)),2)</f>
        <v>0.10000000000000009</v>
      </c>
      <c r="B776" s="7"/>
      <c r="C776" s="8">
        <v>43480</v>
      </c>
      <c r="D776" s="8"/>
      <c r="E776" s="1" t="s">
        <v>473</v>
      </c>
      <c r="F776" s="8">
        <f>IF(TimeEntry[[#This Row],[Date]]=0,F775,C776+(7-Q776))</f>
        <v>43485</v>
      </c>
      <c r="G776" s="35" t="str">
        <f>INDEX(projects[Charge_Code],MATCH(TimeEntry[[#This Row],[Project_ID]],projects[Project_ID],0))</f>
        <v>259933-00 Waalbrug</v>
      </c>
      <c r="H776" s="1" t="str">
        <f t="shared" ref="H776:H839" si="22">"Normal Time"</f>
        <v>Normal Time</v>
      </c>
      <c r="I776" s="1"/>
      <c r="J776" s="15">
        <v>7.5</v>
      </c>
      <c r="K776" s="15"/>
      <c r="L776" s="15"/>
      <c r="M776" s="15"/>
      <c r="N776" s="15"/>
      <c r="O776" s="15" t="str">
        <f>INDEX(projects[job number],MATCH(TimeEntry[[#This Row],[Project_ID]], projects[Project_ID],0))</f>
        <v>259933-00</v>
      </c>
      <c r="P776" s="15" t="str">
        <f>INDEX(projects[Project_Name],MATCH(TimeEntry[[#This Row],[Project_ID]], projects[Project_ID],0))</f>
        <v>Waalbrug</v>
      </c>
      <c r="Q776" s="6">
        <f>IF(TimeEntry[[#This Row],[Date]]=0,"",WEEKDAY(C776,2))</f>
        <v>2</v>
      </c>
      <c r="R776" s="9">
        <f>YEAR(TimeEntry[[#This Row],[WkEnd]])</f>
        <v>2019</v>
      </c>
      <c r="S776" s="9">
        <f>WEEKNUM(TimeEntry[[#This Row],[WkEnd]])</f>
        <v>4</v>
      </c>
      <c r="T776" s="9" t="str">
        <f>TimeEntry[[#This Row],[Year]]&amp;"-"&amp;TimeEntry[[#This Row],[WkNo]]</f>
        <v>2019-4</v>
      </c>
    </row>
    <row r="777" spans="1:20" x14ac:dyDescent="0.25">
      <c r="A777" s="6">
        <f>MOD(IF(ROW()=2,0.1,IF(INDEX(TimeEntry[WkEnd],ROW()-1)  =  INDEX(TimeEntry[WkEnd],ROW()-2),    INDEX(TimeEntry[format],ROW()-2),    INDEX(TimeEntry[format],ROW()-2)    +1)),2)</f>
        <v>0.10000000000000009</v>
      </c>
      <c r="B777" s="7"/>
      <c r="C777" s="8">
        <v>43481</v>
      </c>
      <c r="D777" s="8"/>
      <c r="E777" s="1" t="s">
        <v>476</v>
      </c>
      <c r="F777" s="8">
        <f>IF(TimeEntry[[#This Row],[Date]]=0,F776,C777+(7-Q777))</f>
        <v>43485</v>
      </c>
      <c r="G777" s="35" t="str">
        <f>INDEX(projects[Charge_Code],MATCH(TimeEntry[[#This Row],[Project_ID]],projects[Project_ID],0))</f>
        <v>077616-63 Infra BIM</v>
      </c>
      <c r="H777" s="1" t="str">
        <f t="shared" si="22"/>
        <v>Normal Time</v>
      </c>
      <c r="I777" s="1"/>
      <c r="J777" s="15">
        <v>7.5</v>
      </c>
      <c r="K777" s="15"/>
      <c r="L777" s="15"/>
      <c r="M777" s="15"/>
      <c r="N777" s="15"/>
      <c r="O777" s="15" t="str">
        <f>INDEX(projects[job number],MATCH(TimeEntry[[#This Row],[Project_ID]], projects[Project_ID],0))</f>
        <v>077616-63</v>
      </c>
      <c r="P777" s="15" t="str">
        <f>INDEX(projects[Project_Name],MATCH(TimeEntry[[#This Row],[Project_ID]], projects[Project_ID],0))</f>
        <v>Infra BIM</v>
      </c>
      <c r="Q777" s="6">
        <f>IF(TimeEntry[[#This Row],[Date]]=0,"",WEEKDAY(C777,2))</f>
        <v>3</v>
      </c>
      <c r="R777" s="9">
        <f>YEAR(TimeEntry[[#This Row],[WkEnd]])</f>
        <v>2019</v>
      </c>
      <c r="S777" s="9">
        <f>WEEKNUM(TimeEntry[[#This Row],[WkEnd]])</f>
        <v>4</v>
      </c>
      <c r="T777" s="9" t="str">
        <f>TimeEntry[[#This Row],[Year]]&amp;"-"&amp;TimeEntry[[#This Row],[WkNo]]</f>
        <v>2019-4</v>
      </c>
    </row>
    <row r="778" spans="1:20" x14ac:dyDescent="0.25">
      <c r="A778" s="6">
        <f>MOD(IF(ROW()=2,0.1,IF(INDEX(TimeEntry[WkEnd],ROW()-1)  =  INDEX(TimeEntry[WkEnd],ROW()-2),    INDEX(TimeEntry[format],ROW()-2),    INDEX(TimeEntry[format],ROW()-2)    +1)),2)</f>
        <v>0.10000000000000009</v>
      </c>
      <c r="B778" s="7"/>
      <c r="C778" s="8">
        <v>43482</v>
      </c>
      <c r="D778" s="8"/>
      <c r="E778" s="1" t="s">
        <v>476</v>
      </c>
      <c r="F778" s="8">
        <f>IF(TimeEntry[[#This Row],[Date]]=0,F777,C778+(7-Q778))</f>
        <v>43485</v>
      </c>
      <c r="G778" s="35" t="str">
        <f>INDEX(projects[Charge_Code],MATCH(TimeEntry[[#This Row],[Project_ID]],projects[Project_ID],0))</f>
        <v>077616-63 Infra BIM</v>
      </c>
      <c r="H778" s="1" t="str">
        <f t="shared" si="22"/>
        <v>Normal Time</v>
      </c>
      <c r="I778" s="1"/>
      <c r="J778" s="15">
        <v>7.5</v>
      </c>
      <c r="K778" s="15"/>
      <c r="L778" s="15"/>
      <c r="M778" s="15"/>
      <c r="N778" s="15"/>
      <c r="O778" s="15" t="str">
        <f>INDEX(projects[job number],MATCH(TimeEntry[[#This Row],[Project_ID]], projects[Project_ID],0))</f>
        <v>077616-63</v>
      </c>
      <c r="P778" s="15" t="str">
        <f>INDEX(projects[Project_Name],MATCH(TimeEntry[[#This Row],[Project_ID]], projects[Project_ID],0))</f>
        <v>Infra BIM</v>
      </c>
      <c r="Q778" s="6">
        <f>IF(TimeEntry[[#This Row],[Date]]=0,"",WEEKDAY(C778,2))</f>
        <v>4</v>
      </c>
      <c r="R778" s="9">
        <f>YEAR(TimeEntry[[#This Row],[WkEnd]])</f>
        <v>2019</v>
      </c>
      <c r="S778" s="9">
        <f>WEEKNUM(TimeEntry[[#This Row],[WkEnd]])</f>
        <v>4</v>
      </c>
      <c r="T778" s="9" t="str">
        <f>TimeEntry[[#This Row],[Year]]&amp;"-"&amp;TimeEntry[[#This Row],[WkNo]]</f>
        <v>2019-4</v>
      </c>
    </row>
    <row r="779" spans="1:20" x14ac:dyDescent="0.25">
      <c r="A779" s="6">
        <f>MOD(IF(ROW()=2,0.1,IF(INDEX(TimeEntry[WkEnd],ROW()-1)  =  INDEX(TimeEntry[WkEnd],ROW()-2),    INDEX(TimeEntry[format],ROW()-2),    INDEX(TimeEntry[format],ROW()-2)    +1)),2)</f>
        <v>0.10000000000000009</v>
      </c>
      <c r="B779" s="7"/>
      <c r="C779" s="8">
        <v>43483</v>
      </c>
      <c r="D779" s="8"/>
      <c r="E779" s="1" t="s">
        <v>476</v>
      </c>
      <c r="F779" s="8">
        <f>IF(TimeEntry[[#This Row],[Date]]=0,F778,C779+(7-Q779))</f>
        <v>43485</v>
      </c>
      <c r="G779" s="35" t="str">
        <f>INDEX(projects[Charge_Code],MATCH(TimeEntry[[#This Row],[Project_ID]],projects[Project_ID],0))</f>
        <v>077616-63 Infra BIM</v>
      </c>
      <c r="H779" s="1" t="str">
        <f t="shared" si="22"/>
        <v>Normal Time</v>
      </c>
      <c r="I779" s="1"/>
      <c r="J779" s="15">
        <v>7.5</v>
      </c>
      <c r="K779" s="15"/>
      <c r="L779" s="15"/>
      <c r="M779" s="15"/>
      <c r="N779" s="15"/>
      <c r="O779" s="15" t="str">
        <f>INDEX(projects[job number],MATCH(TimeEntry[[#This Row],[Project_ID]], projects[Project_ID],0))</f>
        <v>077616-63</v>
      </c>
      <c r="P779" s="15" t="str">
        <f>INDEX(projects[Project_Name],MATCH(TimeEntry[[#This Row],[Project_ID]], projects[Project_ID],0))</f>
        <v>Infra BIM</v>
      </c>
      <c r="Q779" s="6">
        <f>IF(TimeEntry[[#This Row],[Date]]=0,"",WEEKDAY(C779,2))</f>
        <v>5</v>
      </c>
      <c r="R779" s="9">
        <f>YEAR(TimeEntry[[#This Row],[WkEnd]])</f>
        <v>2019</v>
      </c>
      <c r="S779" s="9">
        <f>WEEKNUM(TimeEntry[[#This Row],[WkEnd]])</f>
        <v>4</v>
      </c>
      <c r="T779" s="9" t="str">
        <f>TimeEntry[[#This Row],[Year]]&amp;"-"&amp;TimeEntry[[#This Row],[WkNo]]</f>
        <v>2019-4</v>
      </c>
    </row>
    <row r="780" spans="1:20" x14ac:dyDescent="0.25">
      <c r="A780" s="6">
        <f>MOD(IF(ROW()=2,0.1,IF(INDEX(TimeEntry[WkEnd],ROW()-1)  =  INDEX(TimeEntry[WkEnd],ROW()-2),    INDEX(TimeEntry[format],ROW()-2),    INDEX(TimeEntry[format],ROW()-2)    +1)),2)</f>
        <v>1.1000000000000001</v>
      </c>
      <c r="B780" s="7"/>
      <c r="C780" s="8">
        <v>43472</v>
      </c>
      <c r="D780" s="8"/>
      <c r="E780" s="1" t="s">
        <v>455</v>
      </c>
      <c r="F780" s="8">
        <f>IF(TimeEntry[[#This Row],[Date]]=0,F779,C780+(7-Q780))</f>
        <v>43478</v>
      </c>
      <c r="G780" s="35" t="str">
        <f>INDEX(projects[Charge_Code],MATCH(TimeEntry[[#This Row],[Project_ID]],projects[Project_ID],0))</f>
        <v>255375-00 M25 West MSA</v>
      </c>
      <c r="H780" s="1" t="str">
        <f t="shared" si="22"/>
        <v>Normal Time</v>
      </c>
      <c r="I780" s="1"/>
      <c r="J780" s="15">
        <v>7.5</v>
      </c>
      <c r="K780" s="15"/>
      <c r="L780" s="15"/>
      <c r="M780" s="15"/>
      <c r="N780" s="15"/>
      <c r="O780" s="15" t="str">
        <f>INDEX(projects[job number],MATCH(TimeEntry[[#This Row],[Project_ID]], projects[Project_ID],0))</f>
        <v>255375-00</v>
      </c>
      <c r="P780" s="15" t="str">
        <f>INDEX(projects[Project_Name],MATCH(TimeEntry[[#This Row],[Project_ID]], projects[Project_ID],0))</f>
        <v>M25 West MSA</v>
      </c>
      <c r="Q780" s="6">
        <f>IF(TimeEntry[[#This Row],[Date]]=0,"",WEEKDAY(C780,2))</f>
        <v>1</v>
      </c>
      <c r="R780" s="9">
        <f>YEAR(TimeEntry[[#This Row],[WkEnd]])</f>
        <v>2019</v>
      </c>
      <c r="S780" s="9">
        <f>WEEKNUM(TimeEntry[[#This Row],[WkEnd]])</f>
        <v>3</v>
      </c>
      <c r="T780" s="9" t="str">
        <f>TimeEntry[[#This Row],[Year]]&amp;"-"&amp;TimeEntry[[#This Row],[WkNo]]</f>
        <v>2019-3</v>
      </c>
    </row>
    <row r="781" spans="1:20" x14ac:dyDescent="0.25">
      <c r="A781" s="6">
        <f>MOD(IF(ROW()=2,0.1,IF(INDEX(TimeEntry[WkEnd],ROW()-1)  =  INDEX(TimeEntry[WkEnd],ROW()-2),    INDEX(TimeEntry[format],ROW()-2),    INDEX(TimeEntry[format],ROW()-2)    +1)),2)</f>
        <v>1.1000000000000001</v>
      </c>
      <c r="B781" s="7"/>
      <c r="C781" s="8">
        <v>43473</v>
      </c>
      <c r="D781" s="8"/>
      <c r="E781" s="1" t="s">
        <v>478</v>
      </c>
      <c r="F781" s="8">
        <f>IF(TimeEntry[[#This Row],[Date]]=0,F780,C781+(7-Q781))</f>
        <v>43478</v>
      </c>
      <c r="G781" s="35" t="str">
        <f>INDEX(projects[Charge_Code],MATCH(TimeEntry[[#This Row],[Project_ID]],projects[Project_ID],0))</f>
        <v>260258-47 Galecopper</v>
      </c>
      <c r="H781" s="1" t="str">
        <f t="shared" si="22"/>
        <v>Normal Time</v>
      </c>
      <c r="I781" s="1"/>
      <c r="J781" s="15">
        <v>3</v>
      </c>
      <c r="K781" s="15"/>
      <c r="L781" s="15"/>
      <c r="M781" s="15"/>
      <c r="N781" s="15"/>
      <c r="O781" s="15" t="str">
        <f>INDEX(projects[job number],MATCH(TimeEntry[[#This Row],[Project_ID]], projects[Project_ID],0))</f>
        <v>260258-47</v>
      </c>
      <c r="P781" s="15" t="str">
        <f>INDEX(projects[Project_Name],MATCH(TimeEntry[[#This Row],[Project_ID]], projects[Project_ID],0))</f>
        <v>Galecopper</v>
      </c>
      <c r="Q781" s="6">
        <f>IF(TimeEntry[[#This Row],[Date]]=0,"",WEEKDAY(C781,2))</f>
        <v>2</v>
      </c>
      <c r="R781" s="9">
        <f>YEAR(TimeEntry[[#This Row],[WkEnd]])</f>
        <v>2019</v>
      </c>
      <c r="S781" s="9">
        <f>WEEKNUM(TimeEntry[[#This Row],[WkEnd]])</f>
        <v>3</v>
      </c>
      <c r="T781" s="9" t="str">
        <f>TimeEntry[[#This Row],[Year]]&amp;"-"&amp;TimeEntry[[#This Row],[WkNo]]</f>
        <v>2019-3</v>
      </c>
    </row>
    <row r="782" spans="1:20" x14ac:dyDescent="0.25">
      <c r="A782" s="6">
        <f>MOD(IF(ROW()=2,0.1,IF(INDEX(TimeEntry[WkEnd],ROW()-1)  =  INDEX(TimeEntry[WkEnd],ROW()-2),    INDEX(TimeEntry[format],ROW()-2),    INDEX(TimeEntry[format],ROW()-2)    +1)),2)</f>
        <v>1.1000000000000001</v>
      </c>
      <c r="B782" s="7"/>
      <c r="C782" s="8">
        <v>43473</v>
      </c>
      <c r="D782" s="8"/>
      <c r="E782" s="1" t="s">
        <v>472</v>
      </c>
      <c r="F782" s="8">
        <f>IF(TimeEntry[[#This Row],[Date]]=0,F781,C782+(7-Q782))</f>
        <v>43478</v>
      </c>
      <c r="G782" s="35" t="str">
        <f>INDEX(projects[Charge_Code],MATCH(TimeEntry[[#This Row],[Project_ID]],projects[Project_ID],0))</f>
        <v>000000-00 AMS Support</v>
      </c>
      <c r="H782" s="1" t="str">
        <f t="shared" si="22"/>
        <v>Normal Time</v>
      </c>
      <c r="I782" s="1"/>
      <c r="J782" s="15">
        <v>4.5</v>
      </c>
      <c r="K782" s="15"/>
      <c r="L782" s="15"/>
      <c r="M782" s="15"/>
      <c r="N782" s="15"/>
      <c r="O782" s="15" t="str">
        <f>INDEX(projects[job number],MATCH(TimeEntry[[#This Row],[Project_ID]], projects[Project_ID],0))</f>
        <v>000000-00</v>
      </c>
      <c r="P782" s="15" t="str">
        <f>INDEX(projects[Project_Name],MATCH(TimeEntry[[#This Row],[Project_ID]], projects[Project_ID],0))</f>
        <v>AMS Support</v>
      </c>
      <c r="Q782" s="6">
        <f>IF(TimeEntry[[#This Row],[Date]]=0,"",WEEKDAY(C782,2))</f>
        <v>2</v>
      </c>
      <c r="R782" s="9">
        <f>YEAR(TimeEntry[[#This Row],[WkEnd]])</f>
        <v>2019</v>
      </c>
      <c r="S782" s="9">
        <f>WEEKNUM(TimeEntry[[#This Row],[WkEnd]])</f>
        <v>3</v>
      </c>
      <c r="T782" s="9" t="str">
        <f>TimeEntry[[#This Row],[Year]]&amp;"-"&amp;TimeEntry[[#This Row],[WkNo]]</f>
        <v>2019-3</v>
      </c>
    </row>
    <row r="783" spans="1:20" x14ac:dyDescent="0.25">
      <c r="A783" s="6">
        <f>MOD(IF(ROW()=2,0.1,IF(INDEX(TimeEntry[WkEnd],ROW()-1)  =  INDEX(TimeEntry[WkEnd],ROW()-2),    INDEX(TimeEntry[format],ROW()-2),    INDEX(TimeEntry[format],ROW()-2)    +1)),2)</f>
        <v>1.1000000000000001</v>
      </c>
      <c r="B783" s="7"/>
      <c r="C783" s="8">
        <v>43474</v>
      </c>
      <c r="D783" s="8"/>
      <c r="E783" s="1" t="s">
        <v>472</v>
      </c>
      <c r="F783" s="8">
        <f>IF(TimeEntry[[#This Row],[Date]]=0,F782,C783+(7-Q783))</f>
        <v>43478</v>
      </c>
      <c r="G783" s="35" t="str">
        <f>INDEX(projects[Charge_Code],MATCH(TimeEntry[[#This Row],[Project_ID]],projects[Project_ID],0))</f>
        <v>000000-00 AMS Support</v>
      </c>
      <c r="H783" s="1" t="str">
        <f t="shared" si="22"/>
        <v>Normal Time</v>
      </c>
      <c r="I783" s="1"/>
      <c r="J783" s="15">
        <v>7.5</v>
      </c>
      <c r="K783" s="15"/>
      <c r="L783" s="15"/>
      <c r="M783" s="15"/>
      <c r="N783" s="15"/>
      <c r="O783" s="15" t="str">
        <f>INDEX(projects[job number],MATCH(TimeEntry[[#This Row],[Project_ID]], projects[Project_ID],0))</f>
        <v>000000-00</v>
      </c>
      <c r="P783" s="15" t="str">
        <f>INDEX(projects[Project_Name],MATCH(TimeEntry[[#This Row],[Project_ID]], projects[Project_ID],0))</f>
        <v>AMS Support</v>
      </c>
      <c r="Q783" s="6">
        <f>IF(TimeEntry[[#This Row],[Date]]=0,"",WEEKDAY(C783,2))</f>
        <v>3</v>
      </c>
      <c r="R783" s="9">
        <f>YEAR(TimeEntry[[#This Row],[WkEnd]])</f>
        <v>2019</v>
      </c>
      <c r="S783" s="9">
        <f>WEEKNUM(TimeEntry[[#This Row],[WkEnd]])</f>
        <v>3</v>
      </c>
      <c r="T783" s="9" t="str">
        <f>TimeEntry[[#This Row],[Year]]&amp;"-"&amp;TimeEntry[[#This Row],[WkNo]]</f>
        <v>2019-3</v>
      </c>
    </row>
    <row r="784" spans="1:20" x14ac:dyDescent="0.25">
      <c r="A784" s="6">
        <f>MOD(IF(ROW()=2,0.1,IF(INDEX(TimeEntry[WkEnd],ROW()-1)  =  INDEX(TimeEntry[WkEnd],ROW()-2),    INDEX(TimeEntry[format],ROW()-2),    INDEX(TimeEntry[format],ROW()-2)    +1)),2)</f>
        <v>1.1000000000000001</v>
      </c>
      <c r="B784" s="7"/>
      <c r="C784" s="8">
        <v>43475</v>
      </c>
      <c r="D784" s="8"/>
      <c r="E784" s="1" t="s">
        <v>447</v>
      </c>
      <c r="F784" s="8">
        <f>IF(TimeEntry[[#This Row],[Date]]=0,F783,C784+(7-Q784))</f>
        <v>43478</v>
      </c>
      <c r="G784" s="35" t="str">
        <f>INDEX(projects[Charge_Code],MATCH(TimeEntry[[#This Row],[Project_ID]],projects[Project_ID],0))</f>
        <v>255670-17 LOWER KINGS ROAD ASSESSMENT (01-382)</v>
      </c>
      <c r="H784" s="1" t="str">
        <f t="shared" si="22"/>
        <v>Normal Time</v>
      </c>
      <c r="I784" s="1"/>
      <c r="J784" s="15">
        <v>2</v>
      </c>
      <c r="K784" s="15"/>
      <c r="L784" s="15"/>
      <c r="M784" s="15"/>
      <c r="N784" s="15"/>
      <c r="O784" s="15" t="str">
        <f>INDEX(projects[job number],MATCH(TimeEntry[[#This Row],[Project_ID]], projects[Project_ID],0))</f>
        <v>255670-17</v>
      </c>
      <c r="P784" s="15" t="str">
        <f>INDEX(projects[Project_Name],MATCH(TimeEntry[[#This Row],[Project_ID]], projects[Project_ID],0))</f>
        <v>LOWER KINGS ROAD ASSESSMENT</v>
      </c>
      <c r="Q784" s="6">
        <f>IF(TimeEntry[[#This Row],[Date]]=0,"",WEEKDAY(C784,2))</f>
        <v>4</v>
      </c>
      <c r="R784" s="9">
        <f>YEAR(TimeEntry[[#This Row],[WkEnd]])</f>
        <v>2019</v>
      </c>
      <c r="S784" s="9">
        <f>WEEKNUM(TimeEntry[[#This Row],[WkEnd]])</f>
        <v>3</v>
      </c>
      <c r="T784" s="9" t="str">
        <f>TimeEntry[[#This Row],[Year]]&amp;"-"&amp;TimeEntry[[#This Row],[WkNo]]</f>
        <v>2019-3</v>
      </c>
    </row>
    <row r="785" spans="1:20" x14ac:dyDescent="0.25">
      <c r="A785" s="6">
        <f>MOD(IF(ROW()=2,0.1,IF(INDEX(TimeEntry[WkEnd],ROW()-1)  =  INDEX(TimeEntry[WkEnd],ROW()-2),    INDEX(TimeEntry[format],ROW()-2),    INDEX(TimeEntry[format],ROW()-2)    +1)),2)</f>
        <v>1.1000000000000001</v>
      </c>
      <c r="B785" s="7"/>
      <c r="C785" s="8">
        <v>43475</v>
      </c>
      <c r="D785" s="8"/>
      <c r="E785" s="1" t="s">
        <v>450</v>
      </c>
      <c r="F785" s="8">
        <f>IF(TimeEntry[[#This Row],[Date]]=0,F784,C785+(7-Q785))</f>
        <v>43478</v>
      </c>
      <c r="G785" s="35" t="str">
        <f>INDEX(projects[Charge_Code],MATCH(TimeEntry[[#This Row],[Project_ID]],projects[Project_ID],0))</f>
        <v>254304-96 HCC - Paul Cully (01-382)</v>
      </c>
      <c r="H785" s="1" t="str">
        <f t="shared" si="22"/>
        <v>Normal Time</v>
      </c>
      <c r="I785" s="1"/>
      <c r="J785" s="15">
        <v>5.5</v>
      </c>
      <c r="K785" s="15"/>
      <c r="L785" s="15"/>
      <c r="M785" s="15"/>
      <c r="N785" s="15"/>
      <c r="O785" s="15" t="str">
        <f>INDEX(projects[job number],MATCH(TimeEntry[[#This Row],[Project_ID]], projects[Project_ID],0))</f>
        <v>254304-96</v>
      </c>
      <c r="P785" s="15" t="str">
        <f>INDEX(projects[Project_Name],MATCH(TimeEntry[[#This Row],[Project_ID]], projects[Project_ID],0))</f>
        <v>HCC - Paul Cully</v>
      </c>
      <c r="Q785" s="6">
        <f>IF(TimeEntry[[#This Row],[Date]]=0,"",WEEKDAY(C785,2))</f>
        <v>4</v>
      </c>
      <c r="R785" s="9">
        <f>YEAR(TimeEntry[[#This Row],[WkEnd]])</f>
        <v>2019</v>
      </c>
      <c r="S785" s="9">
        <f>WEEKNUM(TimeEntry[[#This Row],[WkEnd]])</f>
        <v>3</v>
      </c>
      <c r="T785" s="9" t="str">
        <f>TimeEntry[[#This Row],[Year]]&amp;"-"&amp;TimeEntry[[#This Row],[WkNo]]</f>
        <v>2019-3</v>
      </c>
    </row>
    <row r="786" spans="1:20" x14ac:dyDescent="0.25">
      <c r="A786" s="6">
        <f>MOD(IF(ROW()=2,0.1,IF(INDEX(TimeEntry[WkEnd],ROW()-1)  =  INDEX(TimeEntry[WkEnd],ROW()-2),    INDEX(TimeEntry[format],ROW()-2),    INDEX(TimeEntry[format],ROW()-2)    +1)),2)</f>
        <v>1.1000000000000001</v>
      </c>
      <c r="B786" s="7"/>
      <c r="C786" s="8">
        <v>43476</v>
      </c>
      <c r="D786" s="8"/>
      <c r="E786" s="1" t="s">
        <v>448</v>
      </c>
      <c r="F786" s="8">
        <f>IF(TimeEntry[[#This Row],[Date]]=0,F785,C786+(7-Q786))</f>
        <v>43478</v>
      </c>
      <c r="G786" s="35" t="str">
        <f>INDEX(projects[Charge_Code],MATCH(TimeEntry[[#This Row],[Project_ID]],projects[Project_ID],0))</f>
        <v>246233-56 HCC - Weston Hills Tunnel (01-382)</v>
      </c>
      <c r="H786" s="1" t="str">
        <f t="shared" si="22"/>
        <v>Normal Time</v>
      </c>
      <c r="I786" s="1"/>
      <c r="J786" s="15">
        <v>2.5</v>
      </c>
      <c r="K786" s="15"/>
      <c r="L786" s="15"/>
      <c r="M786" s="15"/>
      <c r="N786" s="15"/>
      <c r="O786" s="15" t="str">
        <f>INDEX(projects[job number],MATCH(TimeEntry[[#This Row],[Project_ID]], projects[Project_ID],0))</f>
        <v>246233-56</v>
      </c>
      <c r="P786" s="15" t="str">
        <f>INDEX(projects[Project_Name],MATCH(TimeEntry[[#This Row],[Project_ID]], projects[Project_ID],0))</f>
        <v>HCC - Weston Hills Tunnel</v>
      </c>
      <c r="Q786" s="6">
        <f>IF(TimeEntry[[#This Row],[Date]]=0,"",WEEKDAY(C786,2))</f>
        <v>5</v>
      </c>
      <c r="R786" s="9">
        <f>YEAR(TimeEntry[[#This Row],[WkEnd]])</f>
        <v>2019</v>
      </c>
      <c r="S786" s="9">
        <f>WEEKNUM(TimeEntry[[#This Row],[WkEnd]])</f>
        <v>3</v>
      </c>
      <c r="T786" s="9" t="str">
        <f>TimeEntry[[#This Row],[Year]]&amp;"-"&amp;TimeEntry[[#This Row],[WkNo]]</f>
        <v>2019-3</v>
      </c>
    </row>
    <row r="787" spans="1:20" x14ac:dyDescent="0.25">
      <c r="A787" s="6">
        <f>MOD(IF(ROW()=2,0.1,IF(INDEX(TimeEntry[WkEnd],ROW()-1)  =  INDEX(TimeEntry[WkEnd],ROW()-2),    INDEX(TimeEntry[format],ROW()-2),    INDEX(TimeEntry[format],ROW()-2)    +1)),2)</f>
        <v>1.1000000000000001</v>
      </c>
      <c r="B787" s="7"/>
      <c r="C787" s="8">
        <v>43476</v>
      </c>
      <c r="D787" s="8"/>
      <c r="E787" s="1" t="s">
        <v>473</v>
      </c>
      <c r="F787" s="8">
        <f>IF(TimeEntry[[#This Row],[Date]]=0,F786,C787+(7-Q787))</f>
        <v>43478</v>
      </c>
      <c r="G787" s="35" t="str">
        <f>INDEX(projects[Charge_Code],MATCH(TimeEntry[[#This Row],[Project_ID]],projects[Project_ID],0))</f>
        <v>259933-00 Waalbrug</v>
      </c>
      <c r="H787" s="1" t="str">
        <f t="shared" si="22"/>
        <v>Normal Time</v>
      </c>
      <c r="I787" s="1"/>
      <c r="J787" s="15">
        <v>2.5</v>
      </c>
      <c r="K787" s="15"/>
      <c r="L787" s="15"/>
      <c r="M787" s="15"/>
      <c r="N787" s="15"/>
      <c r="O787" s="15" t="str">
        <f>INDEX(projects[job number],MATCH(TimeEntry[[#This Row],[Project_ID]], projects[Project_ID],0))</f>
        <v>259933-00</v>
      </c>
      <c r="P787" s="15" t="str">
        <f>INDEX(projects[Project_Name],MATCH(TimeEntry[[#This Row],[Project_ID]], projects[Project_ID],0))</f>
        <v>Waalbrug</v>
      </c>
      <c r="Q787" s="6">
        <f>IF(TimeEntry[[#This Row],[Date]]=0,"",WEEKDAY(C787,2))</f>
        <v>5</v>
      </c>
      <c r="R787" s="9">
        <f>YEAR(TimeEntry[[#This Row],[WkEnd]])</f>
        <v>2019</v>
      </c>
      <c r="S787" s="9">
        <f>WEEKNUM(TimeEntry[[#This Row],[WkEnd]])</f>
        <v>3</v>
      </c>
      <c r="T787" s="9" t="str">
        <f>TimeEntry[[#This Row],[Year]]&amp;"-"&amp;TimeEntry[[#This Row],[WkNo]]</f>
        <v>2019-3</v>
      </c>
    </row>
    <row r="788" spans="1:20" x14ac:dyDescent="0.25">
      <c r="A788" s="6">
        <f>MOD(IF(ROW()=2,0.1,IF(INDEX(TimeEntry[WkEnd],ROW()-1)  =  INDEX(TimeEntry[WkEnd],ROW()-2),    INDEX(TimeEntry[format],ROW()-2),    INDEX(TimeEntry[format],ROW()-2)    +1)),2)</f>
        <v>1.1000000000000001</v>
      </c>
      <c r="B788" s="7"/>
      <c r="C788" s="8">
        <v>43476</v>
      </c>
      <c r="D788" s="8"/>
      <c r="E788" s="1" t="s">
        <v>450</v>
      </c>
      <c r="F788" s="8">
        <f>IF(TimeEntry[[#This Row],[Date]]=0,F787,C788+(7-Q788))</f>
        <v>43478</v>
      </c>
      <c r="G788" s="35" t="str">
        <f>INDEX(projects[Charge_Code],MATCH(TimeEntry[[#This Row],[Project_ID]],projects[Project_ID],0))</f>
        <v>254304-96 HCC - Paul Cully (01-382)</v>
      </c>
      <c r="H788" s="1" t="str">
        <f t="shared" si="22"/>
        <v>Normal Time</v>
      </c>
      <c r="I788" s="1"/>
      <c r="J788" s="15">
        <v>2.5</v>
      </c>
      <c r="K788" s="15"/>
      <c r="L788" s="15"/>
      <c r="M788" s="15"/>
      <c r="N788" s="15"/>
      <c r="O788" s="15" t="str">
        <f>INDEX(projects[job number],MATCH(TimeEntry[[#This Row],[Project_ID]], projects[Project_ID],0))</f>
        <v>254304-96</v>
      </c>
      <c r="P788" s="15" t="str">
        <f>INDEX(projects[Project_Name],MATCH(TimeEntry[[#This Row],[Project_ID]], projects[Project_ID],0))</f>
        <v>HCC - Paul Cully</v>
      </c>
      <c r="Q788" s="6">
        <f>IF(TimeEntry[[#This Row],[Date]]=0,"",WEEKDAY(C788,2))</f>
        <v>5</v>
      </c>
      <c r="R788" s="9">
        <f>YEAR(TimeEntry[[#This Row],[WkEnd]])</f>
        <v>2019</v>
      </c>
      <c r="S788" s="9">
        <f>WEEKNUM(TimeEntry[[#This Row],[WkEnd]])</f>
        <v>3</v>
      </c>
      <c r="T788" s="9" t="str">
        <f>TimeEntry[[#This Row],[Year]]&amp;"-"&amp;TimeEntry[[#This Row],[WkNo]]</f>
        <v>2019-3</v>
      </c>
    </row>
    <row r="789" spans="1:20" x14ac:dyDescent="0.25">
      <c r="A789" s="6">
        <f>MOD(IF(ROW()=2,0.1,IF(INDEX(TimeEntry[WkEnd],ROW()-1)  =  INDEX(TimeEntry[WkEnd],ROW()-2),    INDEX(TimeEntry[format],ROW()-2),    INDEX(TimeEntry[format],ROW()-2)    +1)),2)</f>
        <v>0.10000000000000009</v>
      </c>
      <c r="B789" s="7"/>
      <c r="C789" s="8">
        <v>43465</v>
      </c>
      <c r="D789" s="8"/>
      <c r="E789" s="1" t="s">
        <v>444</v>
      </c>
      <c r="F789" s="8">
        <f>IF(TimeEntry[[#This Row],[Date]]=0,F788,C789+(7-Q789))</f>
        <v>43471</v>
      </c>
      <c r="G789" s="35" t="str">
        <f>INDEX(projects[Charge_Code],MATCH(TimeEntry[[#This Row],[Project_ID]],projects[Project_ID],0))</f>
        <v>LEAVE</v>
      </c>
      <c r="H789" s="1" t="str">
        <f t="shared" si="22"/>
        <v>Normal Time</v>
      </c>
      <c r="I789" s="1"/>
      <c r="J789" s="15">
        <v>7.5</v>
      </c>
      <c r="K789" s="15"/>
      <c r="L789" s="15"/>
      <c r="M789" s="15"/>
      <c r="N789" s="15"/>
      <c r="O789" s="15" t="str">
        <f>INDEX(projects[job number],MATCH(TimeEntry[[#This Row],[Project_ID]], projects[Project_ID],0))</f>
        <v>LEAVE</v>
      </c>
      <c r="P789" s="15">
        <f>INDEX(projects[Project_Name],MATCH(TimeEntry[[#This Row],[Project_ID]], projects[Project_ID],0))</f>
        <v>0</v>
      </c>
      <c r="Q789" s="6">
        <f>IF(TimeEntry[[#This Row],[Date]]=0,"",WEEKDAY(C789,2))</f>
        <v>1</v>
      </c>
      <c r="R789" s="9">
        <f>YEAR(TimeEntry[[#This Row],[WkEnd]])</f>
        <v>2019</v>
      </c>
      <c r="S789" s="9">
        <f>WEEKNUM(TimeEntry[[#This Row],[WkEnd]])</f>
        <v>2</v>
      </c>
      <c r="T789" s="9" t="str">
        <f>TimeEntry[[#This Row],[Year]]&amp;"-"&amp;TimeEntry[[#This Row],[WkNo]]</f>
        <v>2019-2</v>
      </c>
    </row>
    <row r="790" spans="1:20" x14ac:dyDescent="0.25">
      <c r="A790" s="6">
        <f>MOD(IF(ROW()=2,0.1,IF(INDEX(TimeEntry[WkEnd],ROW()-1)  =  INDEX(TimeEntry[WkEnd],ROW()-2),    INDEX(TimeEntry[format],ROW()-2),    INDEX(TimeEntry[format],ROW()-2)    +1)),2)</f>
        <v>0.10000000000000009</v>
      </c>
      <c r="B790" s="7"/>
      <c r="C790" s="8">
        <v>43466</v>
      </c>
      <c r="D790" s="8"/>
      <c r="E790" s="1" t="s">
        <v>449</v>
      </c>
      <c r="F790" s="8">
        <f>IF(TimeEntry[[#This Row],[Date]]=0,F789,C790+(7-Q790))</f>
        <v>43471</v>
      </c>
      <c r="G790" s="35" t="str">
        <f>INDEX(projects[Charge_Code],MATCH(TimeEntry[[#This Row],[Project_ID]],projects[Project_ID],0))</f>
        <v>BANK HOLIDAY Bank Holiday</v>
      </c>
      <c r="H790" s="1" t="str">
        <f t="shared" si="22"/>
        <v>Normal Time</v>
      </c>
      <c r="I790" s="1"/>
      <c r="J790" s="15">
        <v>7.5</v>
      </c>
      <c r="K790" s="15"/>
      <c r="L790" s="15"/>
      <c r="M790" s="15"/>
      <c r="N790" s="15"/>
      <c r="O790" s="15" t="str">
        <f>INDEX(projects[job number],MATCH(TimeEntry[[#This Row],[Project_ID]], projects[Project_ID],0))</f>
        <v>BANK HOLIDAY</v>
      </c>
      <c r="P790" s="15" t="str">
        <f>INDEX(projects[Project_Name],MATCH(TimeEntry[[#This Row],[Project_ID]], projects[Project_ID],0))</f>
        <v>Bank Holiday</v>
      </c>
      <c r="Q790" s="6">
        <f>IF(TimeEntry[[#This Row],[Date]]=0,"",WEEKDAY(C790,2))</f>
        <v>2</v>
      </c>
      <c r="R790" s="9">
        <f>YEAR(TimeEntry[[#This Row],[WkEnd]])</f>
        <v>2019</v>
      </c>
      <c r="S790" s="9">
        <f>WEEKNUM(TimeEntry[[#This Row],[WkEnd]])</f>
        <v>2</v>
      </c>
      <c r="T790" s="9" t="str">
        <f>TimeEntry[[#This Row],[Year]]&amp;"-"&amp;TimeEntry[[#This Row],[WkNo]]</f>
        <v>2019-2</v>
      </c>
    </row>
    <row r="791" spans="1:20" x14ac:dyDescent="0.25">
      <c r="A791" s="6">
        <f>MOD(IF(ROW()=2,0.1,IF(INDEX(TimeEntry[WkEnd],ROW()-1)  =  INDEX(TimeEntry[WkEnd],ROW()-2),    INDEX(TimeEntry[format],ROW()-2),    INDEX(TimeEntry[format],ROW()-2)    +1)),2)</f>
        <v>0.10000000000000009</v>
      </c>
      <c r="B791" s="7"/>
      <c r="C791" s="8">
        <v>43467</v>
      </c>
      <c r="D791" s="8"/>
      <c r="E791" s="1" t="s">
        <v>461</v>
      </c>
      <c r="F791" s="8">
        <f>IF(TimeEntry[[#This Row],[Date]]=0,F790,C791+(7-Q791))</f>
        <v>43471</v>
      </c>
      <c r="G791" s="35" t="str">
        <f>INDEX(projects[Charge_Code],MATCH(TimeEntry[[#This Row],[Project_ID]],projects[Project_ID],0))</f>
        <v>215526-27 CP - Assessment (01-124)</v>
      </c>
      <c r="H791" s="1" t="str">
        <f t="shared" si="22"/>
        <v>Normal Time</v>
      </c>
      <c r="I791" s="1"/>
      <c r="J791" s="15">
        <v>7.5</v>
      </c>
      <c r="K791" s="15"/>
      <c r="L791" s="15"/>
      <c r="M791" s="15"/>
      <c r="N791" s="15"/>
      <c r="O791" s="15" t="str">
        <f>INDEX(projects[job number],MATCH(TimeEntry[[#This Row],[Project_ID]], projects[Project_ID],0))</f>
        <v>215526-27</v>
      </c>
      <c r="P791" s="15" t="str">
        <f>INDEX(projects[Project_Name],MATCH(TimeEntry[[#This Row],[Project_ID]], projects[Project_ID],0))</f>
        <v>CP - Assessment</v>
      </c>
      <c r="Q791" s="6">
        <f>IF(TimeEntry[[#This Row],[Date]]=0,"",WEEKDAY(C791,2))</f>
        <v>3</v>
      </c>
      <c r="R791" s="9">
        <f>YEAR(TimeEntry[[#This Row],[WkEnd]])</f>
        <v>2019</v>
      </c>
      <c r="S791" s="9">
        <f>WEEKNUM(TimeEntry[[#This Row],[WkEnd]])</f>
        <v>2</v>
      </c>
      <c r="T791" s="9" t="str">
        <f>TimeEntry[[#This Row],[Year]]&amp;"-"&amp;TimeEntry[[#This Row],[WkNo]]</f>
        <v>2019-2</v>
      </c>
    </row>
    <row r="792" spans="1:20" x14ac:dyDescent="0.25">
      <c r="A792" s="6">
        <f>MOD(IF(ROW()=2,0.1,IF(INDEX(TimeEntry[WkEnd],ROW()-1)  =  INDEX(TimeEntry[WkEnd],ROW()-2),    INDEX(TimeEntry[format],ROW()-2),    INDEX(TimeEntry[format],ROW()-2)    +1)),2)</f>
        <v>0.10000000000000009</v>
      </c>
      <c r="B792" s="7"/>
      <c r="C792" s="8">
        <v>43468</v>
      </c>
      <c r="D792" s="8"/>
      <c r="E792" s="1" t="s">
        <v>478</v>
      </c>
      <c r="F792" s="8">
        <f>IF(TimeEntry[[#This Row],[Date]]=0,F791,C792+(7-Q792))</f>
        <v>43471</v>
      </c>
      <c r="G792" s="35" t="str">
        <f>INDEX(projects[Charge_Code],MATCH(TimeEntry[[#This Row],[Project_ID]],projects[Project_ID],0))</f>
        <v>260258-47 Galecopper</v>
      </c>
      <c r="H792" s="1" t="str">
        <f t="shared" si="22"/>
        <v>Normal Time</v>
      </c>
      <c r="I792" s="1"/>
      <c r="J792" s="15">
        <v>7.5</v>
      </c>
      <c r="K792" s="15"/>
      <c r="L792" s="15"/>
      <c r="M792" s="15"/>
      <c r="N792" s="15"/>
      <c r="O792" s="15" t="str">
        <f>INDEX(projects[job number],MATCH(TimeEntry[[#This Row],[Project_ID]], projects[Project_ID],0))</f>
        <v>260258-47</v>
      </c>
      <c r="P792" s="15" t="str">
        <f>INDEX(projects[Project_Name],MATCH(TimeEntry[[#This Row],[Project_ID]], projects[Project_ID],0))</f>
        <v>Galecopper</v>
      </c>
      <c r="Q792" s="6">
        <f>IF(TimeEntry[[#This Row],[Date]]=0,"",WEEKDAY(C792,2))</f>
        <v>4</v>
      </c>
      <c r="R792" s="9">
        <f>YEAR(TimeEntry[[#This Row],[WkEnd]])</f>
        <v>2019</v>
      </c>
      <c r="S792" s="9">
        <f>WEEKNUM(TimeEntry[[#This Row],[WkEnd]])</f>
        <v>2</v>
      </c>
      <c r="T792" s="9" t="str">
        <f>TimeEntry[[#This Row],[Year]]&amp;"-"&amp;TimeEntry[[#This Row],[WkNo]]</f>
        <v>2019-2</v>
      </c>
    </row>
    <row r="793" spans="1:20" x14ac:dyDescent="0.25">
      <c r="A793" s="6">
        <f>MOD(IF(ROW()=2,0.1,IF(INDEX(TimeEntry[WkEnd],ROW()-1)  =  INDEX(TimeEntry[WkEnd],ROW()-2),    INDEX(TimeEntry[format],ROW()-2),    INDEX(TimeEntry[format],ROW()-2)    +1)),2)</f>
        <v>0.10000000000000009</v>
      </c>
      <c r="B793" s="7"/>
      <c r="C793" s="8">
        <v>43469</v>
      </c>
      <c r="D793" s="8"/>
      <c r="E793" s="1" t="s">
        <v>478</v>
      </c>
      <c r="F793" s="8">
        <f>IF(TimeEntry[[#This Row],[Date]]=0,F792,C793+(7-Q793))</f>
        <v>43471</v>
      </c>
      <c r="G793" s="35" t="str">
        <f>INDEX(projects[Charge_Code],MATCH(TimeEntry[[#This Row],[Project_ID]],projects[Project_ID],0))</f>
        <v>260258-47 Galecopper</v>
      </c>
      <c r="H793" s="1" t="str">
        <f t="shared" si="22"/>
        <v>Normal Time</v>
      </c>
      <c r="I793" s="1"/>
      <c r="J793" s="15">
        <v>2.5</v>
      </c>
      <c r="K793" s="15"/>
      <c r="L793" s="15"/>
      <c r="M793" s="15"/>
      <c r="N793" s="15"/>
      <c r="O793" s="15" t="str">
        <f>INDEX(projects[job number],MATCH(TimeEntry[[#This Row],[Project_ID]], projects[Project_ID],0))</f>
        <v>260258-47</v>
      </c>
      <c r="P793" s="15" t="str">
        <f>INDEX(projects[Project_Name],MATCH(TimeEntry[[#This Row],[Project_ID]], projects[Project_ID],0))</f>
        <v>Galecopper</v>
      </c>
      <c r="Q793" s="6">
        <f>IF(TimeEntry[[#This Row],[Date]]=0,"",WEEKDAY(C793,2))</f>
        <v>5</v>
      </c>
      <c r="R793" s="9">
        <f>YEAR(TimeEntry[[#This Row],[WkEnd]])</f>
        <v>2019</v>
      </c>
      <c r="S793" s="9">
        <f>WEEKNUM(TimeEntry[[#This Row],[WkEnd]])</f>
        <v>2</v>
      </c>
      <c r="T793" s="9" t="str">
        <f>TimeEntry[[#This Row],[Year]]&amp;"-"&amp;TimeEntry[[#This Row],[WkNo]]</f>
        <v>2019-2</v>
      </c>
    </row>
    <row r="794" spans="1:20" x14ac:dyDescent="0.25">
      <c r="A794" s="6">
        <f>MOD(IF(ROW()=2,0.1,IF(INDEX(TimeEntry[WkEnd],ROW()-1)  =  INDEX(TimeEntry[WkEnd],ROW()-2),    INDEX(TimeEntry[format],ROW()-2),    INDEX(TimeEntry[format],ROW()-2)    +1)),2)</f>
        <v>0.10000000000000009</v>
      </c>
      <c r="B794" s="7"/>
      <c r="C794" s="8">
        <v>43469</v>
      </c>
      <c r="D794" s="8"/>
      <c r="E794" s="1" t="s">
        <v>455</v>
      </c>
      <c r="F794" s="8">
        <f>IF(TimeEntry[[#This Row],[Date]]=0,F793,C794+(7-Q794))</f>
        <v>43471</v>
      </c>
      <c r="G794" s="35" t="str">
        <f>INDEX(projects[Charge_Code],MATCH(TimeEntry[[#This Row],[Project_ID]],projects[Project_ID],0))</f>
        <v>255375-00 M25 West MSA</v>
      </c>
      <c r="H794" s="1" t="str">
        <f t="shared" si="22"/>
        <v>Normal Time</v>
      </c>
      <c r="I794" s="1"/>
      <c r="J794" s="15">
        <v>3</v>
      </c>
      <c r="K794" s="15"/>
      <c r="L794" s="15"/>
      <c r="M794" s="15"/>
      <c r="N794" s="15"/>
      <c r="O794" s="15" t="str">
        <f>INDEX(projects[job number],MATCH(TimeEntry[[#This Row],[Project_ID]], projects[Project_ID],0))</f>
        <v>255375-00</v>
      </c>
      <c r="P794" s="15" t="str">
        <f>INDEX(projects[Project_Name],MATCH(TimeEntry[[#This Row],[Project_ID]], projects[Project_ID],0))</f>
        <v>M25 West MSA</v>
      </c>
      <c r="Q794" s="6">
        <f>IF(TimeEntry[[#This Row],[Date]]=0,"",WEEKDAY(C794,2))</f>
        <v>5</v>
      </c>
      <c r="R794" s="9">
        <f>YEAR(TimeEntry[[#This Row],[WkEnd]])</f>
        <v>2019</v>
      </c>
      <c r="S794" s="9">
        <f>WEEKNUM(TimeEntry[[#This Row],[WkEnd]])</f>
        <v>2</v>
      </c>
      <c r="T794" s="9" t="str">
        <f>TimeEntry[[#This Row],[Year]]&amp;"-"&amp;TimeEntry[[#This Row],[WkNo]]</f>
        <v>2019-2</v>
      </c>
    </row>
    <row r="795" spans="1:20" x14ac:dyDescent="0.25">
      <c r="A795" s="6">
        <f>MOD(IF(ROW()=2,0.1,IF(INDEX(TimeEntry[WkEnd],ROW()-1)  =  INDEX(TimeEntry[WkEnd],ROW()-2),    INDEX(TimeEntry[format],ROW()-2),    INDEX(TimeEntry[format],ROW()-2)    +1)),2)</f>
        <v>0.10000000000000009</v>
      </c>
      <c r="B795" s="7"/>
      <c r="C795" s="8">
        <v>43469</v>
      </c>
      <c r="D795" s="8"/>
      <c r="E795" s="1" t="s">
        <v>448</v>
      </c>
      <c r="F795" s="8">
        <f>IF(TimeEntry[[#This Row],[Date]]=0,F794,C795+(7-Q795))</f>
        <v>43471</v>
      </c>
      <c r="G795" s="35" t="str">
        <f>INDEX(projects[Charge_Code],MATCH(TimeEntry[[#This Row],[Project_ID]],projects[Project_ID],0))</f>
        <v>246233-56 HCC - Weston Hills Tunnel (01-382)</v>
      </c>
      <c r="H795" s="1" t="str">
        <f t="shared" si="22"/>
        <v>Normal Time</v>
      </c>
      <c r="I795" s="1"/>
      <c r="J795" s="15">
        <v>2</v>
      </c>
      <c r="K795" s="15"/>
      <c r="L795" s="15"/>
      <c r="M795" s="15"/>
      <c r="N795" s="15"/>
      <c r="O795" s="15" t="str">
        <f>INDEX(projects[job number],MATCH(TimeEntry[[#This Row],[Project_ID]], projects[Project_ID],0))</f>
        <v>246233-56</v>
      </c>
      <c r="P795" s="15" t="str">
        <f>INDEX(projects[Project_Name],MATCH(TimeEntry[[#This Row],[Project_ID]], projects[Project_ID],0))</f>
        <v>HCC - Weston Hills Tunnel</v>
      </c>
      <c r="Q795" s="6">
        <f>IF(TimeEntry[[#This Row],[Date]]=0,"",WEEKDAY(C795,2))</f>
        <v>5</v>
      </c>
      <c r="R795" s="9">
        <f>YEAR(TimeEntry[[#This Row],[WkEnd]])</f>
        <v>2019</v>
      </c>
      <c r="S795" s="9">
        <f>WEEKNUM(TimeEntry[[#This Row],[WkEnd]])</f>
        <v>2</v>
      </c>
      <c r="T795" s="9" t="str">
        <f>TimeEntry[[#This Row],[Year]]&amp;"-"&amp;TimeEntry[[#This Row],[WkNo]]</f>
        <v>2019-2</v>
      </c>
    </row>
    <row r="796" spans="1:20" x14ac:dyDescent="0.25">
      <c r="A796" s="6">
        <f>MOD(IF(ROW()=2,0.1,IF(INDEX(TimeEntry[WkEnd],ROW()-1)  =  INDEX(TimeEntry[WkEnd],ROW()-2),    INDEX(TimeEntry[format],ROW()-2),    INDEX(TimeEntry[format],ROW()-2)    +1)),2)</f>
        <v>1.1000000000000001</v>
      </c>
      <c r="B796" s="7"/>
      <c r="C796" s="8">
        <v>43458</v>
      </c>
      <c r="D796" s="8"/>
      <c r="E796" s="1" t="s">
        <v>444</v>
      </c>
      <c r="F796" s="8">
        <f>IF(TimeEntry[[#This Row],[Date]]=0,F795,C796+(7-Q796))</f>
        <v>43464</v>
      </c>
      <c r="G796" s="35" t="str">
        <f>INDEX(projects[Charge_Code],MATCH(TimeEntry[[#This Row],[Project_ID]],projects[Project_ID],0))</f>
        <v>LEAVE</v>
      </c>
      <c r="H796" s="1" t="str">
        <f t="shared" si="22"/>
        <v>Normal Time</v>
      </c>
      <c r="I796" s="1"/>
      <c r="J796" s="15">
        <v>7.5</v>
      </c>
      <c r="K796" s="15"/>
      <c r="L796" s="15"/>
      <c r="M796" s="15"/>
      <c r="N796" s="15"/>
      <c r="O796" s="15" t="str">
        <f>INDEX(projects[job number],MATCH(TimeEntry[[#This Row],[Project_ID]], projects[Project_ID],0))</f>
        <v>LEAVE</v>
      </c>
      <c r="P796" s="15">
        <f>INDEX(projects[Project_Name],MATCH(TimeEntry[[#This Row],[Project_ID]], projects[Project_ID],0))</f>
        <v>0</v>
      </c>
      <c r="Q796" s="6">
        <f>IF(TimeEntry[[#This Row],[Date]]=0,"",WEEKDAY(C796,2))</f>
        <v>1</v>
      </c>
      <c r="R796" s="9">
        <f>YEAR(TimeEntry[[#This Row],[WkEnd]])</f>
        <v>2018</v>
      </c>
      <c r="S796" s="9">
        <f>WEEKNUM(TimeEntry[[#This Row],[WkEnd]])</f>
        <v>53</v>
      </c>
      <c r="T796" s="9" t="str">
        <f>TimeEntry[[#This Row],[Year]]&amp;"-"&amp;TimeEntry[[#This Row],[WkNo]]</f>
        <v>2018-53</v>
      </c>
    </row>
    <row r="797" spans="1:20" x14ac:dyDescent="0.25">
      <c r="A797" s="6">
        <f>MOD(IF(ROW()=2,0.1,IF(INDEX(TimeEntry[WkEnd],ROW()-1)  =  INDEX(TimeEntry[WkEnd],ROW()-2),    INDEX(TimeEntry[format],ROW()-2),    INDEX(TimeEntry[format],ROW()-2)    +1)),2)</f>
        <v>1.1000000000000001</v>
      </c>
      <c r="B797" s="7"/>
      <c r="C797" s="8">
        <v>43459</v>
      </c>
      <c r="D797" s="8"/>
      <c r="E797" s="1" t="s">
        <v>449</v>
      </c>
      <c r="F797" s="8">
        <f>IF(TimeEntry[[#This Row],[Date]]=0,F796,C797+(7-Q797))</f>
        <v>43464</v>
      </c>
      <c r="G797" s="35" t="str">
        <f>INDEX(projects[Charge_Code],MATCH(TimeEntry[[#This Row],[Project_ID]],projects[Project_ID],0))</f>
        <v>BANK HOLIDAY Bank Holiday</v>
      </c>
      <c r="H797" s="1" t="str">
        <f t="shared" si="22"/>
        <v>Normal Time</v>
      </c>
      <c r="I797" s="1"/>
      <c r="J797" s="15">
        <v>7.5</v>
      </c>
      <c r="K797" s="15"/>
      <c r="L797" s="15"/>
      <c r="M797" s="15"/>
      <c r="N797" s="15"/>
      <c r="O797" s="15" t="str">
        <f>INDEX(projects[job number],MATCH(TimeEntry[[#This Row],[Project_ID]], projects[Project_ID],0))</f>
        <v>BANK HOLIDAY</v>
      </c>
      <c r="P797" s="15" t="str">
        <f>INDEX(projects[Project_Name],MATCH(TimeEntry[[#This Row],[Project_ID]], projects[Project_ID],0))</f>
        <v>Bank Holiday</v>
      </c>
      <c r="Q797" s="6">
        <f>IF(TimeEntry[[#This Row],[Date]]=0,"",WEEKDAY(C797,2))</f>
        <v>2</v>
      </c>
      <c r="R797" s="9">
        <f>YEAR(TimeEntry[[#This Row],[WkEnd]])</f>
        <v>2018</v>
      </c>
      <c r="S797" s="9">
        <f>WEEKNUM(TimeEntry[[#This Row],[WkEnd]])</f>
        <v>53</v>
      </c>
      <c r="T797" s="9" t="str">
        <f>TimeEntry[[#This Row],[Year]]&amp;"-"&amp;TimeEntry[[#This Row],[WkNo]]</f>
        <v>2018-53</v>
      </c>
    </row>
    <row r="798" spans="1:20" x14ac:dyDescent="0.25">
      <c r="A798" s="6">
        <f>MOD(IF(ROW()=2,0.1,IF(INDEX(TimeEntry[WkEnd],ROW()-1)  =  INDEX(TimeEntry[WkEnd],ROW()-2),    INDEX(TimeEntry[format],ROW()-2),    INDEX(TimeEntry[format],ROW()-2)    +1)),2)</f>
        <v>1.1000000000000001</v>
      </c>
      <c r="B798" s="7"/>
      <c r="C798" s="8">
        <v>43460</v>
      </c>
      <c r="D798" s="8"/>
      <c r="E798" s="1" t="s">
        <v>449</v>
      </c>
      <c r="F798" s="8">
        <f>IF(TimeEntry[[#This Row],[Date]]=0,F797,C798+(7-Q798))</f>
        <v>43464</v>
      </c>
      <c r="G798" s="35" t="str">
        <f>INDEX(projects[Charge_Code],MATCH(TimeEntry[[#This Row],[Project_ID]],projects[Project_ID],0))</f>
        <v>BANK HOLIDAY Bank Holiday</v>
      </c>
      <c r="H798" s="1" t="str">
        <f t="shared" si="22"/>
        <v>Normal Time</v>
      </c>
      <c r="I798" s="1"/>
      <c r="J798" s="15">
        <v>7.5</v>
      </c>
      <c r="K798" s="15"/>
      <c r="L798" s="15"/>
      <c r="M798" s="15"/>
      <c r="N798" s="15"/>
      <c r="O798" s="15" t="str">
        <f>INDEX(projects[job number],MATCH(TimeEntry[[#This Row],[Project_ID]], projects[Project_ID],0))</f>
        <v>BANK HOLIDAY</v>
      </c>
      <c r="P798" s="15" t="str">
        <f>INDEX(projects[Project_Name],MATCH(TimeEntry[[#This Row],[Project_ID]], projects[Project_ID],0))</f>
        <v>Bank Holiday</v>
      </c>
      <c r="Q798" s="6">
        <f>IF(TimeEntry[[#This Row],[Date]]=0,"",WEEKDAY(C798,2))</f>
        <v>3</v>
      </c>
      <c r="R798" s="9">
        <f>YEAR(TimeEntry[[#This Row],[WkEnd]])</f>
        <v>2018</v>
      </c>
      <c r="S798" s="9">
        <f>WEEKNUM(TimeEntry[[#This Row],[WkEnd]])</f>
        <v>53</v>
      </c>
      <c r="T798" s="9" t="str">
        <f>TimeEntry[[#This Row],[Year]]&amp;"-"&amp;TimeEntry[[#This Row],[WkNo]]</f>
        <v>2018-53</v>
      </c>
    </row>
    <row r="799" spans="1:20" x14ac:dyDescent="0.25">
      <c r="A799" s="6">
        <f>MOD(IF(ROW()=2,0.1,IF(INDEX(TimeEntry[WkEnd],ROW()-1)  =  INDEX(TimeEntry[WkEnd],ROW()-2),    INDEX(TimeEntry[format],ROW()-2),    INDEX(TimeEntry[format],ROW()-2)    +1)),2)</f>
        <v>1.1000000000000001</v>
      </c>
      <c r="B799" s="7"/>
      <c r="C799" s="8">
        <v>43461</v>
      </c>
      <c r="D799" s="8"/>
      <c r="E799" s="1" t="s">
        <v>444</v>
      </c>
      <c r="F799" s="8">
        <f>IF(TimeEntry[[#This Row],[Date]]=0,F798,C799+(7-Q799))</f>
        <v>43464</v>
      </c>
      <c r="G799" s="35" t="str">
        <f>INDEX(projects[Charge_Code],MATCH(TimeEntry[[#This Row],[Project_ID]],projects[Project_ID],0))</f>
        <v>LEAVE</v>
      </c>
      <c r="H799" s="1" t="str">
        <f t="shared" si="22"/>
        <v>Normal Time</v>
      </c>
      <c r="I799" s="1"/>
      <c r="J799" s="15">
        <v>7.5</v>
      </c>
      <c r="K799" s="15"/>
      <c r="L799" s="15"/>
      <c r="M799" s="15"/>
      <c r="N799" s="15"/>
      <c r="O799" s="15" t="str">
        <f>INDEX(projects[job number],MATCH(TimeEntry[[#This Row],[Project_ID]], projects[Project_ID],0))</f>
        <v>LEAVE</v>
      </c>
      <c r="P799" s="15">
        <f>INDEX(projects[Project_Name],MATCH(TimeEntry[[#This Row],[Project_ID]], projects[Project_ID],0))</f>
        <v>0</v>
      </c>
      <c r="Q799" s="6">
        <f>IF(TimeEntry[[#This Row],[Date]]=0,"",WEEKDAY(C799,2))</f>
        <v>4</v>
      </c>
      <c r="R799" s="9">
        <f>YEAR(TimeEntry[[#This Row],[WkEnd]])</f>
        <v>2018</v>
      </c>
      <c r="S799" s="9">
        <f>WEEKNUM(TimeEntry[[#This Row],[WkEnd]])</f>
        <v>53</v>
      </c>
      <c r="T799" s="9" t="str">
        <f>TimeEntry[[#This Row],[Year]]&amp;"-"&amp;TimeEntry[[#This Row],[WkNo]]</f>
        <v>2018-53</v>
      </c>
    </row>
    <row r="800" spans="1:20" x14ac:dyDescent="0.25">
      <c r="A800" s="6">
        <f>MOD(IF(ROW()=2,0.1,IF(INDEX(TimeEntry[WkEnd],ROW()-1)  =  INDEX(TimeEntry[WkEnd],ROW()-2),    INDEX(TimeEntry[format],ROW()-2),    INDEX(TimeEntry[format],ROW()-2)    +1)),2)</f>
        <v>1.1000000000000001</v>
      </c>
      <c r="B800" s="7"/>
      <c r="C800" s="8">
        <v>43462</v>
      </c>
      <c r="D800" s="8"/>
      <c r="E800" s="1" t="s">
        <v>444</v>
      </c>
      <c r="F800" s="8">
        <f>IF(TimeEntry[[#This Row],[Date]]=0,F799,C800+(7-Q800))</f>
        <v>43464</v>
      </c>
      <c r="G800" s="35" t="str">
        <f>INDEX(projects[Charge_Code],MATCH(TimeEntry[[#This Row],[Project_ID]],projects[Project_ID],0))</f>
        <v>LEAVE</v>
      </c>
      <c r="H800" s="1" t="str">
        <f t="shared" si="22"/>
        <v>Normal Time</v>
      </c>
      <c r="I800" s="1"/>
      <c r="J800" s="15">
        <v>7.5</v>
      </c>
      <c r="K800" s="15"/>
      <c r="L800" s="15"/>
      <c r="M800" s="15"/>
      <c r="N800" s="15"/>
      <c r="O800" s="15" t="str">
        <f>INDEX(projects[job number],MATCH(TimeEntry[[#This Row],[Project_ID]], projects[Project_ID],0))</f>
        <v>LEAVE</v>
      </c>
      <c r="P800" s="15">
        <f>INDEX(projects[Project_Name],MATCH(TimeEntry[[#This Row],[Project_ID]], projects[Project_ID],0))</f>
        <v>0</v>
      </c>
      <c r="Q800" s="6">
        <f>IF(TimeEntry[[#This Row],[Date]]=0,"",WEEKDAY(C800,2))</f>
        <v>5</v>
      </c>
      <c r="R800" s="9">
        <f>YEAR(TimeEntry[[#This Row],[WkEnd]])</f>
        <v>2018</v>
      </c>
      <c r="S800" s="9">
        <f>WEEKNUM(TimeEntry[[#This Row],[WkEnd]])</f>
        <v>53</v>
      </c>
      <c r="T800" s="9" t="str">
        <f>TimeEntry[[#This Row],[Year]]&amp;"-"&amp;TimeEntry[[#This Row],[WkNo]]</f>
        <v>2018-53</v>
      </c>
    </row>
    <row r="801" spans="1:20" x14ac:dyDescent="0.25">
      <c r="A801" s="6">
        <f>MOD(IF(ROW()=2,0.1,IF(INDEX(TimeEntry[WkEnd],ROW()-1)  =  INDEX(TimeEntry[WkEnd],ROW()-2),    INDEX(TimeEntry[format],ROW()-2),    INDEX(TimeEntry[format],ROW()-2)    +1)),2)</f>
        <v>0.10000000000000009</v>
      </c>
      <c r="B801" s="7"/>
      <c r="C801" s="8">
        <v>43451</v>
      </c>
      <c r="D801" s="8"/>
      <c r="E801" s="1" t="s">
        <v>472</v>
      </c>
      <c r="F801" s="8">
        <f>IF(TimeEntry[[#This Row],[Date]]=0,F800,C801+(7-Q801))</f>
        <v>43457</v>
      </c>
      <c r="G801" s="35" t="str">
        <f>INDEX(projects[Charge_Code],MATCH(TimeEntry[[#This Row],[Project_ID]],projects[Project_ID],0))</f>
        <v>000000-00 AMS Support</v>
      </c>
      <c r="H801" s="1" t="str">
        <f t="shared" si="22"/>
        <v>Normal Time</v>
      </c>
      <c r="I801" s="1"/>
      <c r="J801" s="15">
        <v>3.75</v>
      </c>
      <c r="K801" s="15"/>
      <c r="L801" s="15"/>
      <c r="M801" s="15"/>
      <c r="N801" s="15"/>
      <c r="O801" s="15" t="str">
        <f>INDEX(projects[job number],MATCH(TimeEntry[[#This Row],[Project_ID]], projects[Project_ID],0))</f>
        <v>000000-00</v>
      </c>
      <c r="P801" s="15" t="str">
        <f>INDEX(projects[Project_Name],MATCH(TimeEntry[[#This Row],[Project_ID]], projects[Project_ID],0))</f>
        <v>AMS Support</v>
      </c>
      <c r="Q801" s="1">
        <f>IF(TimeEntry[[#This Row],[Date]]=0,"",WEEKDAY(C801,2))</f>
        <v>1</v>
      </c>
      <c r="R801" s="9">
        <f>YEAR(TimeEntry[[#This Row],[WkEnd]])</f>
        <v>2018</v>
      </c>
      <c r="S801" s="9">
        <f>WEEKNUM(TimeEntry[[#This Row],[WkEnd]])</f>
        <v>52</v>
      </c>
      <c r="T801" s="9" t="str">
        <f>TimeEntry[[#This Row],[Year]]&amp;"-"&amp;TimeEntry[[#This Row],[WkNo]]</f>
        <v>2018-52</v>
      </c>
    </row>
    <row r="802" spans="1:20" x14ac:dyDescent="0.25">
      <c r="A802" s="6">
        <f>MOD(IF(ROW()=2,0.1,IF(INDEX(TimeEntry[WkEnd],ROW()-1)  =  INDEX(TimeEntry[WkEnd],ROW()-2),    INDEX(TimeEntry[format],ROW()-2),    INDEX(TimeEntry[format],ROW()-2)    +1)),2)</f>
        <v>0.10000000000000009</v>
      </c>
      <c r="B802" s="7"/>
      <c r="C802" s="8">
        <v>43451</v>
      </c>
      <c r="D802" s="8"/>
      <c r="E802" s="1" t="s">
        <v>473</v>
      </c>
      <c r="F802" s="8">
        <f>IF(TimeEntry[[#This Row],[Date]]=0,F801,C802+(7-Q802))</f>
        <v>43457</v>
      </c>
      <c r="G802" s="35" t="str">
        <f>INDEX(projects[Charge_Code],MATCH(TimeEntry[[#This Row],[Project_ID]],projects[Project_ID],0))</f>
        <v>259933-00 Waalbrug</v>
      </c>
      <c r="H802" s="1" t="str">
        <f t="shared" si="22"/>
        <v>Normal Time</v>
      </c>
      <c r="I802" s="1"/>
      <c r="J802" s="15">
        <v>3.75</v>
      </c>
      <c r="K802" s="15"/>
      <c r="L802" s="15"/>
      <c r="M802" s="15"/>
      <c r="N802" s="15"/>
      <c r="O802" s="15" t="str">
        <f>INDEX(projects[job number],MATCH(TimeEntry[[#This Row],[Project_ID]], projects[Project_ID],0))</f>
        <v>259933-00</v>
      </c>
      <c r="P802" s="15" t="str">
        <f>INDEX(projects[Project_Name],MATCH(TimeEntry[[#This Row],[Project_ID]], projects[Project_ID],0))</f>
        <v>Waalbrug</v>
      </c>
      <c r="Q802" s="6">
        <f>IF(TimeEntry[[#This Row],[Date]]=0,"",WEEKDAY(C802,2))</f>
        <v>1</v>
      </c>
      <c r="R802" s="9">
        <f>YEAR(TimeEntry[[#This Row],[WkEnd]])</f>
        <v>2018</v>
      </c>
      <c r="S802" s="9">
        <f>WEEKNUM(TimeEntry[[#This Row],[WkEnd]])</f>
        <v>52</v>
      </c>
      <c r="T802" s="9" t="str">
        <f>TimeEntry[[#This Row],[Year]]&amp;"-"&amp;TimeEntry[[#This Row],[WkNo]]</f>
        <v>2018-52</v>
      </c>
    </row>
    <row r="803" spans="1:20" x14ac:dyDescent="0.25">
      <c r="A803" s="6">
        <f>MOD(IF(ROW()=2,0.1,IF(INDEX(TimeEntry[WkEnd],ROW()-1)  =  INDEX(TimeEntry[WkEnd],ROW()-2),    INDEX(TimeEntry[format],ROW()-2),    INDEX(TimeEntry[format],ROW()-2)    +1)),2)</f>
        <v>0.10000000000000009</v>
      </c>
      <c r="B803" s="7"/>
      <c r="C803" s="8">
        <v>43452</v>
      </c>
      <c r="D803" s="8"/>
      <c r="E803" s="1" t="s">
        <v>472</v>
      </c>
      <c r="F803" s="8">
        <f>IF(TimeEntry[[#This Row],[Date]]=0,F802,C803+(7-Q803))</f>
        <v>43457</v>
      </c>
      <c r="G803" s="35" t="str">
        <f>INDEX(projects[Charge_Code],MATCH(TimeEntry[[#This Row],[Project_ID]],projects[Project_ID],0))</f>
        <v>000000-00 AMS Support</v>
      </c>
      <c r="H803" s="1" t="str">
        <f t="shared" si="22"/>
        <v>Normal Time</v>
      </c>
      <c r="I803" s="1"/>
      <c r="J803" s="15">
        <v>7.5</v>
      </c>
      <c r="K803" s="15"/>
      <c r="L803" s="15"/>
      <c r="M803" s="15"/>
      <c r="N803" s="15"/>
      <c r="O803" s="15" t="str">
        <f>INDEX(projects[job number],MATCH(TimeEntry[[#This Row],[Project_ID]], projects[Project_ID],0))</f>
        <v>000000-00</v>
      </c>
      <c r="P803" s="15" t="str">
        <f>INDEX(projects[Project_Name],MATCH(TimeEntry[[#This Row],[Project_ID]], projects[Project_ID],0))</f>
        <v>AMS Support</v>
      </c>
      <c r="Q803" s="1">
        <f>IF(TimeEntry[[#This Row],[Date]]=0,"",WEEKDAY(C803,2))</f>
        <v>2</v>
      </c>
      <c r="R803" s="9">
        <f>YEAR(TimeEntry[[#This Row],[WkEnd]])</f>
        <v>2018</v>
      </c>
      <c r="S803" s="9">
        <f>WEEKNUM(TimeEntry[[#This Row],[WkEnd]])</f>
        <v>52</v>
      </c>
      <c r="T803" s="9" t="str">
        <f>TimeEntry[[#This Row],[Year]]&amp;"-"&amp;TimeEntry[[#This Row],[WkNo]]</f>
        <v>2018-52</v>
      </c>
    </row>
    <row r="804" spans="1:20" x14ac:dyDescent="0.25">
      <c r="A804" s="6">
        <f>MOD(IF(ROW()=2,0.1,IF(INDEX(TimeEntry[WkEnd],ROW()-1)  =  INDEX(TimeEntry[WkEnd],ROW()-2),    INDEX(TimeEntry[format],ROW()-2),    INDEX(TimeEntry[format],ROW()-2)    +1)),2)</f>
        <v>0.10000000000000009</v>
      </c>
      <c r="B804" s="7"/>
      <c r="C804" s="8">
        <v>43453</v>
      </c>
      <c r="D804" s="8"/>
      <c r="E804" s="1" t="s">
        <v>677</v>
      </c>
      <c r="F804" s="8">
        <f>IF(TimeEntry[[#This Row],[Date]]=0,F803,C804+(7-Q804))</f>
        <v>43457</v>
      </c>
      <c r="G804" s="35" t="str">
        <f>INDEX(projects[Charge_Code],MATCH(TimeEntry[[#This Row],[Project_ID]],projects[Project_ID],0))</f>
        <v>074097-30 LEADERSHIP &amp; MANAGEMENT CC124 (01-124)</v>
      </c>
      <c r="H804" s="1" t="str">
        <f t="shared" si="22"/>
        <v>Normal Time</v>
      </c>
      <c r="I804" s="1"/>
      <c r="J804" s="15">
        <v>1</v>
      </c>
      <c r="K804" s="15"/>
      <c r="L804" s="15"/>
      <c r="M804" s="15"/>
      <c r="N804" s="15"/>
      <c r="O804" s="15" t="str">
        <f>INDEX(projects[job number],MATCH(TimeEntry[[#This Row],[Project_ID]], projects[Project_ID],0))</f>
        <v>074097-30</v>
      </c>
      <c r="P804" s="15" t="str">
        <f>INDEX(projects[Project_Name],MATCH(TimeEntry[[#This Row],[Project_ID]], projects[Project_ID],0))</f>
        <v>LEADERSHIP &amp; MANAGEMENT CC124</v>
      </c>
      <c r="Q804" s="1">
        <f>IF(TimeEntry[[#This Row],[Date]]=0,"",WEEKDAY(C804,2))</f>
        <v>3</v>
      </c>
      <c r="R804" s="9">
        <f>YEAR(TimeEntry[[#This Row],[WkEnd]])</f>
        <v>2018</v>
      </c>
      <c r="S804" s="9">
        <f>WEEKNUM(TimeEntry[[#This Row],[WkEnd]])</f>
        <v>52</v>
      </c>
      <c r="T804" s="9" t="str">
        <f>TimeEntry[[#This Row],[Year]]&amp;"-"&amp;TimeEntry[[#This Row],[WkNo]]</f>
        <v>2018-52</v>
      </c>
    </row>
    <row r="805" spans="1:20" x14ac:dyDescent="0.25">
      <c r="A805" s="6">
        <f>MOD(IF(ROW()=2,0.1,IF(INDEX(TimeEntry[WkEnd],ROW()-1)  =  INDEX(TimeEntry[WkEnd],ROW()-2),    INDEX(TimeEntry[format],ROW()-2),    INDEX(TimeEntry[format],ROW()-2)    +1)),2)</f>
        <v>0.10000000000000009</v>
      </c>
      <c r="B805" s="7"/>
      <c r="C805" s="8">
        <v>43453</v>
      </c>
      <c r="D805" s="8"/>
      <c r="E805" s="1" t="s">
        <v>479</v>
      </c>
      <c r="F805" s="8">
        <f>IF(TimeEntry[[#This Row],[Date]]=0,F804,C805+(7-Q805))</f>
        <v>43457</v>
      </c>
      <c r="G805" s="35" t="str">
        <f>INDEX(projects[Charge_Code],MATCH(TimeEntry[[#This Row],[Project_ID]],projects[Project_ID],0))</f>
        <v>254304-79 HCC - Nursery Ln (01-382)</v>
      </c>
      <c r="H805" s="1" t="str">
        <f t="shared" si="22"/>
        <v>Normal Time</v>
      </c>
      <c r="I805" s="1"/>
      <c r="J805" s="15">
        <v>2</v>
      </c>
      <c r="K805" s="15"/>
      <c r="L805" s="15"/>
      <c r="M805" s="15"/>
      <c r="N805" s="15"/>
      <c r="O805" s="15" t="str">
        <f>INDEX(projects[job number],MATCH(TimeEntry[[#This Row],[Project_ID]], projects[Project_ID],0))</f>
        <v>254304-79</v>
      </c>
      <c r="P805" s="15" t="str">
        <f>INDEX(projects[Project_Name],MATCH(TimeEntry[[#This Row],[Project_ID]], projects[Project_ID],0))</f>
        <v>HCC - Nursery Ln</v>
      </c>
      <c r="Q805" s="6">
        <f>IF(TimeEntry[[#This Row],[Date]]=0,"",WEEKDAY(C805,2))</f>
        <v>3</v>
      </c>
      <c r="R805" s="9">
        <f>YEAR(TimeEntry[[#This Row],[WkEnd]])</f>
        <v>2018</v>
      </c>
      <c r="S805" s="9">
        <f>WEEKNUM(TimeEntry[[#This Row],[WkEnd]])</f>
        <v>52</v>
      </c>
      <c r="T805" s="9" t="str">
        <f>TimeEntry[[#This Row],[Year]]&amp;"-"&amp;TimeEntry[[#This Row],[WkNo]]</f>
        <v>2018-52</v>
      </c>
    </row>
    <row r="806" spans="1:20" x14ac:dyDescent="0.25">
      <c r="A806" s="6">
        <f>MOD(IF(ROW()=2,0.1,IF(INDEX(TimeEntry[WkEnd],ROW()-1)  =  INDEX(TimeEntry[WkEnd],ROW()-2),    INDEX(TimeEntry[format],ROW()-2),    INDEX(TimeEntry[format],ROW()-2)    +1)),2)</f>
        <v>0.10000000000000009</v>
      </c>
      <c r="B806" s="7"/>
      <c r="C806" s="8">
        <v>43453</v>
      </c>
      <c r="D806" s="8"/>
      <c r="E806" s="1" t="s">
        <v>450</v>
      </c>
      <c r="F806" s="8">
        <f>IF(TimeEntry[[#This Row],[Date]]=0,F805,C806+(7-Q806))</f>
        <v>43457</v>
      </c>
      <c r="G806" s="35" t="str">
        <f>INDEX(projects[Charge_Code],MATCH(TimeEntry[[#This Row],[Project_ID]],projects[Project_ID],0))</f>
        <v>254304-96 HCC - Paul Cully (01-382)</v>
      </c>
      <c r="H806" s="1" t="str">
        <f t="shared" si="22"/>
        <v>Normal Time</v>
      </c>
      <c r="I806" s="1"/>
      <c r="J806" s="15">
        <v>4.5</v>
      </c>
      <c r="K806" s="15"/>
      <c r="L806" s="15"/>
      <c r="M806" s="15"/>
      <c r="N806" s="15"/>
      <c r="O806" s="15" t="str">
        <f>INDEX(projects[job number],MATCH(TimeEntry[[#This Row],[Project_ID]], projects[Project_ID],0))</f>
        <v>254304-96</v>
      </c>
      <c r="P806" s="15" t="str">
        <f>INDEX(projects[Project_Name],MATCH(TimeEntry[[#This Row],[Project_ID]], projects[Project_ID],0))</f>
        <v>HCC - Paul Cully</v>
      </c>
      <c r="Q806" s="6">
        <f>IF(TimeEntry[[#This Row],[Date]]=0,"",WEEKDAY(C806,2))</f>
        <v>3</v>
      </c>
      <c r="R806" s="9">
        <f>YEAR(TimeEntry[[#This Row],[WkEnd]])</f>
        <v>2018</v>
      </c>
      <c r="S806" s="9">
        <f>WEEKNUM(TimeEntry[[#This Row],[WkEnd]])</f>
        <v>52</v>
      </c>
      <c r="T806" s="9" t="str">
        <f>TimeEntry[[#This Row],[Year]]&amp;"-"&amp;TimeEntry[[#This Row],[WkNo]]</f>
        <v>2018-52</v>
      </c>
    </row>
    <row r="807" spans="1:20" x14ac:dyDescent="0.25">
      <c r="A807" s="6">
        <f>MOD(IF(ROW()=2,0.1,IF(INDEX(TimeEntry[WkEnd],ROW()-1)  =  INDEX(TimeEntry[WkEnd],ROW()-2),    INDEX(TimeEntry[format],ROW()-2),    INDEX(TimeEntry[format],ROW()-2)    +1)),2)</f>
        <v>0.10000000000000009</v>
      </c>
      <c r="B807" s="7"/>
      <c r="C807" s="8">
        <v>43454</v>
      </c>
      <c r="D807" s="8"/>
      <c r="E807" s="1" t="s">
        <v>461</v>
      </c>
      <c r="F807" s="8">
        <f>IF(TimeEntry[[#This Row],[Date]]=0,F806,C807+(7-Q807))</f>
        <v>43457</v>
      </c>
      <c r="G807" s="35" t="str">
        <f>INDEX(projects[Charge_Code],MATCH(TimeEntry[[#This Row],[Project_ID]],projects[Project_ID],0))</f>
        <v>215526-27 CP - Assessment (01-124)</v>
      </c>
      <c r="H807" s="1" t="str">
        <f t="shared" si="22"/>
        <v>Normal Time</v>
      </c>
      <c r="I807" s="1"/>
      <c r="J807" s="15">
        <v>7.5</v>
      </c>
      <c r="K807" s="15"/>
      <c r="L807" s="15"/>
      <c r="M807" s="15"/>
      <c r="N807" s="15"/>
      <c r="O807" s="15" t="str">
        <f>INDEX(projects[job number],MATCH(TimeEntry[[#This Row],[Project_ID]], projects[Project_ID],0))</f>
        <v>215526-27</v>
      </c>
      <c r="P807" s="15" t="str">
        <f>INDEX(projects[Project_Name],MATCH(TimeEntry[[#This Row],[Project_ID]], projects[Project_ID],0))</f>
        <v>CP - Assessment</v>
      </c>
      <c r="Q807" s="1">
        <f>IF(TimeEntry[[#This Row],[Date]]=0,"",WEEKDAY(C807,2))</f>
        <v>4</v>
      </c>
      <c r="R807" s="9">
        <f>YEAR(TimeEntry[[#This Row],[WkEnd]])</f>
        <v>2018</v>
      </c>
      <c r="S807" s="9">
        <f>WEEKNUM(TimeEntry[[#This Row],[WkEnd]])</f>
        <v>52</v>
      </c>
      <c r="T807" s="9" t="str">
        <f>TimeEntry[[#This Row],[Year]]&amp;"-"&amp;TimeEntry[[#This Row],[WkNo]]</f>
        <v>2018-52</v>
      </c>
    </row>
    <row r="808" spans="1:20" x14ac:dyDescent="0.25">
      <c r="A808" s="6">
        <f>MOD(IF(ROW()=2,0.1,IF(INDEX(TimeEntry[WkEnd],ROW()-1)  =  INDEX(TimeEntry[WkEnd],ROW()-2),    INDEX(TimeEntry[format],ROW()-2),    INDEX(TimeEntry[format],ROW()-2)    +1)),2)</f>
        <v>0.10000000000000009</v>
      </c>
      <c r="B808" s="7"/>
      <c r="C808" s="8">
        <v>43455</v>
      </c>
      <c r="D808" s="8"/>
      <c r="E808" s="1" t="s">
        <v>461</v>
      </c>
      <c r="F808" s="8">
        <f>IF(TimeEntry[[#This Row],[Date]]=0,F807,C808+(7-Q808))</f>
        <v>43457</v>
      </c>
      <c r="G808" s="35" t="str">
        <f>INDEX(projects[Charge_Code],MATCH(TimeEntry[[#This Row],[Project_ID]],projects[Project_ID],0))</f>
        <v>215526-27 CP - Assessment (01-124)</v>
      </c>
      <c r="H808" s="1" t="str">
        <f t="shared" si="22"/>
        <v>Normal Time</v>
      </c>
      <c r="I808" s="1"/>
      <c r="J808" s="15">
        <v>3.75</v>
      </c>
      <c r="K808" s="15"/>
      <c r="L808" s="15"/>
      <c r="M808" s="15"/>
      <c r="N808" s="15"/>
      <c r="O808" s="15" t="str">
        <f>INDEX(projects[job number],MATCH(TimeEntry[[#This Row],[Project_ID]], projects[Project_ID],0))</f>
        <v>215526-27</v>
      </c>
      <c r="P808" s="15" t="str">
        <f>INDEX(projects[Project_Name],MATCH(TimeEntry[[#This Row],[Project_ID]], projects[Project_ID],0))</f>
        <v>CP - Assessment</v>
      </c>
      <c r="Q808" s="6">
        <f>IF(TimeEntry[[#This Row],[Date]]=0,"",WEEKDAY(C808,2))</f>
        <v>5</v>
      </c>
      <c r="R808" s="9">
        <f>YEAR(TimeEntry[[#This Row],[WkEnd]])</f>
        <v>2018</v>
      </c>
      <c r="S808" s="9">
        <f>WEEKNUM(TimeEntry[[#This Row],[WkEnd]])</f>
        <v>52</v>
      </c>
      <c r="T808" s="9" t="str">
        <f>TimeEntry[[#This Row],[Year]]&amp;"-"&amp;TimeEntry[[#This Row],[WkNo]]</f>
        <v>2018-52</v>
      </c>
    </row>
    <row r="809" spans="1:20" x14ac:dyDescent="0.25">
      <c r="A809" s="6">
        <f>MOD(IF(ROW()=2,0.1,IF(INDEX(TimeEntry[WkEnd],ROW()-1)  =  INDEX(TimeEntry[WkEnd],ROW()-2),    INDEX(TimeEntry[format],ROW()-2),    INDEX(TimeEntry[format],ROW()-2)    +1)),2)</f>
        <v>0.10000000000000009</v>
      </c>
      <c r="B809" s="7"/>
      <c r="C809" s="8">
        <v>43455</v>
      </c>
      <c r="D809" s="8"/>
      <c r="E809" s="1" t="s">
        <v>473</v>
      </c>
      <c r="F809" s="8">
        <f>IF(TimeEntry[[#This Row],[Date]]=0,F808,C809+(7-Q809))</f>
        <v>43457</v>
      </c>
      <c r="G809" s="35" t="str">
        <f>INDEX(projects[Charge_Code],MATCH(TimeEntry[[#This Row],[Project_ID]],projects[Project_ID],0))</f>
        <v>259933-00 Waalbrug</v>
      </c>
      <c r="H809" s="1" t="str">
        <f t="shared" si="22"/>
        <v>Normal Time</v>
      </c>
      <c r="I809" s="1"/>
      <c r="J809" s="15">
        <v>3.75</v>
      </c>
      <c r="K809" s="15"/>
      <c r="L809" s="15"/>
      <c r="M809" s="15"/>
      <c r="N809" s="15"/>
      <c r="O809" s="15" t="str">
        <f>INDEX(projects[job number],MATCH(TimeEntry[[#This Row],[Project_ID]], projects[Project_ID],0))</f>
        <v>259933-00</v>
      </c>
      <c r="P809" s="15" t="str">
        <f>INDEX(projects[Project_Name],MATCH(TimeEntry[[#This Row],[Project_ID]], projects[Project_ID],0))</f>
        <v>Waalbrug</v>
      </c>
      <c r="Q809" s="1">
        <f>IF(TimeEntry[[#This Row],[Date]]=0,"",WEEKDAY(C809,2))</f>
        <v>5</v>
      </c>
      <c r="R809" s="9">
        <f>YEAR(TimeEntry[[#This Row],[WkEnd]])</f>
        <v>2018</v>
      </c>
      <c r="S809" s="9">
        <f>WEEKNUM(TimeEntry[[#This Row],[WkEnd]])</f>
        <v>52</v>
      </c>
      <c r="T809" s="9" t="str">
        <f>TimeEntry[[#This Row],[Year]]&amp;"-"&amp;TimeEntry[[#This Row],[WkNo]]</f>
        <v>2018-52</v>
      </c>
    </row>
    <row r="810" spans="1:20" x14ac:dyDescent="0.25">
      <c r="A810" s="6">
        <f>MOD(IF(ROW()=2,0.1,IF(INDEX(TimeEntry[WkEnd],ROW()-1)  =  INDEX(TimeEntry[WkEnd],ROW()-2),    INDEX(TimeEntry[format],ROW()-2),    INDEX(TimeEntry[format],ROW()-2)    +1)),2)</f>
        <v>1.1000000000000001</v>
      </c>
      <c r="B810" s="7"/>
      <c r="C810" s="8">
        <v>43444</v>
      </c>
      <c r="D810" s="8"/>
      <c r="E810" s="1" t="s">
        <v>75</v>
      </c>
      <c r="F810" s="8">
        <f>IF(TimeEntry[[#This Row],[Date]]=0,F809,C810+(7-Q810))</f>
        <v>43450</v>
      </c>
      <c r="G810" s="35" t="str">
        <f>INDEX(projects[Charge_Code],MATCH(TimeEntry[[#This Row],[Project_ID]],projects[Project_ID],0))</f>
        <v>601701-23 swindon d&amp;b</v>
      </c>
      <c r="H810" s="1" t="str">
        <f t="shared" si="22"/>
        <v>Normal Time</v>
      </c>
      <c r="I810" s="1"/>
      <c r="J810" s="15">
        <v>7.5</v>
      </c>
      <c r="K810" s="15"/>
      <c r="L810" s="15"/>
      <c r="M810" s="15"/>
      <c r="N810" s="15"/>
      <c r="O810" s="15" t="str">
        <f>INDEX(projects[job number],MATCH(TimeEntry[[#This Row],[Project_ID]], projects[Project_ID],0))</f>
        <v>601701-23</v>
      </c>
      <c r="P810" s="15" t="str">
        <f>INDEX(projects[Project_Name],MATCH(TimeEntry[[#This Row],[Project_ID]], projects[Project_ID],0))</f>
        <v>swindon d&amp;b</v>
      </c>
      <c r="Q810" s="1">
        <f>IF(TimeEntry[[#This Row],[Date]]=0,"",WEEKDAY(C810,2))</f>
        <v>1</v>
      </c>
      <c r="R810" s="9">
        <f>YEAR(TimeEntry[[#This Row],[WkEnd]])</f>
        <v>2018</v>
      </c>
      <c r="S810" s="9">
        <f>WEEKNUM(TimeEntry[[#This Row],[WkEnd]])</f>
        <v>51</v>
      </c>
      <c r="T810" s="9" t="str">
        <f>TimeEntry[[#This Row],[Year]]&amp;"-"&amp;TimeEntry[[#This Row],[WkNo]]</f>
        <v>2018-51</v>
      </c>
    </row>
    <row r="811" spans="1:20" x14ac:dyDescent="0.25">
      <c r="A811" s="6">
        <f>MOD(IF(ROW()=2,0.1,IF(INDEX(TimeEntry[WkEnd],ROW()-1)  =  INDEX(TimeEntry[WkEnd],ROW()-2),    INDEX(TimeEntry[format],ROW()-2),    INDEX(TimeEntry[format],ROW()-2)    +1)),2)</f>
        <v>1.1000000000000001</v>
      </c>
      <c r="B811" s="7"/>
      <c r="C811" s="8">
        <v>43445</v>
      </c>
      <c r="D811" s="8"/>
      <c r="E811" s="1" t="s">
        <v>472</v>
      </c>
      <c r="F811" s="8">
        <f>IF(TimeEntry[[#This Row],[Date]]=0,F810,C811+(7-Q811))</f>
        <v>43450</v>
      </c>
      <c r="G811" s="35" t="str">
        <f>INDEX(projects[Charge_Code],MATCH(TimeEntry[[#This Row],[Project_ID]],projects[Project_ID],0))</f>
        <v>000000-00 AMS Support</v>
      </c>
      <c r="H811" s="1" t="str">
        <f t="shared" si="22"/>
        <v>Normal Time</v>
      </c>
      <c r="I811" s="1"/>
      <c r="J811" s="15">
        <v>7.5</v>
      </c>
      <c r="K811" s="15"/>
      <c r="L811" s="15"/>
      <c r="M811" s="15"/>
      <c r="N811" s="15"/>
      <c r="O811" s="15" t="str">
        <f>INDEX(projects[job number],MATCH(TimeEntry[[#This Row],[Project_ID]], projects[Project_ID],0))</f>
        <v>000000-00</v>
      </c>
      <c r="P811" s="15" t="str">
        <f>INDEX(projects[Project_Name],MATCH(TimeEntry[[#This Row],[Project_ID]], projects[Project_ID],0))</f>
        <v>AMS Support</v>
      </c>
      <c r="Q811" s="1">
        <f>IF(TimeEntry[[#This Row],[Date]]=0,"",WEEKDAY(C811,2))</f>
        <v>2</v>
      </c>
      <c r="R811" s="9">
        <f>YEAR(TimeEntry[[#This Row],[WkEnd]])</f>
        <v>2018</v>
      </c>
      <c r="S811" s="9">
        <f>WEEKNUM(TimeEntry[[#This Row],[WkEnd]])</f>
        <v>51</v>
      </c>
      <c r="T811" s="9" t="str">
        <f>TimeEntry[[#This Row],[Year]]&amp;"-"&amp;TimeEntry[[#This Row],[WkNo]]</f>
        <v>2018-51</v>
      </c>
    </row>
    <row r="812" spans="1:20" x14ac:dyDescent="0.25">
      <c r="A812" s="6">
        <f>MOD(IF(ROW()=2,0.1,IF(INDEX(TimeEntry[WkEnd],ROW()-1)  =  INDEX(TimeEntry[WkEnd],ROW()-2),    INDEX(TimeEntry[format],ROW()-2),    INDEX(TimeEntry[format],ROW()-2)    +1)),2)</f>
        <v>1.1000000000000001</v>
      </c>
      <c r="B812" s="7"/>
      <c r="C812" s="8">
        <v>43446</v>
      </c>
      <c r="D812" s="8"/>
      <c r="E812" s="1" t="s">
        <v>472</v>
      </c>
      <c r="F812" s="8">
        <f>IF(TimeEntry[[#This Row],[Date]]=0,F811,C812+(7-Q812))</f>
        <v>43450</v>
      </c>
      <c r="G812" s="35" t="str">
        <f>INDEX(projects[Charge_Code],MATCH(TimeEntry[[#This Row],[Project_ID]],projects[Project_ID],0))</f>
        <v>000000-00 AMS Support</v>
      </c>
      <c r="H812" s="1" t="str">
        <f t="shared" si="22"/>
        <v>Normal Time</v>
      </c>
      <c r="I812" s="1"/>
      <c r="J812" s="15">
        <v>7.5</v>
      </c>
      <c r="K812" s="15"/>
      <c r="L812" s="15"/>
      <c r="M812" s="15"/>
      <c r="N812" s="15"/>
      <c r="O812" s="15" t="str">
        <f>INDEX(projects[job number],MATCH(TimeEntry[[#This Row],[Project_ID]], projects[Project_ID],0))</f>
        <v>000000-00</v>
      </c>
      <c r="P812" s="15" t="str">
        <f>INDEX(projects[Project_Name],MATCH(TimeEntry[[#This Row],[Project_ID]], projects[Project_ID],0))</f>
        <v>AMS Support</v>
      </c>
      <c r="Q812" s="1">
        <f>IF(TimeEntry[[#This Row],[Date]]=0,"",WEEKDAY(C812,2))</f>
        <v>3</v>
      </c>
      <c r="R812" s="9">
        <f>YEAR(TimeEntry[[#This Row],[WkEnd]])</f>
        <v>2018</v>
      </c>
      <c r="S812" s="9">
        <f>WEEKNUM(TimeEntry[[#This Row],[WkEnd]])</f>
        <v>51</v>
      </c>
      <c r="T812" s="9" t="str">
        <f>TimeEntry[[#This Row],[Year]]&amp;"-"&amp;TimeEntry[[#This Row],[WkNo]]</f>
        <v>2018-51</v>
      </c>
    </row>
    <row r="813" spans="1:20" x14ac:dyDescent="0.25">
      <c r="A813" s="6">
        <f>MOD(IF(ROW()=2,0.1,IF(INDEX(TimeEntry[WkEnd],ROW()-1)  =  INDEX(TimeEntry[WkEnd],ROW()-2),    INDEX(TimeEntry[format],ROW()-2),    INDEX(TimeEntry[format],ROW()-2)    +1)),2)</f>
        <v>1.1000000000000001</v>
      </c>
      <c r="B813" s="7"/>
      <c r="C813" s="8">
        <v>43447</v>
      </c>
      <c r="D813" s="8"/>
      <c r="E813" s="1" t="s">
        <v>75</v>
      </c>
      <c r="F813" s="8">
        <f>IF(TimeEntry[[#This Row],[Date]]=0,F812,C813+(7-Q813))</f>
        <v>43450</v>
      </c>
      <c r="G813" s="35" t="str">
        <f>INDEX(projects[Charge_Code],MATCH(TimeEntry[[#This Row],[Project_ID]],projects[Project_ID],0))</f>
        <v>601701-23 swindon d&amp;b</v>
      </c>
      <c r="H813" s="1" t="str">
        <f t="shared" si="22"/>
        <v>Normal Time</v>
      </c>
      <c r="I813" s="1"/>
      <c r="J813" s="15">
        <v>7.5</v>
      </c>
      <c r="K813" s="15"/>
      <c r="L813" s="15"/>
      <c r="M813" s="15"/>
      <c r="N813" s="15"/>
      <c r="O813" s="15" t="str">
        <f>INDEX(projects[job number],MATCH(TimeEntry[[#This Row],[Project_ID]], projects[Project_ID],0))</f>
        <v>601701-23</v>
      </c>
      <c r="P813" s="15" t="str">
        <f>INDEX(projects[Project_Name],MATCH(TimeEntry[[#This Row],[Project_ID]], projects[Project_ID],0))</f>
        <v>swindon d&amp;b</v>
      </c>
      <c r="Q813" s="1">
        <f>IF(TimeEntry[[#This Row],[Date]]=0,"",WEEKDAY(C813,2))</f>
        <v>4</v>
      </c>
      <c r="R813" s="9">
        <f>YEAR(TimeEntry[[#This Row],[WkEnd]])</f>
        <v>2018</v>
      </c>
      <c r="S813" s="9">
        <f>WEEKNUM(TimeEntry[[#This Row],[WkEnd]])</f>
        <v>51</v>
      </c>
      <c r="T813" s="9" t="str">
        <f>TimeEntry[[#This Row],[Year]]&amp;"-"&amp;TimeEntry[[#This Row],[WkNo]]</f>
        <v>2018-51</v>
      </c>
    </row>
    <row r="814" spans="1:20" x14ac:dyDescent="0.25">
      <c r="A814" s="6">
        <f>MOD(IF(ROW()=2,0.1,IF(INDEX(TimeEntry[WkEnd],ROW()-1)  =  INDEX(TimeEntry[WkEnd],ROW()-2),    INDEX(TimeEntry[format],ROW()-2),    INDEX(TimeEntry[format],ROW()-2)    +1)),2)</f>
        <v>1.1000000000000001</v>
      </c>
      <c r="B814" s="7"/>
      <c r="C814" s="8">
        <v>43448</v>
      </c>
      <c r="D814" s="8"/>
      <c r="E814" s="1" t="s">
        <v>473</v>
      </c>
      <c r="F814" s="8">
        <f>IF(TimeEntry[[#This Row],[Date]]=0,F813,C814+(7-Q814))</f>
        <v>43450</v>
      </c>
      <c r="G814" s="35" t="str">
        <f>INDEX(projects[Charge_Code],MATCH(TimeEntry[[#This Row],[Project_ID]],projects[Project_ID],0))</f>
        <v>259933-00 Waalbrug</v>
      </c>
      <c r="H814" s="1" t="str">
        <f t="shared" si="22"/>
        <v>Normal Time</v>
      </c>
      <c r="I814" s="1"/>
      <c r="J814" s="15">
        <v>4</v>
      </c>
      <c r="K814" s="15"/>
      <c r="L814" s="15"/>
      <c r="M814" s="15"/>
      <c r="N814" s="15"/>
      <c r="O814" s="15" t="str">
        <f>INDEX(projects[job number],MATCH(TimeEntry[[#This Row],[Project_ID]], projects[Project_ID],0))</f>
        <v>259933-00</v>
      </c>
      <c r="P814" s="15" t="str">
        <f>INDEX(projects[Project_Name],MATCH(TimeEntry[[#This Row],[Project_ID]], projects[Project_ID],0))</f>
        <v>Waalbrug</v>
      </c>
      <c r="Q814" s="1">
        <f>IF(TimeEntry[[#This Row],[Date]]=0,"",WEEKDAY(C814,2))</f>
        <v>5</v>
      </c>
      <c r="R814" s="9">
        <f>YEAR(TimeEntry[[#This Row],[WkEnd]])</f>
        <v>2018</v>
      </c>
      <c r="S814" s="9">
        <f>WEEKNUM(TimeEntry[[#This Row],[WkEnd]])</f>
        <v>51</v>
      </c>
      <c r="T814" s="9" t="str">
        <f>TimeEntry[[#This Row],[Year]]&amp;"-"&amp;TimeEntry[[#This Row],[WkNo]]</f>
        <v>2018-51</v>
      </c>
    </row>
    <row r="815" spans="1:20" x14ac:dyDescent="0.25">
      <c r="A815" s="6">
        <f>MOD(IF(ROW()=2,0.1,IF(INDEX(TimeEntry[WkEnd],ROW()-1)  =  INDEX(TimeEntry[WkEnd],ROW()-2),    INDEX(TimeEntry[format],ROW()-2),    INDEX(TimeEntry[format],ROW()-2)    +1)),2)</f>
        <v>1.1000000000000001</v>
      </c>
      <c r="B815" s="7"/>
      <c r="C815" s="8">
        <v>43448</v>
      </c>
      <c r="D815" s="8"/>
      <c r="E815" s="1" t="s">
        <v>480</v>
      </c>
      <c r="F815" s="8">
        <f>IF(TimeEntry[[#This Row],[Date]]=0,F814,C815+(7-Q815))</f>
        <v>43450</v>
      </c>
      <c r="G815" s="35" t="str">
        <f>INDEX(projects[Charge_Code],MATCH(TimeEntry[[#This Row],[Project_ID]],projects[Project_ID],0))</f>
        <v>77616-41 Hatta</v>
      </c>
      <c r="H815" s="1" t="str">
        <f t="shared" si="22"/>
        <v>Normal Time</v>
      </c>
      <c r="I815" s="1"/>
      <c r="J815" s="15">
        <v>2</v>
      </c>
      <c r="K815" s="15"/>
      <c r="L815" s="15"/>
      <c r="M815" s="15"/>
      <c r="N815" s="15"/>
      <c r="O815" s="15" t="str">
        <f>INDEX(projects[job number],MATCH(TimeEntry[[#This Row],[Project_ID]], projects[Project_ID],0))</f>
        <v>77616-41</v>
      </c>
      <c r="P815" s="15" t="str">
        <f>INDEX(projects[Project_Name],MATCH(TimeEntry[[#This Row],[Project_ID]], projects[Project_ID],0))</f>
        <v>Hatta</v>
      </c>
      <c r="Q815" s="1">
        <f>IF(TimeEntry[[#This Row],[Date]]=0,"",WEEKDAY(C815,2))</f>
        <v>5</v>
      </c>
      <c r="R815" s="9">
        <f>YEAR(TimeEntry[[#This Row],[WkEnd]])</f>
        <v>2018</v>
      </c>
      <c r="S815" s="9">
        <f>WEEKNUM(TimeEntry[[#This Row],[WkEnd]])</f>
        <v>51</v>
      </c>
      <c r="T815" s="9" t="str">
        <f>TimeEntry[[#This Row],[Year]]&amp;"-"&amp;TimeEntry[[#This Row],[WkNo]]</f>
        <v>2018-51</v>
      </c>
    </row>
    <row r="816" spans="1:20" x14ac:dyDescent="0.25">
      <c r="A816" s="6">
        <f>MOD(IF(ROW()=2,0.1,IF(INDEX(TimeEntry[WkEnd],ROW()-1)  =  INDEX(TimeEntry[WkEnd],ROW()-2),    INDEX(TimeEntry[format],ROW()-2),    INDEX(TimeEntry[format],ROW()-2)    +1)),2)</f>
        <v>1.1000000000000001</v>
      </c>
      <c r="B816" s="7"/>
      <c r="C816" s="8">
        <v>43448</v>
      </c>
      <c r="D816" s="8"/>
      <c r="E816" s="1" t="s">
        <v>75</v>
      </c>
      <c r="F816" s="8">
        <f>IF(TimeEntry[[#This Row],[Date]]=0,F815,C816+(7-Q816))</f>
        <v>43450</v>
      </c>
      <c r="G816" s="35" t="str">
        <f>INDEX(projects[Charge_Code],MATCH(TimeEntry[[#This Row],[Project_ID]],projects[Project_ID],0))</f>
        <v>601701-23 swindon d&amp;b</v>
      </c>
      <c r="H816" s="1" t="str">
        <f t="shared" si="22"/>
        <v>Normal Time</v>
      </c>
      <c r="I816" s="1"/>
      <c r="J816" s="15">
        <v>1.5</v>
      </c>
      <c r="K816" s="15"/>
      <c r="L816" s="15"/>
      <c r="M816" s="15"/>
      <c r="N816" s="15"/>
      <c r="O816" s="15" t="str">
        <f>INDEX(projects[job number],MATCH(TimeEntry[[#This Row],[Project_ID]], projects[Project_ID],0))</f>
        <v>601701-23</v>
      </c>
      <c r="P816" s="15" t="str">
        <f>INDEX(projects[Project_Name],MATCH(TimeEntry[[#This Row],[Project_ID]], projects[Project_ID],0))</f>
        <v>swindon d&amp;b</v>
      </c>
      <c r="Q816" s="1">
        <f>IF(TimeEntry[[#This Row],[Date]]=0,"",WEEKDAY(C816,2))</f>
        <v>5</v>
      </c>
      <c r="R816" s="9">
        <f>YEAR(TimeEntry[[#This Row],[WkEnd]])</f>
        <v>2018</v>
      </c>
      <c r="S816" s="9">
        <f>WEEKNUM(TimeEntry[[#This Row],[WkEnd]])</f>
        <v>51</v>
      </c>
      <c r="T816" s="9" t="str">
        <f>TimeEntry[[#This Row],[Year]]&amp;"-"&amp;TimeEntry[[#This Row],[WkNo]]</f>
        <v>2018-51</v>
      </c>
    </row>
    <row r="817" spans="1:20" x14ac:dyDescent="0.25">
      <c r="A817" s="6">
        <f>MOD(IF(ROW()=2,0.1,IF(INDEX(TimeEntry[WkEnd],ROW()-1)  =  INDEX(TimeEntry[WkEnd],ROW()-2),    INDEX(TimeEntry[format],ROW()-2),    INDEX(TimeEntry[format],ROW()-2)    +1)),2)</f>
        <v>0.10000000000000009</v>
      </c>
      <c r="B817" s="7"/>
      <c r="C817" s="8">
        <v>43437</v>
      </c>
      <c r="D817" s="8"/>
      <c r="E817" s="1" t="s">
        <v>676</v>
      </c>
      <c r="F817" s="8">
        <f>IF(TimeEntry[[#This Row],[Date]]=0,F816,C817+(7-Q817))</f>
        <v>43443</v>
      </c>
      <c r="G817" s="35" t="str">
        <f>INDEX(projects[Charge_Code],MATCH(TimeEntry[[#This Row],[Project_ID]],projects[Project_ID],0))</f>
        <v>074097-29 BCST Appraisal (01-124)</v>
      </c>
      <c r="H817" s="1" t="str">
        <f t="shared" si="22"/>
        <v>Normal Time</v>
      </c>
      <c r="I817" s="1"/>
      <c r="J817" s="15">
        <v>2</v>
      </c>
      <c r="K817" s="15"/>
      <c r="L817" s="15"/>
      <c r="M817" s="15"/>
      <c r="N817" s="15"/>
      <c r="O817" s="15" t="str">
        <f>INDEX(projects[job number],MATCH(TimeEntry[[#This Row],[Project_ID]], projects[Project_ID],0))</f>
        <v>074097-29</v>
      </c>
      <c r="P817" s="15" t="str">
        <f>INDEX(projects[Project_Name],MATCH(TimeEntry[[#This Row],[Project_ID]], projects[Project_ID],0))</f>
        <v>BCST Appraisal</v>
      </c>
      <c r="Q817" s="1">
        <f>IF(TimeEntry[[#This Row],[Date]]=0,"",WEEKDAY(C817,2))</f>
        <v>1</v>
      </c>
      <c r="R817" s="9">
        <f>YEAR(TimeEntry[[#This Row],[WkEnd]])</f>
        <v>2018</v>
      </c>
      <c r="S817" s="9">
        <f>WEEKNUM(TimeEntry[[#This Row],[WkEnd]])</f>
        <v>50</v>
      </c>
      <c r="T817" s="9" t="str">
        <f>TimeEntry[[#This Row],[Year]]&amp;"-"&amp;TimeEntry[[#This Row],[WkNo]]</f>
        <v>2018-50</v>
      </c>
    </row>
    <row r="818" spans="1:20" x14ac:dyDescent="0.25">
      <c r="A818" s="6">
        <f>MOD(IF(ROW()=2,0.1,IF(INDEX(TimeEntry[WkEnd],ROW()-1)  =  INDEX(TimeEntry[WkEnd],ROW()-2),    INDEX(TimeEntry[format],ROW()-2),    INDEX(TimeEntry[format],ROW()-2)    +1)),2)</f>
        <v>0.10000000000000009</v>
      </c>
      <c r="B818" s="7"/>
      <c r="C818" s="8">
        <v>43437</v>
      </c>
      <c r="D818" s="8"/>
      <c r="E818" s="1" t="s">
        <v>450</v>
      </c>
      <c r="F818" s="8">
        <f>IF(TimeEntry[[#This Row],[Date]]=0,F817,C818+(7-Q818))</f>
        <v>43443</v>
      </c>
      <c r="G818" s="35" t="str">
        <f>INDEX(projects[Charge_Code],MATCH(TimeEntry[[#This Row],[Project_ID]],projects[Project_ID],0))</f>
        <v>254304-96 HCC - Paul Cully (01-382)</v>
      </c>
      <c r="H818" s="1" t="str">
        <f t="shared" si="22"/>
        <v>Normal Time</v>
      </c>
      <c r="I818" s="1"/>
      <c r="J818" s="15">
        <v>5.5</v>
      </c>
      <c r="K818" s="15"/>
      <c r="L818" s="15"/>
      <c r="M818" s="15"/>
      <c r="N818" s="15"/>
      <c r="O818" s="15" t="str">
        <f>INDEX(projects[job number],MATCH(TimeEntry[[#This Row],[Project_ID]], projects[Project_ID],0))</f>
        <v>254304-96</v>
      </c>
      <c r="P818" s="15" t="str">
        <f>INDEX(projects[Project_Name],MATCH(TimeEntry[[#This Row],[Project_ID]], projects[Project_ID],0))</f>
        <v>HCC - Paul Cully</v>
      </c>
      <c r="Q818" s="1">
        <f>IF(TimeEntry[[#This Row],[Date]]=0,"",WEEKDAY(C818,2))</f>
        <v>1</v>
      </c>
      <c r="R818" s="9">
        <f>YEAR(TimeEntry[[#This Row],[WkEnd]])</f>
        <v>2018</v>
      </c>
      <c r="S818" s="9">
        <f>WEEKNUM(TimeEntry[[#This Row],[WkEnd]])</f>
        <v>50</v>
      </c>
      <c r="T818" s="9" t="str">
        <f>TimeEntry[[#This Row],[Year]]&amp;"-"&amp;TimeEntry[[#This Row],[WkNo]]</f>
        <v>2018-50</v>
      </c>
    </row>
    <row r="819" spans="1:20" x14ac:dyDescent="0.25">
      <c r="A819" s="6">
        <f>MOD(IF(ROW()=2,0.1,IF(INDEX(TimeEntry[WkEnd],ROW()-1)  =  INDEX(TimeEntry[WkEnd],ROW()-2),    INDEX(TimeEntry[format],ROW()-2),    INDEX(TimeEntry[format],ROW()-2)    +1)),2)</f>
        <v>0.10000000000000009</v>
      </c>
      <c r="B819" s="7"/>
      <c r="C819" s="8">
        <v>43438</v>
      </c>
      <c r="D819" s="8"/>
      <c r="E819" s="1" t="s">
        <v>481</v>
      </c>
      <c r="F819" s="8">
        <f>IF(TimeEntry[[#This Row],[Date]]=0,F818,C819+(7-Q819))</f>
        <v>43443</v>
      </c>
      <c r="G819" s="35" t="str">
        <f>INDEX(projects[Charge_Code],MATCH(TimeEntry[[#This Row],[Project_ID]],projects[Project_ID],0))</f>
        <v>239230-40 Suurhoffbrug</v>
      </c>
      <c r="H819" s="1" t="str">
        <f t="shared" si="22"/>
        <v>Normal Time</v>
      </c>
      <c r="I819" s="1"/>
      <c r="J819" s="15">
        <v>7.5</v>
      </c>
      <c r="K819" s="15"/>
      <c r="L819" s="15"/>
      <c r="M819" s="15"/>
      <c r="N819" s="15"/>
      <c r="O819" s="15" t="str">
        <f>INDEX(projects[job number],MATCH(TimeEntry[[#This Row],[Project_ID]], projects[Project_ID],0))</f>
        <v>239230-40</v>
      </c>
      <c r="P819" s="15" t="str">
        <f>INDEX(projects[Project_Name],MATCH(TimeEntry[[#This Row],[Project_ID]], projects[Project_ID],0))</f>
        <v>Suurhoffbrug</v>
      </c>
      <c r="Q819" s="1">
        <f>IF(TimeEntry[[#This Row],[Date]]=0,"",WEEKDAY(C819,2))</f>
        <v>2</v>
      </c>
      <c r="R819" s="9">
        <f>YEAR(TimeEntry[[#This Row],[WkEnd]])</f>
        <v>2018</v>
      </c>
      <c r="S819" s="9">
        <f>WEEKNUM(TimeEntry[[#This Row],[WkEnd]])</f>
        <v>50</v>
      </c>
      <c r="T819" s="9" t="str">
        <f>TimeEntry[[#This Row],[Year]]&amp;"-"&amp;TimeEntry[[#This Row],[WkNo]]</f>
        <v>2018-50</v>
      </c>
    </row>
    <row r="820" spans="1:20" x14ac:dyDescent="0.25">
      <c r="A820" s="6">
        <f>MOD(IF(ROW()=2,0.1,IF(INDEX(TimeEntry[WkEnd],ROW()-1)  =  INDEX(TimeEntry[WkEnd],ROW()-2),    INDEX(TimeEntry[format],ROW()-2),    INDEX(TimeEntry[format],ROW()-2)    +1)),2)</f>
        <v>0.10000000000000009</v>
      </c>
      <c r="B820" s="7"/>
      <c r="C820" s="8">
        <v>43439</v>
      </c>
      <c r="D820" s="8"/>
      <c r="E820" s="1" t="s">
        <v>472</v>
      </c>
      <c r="F820" s="8">
        <f>IF(TimeEntry[[#This Row],[Date]]=0,F819,C820+(7-Q820))</f>
        <v>43443</v>
      </c>
      <c r="G820" s="35" t="str">
        <f>INDEX(projects[Charge_Code],MATCH(TimeEntry[[#This Row],[Project_ID]],projects[Project_ID],0))</f>
        <v>000000-00 AMS Support</v>
      </c>
      <c r="H820" s="1" t="str">
        <f t="shared" si="22"/>
        <v>Normal Time</v>
      </c>
      <c r="I820" s="1"/>
      <c r="J820" s="15">
        <v>7.5</v>
      </c>
      <c r="K820" s="15"/>
      <c r="L820" s="15"/>
      <c r="M820" s="15"/>
      <c r="N820" s="15"/>
      <c r="O820" s="15" t="str">
        <f>INDEX(projects[job number],MATCH(TimeEntry[[#This Row],[Project_ID]], projects[Project_ID],0))</f>
        <v>000000-00</v>
      </c>
      <c r="P820" s="15" t="str">
        <f>INDEX(projects[Project_Name],MATCH(TimeEntry[[#This Row],[Project_ID]], projects[Project_ID],0))</f>
        <v>AMS Support</v>
      </c>
      <c r="Q820" s="1">
        <f>IF(TimeEntry[[#This Row],[Date]]=0,"",WEEKDAY(C820,2))</f>
        <v>3</v>
      </c>
      <c r="R820" s="9">
        <f>YEAR(TimeEntry[[#This Row],[WkEnd]])</f>
        <v>2018</v>
      </c>
      <c r="S820" s="9">
        <f>WEEKNUM(TimeEntry[[#This Row],[WkEnd]])</f>
        <v>50</v>
      </c>
      <c r="T820" s="9" t="str">
        <f>TimeEntry[[#This Row],[Year]]&amp;"-"&amp;TimeEntry[[#This Row],[WkNo]]</f>
        <v>2018-50</v>
      </c>
    </row>
    <row r="821" spans="1:20" x14ac:dyDescent="0.25">
      <c r="A821" s="6">
        <f>MOD(IF(ROW()=2,0.1,IF(INDEX(TimeEntry[WkEnd],ROW()-1)  =  INDEX(TimeEntry[WkEnd],ROW()-2),    INDEX(TimeEntry[format],ROW()-2),    INDEX(TimeEntry[format],ROW()-2)    +1)),2)</f>
        <v>0.10000000000000009</v>
      </c>
      <c r="B821" s="7"/>
      <c r="C821" s="8">
        <v>43440</v>
      </c>
      <c r="D821" s="8"/>
      <c r="E821" s="1" t="s">
        <v>472</v>
      </c>
      <c r="F821" s="8">
        <f>IF(TimeEntry[[#This Row],[Date]]=0,F820,C821+(7-Q821))</f>
        <v>43443</v>
      </c>
      <c r="G821" s="35" t="str">
        <f>INDEX(projects[Charge_Code],MATCH(TimeEntry[[#This Row],[Project_ID]],projects[Project_ID],0))</f>
        <v>000000-00 AMS Support</v>
      </c>
      <c r="H821" s="1" t="str">
        <f t="shared" si="22"/>
        <v>Normal Time</v>
      </c>
      <c r="I821" s="1"/>
      <c r="J821" s="15">
        <v>7.5</v>
      </c>
      <c r="K821" s="15"/>
      <c r="L821" s="15"/>
      <c r="M821" s="15"/>
      <c r="N821" s="15"/>
      <c r="O821" s="15" t="str">
        <f>INDEX(projects[job number],MATCH(TimeEntry[[#This Row],[Project_ID]], projects[Project_ID],0))</f>
        <v>000000-00</v>
      </c>
      <c r="P821" s="15" t="str">
        <f>INDEX(projects[Project_Name],MATCH(TimeEntry[[#This Row],[Project_ID]], projects[Project_ID],0))</f>
        <v>AMS Support</v>
      </c>
      <c r="Q821" s="1">
        <f>IF(TimeEntry[[#This Row],[Date]]=0,"",WEEKDAY(C821,2))</f>
        <v>4</v>
      </c>
      <c r="R821" s="9">
        <f>YEAR(TimeEntry[[#This Row],[WkEnd]])</f>
        <v>2018</v>
      </c>
      <c r="S821" s="9">
        <f>WEEKNUM(TimeEntry[[#This Row],[WkEnd]])</f>
        <v>50</v>
      </c>
      <c r="T821" s="9" t="str">
        <f>TimeEntry[[#This Row],[Year]]&amp;"-"&amp;TimeEntry[[#This Row],[WkNo]]</f>
        <v>2018-50</v>
      </c>
    </row>
    <row r="822" spans="1:20" x14ac:dyDescent="0.25">
      <c r="A822" s="6">
        <f>MOD(IF(ROW()=2,0.1,IF(INDEX(TimeEntry[WkEnd],ROW()-1)  =  INDEX(TimeEntry[WkEnd],ROW()-2),    INDEX(TimeEntry[format],ROW()-2),    INDEX(TimeEntry[format],ROW()-2)    +1)),2)</f>
        <v>0.10000000000000009</v>
      </c>
      <c r="B822" s="7"/>
      <c r="C822" s="8">
        <v>43441</v>
      </c>
      <c r="D822" s="8"/>
      <c r="E822" s="1" t="s">
        <v>676</v>
      </c>
      <c r="F822" s="8">
        <f>IF(TimeEntry[[#This Row],[Date]]=0,F821,C822+(7-Q822))</f>
        <v>43443</v>
      </c>
      <c r="G822" s="35" t="str">
        <f>INDEX(projects[Charge_Code],MATCH(TimeEntry[[#This Row],[Project_ID]],projects[Project_ID],0))</f>
        <v>074097-29 BCST Appraisal (01-124)</v>
      </c>
      <c r="H822" s="1" t="str">
        <f t="shared" si="22"/>
        <v>Normal Time</v>
      </c>
      <c r="I822" s="1"/>
      <c r="J822" s="15">
        <v>2</v>
      </c>
      <c r="K822" s="15"/>
      <c r="L822" s="15"/>
      <c r="M822" s="15"/>
      <c r="N822" s="15"/>
      <c r="O822" s="15" t="str">
        <f>INDEX(projects[job number],MATCH(TimeEntry[[#This Row],[Project_ID]], projects[Project_ID],0))</f>
        <v>074097-29</v>
      </c>
      <c r="P822" s="15" t="str">
        <f>INDEX(projects[Project_Name],MATCH(TimeEntry[[#This Row],[Project_ID]], projects[Project_ID],0))</f>
        <v>BCST Appraisal</v>
      </c>
      <c r="Q822" s="1">
        <f>IF(TimeEntry[[#This Row],[Date]]=0,"",WEEKDAY(C822,2))</f>
        <v>5</v>
      </c>
      <c r="R822" s="9">
        <f>YEAR(TimeEntry[[#This Row],[WkEnd]])</f>
        <v>2018</v>
      </c>
      <c r="S822" s="9">
        <f>WEEKNUM(TimeEntry[[#This Row],[WkEnd]])</f>
        <v>50</v>
      </c>
      <c r="T822" s="9" t="str">
        <f>TimeEntry[[#This Row],[Year]]&amp;"-"&amp;TimeEntry[[#This Row],[WkNo]]</f>
        <v>2018-50</v>
      </c>
    </row>
    <row r="823" spans="1:20" x14ac:dyDescent="0.25">
      <c r="A823" s="6">
        <f>MOD(IF(ROW()=2,0.1,IF(INDEX(TimeEntry[WkEnd],ROW()-1)  =  INDEX(TimeEntry[WkEnd],ROW()-2),    INDEX(TimeEntry[format],ROW()-2),    INDEX(TimeEntry[format],ROW()-2)    +1)),2)</f>
        <v>0.10000000000000009</v>
      </c>
      <c r="B823" s="7"/>
      <c r="C823" s="8">
        <v>43441</v>
      </c>
      <c r="D823" s="8"/>
      <c r="E823" s="1" t="s">
        <v>675</v>
      </c>
      <c r="F823" s="8">
        <f>IF(TimeEntry[[#This Row],[Date]]=0,F822,C823+(7-Q823))</f>
        <v>43443</v>
      </c>
      <c r="G823" s="35" t="str">
        <f>INDEX(projects[Charge_Code],MATCH(TimeEntry[[#This Row],[Project_ID]],projects[Project_ID],0))</f>
        <v>071945-07 BCS - promotional</v>
      </c>
      <c r="H823" s="1" t="str">
        <f t="shared" si="22"/>
        <v>Normal Time</v>
      </c>
      <c r="I823" s="1"/>
      <c r="J823" s="15">
        <v>2</v>
      </c>
      <c r="K823" s="15"/>
      <c r="L823" s="15"/>
      <c r="M823" s="15"/>
      <c r="N823" s="15"/>
      <c r="O823" s="15" t="str">
        <f>INDEX(projects[job number],MATCH(TimeEntry[[#This Row],[Project_ID]], projects[Project_ID],0))</f>
        <v>071945-07</v>
      </c>
      <c r="P823" s="15" t="str">
        <f>INDEX(projects[Project_Name],MATCH(TimeEntry[[#This Row],[Project_ID]], projects[Project_ID],0))</f>
        <v>BCS - promotional</v>
      </c>
      <c r="Q823" s="1">
        <f>IF(TimeEntry[[#This Row],[Date]]=0,"",WEEKDAY(C823,2))</f>
        <v>5</v>
      </c>
      <c r="R823" s="9">
        <f>YEAR(TimeEntry[[#This Row],[WkEnd]])</f>
        <v>2018</v>
      </c>
      <c r="S823" s="9">
        <f>WEEKNUM(TimeEntry[[#This Row],[WkEnd]])</f>
        <v>50</v>
      </c>
      <c r="T823" s="9" t="str">
        <f>TimeEntry[[#This Row],[Year]]&amp;"-"&amp;TimeEntry[[#This Row],[WkNo]]</f>
        <v>2018-50</v>
      </c>
    </row>
    <row r="824" spans="1:20" x14ac:dyDescent="0.25">
      <c r="A824" s="6">
        <f>MOD(IF(ROW()=2,0.1,IF(INDEX(TimeEntry[WkEnd],ROW()-1)  =  INDEX(TimeEntry[WkEnd],ROW()-2),    INDEX(TimeEntry[format],ROW()-2),    INDEX(TimeEntry[format],ROW()-2)    +1)),2)</f>
        <v>0.10000000000000009</v>
      </c>
      <c r="B824" s="7"/>
      <c r="C824" s="8">
        <v>43441</v>
      </c>
      <c r="D824" s="8"/>
      <c r="E824" s="1" t="s">
        <v>478</v>
      </c>
      <c r="F824" s="8">
        <f>IF(TimeEntry[[#This Row],[Date]]=0,F823,C824+(7-Q824))</f>
        <v>43443</v>
      </c>
      <c r="G824" s="35" t="str">
        <f>INDEX(projects[Charge_Code],MATCH(TimeEntry[[#This Row],[Project_ID]],projects[Project_ID],0))</f>
        <v>260258-47 Galecopper</v>
      </c>
      <c r="H824" s="1" t="str">
        <f t="shared" si="22"/>
        <v>Normal Time</v>
      </c>
      <c r="I824" s="1"/>
      <c r="J824" s="15">
        <v>3.5</v>
      </c>
      <c r="K824" s="15"/>
      <c r="L824" s="15"/>
      <c r="M824" s="15"/>
      <c r="N824" s="15"/>
      <c r="O824" s="15" t="str">
        <f>INDEX(projects[job number],MATCH(TimeEntry[[#This Row],[Project_ID]], projects[Project_ID],0))</f>
        <v>260258-47</v>
      </c>
      <c r="P824" s="15" t="str">
        <f>INDEX(projects[Project_Name],MATCH(TimeEntry[[#This Row],[Project_ID]], projects[Project_ID],0))</f>
        <v>Galecopper</v>
      </c>
      <c r="Q824" s="1">
        <f>IF(TimeEntry[[#This Row],[Date]]=0,"",WEEKDAY(C824,2))</f>
        <v>5</v>
      </c>
      <c r="R824" s="9">
        <f>YEAR(TimeEntry[[#This Row],[WkEnd]])</f>
        <v>2018</v>
      </c>
      <c r="S824" s="9">
        <f>WEEKNUM(TimeEntry[[#This Row],[WkEnd]])</f>
        <v>50</v>
      </c>
      <c r="T824" s="9" t="str">
        <f>TimeEntry[[#This Row],[Year]]&amp;"-"&amp;TimeEntry[[#This Row],[WkNo]]</f>
        <v>2018-50</v>
      </c>
    </row>
    <row r="825" spans="1:20" x14ac:dyDescent="0.25">
      <c r="A825" s="6">
        <f>MOD(IF(ROW()=2,0.1,IF(INDEX(TimeEntry[WkEnd],ROW()-1)  =  INDEX(TimeEntry[WkEnd],ROW()-2),    INDEX(TimeEntry[format],ROW()-2),    INDEX(TimeEntry[format],ROW()-2)    +1)),2)</f>
        <v>1.1000000000000001</v>
      </c>
      <c r="B825" s="7"/>
      <c r="C825" s="8">
        <v>43430</v>
      </c>
      <c r="D825" s="8"/>
      <c r="E825" s="1" t="s">
        <v>482</v>
      </c>
      <c r="F825" s="8">
        <f>IF(TimeEntry[[#This Row],[Date]]=0,F824,C825+(7-Q825))</f>
        <v>43436</v>
      </c>
      <c r="G825" s="35" t="str">
        <f>INDEX(projects[Charge_Code],MATCH(TimeEntry[[#This Row],[Project_ID]],projects[Project_ID],0))</f>
        <v>074103-30 Engagement cohort</v>
      </c>
      <c r="H825" s="1" t="str">
        <f t="shared" si="22"/>
        <v>Normal Time</v>
      </c>
      <c r="I825" s="1"/>
      <c r="J825" s="15">
        <v>3.75</v>
      </c>
      <c r="K825" s="15"/>
      <c r="L825" s="15"/>
      <c r="M825" s="15"/>
      <c r="N825" s="15"/>
      <c r="O825" s="15" t="str">
        <f>INDEX(projects[job number],MATCH(TimeEntry[[#This Row],[Project_ID]], projects[Project_ID],0))</f>
        <v>074103-30</v>
      </c>
      <c r="P825" s="15" t="str">
        <f>INDEX(projects[Project_Name],MATCH(TimeEntry[[#This Row],[Project_ID]], projects[Project_ID],0))</f>
        <v>Engagement cohort</v>
      </c>
      <c r="Q825" s="1">
        <f>IF(TimeEntry[[#This Row],[Date]]=0,"",WEEKDAY(C825,2))</f>
        <v>1</v>
      </c>
      <c r="R825" s="9">
        <f>YEAR(TimeEntry[[#This Row],[WkEnd]])</f>
        <v>2018</v>
      </c>
      <c r="S825" s="9">
        <f>WEEKNUM(TimeEntry[[#This Row],[WkEnd]])</f>
        <v>49</v>
      </c>
      <c r="T825" s="9" t="str">
        <f>TimeEntry[[#This Row],[Year]]&amp;"-"&amp;TimeEntry[[#This Row],[WkNo]]</f>
        <v>2018-49</v>
      </c>
    </row>
    <row r="826" spans="1:20" x14ac:dyDescent="0.25">
      <c r="A826" s="6">
        <f>MOD(IF(ROW()=2,0.1,IF(INDEX(TimeEntry[WkEnd],ROW()-1)  =  INDEX(TimeEntry[WkEnd],ROW()-2),    INDEX(TimeEntry[format],ROW()-2),    INDEX(TimeEntry[format],ROW()-2)    +1)),2)</f>
        <v>1.1000000000000001</v>
      </c>
      <c r="B826" s="7"/>
      <c r="C826" s="8">
        <v>43430</v>
      </c>
      <c r="D826" s="8"/>
      <c r="E826" s="1" t="s">
        <v>461</v>
      </c>
      <c r="F826" s="8">
        <f>IF(TimeEntry[[#This Row],[Date]]=0,F825,C826+(7-Q826))</f>
        <v>43436</v>
      </c>
      <c r="G826" s="35" t="str">
        <f>INDEX(projects[Charge_Code],MATCH(TimeEntry[[#This Row],[Project_ID]],projects[Project_ID],0))</f>
        <v>215526-27 CP - Assessment (01-124)</v>
      </c>
      <c r="H826" s="1" t="str">
        <f t="shared" si="22"/>
        <v>Normal Time</v>
      </c>
      <c r="I826" s="1"/>
      <c r="J826" s="15">
        <v>3.75</v>
      </c>
      <c r="K826" s="15"/>
      <c r="L826" s="15"/>
      <c r="M826" s="15"/>
      <c r="N826" s="15"/>
      <c r="O826" s="15" t="str">
        <f>INDEX(projects[job number],MATCH(TimeEntry[[#This Row],[Project_ID]], projects[Project_ID],0))</f>
        <v>215526-27</v>
      </c>
      <c r="P826" s="15" t="str">
        <f>INDEX(projects[Project_Name],MATCH(TimeEntry[[#This Row],[Project_ID]], projects[Project_ID],0))</f>
        <v>CP - Assessment</v>
      </c>
      <c r="Q826" s="1">
        <f>IF(TimeEntry[[#This Row],[Date]]=0,"",WEEKDAY(C826,2))</f>
        <v>1</v>
      </c>
      <c r="R826" s="9">
        <f>YEAR(TimeEntry[[#This Row],[WkEnd]])</f>
        <v>2018</v>
      </c>
      <c r="S826" s="9">
        <f>WEEKNUM(TimeEntry[[#This Row],[WkEnd]])</f>
        <v>49</v>
      </c>
      <c r="T826" s="9" t="str">
        <f>TimeEntry[[#This Row],[Year]]&amp;"-"&amp;TimeEntry[[#This Row],[WkNo]]</f>
        <v>2018-49</v>
      </c>
    </row>
    <row r="827" spans="1:20" x14ac:dyDescent="0.25">
      <c r="A827" s="6">
        <f>MOD(IF(ROW()=2,0.1,IF(INDEX(TimeEntry[WkEnd],ROW()-1)  =  INDEX(TimeEntry[WkEnd],ROW()-2),    INDEX(TimeEntry[format],ROW()-2),    INDEX(TimeEntry[format],ROW()-2)    +1)),2)</f>
        <v>1.1000000000000001</v>
      </c>
      <c r="B827" s="7"/>
      <c r="C827" s="8">
        <v>43431</v>
      </c>
      <c r="D827" s="8"/>
      <c r="E827" s="1" t="s">
        <v>479</v>
      </c>
      <c r="F827" s="8">
        <f>IF(TimeEntry[[#This Row],[Date]]=0,F826,C827+(7-Q827))</f>
        <v>43436</v>
      </c>
      <c r="G827" s="35" t="str">
        <f>INDEX(projects[Charge_Code],MATCH(TimeEntry[[#This Row],[Project_ID]],projects[Project_ID],0))</f>
        <v>254304-79 HCC - Nursery Ln (01-382)</v>
      </c>
      <c r="H827" s="1" t="str">
        <f t="shared" si="22"/>
        <v>Normal Time</v>
      </c>
      <c r="I827" s="1"/>
      <c r="J827" s="15">
        <v>2.5</v>
      </c>
      <c r="K827" s="15"/>
      <c r="L827" s="15"/>
      <c r="M827" s="15"/>
      <c r="N827" s="15"/>
      <c r="O827" s="15" t="str">
        <f>INDEX(projects[job number],MATCH(TimeEntry[[#This Row],[Project_ID]], projects[Project_ID],0))</f>
        <v>254304-79</v>
      </c>
      <c r="P827" s="15" t="str">
        <f>INDEX(projects[Project_Name],MATCH(TimeEntry[[#This Row],[Project_ID]], projects[Project_ID],0))</f>
        <v>HCC - Nursery Ln</v>
      </c>
      <c r="Q827" s="1">
        <f>IF(TimeEntry[[#This Row],[Date]]=0,"",WEEKDAY(C827,2))</f>
        <v>2</v>
      </c>
      <c r="R827" s="9">
        <f>YEAR(TimeEntry[[#This Row],[WkEnd]])</f>
        <v>2018</v>
      </c>
      <c r="S827" s="9">
        <f>WEEKNUM(TimeEntry[[#This Row],[WkEnd]])</f>
        <v>49</v>
      </c>
      <c r="T827" s="9" t="str">
        <f>TimeEntry[[#This Row],[Year]]&amp;"-"&amp;TimeEntry[[#This Row],[WkNo]]</f>
        <v>2018-49</v>
      </c>
    </row>
    <row r="828" spans="1:20" x14ac:dyDescent="0.25">
      <c r="A828" s="6">
        <f>MOD(IF(ROW()=2,0.1,IF(INDEX(TimeEntry[WkEnd],ROW()-1)  =  INDEX(TimeEntry[WkEnd],ROW()-2),    INDEX(TimeEntry[format],ROW()-2),    INDEX(TimeEntry[format],ROW()-2)    +1)),2)</f>
        <v>1.1000000000000001</v>
      </c>
      <c r="B828" s="7"/>
      <c r="C828" s="8">
        <v>43431</v>
      </c>
      <c r="D828" s="8"/>
      <c r="E828" s="1" t="s">
        <v>483</v>
      </c>
      <c r="F828" s="8">
        <f>IF(TimeEntry[[#This Row],[Date]]=0,F827,C828+(7-Q828))</f>
        <v>43436</v>
      </c>
      <c r="G828" s="35" t="str">
        <f>INDEX(projects[Charge_Code],MATCH(TimeEntry[[#This Row],[Project_ID]],projects[Project_ID],0))</f>
        <v>254304-44 HCC - Asset management (01-382)</v>
      </c>
      <c r="H828" s="1" t="str">
        <f t="shared" si="22"/>
        <v>Normal Time</v>
      </c>
      <c r="I828" s="1"/>
      <c r="J828" s="15">
        <v>3</v>
      </c>
      <c r="K828" s="15"/>
      <c r="L828" s="15"/>
      <c r="M828" s="15"/>
      <c r="N828" s="15"/>
      <c r="O828" s="15" t="str">
        <f>INDEX(projects[job number],MATCH(TimeEntry[[#This Row],[Project_ID]], projects[Project_ID],0))</f>
        <v>254304-44</v>
      </c>
      <c r="P828" s="15" t="str">
        <f>INDEX(projects[Project_Name],MATCH(TimeEntry[[#This Row],[Project_ID]], projects[Project_ID],0))</f>
        <v>HCC - Asset management</v>
      </c>
      <c r="Q828" s="1">
        <f>IF(TimeEntry[[#This Row],[Date]]=0,"",WEEKDAY(C828,2))</f>
        <v>2</v>
      </c>
      <c r="R828" s="9">
        <f>YEAR(TimeEntry[[#This Row],[WkEnd]])</f>
        <v>2018</v>
      </c>
      <c r="S828" s="9">
        <f>WEEKNUM(TimeEntry[[#This Row],[WkEnd]])</f>
        <v>49</v>
      </c>
      <c r="T828" s="9" t="str">
        <f>TimeEntry[[#This Row],[Year]]&amp;"-"&amp;TimeEntry[[#This Row],[WkNo]]</f>
        <v>2018-49</v>
      </c>
    </row>
    <row r="829" spans="1:20" x14ac:dyDescent="0.25">
      <c r="A829" s="6">
        <f>MOD(IF(ROW()=2,0.1,IF(INDEX(TimeEntry[WkEnd],ROW()-1)  =  INDEX(TimeEntry[WkEnd],ROW()-2),    INDEX(TimeEntry[format],ROW()-2),    INDEX(TimeEntry[format],ROW()-2)    +1)),2)</f>
        <v>1.1000000000000001</v>
      </c>
      <c r="B829" s="7"/>
      <c r="C829" s="8">
        <v>43431</v>
      </c>
      <c r="D829" s="8"/>
      <c r="E829" s="1" t="s">
        <v>450</v>
      </c>
      <c r="F829" s="8">
        <f>IF(TimeEntry[[#This Row],[Date]]=0,F828,C829+(7-Q829))</f>
        <v>43436</v>
      </c>
      <c r="G829" s="35" t="str">
        <f>INDEX(projects[Charge_Code],MATCH(TimeEntry[[#This Row],[Project_ID]],projects[Project_ID],0))</f>
        <v>254304-96 HCC - Paul Cully (01-382)</v>
      </c>
      <c r="H829" s="1" t="str">
        <f t="shared" si="22"/>
        <v>Normal Time</v>
      </c>
      <c r="I829" s="1"/>
      <c r="J829" s="15">
        <v>1</v>
      </c>
      <c r="K829" s="15"/>
      <c r="L829" s="15"/>
      <c r="M829" s="15"/>
      <c r="N829" s="15"/>
      <c r="O829" s="15" t="str">
        <f>INDEX(projects[job number],MATCH(TimeEntry[[#This Row],[Project_ID]], projects[Project_ID],0))</f>
        <v>254304-96</v>
      </c>
      <c r="P829" s="15" t="str">
        <f>INDEX(projects[Project_Name],MATCH(TimeEntry[[#This Row],[Project_ID]], projects[Project_ID],0))</f>
        <v>HCC - Paul Cully</v>
      </c>
      <c r="Q829" s="1">
        <f>IF(TimeEntry[[#This Row],[Date]]=0,"",WEEKDAY(C829,2))</f>
        <v>2</v>
      </c>
      <c r="R829" s="9">
        <f>YEAR(TimeEntry[[#This Row],[WkEnd]])</f>
        <v>2018</v>
      </c>
      <c r="S829" s="9">
        <f>WEEKNUM(TimeEntry[[#This Row],[WkEnd]])</f>
        <v>49</v>
      </c>
      <c r="T829" s="9" t="str">
        <f>TimeEntry[[#This Row],[Year]]&amp;"-"&amp;TimeEntry[[#This Row],[WkNo]]</f>
        <v>2018-49</v>
      </c>
    </row>
    <row r="830" spans="1:20" x14ac:dyDescent="0.25">
      <c r="A830" s="6">
        <f>MOD(IF(ROW()=2,0.1,IF(INDEX(TimeEntry[WkEnd],ROW()-1)  =  INDEX(TimeEntry[WkEnd],ROW()-2),    INDEX(TimeEntry[format],ROW()-2),    INDEX(TimeEntry[format],ROW()-2)    +1)),2)</f>
        <v>1.1000000000000001</v>
      </c>
      <c r="B830" s="7"/>
      <c r="C830" s="8">
        <v>43431</v>
      </c>
      <c r="D830" s="8"/>
      <c r="E830" s="1" t="s">
        <v>448</v>
      </c>
      <c r="F830" s="8">
        <f>IF(TimeEntry[[#This Row],[Date]]=0,F829,C830+(7-Q830))</f>
        <v>43436</v>
      </c>
      <c r="G830" s="35" t="str">
        <f>INDEX(projects[Charge_Code],MATCH(TimeEntry[[#This Row],[Project_ID]],projects[Project_ID],0))</f>
        <v>246233-56 HCC - Weston Hills Tunnel (01-382)</v>
      </c>
      <c r="H830" s="1" t="str">
        <f t="shared" si="22"/>
        <v>Normal Time</v>
      </c>
      <c r="I830" s="1"/>
      <c r="J830" s="15">
        <v>1</v>
      </c>
      <c r="K830" s="15"/>
      <c r="L830" s="15"/>
      <c r="M830" s="15"/>
      <c r="N830" s="15"/>
      <c r="O830" s="15" t="str">
        <f>INDEX(projects[job number],MATCH(TimeEntry[[#This Row],[Project_ID]], projects[Project_ID],0))</f>
        <v>246233-56</v>
      </c>
      <c r="P830" s="15" t="str">
        <f>INDEX(projects[Project_Name],MATCH(TimeEntry[[#This Row],[Project_ID]], projects[Project_ID],0))</f>
        <v>HCC - Weston Hills Tunnel</v>
      </c>
      <c r="Q830" s="1">
        <f>IF(TimeEntry[[#This Row],[Date]]=0,"",WEEKDAY(C830,2))</f>
        <v>2</v>
      </c>
      <c r="R830" s="9">
        <f>YEAR(TimeEntry[[#This Row],[WkEnd]])</f>
        <v>2018</v>
      </c>
      <c r="S830" s="9">
        <f>WEEKNUM(TimeEntry[[#This Row],[WkEnd]])</f>
        <v>49</v>
      </c>
      <c r="T830" s="9" t="str">
        <f>TimeEntry[[#This Row],[Year]]&amp;"-"&amp;TimeEntry[[#This Row],[WkNo]]</f>
        <v>2018-49</v>
      </c>
    </row>
    <row r="831" spans="1:20" x14ac:dyDescent="0.25">
      <c r="A831" s="6">
        <f>MOD(IF(ROW()=2,0.1,IF(INDEX(TimeEntry[WkEnd],ROW()-1)  =  INDEX(TimeEntry[WkEnd],ROW()-2),    INDEX(TimeEntry[format],ROW()-2),    INDEX(TimeEntry[format],ROW()-2)    +1)),2)</f>
        <v>1.1000000000000001</v>
      </c>
      <c r="B831" s="7"/>
      <c r="C831" s="8">
        <v>43432</v>
      </c>
      <c r="D831" s="8"/>
      <c r="E831" s="1" t="s">
        <v>479</v>
      </c>
      <c r="F831" s="8">
        <f>IF(TimeEntry[[#This Row],[Date]]=0,F830,C831+(7-Q831))</f>
        <v>43436</v>
      </c>
      <c r="G831" s="35" t="str">
        <f>INDEX(projects[Charge_Code],MATCH(TimeEntry[[#This Row],[Project_ID]],projects[Project_ID],0))</f>
        <v>254304-79 HCC - Nursery Ln (01-382)</v>
      </c>
      <c r="H831" s="1" t="str">
        <f t="shared" si="22"/>
        <v>Normal Time</v>
      </c>
      <c r="I831" s="1"/>
      <c r="J831" s="15">
        <v>7.5</v>
      </c>
      <c r="K831" s="15"/>
      <c r="L831" s="15"/>
      <c r="M831" s="15"/>
      <c r="N831" s="15"/>
      <c r="O831" s="15" t="str">
        <f>INDEX(projects[job number],MATCH(TimeEntry[[#This Row],[Project_ID]], projects[Project_ID],0))</f>
        <v>254304-79</v>
      </c>
      <c r="P831" s="15" t="str">
        <f>INDEX(projects[Project_Name],MATCH(TimeEntry[[#This Row],[Project_ID]], projects[Project_ID],0))</f>
        <v>HCC - Nursery Ln</v>
      </c>
      <c r="Q831" s="1">
        <f>IF(TimeEntry[[#This Row],[Date]]=0,"",WEEKDAY(C831,2))</f>
        <v>3</v>
      </c>
      <c r="R831" s="9">
        <f>YEAR(TimeEntry[[#This Row],[WkEnd]])</f>
        <v>2018</v>
      </c>
      <c r="S831" s="9">
        <f>WEEKNUM(TimeEntry[[#This Row],[WkEnd]])</f>
        <v>49</v>
      </c>
      <c r="T831" s="9" t="str">
        <f>TimeEntry[[#This Row],[Year]]&amp;"-"&amp;TimeEntry[[#This Row],[WkNo]]</f>
        <v>2018-49</v>
      </c>
    </row>
    <row r="832" spans="1:20" x14ac:dyDescent="0.25">
      <c r="A832" s="6">
        <f>MOD(IF(ROW()=2,0.1,IF(INDEX(TimeEntry[WkEnd],ROW()-1)  =  INDEX(TimeEntry[WkEnd],ROW()-2),    INDEX(TimeEntry[format],ROW()-2),    INDEX(TimeEntry[format],ROW()-2)    +1)),2)</f>
        <v>1.1000000000000001</v>
      </c>
      <c r="B832" s="7"/>
      <c r="C832" s="8">
        <v>43433</v>
      </c>
      <c r="D832" s="8"/>
      <c r="E832" s="1" t="s">
        <v>467</v>
      </c>
      <c r="F832" s="8">
        <f>IF(TimeEntry[[#This Row],[Date]]=0,F831,C832+(7-Q832))</f>
        <v>43436</v>
      </c>
      <c r="G832" s="35" t="str">
        <f>INDEX(projects[Charge_Code],MATCH(TimeEntry[[#This Row],[Project_ID]],projects[Project_ID],0))</f>
        <v>261723-02 SMP</v>
      </c>
      <c r="H832" s="1" t="str">
        <f t="shared" si="22"/>
        <v>Normal Time</v>
      </c>
      <c r="I832" s="1"/>
      <c r="J832" s="15">
        <v>5</v>
      </c>
      <c r="K832" s="15"/>
      <c r="L832" s="15"/>
      <c r="M832" s="15"/>
      <c r="N832" s="15"/>
      <c r="O832" s="15" t="str">
        <f>INDEX(projects[job number],MATCH(TimeEntry[[#This Row],[Project_ID]], projects[Project_ID],0))</f>
        <v>261723-02</v>
      </c>
      <c r="P832" s="15" t="str">
        <f>INDEX(projects[Project_Name],MATCH(TimeEntry[[#This Row],[Project_ID]], projects[Project_ID],0))</f>
        <v>SMP</v>
      </c>
      <c r="Q832" s="1">
        <f>IF(TimeEntry[[#This Row],[Date]]=0,"",WEEKDAY(C832,2))</f>
        <v>4</v>
      </c>
      <c r="R832" s="9">
        <f>YEAR(TimeEntry[[#This Row],[WkEnd]])</f>
        <v>2018</v>
      </c>
      <c r="S832" s="9">
        <f>WEEKNUM(TimeEntry[[#This Row],[WkEnd]])</f>
        <v>49</v>
      </c>
      <c r="T832" s="9" t="str">
        <f>TimeEntry[[#This Row],[Year]]&amp;"-"&amp;TimeEntry[[#This Row],[WkNo]]</f>
        <v>2018-49</v>
      </c>
    </row>
    <row r="833" spans="1:20" x14ac:dyDescent="0.25">
      <c r="A833" s="6">
        <f>MOD(IF(ROW()=2,0.1,IF(INDEX(TimeEntry[WkEnd],ROW()-1)  =  INDEX(TimeEntry[WkEnd],ROW()-2),    INDEX(TimeEntry[format],ROW()-2),    INDEX(TimeEntry[format],ROW()-2)    +1)),2)</f>
        <v>1.1000000000000001</v>
      </c>
      <c r="B833" s="7"/>
      <c r="C833" s="8">
        <v>43433</v>
      </c>
      <c r="D833" s="8"/>
      <c r="E833" s="1" t="s">
        <v>461</v>
      </c>
      <c r="F833" s="8">
        <f>IF(TimeEntry[[#This Row],[Date]]=0,F832,C833+(7-Q833))</f>
        <v>43436</v>
      </c>
      <c r="G833" s="35" t="str">
        <f>INDEX(projects[Charge_Code],MATCH(TimeEntry[[#This Row],[Project_ID]],projects[Project_ID],0))</f>
        <v>215526-27 CP - Assessment (01-124)</v>
      </c>
      <c r="H833" s="1" t="str">
        <f t="shared" si="22"/>
        <v>Normal Time</v>
      </c>
      <c r="I833" s="1"/>
      <c r="J833" s="15">
        <v>2.5</v>
      </c>
      <c r="K833" s="15"/>
      <c r="L833" s="15"/>
      <c r="M833" s="15"/>
      <c r="N833" s="15"/>
      <c r="O833" s="15" t="str">
        <f>INDEX(projects[job number],MATCH(TimeEntry[[#This Row],[Project_ID]], projects[Project_ID],0))</f>
        <v>215526-27</v>
      </c>
      <c r="P833" s="15" t="str">
        <f>INDEX(projects[Project_Name],MATCH(TimeEntry[[#This Row],[Project_ID]], projects[Project_ID],0))</f>
        <v>CP - Assessment</v>
      </c>
      <c r="Q833" s="1">
        <f>IF(TimeEntry[[#This Row],[Date]]=0,"",WEEKDAY(C833,2))</f>
        <v>4</v>
      </c>
      <c r="R833" s="9">
        <f>YEAR(TimeEntry[[#This Row],[WkEnd]])</f>
        <v>2018</v>
      </c>
      <c r="S833" s="9">
        <f>WEEKNUM(TimeEntry[[#This Row],[WkEnd]])</f>
        <v>49</v>
      </c>
      <c r="T833" s="9" t="str">
        <f>TimeEntry[[#This Row],[Year]]&amp;"-"&amp;TimeEntry[[#This Row],[WkNo]]</f>
        <v>2018-49</v>
      </c>
    </row>
    <row r="834" spans="1:20" x14ac:dyDescent="0.25">
      <c r="A834" s="6">
        <f>MOD(IF(ROW()=2,0.1,IF(INDEX(TimeEntry[WkEnd],ROW()-1)  =  INDEX(TimeEntry[WkEnd],ROW()-2),    INDEX(TimeEntry[format],ROW()-2),    INDEX(TimeEntry[format],ROW()-2)    +1)),2)</f>
        <v>1.1000000000000001</v>
      </c>
      <c r="B834" s="7"/>
      <c r="C834" s="8">
        <v>43434</v>
      </c>
      <c r="D834" s="8"/>
      <c r="E834" s="1" t="s">
        <v>676</v>
      </c>
      <c r="F834" s="8">
        <f>IF(TimeEntry[[#This Row],[Date]]=0,F833,C834+(7-Q834))</f>
        <v>43436</v>
      </c>
      <c r="G834" s="35" t="str">
        <f>INDEX(projects[Charge_Code],MATCH(TimeEntry[[#This Row],[Project_ID]],projects[Project_ID],0))</f>
        <v>074097-29 BCST Appraisal (01-124)</v>
      </c>
      <c r="H834" s="1" t="str">
        <f t="shared" si="22"/>
        <v>Normal Time</v>
      </c>
      <c r="I834" s="1"/>
      <c r="J834" s="15">
        <v>2</v>
      </c>
      <c r="K834" s="15"/>
      <c r="L834" s="15"/>
      <c r="M834" s="15"/>
      <c r="N834" s="15"/>
      <c r="O834" s="15" t="str">
        <f>INDEX(projects[job number],MATCH(TimeEntry[[#This Row],[Project_ID]], projects[Project_ID],0))</f>
        <v>074097-29</v>
      </c>
      <c r="P834" s="15" t="str">
        <f>INDEX(projects[Project_Name],MATCH(TimeEntry[[#This Row],[Project_ID]], projects[Project_ID],0))</f>
        <v>BCST Appraisal</v>
      </c>
      <c r="Q834" s="1">
        <f>IF(TimeEntry[[#This Row],[Date]]=0,"",WEEKDAY(C834,2))</f>
        <v>5</v>
      </c>
      <c r="R834" s="9">
        <f>YEAR(TimeEntry[[#This Row],[WkEnd]])</f>
        <v>2018</v>
      </c>
      <c r="S834" s="9">
        <f>WEEKNUM(TimeEntry[[#This Row],[WkEnd]])</f>
        <v>49</v>
      </c>
      <c r="T834" s="9" t="str">
        <f>TimeEntry[[#This Row],[Year]]&amp;"-"&amp;TimeEntry[[#This Row],[WkNo]]</f>
        <v>2018-49</v>
      </c>
    </row>
    <row r="835" spans="1:20" x14ac:dyDescent="0.25">
      <c r="A835" s="6">
        <f>MOD(IF(ROW()=2,0.1,IF(INDEX(TimeEntry[WkEnd],ROW()-1)  =  INDEX(TimeEntry[WkEnd],ROW()-2),    INDEX(TimeEntry[format],ROW()-2),    INDEX(TimeEntry[format],ROW()-2)    +1)),2)</f>
        <v>1.1000000000000001</v>
      </c>
      <c r="B835" s="7"/>
      <c r="C835" s="8">
        <v>43434</v>
      </c>
      <c r="D835" s="8"/>
      <c r="E835" s="1" t="s">
        <v>450</v>
      </c>
      <c r="F835" s="8">
        <f>IF(TimeEntry[[#This Row],[Date]]=0,F834,C835+(7-Q835))</f>
        <v>43436</v>
      </c>
      <c r="G835" s="35" t="str">
        <f>INDEX(projects[Charge_Code],MATCH(TimeEntry[[#This Row],[Project_ID]],projects[Project_ID],0))</f>
        <v>254304-96 HCC - Paul Cully (01-382)</v>
      </c>
      <c r="H835" s="1" t="str">
        <f t="shared" si="22"/>
        <v>Normal Time</v>
      </c>
      <c r="I835" s="1"/>
      <c r="J835" s="15">
        <v>3</v>
      </c>
      <c r="K835" s="15"/>
      <c r="L835" s="15"/>
      <c r="M835" s="15"/>
      <c r="N835" s="15"/>
      <c r="O835" s="15" t="str">
        <f>INDEX(projects[job number],MATCH(TimeEntry[[#This Row],[Project_ID]], projects[Project_ID],0))</f>
        <v>254304-96</v>
      </c>
      <c r="P835" s="15" t="str">
        <f>INDEX(projects[Project_Name],MATCH(TimeEntry[[#This Row],[Project_ID]], projects[Project_ID],0))</f>
        <v>HCC - Paul Cully</v>
      </c>
      <c r="Q835" s="1">
        <f>IF(TimeEntry[[#This Row],[Date]]=0,"",WEEKDAY(C835,2))</f>
        <v>5</v>
      </c>
      <c r="R835" s="9">
        <f>YEAR(TimeEntry[[#This Row],[WkEnd]])</f>
        <v>2018</v>
      </c>
      <c r="S835" s="9">
        <f>WEEKNUM(TimeEntry[[#This Row],[WkEnd]])</f>
        <v>49</v>
      </c>
      <c r="T835" s="9" t="str">
        <f>TimeEntry[[#This Row],[Year]]&amp;"-"&amp;TimeEntry[[#This Row],[WkNo]]</f>
        <v>2018-49</v>
      </c>
    </row>
    <row r="836" spans="1:20" x14ac:dyDescent="0.25">
      <c r="A836" s="6">
        <f>MOD(IF(ROW()=2,0.1,IF(INDEX(TimeEntry[WkEnd],ROW()-1)  =  INDEX(TimeEntry[WkEnd],ROW()-2),    INDEX(TimeEntry[format],ROW()-2),    INDEX(TimeEntry[format],ROW()-2)    +1)),2)</f>
        <v>1.1000000000000001</v>
      </c>
      <c r="B836" s="7"/>
      <c r="C836" s="8">
        <v>43434</v>
      </c>
      <c r="D836" s="8"/>
      <c r="E836" s="1" t="s">
        <v>448</v>
      </c>
      <c r="F836" s="8">
        <f>IF(TimeEntry[[#This Row],[Date]]=0,F835,C836+(7-Q836))</f>
        <v>43436</v>
      </c>
      <c r="G836" s="35" t="str">
        <f>INDEX(projects[Charge_Code],MATCH(TimeEntry[[#This Row],[Project_ID]],projects[Project_ID],0))</f>
        <v>246233-56 HCC - Weston Hills Tunnel (01-382)</v>
      </c>
      <c r="H836" s="1" t="str">
        <f t="shared" si="22"/>
        <v>Normal Time</v>
      </c>
      <c r="I836" s="1"/>
      <c r="J836" s="15">
        <v>2.5</v>
      </c>
      <c r="K836" s="15"/>
      <c r="L836" s="15"/>
      <c r="M836" s="15"/>
      <c r="N836" s="15"/>
      <c r="O836" s="15" t="str">
        <f>INDEX(projects[job number],MATCH(TimeEntry[[#This Row],[Project_ID]], projects[Project_ID],0))</f>
        <v>246233-56</v>
      </c>
      <c r="P836" s="15" t="str">
        <f>INDEX(projects[Project_Name],MATCH(TimeEntry[[#This Row],[Project_ID]], projects[Project_ID],0))</f>
        <v>HCC - Weston Hills Tunnel</v>
      </c>
      <c r="Q836" s="1">
        <f>IF(TimeEntry[[#This Row],[Date]]=0,"",WEEKDAY(C836,2))</f>
        <v>5</v>
      </c>
      <c r="R836" s="9">
        <f>YEAR(TimeEntry[[#This Row],[WkEnd]])</f>
        <v>2018</v>
      </c>
      <c r="S836" s="9">
        <f>WEEKNUM(TimeEntry[[#This Row],[WkEnd]])</f>
        <v>49</v>
      </c>
      <c r="T836" s="9" t="str">
        <f>TimeEntry[[#This Row],[Year]]&amp;"-"&amp;TimeEntry[[#This Row],[WkNo]]</f>
        <v>2018-49</v>
      </c>
    </row>
    <row r="837" spans="1:20" x14ac:dyDescent="0.25">
      <c r="A837" s="6">
        <f>MOD(IF(ROW()=2,0.1,IF(INDEX(TimeEntry[WkEnd],ROW()-1)  =  INDEX(TimeEntry[WkEnd],ROW()-2),    INDEX(TimeEntry[format],ROW()-2),    INDEX(TimeEntry[format],ROW()-2)    +1)),2)</f>
        <v>0.10000000000000009</v>
      </c>
      <c r="B837" s="7"/>
      <c r="C837" s="8">
        <v>43423</v>
      </c>
      <c r="D837" s="8"/>
      <c r="E837" s="1" t="s">
        <v>467</v>
      </c>
      <c r="F837" s="8">
        <f>IF(TimeEntry[[#This Row],[Date]]=0,F836,C837+(7-Q837))</f>
        <v>43429</v>
      </c>
      <c r="G837" s="35" t="str">
        <f>INDEX(projects[Charge_Code],MATCH(TimeEntry[[#This Row],[Project_ID]],projects[Project_ID],0))</f>
        <v>261723-02 SMP</v>
      </c>
      <c r="H837" s="1" t="str">
        <f t="shared" si="22"/>
        <v>Normal Time</v>
      </c>
      <c r="I837" s="1"/>
      <c r="J837" s="15">
        <v>3.75</v>
      </c>
      <c r="K837" s="15"/>
      <c r="L837" s="15"/>
      <c r="M837" s="15"/>
      <c r="N837" s="15"/>
      <c r="O837" s="15" t="str">
        <f>INDEX(projects[job number],MATCH(TimeEntry[[#This Row],[Project_ID]], projects[Project_ID],0))</f>
        <v>261723-02</v>
      </c>
      <c r="P837" s="15" t="str">
        <f>INDEX(projects[Project_Name],MATCH(TimeEntry[[#This Row],[Project_ID]], projects[Project_ID],0))</f>
        <v>SMP</v>
      </c>
      <c r="Q837" s="1">
        <f>IF(TimeEntry[[#This Row],[Date]]=0,"",WEEKDAY(C837,2))</f>
        <v>1</v>
      </c>
      <c r="R837" s="9">
        <f>YEAR(TimeEntry[[#This Row],[WkEnd]])</f>
        <v>2018</v>
      </c>
      <c r="S837" s="9">
        <f>WEEKNUM(TimeEntry[[#This Row],[WkEnd]])</f>
        <v>48</v>
      </c>
      <c r="T837" s="9" t="str">
        <f>TimeEntry[[#This Row],[Year]]&amp;"-"&amp;TimeEntry[[#This Row],[WkNo]]</f>
        <v>2018-48</v>
      </c>
    </row>
    <row r="838" spans="1:20" x14ac:dyDescent="0.25">
      <c r="A838" s="6">
        <f>MOD(IF(ROW()=2,0.1,IF(INDEX(TimeEntry[WkEnd],ROW()-1)  =  INDEX(TimeEntry[WkEnd],ROW()-2),    INDEX(TimeEntry[format],ROW()-2),    INDEX(TimeEntry[format],ROW()-2)    +1)),2)</f>
        <v>0.10000000000000009</v>
      </c>
      <c r="B838" s="7"/>
      <c r="C838" s="8">
        <v>43423</v>
      </c>
      <c r="D838" s="8"/>
      <c r="E838" s="1" t="s">
        <v>484</v>
      </c>
      <c r="F838" s="8">
        <f>IF(TimeEntry[[#This Row],[Date]]=0,F837,C838+(7-Q838))</f>
        <v>43429</v>
      </c>
      <c r="G838" s="35" t="str">
        <f>INDEX(projects[Charge_Code],MATCH(TimeEntry[[#This Row],[Project_ID]],projects[Project_ID],0))</f>
        <v>254841-07 HS2 Ph2b</v>
      </c>
      <c r="H838" s="1" t="str">
        <f t="shared" si="22"/>
        <v>Normal Time</v>
      </c>
      <c r="I838" s="1"/>
      <c r="J838" s="15">
        <v>3.75</v>
      </c>
      <c r="K838" s="15"/>
      <c r="L838" s="15"/>
      <c r="M838" s="15"/>
      <c r="N838" s="15"/>
      <c r="O838" s="15" t="str">
        <f>INDEX(projects[job number],MATCH(TimeEntry[[#This Row],[Project_ID]], projects[Project_ID],0))</f>
        <v>254841-07</v>
      </c>
      <c r="P838" s="15" t="str">
        <f>INDEX(projects[Project_Name],MATCH(TimeEntry[[#This Row],[Project_ID]], projects[Project_ID],0))</f>
        <v>HS2 Ph2b</v>
      </c>
      <c r="Q838" s="1">
        <f>IF(TimeEntry[[#This Row],[Date]]=0,"",WEEKDAY(C838,2))</f>
        <v>1</v>
      </c>
      <c r="R838" s="9">
        <f>YEAR(TimeEntry[[#This Row],[WkEnd]])</f>
        <v>2018</v>
      </c>
      <c r="S838" s="9">
        <f>WEEKNUM(TimeEntry[[#This Row],[WkEnd]])</f>
        <v>48</v>
      </c>
      <c r="T838" s="9" t="str">
        <f>TimeEntry[[#This Row],[Year]]&amp;"-"&amp;TimeEntry[[#This Row],[WkNo]]</f>
        <v>2018-48</v>
      </c>
    </row>
    <row r="839" spans="1:20" x14ac:dyDescent="0.25">
      <c r="A839" s="6">
        <f>MOD(IF(ROW()=2,0.1,IF(INDEX(TimeEntry[WkEnd],ROW()-1)  =  INDEX(TimeEntry[WkEnd],ROW()-2),    INDEX(TimeEntry[format],ROW()-2),    INDEX(TimeEntry[format],ROW()-2)    +1)),2)</f>
        <v>0.10000000000000009</v>
      </c>
      <c r="B839" s="7"/>
      <c r="C839" s="8">
        <v>43424</v>
      </c>
      <c r="D839" s="8"/>
      <c r="E839" s="1" t="s">
        <v>484</v>
      </c>
      <c r="F839" s="8">
        <f>IF(TimeEntry[[#This Row],[Date]]=0,F838,C839+(7-Q839))</f>
        <v>43429</v>
      </c>
      <c r="G839" s="35" t="str">
        <f>INDEX(projects[Charge_Code],MATCH(TimeEntry[[#This Row],[Project_ID]],projects[Project_ID],0))</f>
        <v>254841-07 HS2 Ph2b</v>
      </c>
      <c r="H839" s="1" t="str">
        <f t="shared" si="22"/>
        <v>Normal Time</v>
      </c>
      <c r="I839" s="1"/>
      <c r="J839" s="15">
        <v>7.5</v>
      </c>
      <c r="K839" s="15"/>
      <c r="L839" s="15"/>
      <c r="M839" s="15"/>
      <c r="N839" s="15"/>
      <c r="O839" s="15" t="str">
        <f>INDEX(projects[job number],MATCH(TimeEntry[[#This Row],[Project_ID]], projects[Project_ID],0))</f>
        <v>254841-07</v>
      </c>
      <c r="P839" s="15" t="str">
        <f>INDEX(projects[Project_Name],MATCH(TimeEntry[[#This Row],[Project_ID]], projects[Project_ID],0))</f>
        <v>HS2 Ph2b</v>
      </c>
      <c r="Q839" s="1">
        <f>IF(TimeEntry[[#This Row],[Date]]=0,"",WEEKDAY(C839,2))</f>
        <v>2</v>
      </c>
      <c r="R839" s="9">
        <f>YEAR(TimeEntry[[#This Row],[WkEnd]])</f>
        <v>2018</v>
      </c>
      <c r="S839" s="9">
        <f>WEEKNUM(TimeEntry[[#This Row],[WkEnd]])</f>
        <v>48</v>
      </c>
      <c r="T839" s="9" t="str">
        <f>TimeEntry[[#This Row],[Year]]&amp;"-"&amp;TimeEntry[[#This Row],[WkNo]]</f>
        <v>2018-48</v>
      </c>
    </row>
    <row r="840" spans="1:20" x14ac:dyDescent="0.25">
      <c r="A840" s="6">
        <f>MOD(IF(ROW()=2,0.1,IF(INDEX(TimeEntry[WkEnd],ROW()-1)  =  INDEX(TimeEntry[WkEnd],ROW()-2),    INDEX(TimeEntry[format],ROW()-2),    INDEX(TimeEntry[format],ROW()-2)    +1)),2)</f>
        <v>0.10000000000000009</v>
      </c>
      <c r="B840" s="7"/>
      <c r="C840" s="8">
        <v>43424</v>
      </c>
      <c r="D840" s="8"/>
      <c r="E840" s="1" t="s">
        <v>482</v>
      </c>
      <c r="F840" s="8">
        <f>IF(TimeEntry[[#This Row],[Date]]=0,F839,C840+(7-Q840))</f>
        <v>43429</v>
      </c>
      <c r="G840" s="35" t="str">
        <f>INDEX(projects[Charge_Code],MATCH(TimeEntry[[#This Row],[Project_ID]],projects[Project_ID],0))</f>
        <v>074103-30 Engagement cohort</v>
      </c>
      <c r="H840" s="1" t="str">
        <f t="shared" ref="H840:H879" si="23">"Normal Time"</f>
        <v>Normal Time</v>
      </c>
      <c r="I840" s="1"/>
      <c r="J840" s="15">
        <v>0</v>
      </c>
      <c r="K840" s="15"/>
      <c r="L840" s="15"/>
      <c r="M840" s="15"/>
      <c r="N840" s="15"/>
      <c r="O840" s="15" t="str">
        <f>INDEX(projects[job number],MATCH(TimeEntry[[#This Row],[Project_ID]], projects[Project_ID],0))</f>
        <v>074103-30</v>
      </c>
      <c r="P840" s="15" t="str">
        <f>INDEX(projects[Project_Name],MATCH(TimeEntry[[#This Row],[Project_ID]], projects[Project_ID],0))</f>
        <v>Engagement cohort</v>
      </c>
      <c r="Q840" s="1">
        <f>IF(TimeEntry[[#This Row],[Date]]=0,"",WEEKDAY(C840,2))</f>
        <v>2</v>
      </c>
      <c r="R840" s="9">
        <f>YEAR(TimeEntry[[#This Row],[WkEnd]])</f>
        <v>2018</v>
      </c>
      <c r="S840" s="9">
        <f>WEEKNUM(TimeEntry[[#This Row],[WkEnd]])</f>
        <v>48</v>
      </c>
      <c r="T840" s="9" t="str">
        <f>TimeEntry[[#This Row],[Year]]&amp;"-"&amp;TimeEntry[[#This Row],[WkNo]]</f>
        <v>2018-48</v>
      </c>
    </row>
    <row r="841" spans="1:20" x14ac:dyDescent="0.25">
      <c r="A841" s="6">
        <f>MOD(IF(ROW()=2,0.1,IF(INDEX(TimeEntry[WkEnd],ROW()-1)  =  INDEX(TimeEntry[WkEnd],ROW()-2),    INDEX(TimeEntry[format],ROW()-2),    INDEX(TimeEntry[format],ROW()-2)    +1)),2)</f>
        <v>0.10000000000000009</v>
      </c>
      <c r="B841" s="7"/>
      <c r="C841" s="8">
        <v>43424</v>
      </c>
      <c r="D841" s="8"/>
      <c r="E841" s="1" t="s">
        <v>677</v>
      </c>
      <c r="F841" s="8">
        <f>IF(TimeEntry[[#This Row],[Date]]=0,F840,C841+(7-Q841))</f>
        <v>43429</v>
      </c>
      <c r="G841" s="35" t="str">
        <f>INDEX(projects[Charge_Code],MATCH(TimeEntry[[#This Row],[Project_ID]],projects[Project_ID],0))</f>
        <v>074097-30 LEADERSHIP &amp; MANAGEMENT CC124 (01-124)</v>
      </c>
      <c r="H841" s="1" t="str">
        <f t="shared" si="23"/>
        <v>Normal Time</v>
      </c>
      <c r="I841" s="1"/>
      <c r="J841" s="15">
        <v>0</v>
      </c>
      <c r="K841" s="15"/>
      <c r="L841" s="15"/>
      <c r="M841" s="15"/>
      <c r="N841" s="15"/>
      <c r="O841" s="15" t="str">
        <f>INDEX(projects[job number],MATCH(TimeEntry[[#This Row],[Project_ID]], projects[Project_ID],0))</f>
        <v>074097-30</v>
      </c>
      <c r="P841" s="15" t="str">
        <f>INDEX(projects[Project_Name],MATCH(TimeEntry[[#This Row],[Project_ID]], projects[Project_ID],0))</f>
        <v>LEADERSHIP &amp; MANAGEMENT CC124</v>
      </c>
      <c r="Q841" s="1">
        <f>IF(TimeEntry[[#This Row],[Date]]=0,"",WEEKDAY(C841,2))</f>
        <v>2</v>
      </c>
      <c r="R841" s="9">
        <f>YEAR(TimeEntry[[#This Row],[WkEnd]])</f>
        <v>2018</v>
      </c>
      <c r="S841" s="9">
        <f>WEEKNUM(TimeEntry[[#This Row],[WkEnd]])</f>
        <v>48</v>
      </c>
      <c r="T841" s="9" t="str">
        <f>TimeEntry[[#This Row],[Year]]&amp;"-"&amp;TimeEntry[[#This Row],[WkNo]]</f>
        <v>2018-48</v>
      </c>
    </row>
    <row r="842" spans="1:20" x14ac:dyDescent="0.25">
      <c r="A842" s="6">
        <f>MOD(IF(ROW()=2,0.1,IF(INDEX(TimeEntry[WkEnd],ROW()-1)  =  INDEX(TimeEntry[WkEnd],ROW()-2),    INDEX(TimeEntry[format],ROW()-2),    INDEX(TimeEntry[format],ROW()-2)    +1)),2)</f>
        <v>0.10000000000000009</v>
      </c>
      <c r="B842" s="7"/>
      <c r="C842" s="8">
        <v>43425</v>
      </c>
      <c r="D842" s="8"/>
      <c r="E842" s="1" t="s">
        <v>479</v>
      </c>
      <c r="F842" s="8">
        <f>IF(TimeEntry[[#This Row],[Date]]=0,F841,C842+(7-Q842))</f>
        <v>43429</v>
      </c>
      <c r="G842" s="35" t="str">
        <f>INDEX(projects[Charge_Code],MATCH(TimeEntry[[#This Row],[Project_ID]],projects[Project_ID],0))</f>
        <v>254304-79 HCC - Nursery Ln (01-382)</v>
      </c>
      <c r="H842" s="1" t="str">
        <f t="shared" si="23"/>
        <v>Normal Time</v>
      </c>
      <c r="I842" s="1"/>
      <c r="J842" s="15">
        <v>7.5</v>
      </c>
      <c r="K842" s="15"/>
      <c r="L842" s="15"/>
      <c r="M842" s="15"/>
      <c r="N842" s="15"/>
      <c r="O842" s="15" t="str">
        <f>INDEX(projects[job number],MATCH(TimeEntry[[#This Row],[Project_ID]], projects[Project_ID],0))</f>
        <v>254304-79</v>
      </c>
      <c r="P842" s="15" t="str">
        <f>INDEX(projects[Project_Name],MATCH(TimeEntry[[#This Row],[Project_ID]], projects[Project_ID],0))</f>
        <v>HCC - Nursery Ln</v>
      </c>
      <c r="Q842" s="1">
        <f>IF(TimeEntry[[#This Row],[Date]]=0,"",WEEKDAY(C842,2))</f>
        <v>3</v>
      </c>
      <c r="R842" s="9">
        <f>YEAR(TimeEntry[[#This Row],[WkEnd]])</f>
        <v>2018</v>
      </c>
      <c r="S842" s="9">
        <f>WEEKNUM(TimeEntry[[#This Row],[WkEnd]])</f>
        <v>48</v>
      </c>
      <c r="T842" s="9" t="str">
        <f>TimeEntry[[#This Row],[Year]]&amp;"-"&amp;TimeEntry[[#This Row],[WkNo]]</f>
        <v>2018-48</v>
      </c>
    </row>
    <row r="843" spans="1:20" x14ac:dyDescent="0.25">
      <c r="A843" s="6">
        <f>MOD(IF(ROW()=2,0.1,IF(INDEX(TimeEntry[WkEnd],ROW()-1)  =  INDEX(TimeEntry[WkEnd],ROW()-2),    INDEX(TimeEntry[format],ROW()-2),    INDEX(TimeEntry[format],ROW()-2)    +1)),2)</f>
        <v>0.10000000000000009</v>
      </c>
      <c r="B843" s="7"/>
      <c r="C843" s="8">
        <v>43426</v>
      </c>
      <c r="D843" s="8"/>
      <c r="E843" s="1" t="s">
        <v>676</v>
      </c>
      <c r="F843" s="8">
        <f>IF(TimeEntry[[#This Row],[Date]]=0,F842,C843+(7-Q843))</f>
        <v>43429</v>
      </c>
      <c r="G843" s="35" t="str">
        <f>INDEX(projects[Charge_Code],MATCH(TimeEntry[[#This Row],[Project_ID]],projects[Project_ID],0))</f>
        <v>074097-29 BCST Appraisal (01-124)</v>
      </c>
      <c r="H843" s="1" t="str">
        <f t="shared" si="23"/>
        <v>Normal Time</v>
      </c>
      <c r="I843" s="1"/>
      <c r="J843" s="15">
        <v>2</v>
      </c>
      <c r="K843" s="15"/>
      <c r="L843" s="15"/>
      <c r="M843" s="15"/>
      <c r="N843" s="15"/>
      <c r="O843" s="15" t="str">
        <f>INDEX(projects[job number],MATCH(TimeEntry[[#This Row],[Project_ID]], projects[Project_ID],0))</f>
        <v>074097-29</v>
      </c>
      <c r="P843" s="15" t="str">
        <f>INDEX(projects[Project_Name],MATCH(TimeEntry[[#This Row],[Project_ID]], projects[Project_ID],0))</f>
        <v>BCST Appraisal</v>
      </c>
      <c r="Q843" s="1">
        <f>IF(TimeEntry[[#This Row],[Date]]=0,"",WEEKDAY(C843,2))</f>
        <v>4</v>
      </c>
      <c r="R843" s="9">
        <f>YEAR(TimeEntry[[#This Row],[WkEnd]])</f>
        <v>2018</v>
      </c>
      <c r="S843" s="9">
        <f>WEEKNUM(TimeEntry[[#This Row],[WkEnd]])</f>
        <v>48</v>
      </c>
      <c r="T843" s="9" t="str">
        <f>TimeEntry[[#This Row],[Year]]&amp;"-"&amp;TimeEntry[[#This Row],[WkNo]]</f>
        <v>2018-48</v>
      </c>
    </row>
    <row r="844" spans="1:20" x14ac:dyDescent="0.25">
      <c r="A844" s="6">
        <f>MOD(IF(ROW()=2,0.1,IF(INDEX(TimeEntry[WkEnd],ROW()-1)  =  INDEX(TimeEntry[WkEnd],ROW()-2),    INDEX(TimeEntry[format],ROW()-2),    INDEX(TimeEntry[format],ROW()-2)    +1)),2)</f>
        <v>0.10000000000000009</v>
      </c>
      <c r="B844" s="7"/>
      <c r="C844" s="8">
        <v>43426</v>
      </c>
      <c r="D844" s="8"/>
      <c r="E844" s="1" t="s">
        <v>482</v>
      </c>
      <c r="F844" s="8">
        <f>IF(TimeEntry[[#This Row],[Date]]=0,F843,C844+(7-Q844))</f>
        <v>43429</v>
      </c>
      <c r="G844" s="35" t="str">
        <f>INDEX(projects[Charge_Code],MATCH(TimeEntry[[#This Row],[Project_ID]],projects[Project_ID],0))</f>
        <v>074103-30 Engagement cohort</v>
      </c>
      <c r="H844" s="1" t="str">
        <f t="shared" si="23"/>
        <v>Normal Time</v>
      </c>
      <c r="I844" s="1"/>
      <c r="J844" s="15">
        <v>3</v>
      </c>
      <c r="K844" s="15"/>
      <c r="L844" s="15"/>
      <c r="M844" s="15"/>
      <c r="N844" s="15"/>
      <c r="O844" s="15" t="str">
        <f>INDEX(projects[job number],MATCH(TimeEntry[[#This Row],[Project_ID]], projects[Project_ID],0))</f>
        <v>074103-30</v>
      </c>
      <c r="P844" s="15" t="str">
        <f>INDEX(projects[Project_Name],MATCH(TimeEntry[[#This Row],[Project_ID]], projects[Project_ID],0))</f>
        <v>Engagement cohort</v>
      </c>
      <c r="Q844" s="1">
        <f>IF(TimeEntry[[#This Row],[Date]]=0,"",WEEKDAY(C844,2))</f>
        <v>4</v>
      </c>
      <c r="R844" s="9">
        <f>YEAR(TimeEntry[[#This Row],[WkEnd]])</f>
        <v>2018</v>
      </c>
      <c r="S844" s="9">
        <f>WEEKNUM(TimeEntry[[#This Row],[WkEnd]])</f>
        <v>48</v>
      </c>
      <c r="T844" s="9" t="str">
        <f>TimeEntry[[#This Row],[Year]]&amp;"-"&amp;TimeEntry[[#This Row],[WkNo]]</f>
        <v>2018-48</v>
      </c>
    </row>
    <row r="845" spans="1:20" x14ac:dyDescent="0.25">
      <c r="A845" s="6">
        <f>MOD(IF(ROW()=2,0.1,IF(INDEX(TimeEntry[WkEnd],ROW()-1)  =  INDEX(TimeEntry[WkEnd],ROW()-2),    INDEX(TimeEntry[format],ROW()-2),    INDEX(TimeEntry[format],ROW()-2)    +1)),2)</f>
        <v>0.10000000000000009</v>
      </c>
      <c r="B845" s="7"/>
      <c r="C845" s="8">
        <v>43426</v>
      </c>
      <c r="D845" s="8"/>
      <c r="E845" s="1" t="s">
        <v>479</v>
      </c>
      <c r="F845" s="8">
        <f>IF(TimeEntry[[#This Row],[Date]]=0,F844,C845+(7-Q845))</f>
        <v>43429</v>
      </c>
      <c r="G845" s="35" t="str">
        <f>INDEX(projects[Charge_Code],MATCH(TimeEntry[[#This Row],[Project_ID]],projects[Project_ID],0))</f>
        <v>254304-79 HCC - Nursery Ln (01-382)</v>
      </c>
      <c r="H845" s="1" t="str">
        <f t="shared" si="23"/>
        <v>Normal Time</v>
      </c>
      <c r="I845" s="1"/>
      <c r="J845" s="15">
        <v>2.5</v>
      </c>
      <c r="K845" s="15"/>
      <c r="L845" s="15"/>
      <c r="M845" s="15"/>
      <c r="N845" s="15"/>
      <c r="O845" s="15" t="str">
        <f>INDEX(projects[job number],MATCH(TimeEntry[[#This Row],[Project_ID]], projects[Project_ID],0))</f>
        <v>254304-79</v>
      </c>
      <c r="P845" s="15" t="str">
        <f>INDEX(projects[Project_Name],MATCH(TimeEntry[[#This Row],[Project_ID]], projects[Project_ID],0))</f>
        <v>HCC - Nursery Ln</v>
      </c>
      <c r="Q845" s="1">
        <f>IF(TimeEntry[[#This Row],[Date]]=0,"",WEEKDAY(C845,2))</f>
        <v>4</v>
      </c>
      <c r="R845" s="9">
        <f>YEAR(TimeEntry[[#This Row],[WkEnd]])</f>
        <v>2018</v>
      </c>
      <c r="S845" s="9">
        <f>WEEKNUM(TimeEntry[[#This Row],[WkEnd]])</f>
        <v>48</v>
      </c>
      <c r="T845" s="9" t="str">
        <f>TimeEntry[[#This Row],[Year]]&amp;"-"&amp;TimeEntry[[#This Row],[WkNo]]</f>
        <v>2018-48</v>
      </c>
    </row>
    <row r="846" spans="1:20" x14ac:dyDescent="0.25">
      <c r="A846" s="6">
        <f>MOD(IF(ROW()=2,0.1,IF(INDEX(TimeEntry[WkEnd],ROW()-1)  =  INDEX(TimeEntry[WkEnd],ROW()-2),    INDEX(TimeEntry[format],ROW()-2),    INDEX(TimeEntry[format],ROW()-2)    +1)),2)</f>
        <v>0.10000000000000009</v>
      </c>
      <c r="B846" s="7"/>
      <c r="C846" s="8">
        <v>43427</v>
      </c>
      <c r="D846" s="8"/>
      <c r="E846" s="1" t="s">
        <v>675</v>
      </c>
      <c r="F846" s="8">
        <f>IF(TimeEntry[[#This Row],[Date]]=0,F845,C846+(7-Q846))</f>
        <v>43429</v>
      </c>
      <c r="G846" s="35" t="str">
        <f>INDEX(projects[Charge_Code],MATCH(TimeEntry[[#This Row],[Project_ID]],projects[Project_ID],0))</f>
        <v>071945-07 BCS - promotional</v>
      </c>
      <c r="H846" s="1" t="str">
        <f t="shared" si="23"/>
        <v>Normal Time</v>
      </c>
      <c r="I846" s="1"/>
      <c r="J846" s="15">
        <v>2</v>
      </c>
      <c r="K846" s="15"/>
      <c r="L846" s="15"/>
      <c r="M846" s="15"/>
      <c r="N846" s="15"/>
      <c r="O846" s="15" t="str">
        <f>INDEX(projects[job number],MATCH(TimeEntry[[#This Row],[Project_ID]], projects[Project_ID],0))</f>
        <v>071945-07</v>
      </c>
      <c r="P846" s="15" t="str">
        <f>INDEX(projects[Project_Name],MATCH(TimeEntry[[#This Row],[Project_ID]], projects[Project_ID],0))</f>
        <v>BCS - promotional</v>
      </c>
      <c r="Q846" s="1">
        <f>IF(TimeEntry[[#This Row],[Date]]=0,"",WEEKDAY(C846,2))</f>
        <v>5</v>
      </c>
      <c r="R846" s="9">
        <f>YEAR(TimeEntry[[#This Row],[WkEnd]])</f>
        <v>2018</v>
      </c>
      <c r="S846" s="9">
        <f>WEEKNUM(TimeEntry[[#This Row],[WkEnd]])</f>
        <v>48</v>
      </c>
      <c r="T846" s="9" t="str">
        <f>TimeEntry[[#This Row],[Year]]&amp;"-"&amp;TimeEntry[[#This Row],[WkNo]]</f>
        <v>2018-48</v>
      </c>
    </row>
    <row r="847" spans="1:20" x14ac:dyDescent="0.25">
      <c r="A847" s="6">
        <f>MOD(IF(ROW()=2,0.1,IF(INDEX(TimeEntry[WkEnd],ROW()-1)  =  INDEX(TimeEntry[WkEnd],ROW()-2),    INDEX(TimeEntry[format],ROW()-2),    INDEX(TimeEntry[format],ROW()-2)    +1)),2)</f>
        <v>0.10000000000000009</v>
      </c>
      <c r="B847" s="7"/>
      <c r="C847" s="8">
        <v>43427</v>
      </c>
      <c r="D847" s="8"/>
      <c r="E847" s="1" t="s">
        <v>675</v>
      </c>
      <c r="F847" s="8">
        <f>IF(TimeEntry[[#This Row],[Date]]=0,F846,C847+(7-Q847))</f>
        <v>43429</v>
      </c>
      <c r="G847" s="35" t="str">
        <f>INDEX(projects[Charge_Code],MATCH(TimeEntry[[#This Row],[Project_ID]],projects[Project_ID],0))</f>
        <v>071945-07 BCS - promotional</v>
      </c>
      <c r="H847" s="1" t="str">
        <f t="shared" si="23"/>
        <v>Normal Time</v>
      </c>
      <c r="I847" s="1"/>
      <c r="J847" s="15">
        <v>1</v>
      </c>
      <c r="K847" s="15"/>
      <c r="L847" s="15"/>
      <c r="M847" s="15"/>
      <c r="N847" s="15"/>
      <c r="O847" s="15" t="str">
        <f>INDEX(projects[job number],MATCH(TimeEntry[[#This Row],[Project_ID]], projects[Project_ID],0))</f>
        <v>071945-07</v>
      </c>
      <c r="P847" s="15" t="str">
        <f>INDEX(projects[Project_Name],MATCH(TimeEntry[[#This Row],[Project_ID]], projects[Project_ID],0))</f>
        <v>BCS - promotional</v>
      </c>
      <c r="Q847" s="1">
        <f>IF(TimeEntry[[#This Row],[Date]]=0,"",WEEKDAY(C847,2))</f>
        <v>5</v>
      </c>
      <c r="R847" s="9">
        <f>YEAR(TimeEntry[[#This Row],[WkEnd]])</f>
        <v>2018</v>
      </c>
      <c r="S847" s="9">
        <f>WEEKNUM(TimeEntry[[#This Row],[WkEnd]])</f>
        <v>48</v>
      </c>
      <c r="T847" s="9" t="str">
        <f>TimeEntry[[#This Row],[Year]]&amp;"-"&amp;TimeEntry[[#This Row],[WkNo]]</f>
        <v>2018-48</v>
      </c>
    </row>
    <row r="848" spans="1:20" x14ac:dyDescent="0.25">
      <c r="A848" s="6">
        <f>MOD(IF(ROW()=2,0.1,IF(INDEX(TimeEntry[WkEnd],ROW()-1)  =  INDEX(TimeEntry[WkEnd],ROW()-2),    INDEX(TimeEntry[format],ROW()-2),    INDEX(TimeEntry[format],ROW()-2)    +1)),2)</f>
        <v>0.10000000000000009</v>
      </c>
      <c r="B848" s="7"/>
      <c r="C848" s="8">
        <v>43427</v>
      </c>
      <c r="D848" s="8"/>
      <c r="E848" s="1" t="s">
        <v>482</v>
      </c>
      <c r="F848" s="8">
        <f>IF(TimeEntry[[#This Row],[Date]]=0,F847,C848+(7-Q848))</f>
        <v>43429</v>
      </c>
      <c r="G848" s="35" t="str">
        <f>INDEX(projects[Charge_Code],MATCH(TimeEntry[[#This Row],[Project_ID]],projects[Project_ID],0))</f>
        <v>074103-30 Engagement cohort</v>
      </c>
      <c r="H848" s="1" t="str">
        <f t="shared" si="23"/>
        <v>Normal Time</v>
      </c>
      <c r="I848" s="1"/>
      <c r="J848" s="15">
        <v>1</v>
      </c>
      <c r="K848" s="15"/>
      <c r="L848" s="15"/>
      <c r="M848" s="15"/>
      <c r="N848" s="15"/>
      <c r="O848" s="15" t="str">
        <f>INDEX(projects[job number],MATCH(TimeEntry[[#This Row],[Project_ID]], projects[Project_ID],0))</f>
        <v>074103-30</v>
      </c>
      <c r="P848" s="15" t="str">
        <f>INDEX(projects[Project_Name],MATCH(TimeEntry[[#This Row],[Project_ID]], projects[Project_ID],0))</f>
        <v>Engagement cohort</v>
      </c>
      <c r="Q848" s="1">
        <f>IF(TimeEntry[[#This Row],[Date]]=0,"",WEEKDAY(C848,2))</f>
        <v>5</v>
      </c>
      <c r="R848" s="9">
        <f>YEAR(TimeEntry[[#This Row],[WkEnd]])</f>
        <v>2018</v>
      </c>
      <c r="S848" s="9">
        <f>WEEKNUM(TimeEntry[[#This Row],[WkEnd]])</f>
        <v>48</v>
      </c>
      <c r="T848" s="9" t="str">
        <f>TimeEntry[[#This Row],[Year]]&amp;"-"&amp;TimeEntry[[#This Row],[WkNo]]</f>
        <v>2018-48</v>
      </c>
    </row>
    <row r="849" spans="1:20" x14ac:dyDescent="0.25">
      <c r="A849" s="6">
        <f>MOD(IF(ROW()=2,0.1,IF(INDEX(TimeEntry[WkEnd],ROW()-1)  =  INDEX(TimeEntry[WkEnd],ROW()-2),    INDEX(TimeEntry[format],ROW()-2),    INDEX(TimeEntry[format],ROW()-2)    +1)),2)</f>
        <v>0.10000000000000009</v>
      </c>
      <c r="B849" s="7"/>
      <c r="C849" s="8">
        <v>43427</v>
      </c>
      <c r="D849" s="8"/>
      <c r="E849" s="1" t="s">
        <v>479</v>
      </c>
      <c r="F849" s="8">
        <f>IF(TimeEntry[[#This Row],[Date]]=0,F848,C849+(7-Q849))</f>
        <v>43429</v>
      </c>
      <c r="G849" s="35" t="str">
        <f>INDEX(projects[Charge_Code],MATCH(TimeEntry[[#This Row],[Project_ID]],projects[Project_ID],0))</f>
        <v>254304-79 HCC - Nursery Ln (01-382)</v>
      </c>
      <c r="H849" s="1" t="str">
        <f t="shared" si="23"/>
        <v>Normal Time</v>
      </c>
      <c r="I849" s="1"/>
      <c r="J849" s="15">
        <v>3.5</v>
      </c>
      <c r="K849" s="15"/>
      <c r="L849" s="15"/>
      <c r="M849" s="15"/>
      <c r="N849" s="15"/>
      <c r="O849" s="15" t="str">
        <f>INDEX(projects[job number],MATCH(TimeEntry[[#This Row],[Project_ID]], projects[Project_ID],0))</f>
        <v>254304-79</v>
      </c>
      <c r="P849" s="15" t="str">
        <f>INDEX(projects[Project_Name],MATCH(TimeEntry[[#This Row],[Project_ID]], projects[Project_ID],0))</f>
        <v>HCC - Nursery Ln</v>
      </c>
      <c r="Q849" s="1">
        <f>IF(TimeEntry[[#This Row],[Date]]=0,"",WEEKDAY(C849,2))</f>
        <v>5</v>
      </c>
      <c r="R849" s="9">
        <f>YEAR(TimeEntry[[#This Row],[WkEnd]])</f>
        <v>2018</v>
      </c>
      <c r="S849" s="9">
        <f>WEEKNUM(TimeEntry[[#This Row],[WkEnd]])</f>
        <v>48</v>
      </c>
      <c r="T849" s="9" t="str">
        <f>TimeEntry[[#This Row],[Year]]&amp;"-"&amp;TimeEntry[[#This Row],[WkNo]]</f>
        <v>2018-48</v>
      </c>
    </row>
    <row r="850" spans="1:20" x14ac:dyDescent="0.25">
      <c r="A850" s="6">
        <f>MOD(IF(ROW()=2,0.1,IF(INDEX(TimeEntry[WkEnd],ROW()-1)  =  INDEX(TimeEntry[WkEnd],ROW()-2),    INDEX(TimeEntry[format],ROW()-2),    INDEX(TimeEntry[format],ROW()-2)    +1)),2)</f>
        <v>1.1000000000000001</v>
      </c>
      <c r="B850" s="7"/>
      <c r="C850" s="8">
        <v>43416</v>
      </c>
      <c r="D850" s="8"/>
      <c r="E850" s="1" t="s">
        <v>675</v>
      </c>
      <c r="F850" s="8">
        <f>IF(TimeEntry[[#This Row],[Date]]=0,F849,C850+(7-Q850))</f>
        <v>43422</v>
      </c>
      <c r="G850" s="35" t="str">
        <f>INDEX(projects[Charge_Code],MATCH(TimeEntry[[#This Row],[Project_ID]],projects[Project_ID],0))</f>
        <v>071945-07 BCS - promotional</v>
      </c>
      <c r="H850" s="1" t="str">
        <f t="shared" si="23"/>
        <v>Normal Time</v>
      </c>
      <c r="I850" s="1"/>
      <c r="J850" s="15">
        <v>1</v>
      </c>
      <c r="K850" s="15"/>
      <c r="L850" s="15"/>
      <c r="M850" s="15"/>
      <c r="N850" s="15"/>
      <c r="O850" s="15" t="str">
        <f>INDEX(projects[job number],MATCH(TimeEntry[[#This Row],[Project_ID]], projects[Project_ID],0))</f>
        <v>071945-07</v>
      </c>
      <c r="P850" s="15" t="str">
        <f>INDEX(projects[Project_Name],MATCH(TimeEntry[[#This Row],[Project_ID]], projects[Project_ID],0))</f>
        <v>BCS - promotional</v>
      </c>
      <c r="Q850" s="1">
        <f>IF(TimeEntry[[#This Row],[Date]]=0,"",WEEKDAY(C850,2))</f>
        <v>1</v>
      </c>
      <c r="R850" s="9">
        <f>YEAR(TimeEntry[[#This Row],[WkEnd]])</f>
        <v>2018</v>
      </c>
      <c r="S850" s="9">
        <f>WEEKNUM(TimeEntry[[#This Row],[WkEnd]])</f>
        <v>47</v>
      </c>
      <c r="T850" s="9" t="str">
        <f>TimeEntry[[#This Row],[Year]]&amp;"-"&amp;TimeEntry[[#This Row],[WkNo]]</f>
        <v>2018-47</v>
      </c>
    </row>
    <row r="851" spans="1:20" x14ac:dyDescent="0.25">
      <c r="A851" s="6">
        <f>MOD(IF(ROW()=2,0.1,IF(INDEX(TimeEntry[WkEnd],ROW()-1)  =  INDEX(TimeEntry[WkEnd],ROW()-2),    INDEX(TimeEntry[format],ROW()-2),    INDEX(TimeEntry[format],ROW()-2)    +1)),2)</f>
        <v>1.1000000000000001</v>
      </c>
      <c r="B851" s="7"/>
      <c r="C851" s="8">
        <v>43416</v>
      </c>
      <c r="D851" s="8"/>
      <c r="E851" s="1" t="s">
        <v>461</v>
      </c>
      <c r="F851" s="8">
        <f>IF(TimeEntry[[#This Row],[Date]]=0,F850,C851+(7-Q851))</f>
        <v>43422</v>
      </c>
      <c r="G851" s="35" t="str">
        <f>INDEX(projects[Charge_Code],MATCH(TimeEntry[[#This Row],[Project_ID]],projects[Project_ID],0))</f>
        <v>215526-27 CP - Assessment (01-124)</v>
      </c>
      <c r="H851" s="1" t="str">
        <f t="shared" si="23"/>
        <v>Normal Time</v>
      </c>
      <c r="I851" s="1"/>
      <c r="J851" s="15">
        <v>2</v>
      </c>
      <c r="K851" s="15"/>
      <c r="L851" s="15"/>
      <c r="M851" s="15"/>
      <c r="N851" s="15"/>
      <c r="O851" s="15" t="str">
        <f>INDEX(projects[job number],MATCH(TimeEntry[[#This Row],[Project_ID]], projects[Project_ID],0))</f>
        <v>215526-27</v>
      </c>
      <c r="P851" s="15" t="str">
        <f>INDEX(projects[Project_Name],MATCH(TimeEntry[[#This Row],[Project_ID]], projects[Project_ID],0))</f>
        <v>CP - Assessment</v>
      </c>
      <c r="Q851" s="1">
        <f>IF(TimeEntry[[#This Row],[Date]]=0,"",WEEKDAY(C851,2))</f>
        <v>1</v>
      </c>
      <c r="R851" s="9">
        <f>YEAR(TimeEntry[[#This Row],[WkEnd]])</f>
        <v>2018</v>
      </c>
      <c r="S851" s="9">
        <f>WEEKNUM(TimeEntry[[#This Row],[WkEnd]])</f>
        <v>47</v>
      </c>
      <c r="T851" s="9" t="str">
        <f>TimeEntry[[#This Row],[Year]]&amp;"-"&amp;TimeEntry[[#This Row],[WkNo]]</f>
        <v>2018-47</v>
      </c>
    </row>
    <row r="852" spans="1:20" x14ac:dyDescent="0.25">
      <c r="A852" s="6">
        <f>MOD(IF(ROW()=2,0.1,IF(INDEX(TimeEntry[WkEnd],ROW()-1)  =  INDEX(TimeEntry[WkEnd],ROW()-2),    INDEX(TimeEntry[format],ROW()-2),    INDEX(TimeEntry[format],ROW()-2)    +1)),2)</f>
        <v>1.1000000000000001</v>
      </c>
      <c r="B852" s="7"/>
      <c r="C852" s="8">
        <v>43416</v>
      </c>
      <c r="D852" s="8"/>
      <c r="E852" s="1" t="s">
        <v>482</v>
      </c>
      <c r="F852" s="8">
        <f>IF(TimeEntry[[#This Row],[Date]]=0,F851,C852+(7-Q852))</f>
        <v>43422</v>
      </c>
      <c r="G852" s="35" t="str">
        <f>INDEX(projects[Charge_Code],MATCH(TimeEntry[[#This Row],[Project_ID]],projects[Project_ID],0))</f>
        <v>074103-30 Engagement cohort</v>
      </c>
      <c r="H852" s="1" t="str">
        <f t="shared" si="23"/>
        <v>Normal Time</v>
      </c>
      <c r="I852" s="1"/>
      <c r="J852" s="15">
        <v>1</v>
      </c>
      <c r="K852" s="15"/>
      <c r="L852" s="15"/>
      <c r="M852" s="15"/>
      <c r="N852" s="15"/>
      <c r="O852" s="15" t="str">
        <f>INDEX(projects[job number],MATCH(TimeEntry[[#This Row],[Project_ID]], projects[Project_ID],0))</f>
        <v>074103-30</v>
      </c>
      <c r="P852" s="15" t="str">
        <f>INDEX(projects[Project_Name],MATCH(TimeEntry[[#This Row],[Project_ID]], projects[Project_ID],0))</f>
        <v>Engagement cohort</v>
      </c>
      <c r="Q852" s="1">
        <f>IF(TimeEntry[[#This Row],[Date]]=0,"",WEEKDAY(C852,2))</f>
        <v>1</v>
      </c>
      <c r="R852" s="9">
        <f>YEAR(TimeEntry[[#This Row],[WkEnd]])</f>
        <v>2018</v>
      </c>
      <c r="S852" s="9">
        <f>WEEKNUM(TimeEntry[[#This Row],[WkEnd]])</f>
        <v>47</v>
      </c>
      <c r="T852" s="9" t="str">
        <f>TimeEntry[[#This Row],[Year]]&amp;"-"&amp;TimeEntry[[#This Row],[WkNo]]</f>
        <v>2018-47</v>
      </c>
    </row>
    <row r="853" spans="1:20" x14ac:dyDescent="0.25">
      <c r="A853" s="6">
        <f>MOD(IF(ROW()=2,0.1,IF(INDEX(TimeEntry[WkEnd],ROW()-1)  =  INDEX(TimeEntry[WkEnd],ROW()-2),    INDEX(TimeEntry[format],ROW()-2),    INDEX(TimeEntry[format],ROW()-2)    +1)),2)</f>
        <v>1.1000000000000001</v>
      </c>
      <c r="B853" s="7"/>
      <c r="C853" s="8">
        <v>43416</v>
      </c>
      <c r="D853" s="8"/>
      <c r="E853" s="1" t="s">
        <v>471</v>
      </c>
      <c r="F853" s="8">
        <f>IF(TimeEntry[[#This Row],[Date]]=0,F852,C853+(7-Q853))</f>
        <v>43422</v>
      </c>
      <c r="G853" s="35" t="str">
        <f>INDEX(projects[Charge_Code],MATCH(TimeEntry[[#This Row],[Project_ID]],projects[Project_ID],0))</f>
        <v>264744-00 WLW</v>
      </c>
      <c r="H853" s="1" t="str">
        <f t="shared" si="23"/>
        <v>Normal Time</v>
      </c>
      <c r="I853" s="1"/>
      <c r="J853" s="15">
        <v>3.5</v>
      </c>
      <c r="K853" s="15"/>
      <c r="L853" s="15"/>
      <c r="M853" s="15"/>
      <c r="N853" s="15"/>
      <c r="O853" s="15" t="str">
        <f>INDEX(projects[job number],MATCH(TimeEntry[[#This Row],[Project_ID]], projects[Project_ID],0))</f>
        <v>264744-00</v>
      </c>
      <c r="P853" s="15" t="str">
        <f>INDEX(projects[Project_Name],MATCH(TimeEntry[[#This Row],[Project_ID]], projects[Project_ID],0))</f>
        <v>WLW</v>
      </c>
      <c r="Q853" s="1">
        <f>IF(TimeEntry[[#This Row],[Date]]=0,"",WEEKDAY(C853,2))</f>
        <v>1</v>
      </c>
      <c r="R853" s="9">
        <f>YEAR(TimeEntry[[#This Row],[WkEnd]])</f>
        <v>2018</v>
      </c>
      <c r="S853" s="9">
        <f>WEEKNUM(TimeEntry[[#This Row],[WkEnd]])</f>
        <v>47</v>
      </c>
      <c r="T853" s="9" t="str">
        <f>TimeEntry[[#This Row],[Year]]&amp;"-"&amp;TimeEntry[[#This Row],[WkNo]]</f>
        <v>2018-47</v>
      </c>
    </row>
    <row r="854" spans="1:20" x14ac:dyDescent="0.25">
      <c r="A854" s="6">
        <f>MOD(IF(ROW()=2,0.1,IF(INDEX(TimeEntry[WkEnd],ROW()-1)  =  INDEX(TimeEntry[WkEnd],ROW()-2),    INDEX(TimeEntry[format],ROW()-2),    INDEX(TimeEntry[format],ROW()-2)    +1)),2)</f>
        <v>1.1000000000000001</v>
      </c>
      <c r="B854" s="7"/>
      <c r="C854" s="8">
        <v>43417</v>
      </c>
      <c r="D854" s="8"/>
      <c r="E854" s="1" t="s">
        <v>467</v>
      </c>
      <c r="F854" s="8">
        <f>IF(TimeEntry[[#This Row],[Date]]=0,F853,C854+(7-Q854))</f>
        <v>43422</v>
      </c>
      <c r="G854" s="35" t="str">
        <f>INDEX(projects[Charge_Code],MATCH(TimeEntry[[#This Row],[Project_ID]],projects[Project_ID],0))</f>
        <v>261723-02 SMP</v>
      </c>
      <c r="H854" s="1" t="str">
        <f t="shared" si="23"/>
        <v>Normal Time</v>
      </c>
      <c r="I854" s="1"/>
      <c r="J854" s="15">
        <v>3.75</v>
      </c>
      <c r="K854" s="15"/>
      <c r="L854" s="15"/>
      <c r="M854" s="15"/>
      <c r="N854" s="15"/>
      <c r="O854" s="15" t="str">
        <f>INDEX(projects[job number],MATCH(TimeEntry[[#This Row],[Project_ID]], projects[Project_ID],0))</f>
        <v>261723-02</v>
      </c>
      <c r="P854" s="15" t="str">
        <f>INDEX(projects[Project_Name],MATCH(TimeEntry[[#This Row],[Project_ID]], projects[Project_ID],0))</f>
        <v>SMP</v>
      </c>
      <c r="Q854" s="1">
        <f>IF(TimeEntry[[#This Row],[Date]]=0,"",WEEKDAY(C854,2))</f>
        <v>2</v>
      </c>
      <c r="R854" s="9">
        <f>YEAR(TimeEntry[[#This Row],[WkEnd]])</f>
        <v>2018</v>
      </c>
      <c r="S854" s="9">
        <f>WEEKNUM(TimeEntry[[#This Row],[WkEnd]])</f>
        <v>47</v>
      </c>
      <c r="T854" s="9" t="str">
        <f>TimeEntry[[#This Row],[Year]]&amp;"-"&amp;TimeEntry[[#This Row],[WkNo]]</f>
        <v>2018-47</v>
      </c>
    </row>
    <row r="855" spans="1:20" x14ac:dyDescent="0.25">
      <c r="A855" s="6">
        <f>MOD(IF(ROW()=2,0.1,IF(INDEX(TimeEntry[WkEnd],ROW()-1)  =  INDEX(TimeEntry[WkEnd],ROW()-2),    INDEX(TimeEntry[format],ROW()-2),    INDEX(TimeEntry[format],ROW()-2)    +1)),2)</f>
        <v>1.1000000000000001</v>
      </c>
      <c r="B855" s="7"/>
      <c r="C855" s="8">
        <v>43417</v>
      </c>
      <c r="D855" s="8"/>
      <c r="E855" s="1" t="s">
        <v>677</v>
      </c>
      <c r="F855" s="8">
        <f>IF(TimeEntry[[#This Row],[Date]]=0,F854,C855+(7-Q855))</f>
        <v>43422</v>
      </c>
      <c r="G855" s="35" t="str">
        <f>INDEX(projects[Charge_Code],MATCH(TimeEntry[[#This Row],[Project_ID]],projects[Project_ID],0))</f>
        <v>074097-30 LEADERSHIP &amp; MANAGEMENT CC124 (01-124)</v>
      </c>
      <c r="H855" s="1" t="str">
        <f t="shared" si="23"/>
        <v>Normal Time</v>
      </c>
      <c r="I855" s="1"/>
      <c r="J855" s="15">
        <v>3.75</v>
      </c>
      <c r="K855" s="15"/>
      <c r="L855" s="15"/>
      <c r="M855" s="15"/>
      <c r="N855" s="15"/>
      <c r="O855" s="15" t="str">
        <f>INDEX(projects[job number],MATCH(TimeEntry[[#This Row],[Project_ID]], projects[Project_ID],0))</f>
        <v>074097-30</v>
      </c>
      <c r="P855" s="15" t="str">
        <f>INDEX(projects[Project_Name],MATCH(TimeEntry[[#This Row],[Project_ID]], projects[Project_ID],0))</f>
        <v>LEADERSHIP &amp; MANAGEMENT CC124</v>
      </c>
      <c r="Q855" s="1">
        <f>IF(TimeEntry[[#This Row],[Date]]=0,"",WEEKDAY(C855,2))</f>
        <v>2</v>
      </c>
      <c r="R855" s="9">
        <f>YEAR(TimeEntry[[#This Row],[WkEnd]])</f>
        <v>2018</v>
      </c>
      <c r="S855" s="9">
        <f>WEEKNUM(TimeEntry[[#This Row],[WkEnd]])</f>
        <v>47</v>
      </c>
      <c r="T855" s="9" t="str">
        <f>TimeEntry[[#This Row],[Year]]&amp;"-"&amp;TimeEntry[[#This Row],[WkNo]]</f>
        <v>2018-47</v>
      </c>
    </row>
    <row r="856" spans="1:20" x14ac:dyDescent="0.25">
      <c r="A856" s="6">
        <f>MOD(IF(ROW()=2,0.1,IF(INDEX(TimeEntry[WkEnd],ROW()-1)  =  INDEX(TimeEntry[WkEnd],ROW()-2),    INDEX(TimeEntry[format],ROW()-2),    INDEX(TimeEntry[format],ROW()-2)    +1)),2)</f>
        <v>1.1000000000000001</v>
      </c>
      <c r="B856" s="7"/>
      <c r="C856" s="8">
        <v>43418</v>
      </c>
      <c r="D856" s="8"/>
      <c r="E856" s="1" t="s">
        <v>471</v>
      </c>
      <c r="F856" s="8">
        <f>IF(TimeEntry[[#This Row],[Date]]=0,F855,C856+(7-Q856))</f>
        <v>43422</v>
      </c>
      <c r="G856" s="35" t="str">
        <f>INDEX(projects[Charge_Code],MATCH(TimeEntry[[#This Row],[Project_ID]],projects[Project_ID],0))</f>
        <v>264744-00 WLW</v>
      </c>
      <c r="H856" s="1" t="str">
        <f t="shared" si="23"/>
        <v>Normal Time</v>
      </c>
      <c r="I856" s="1"/>
      <c r="J856" s="15">
        <v>7.5</v>
      </c>
      <c r="K856" s="15"/>
      <c r="L856" s="15"/>
      <c r="M856" s="15"/>
      <c r="N856" s="15"/>
      <c r="O856" s="15" t="str">
        <f>INDEX(projects[job number],MATCH(TimeEntry[[#This Row],[Project_ID]], projects[Project_ID],0))</f>
        <v>264744-00</v>
      </c>
      <c r="P856" s="15" t="str">
        <f>INDEX(projects[Project_Name],MATCH(TimeEntry[[#This Row],[Project_ID]], projects[Project_ID],0))</f>
        <v>WLW</v>
      </c>
      <c r="Q856" s="1">
        <f>IF(TimeEntry[[#This Row],[Date]]=0,"",WEEKDAY(C856,2))</f>
        <v>3</v>
      </c>
      <c r="R856" s="9">
        <f>YEAR(TimeEntry[[#This Row],[WkEnd]])</f>
        <v>2018</v>
      </c>
      <c r="S856" s="9">
        <f>WEEKNUM(TimeEntry[[#This Row],[WkEnd]])</f>
        <v>47</v>
      </c>
      <c r="T856" s="9" t="str">
        <f>TimeEntry[[#This Row],[Year]]&amp;"-"&amp;TimeEntry[[#This Row],[WkNo]]</f>
        <v>2018-47</v>
      </c>
    </row>
    <row r="857" spans="1:20" x14ac:dyDescent="0.25">
      <c r="A857" s="6">
        <f>MOD(IF(ROW()=2,0.1,IF(INDEX(TimeEntry[WkEnd],ROW()-1)  =  INDEX(TimeEntry[WkEnd],ROW()-2),    INDEX(TimeEntry[format],ROW()-2),    INDEX(TimeEntry[format],ROW()-2)    +1)),2)</f>
        <v>1.1000000000000001</v>
      </c>
      <c r="B857" s="7"/>
      <c r="C857" s="8">
        <v>43419</v>
      </c>
      <c r="D857" s="8"/>
      <c r="E857" s="1" t="s">
        <v>471</v>
      </c>
      <c r="F857" s="8">
        <f>IF(TimeEntry[[#This Row],[Date]]=0,F856,C857+(7-Q857))</f>
        <v>43422</v>
      </c>
      <c r="G857" s="35" t="str">
        <f>INDEX(projects[Charge_Code],MATCH(TimeEntry[[#This Row],[Project_ID]],projects[Project_ID],0))</f>
        <v>264744-00 WLW</v>
      </c>
      <c r="H857" s="1" t="str">
        <f t="shared" si="23"/>
        <v>Normal Time</v>
      </c>
      <c r="I857" s="1"/>
      <c r="J857" s="15">
        <v>7.5</v>
      </c>
      <c r="K857" s="15"/>
      <c r="L857" s="15"/>
      <c r="M857" s="15"/>
      <c r="N857" s="15"/>
      <c r="O857" s="15" t="str">
        <f>INDEX(projects[job number],MATCH(TimeEntry[[#This Row],[Project_ID]], projects[Project_ID],0))</f>
        <v>264744-00</v>
      </c>
      <c r="P857" s="15" t="str">
        <f>INDEX(projects[Project_Name],MATCH(TimeEntry[[#This Row],[Project_ID]], projects[Project_ID],0))</f>
        <v>WLW</v>
      </c>
      <c r="Q857" s="1">
        <f>IF(TimeEntry[[#This Row],[Date]]=0,"",WEEKDAY(C857,2))</f>
        <v>4</v>
      </c>
      <c r="R857" s="9">
        <f>YEAR(TimeEntry[[#This Row],[WkEnd]])</f>
        <v>2018</v>
      </c>
      <c r="S857" s="9">
        <f>WEEKNUM(TimeEntry[[#This Row],[WkEnd]])</f>
        <v>47</v>
      </c>
      <c r="T857" s="9" t="str">
        <f>TimeEntry[[#This Row],[Year]]&amp;"-"&amp;TimeEntry[[#This Row],[WkNo]]</f>
        <v>2018-47</v>
      </c>
    </row>
    <row r="858" spans="1:20" x14ac:dyDescent="0.25">
      <c r="A858" s="6">
        <f>MOD(IF(ROW()=2,0.1,IF(INDEX(TimeEntry[WkEnd],ROW()-1)  =  INDEX(TimeEntry[WkEnd],ROW()-2),    INDEX(TimeEntry[format],ROW()-2),    INDEX(TimeEntry[format],ROW()-2)    +1)),2)</f>
        <v>1.1000000000000001</v>
      </c>
      <c r="B858" s="7"/>
      <c r="C858" s="8">
        <v>43420</v>
      </c>
      <c r="D858" s="8"/>
      <c r="E858" s="1" t="s">
        <v>675</v>
      </c>
      <c r="F858" s="8">
        <f>IF(TimeEntry[[#This Row],[Date]]=0,F857,C858+(7-Q858))</f>
        <v>43422</v>
      </c>
      <c r="G858" s="35" t="str">
        <f>INDEX(projects[Charge_Code],MATCH(TimeEntry[[#This Row],[Project_ID]],projects[Project_ID],0))</f>
        <v>071945-07 BCS - promotional</v>
      </c>
      <c r="H858" s="1" t="str">
        <f t="shared" si="23"/>
        <v>Normal Time</v>
      </c>
      <c r="I858" s="1"/>
      <c r="J858" s="15">
        <v>2</v>
      </c>
      <c r="K858" s="15"/>
      <c r="L858" s="15"/>
      <c r="M858" s="15"/>
      <c r="N858" s="15"/>
      <c r="O858" s="15" t="str">
        <f>INDEX(projects[job number],MATCH(TimeEntry[[#This Row],[Project_ID]], projects[Project_ID],0))</f>
        <v>071945-07</v>
      </c>
      <c r="P858" s="15" t="str">
        <f>INDEX(projects[Project_Name],MATCH(TimeEntry[[#This Row],[Project_ID]], projects[Project_ID],0))</f>
        <v>BCS - promotional</v>
      </c>
      <c r="Q858" s="1">
        <f>IF(TimeEntry[[#This Row],[Date]]=0,"",WEEKDAY(C858,2))</f>
        <v>5</v>
      </c>
      <c r="R858" s="9">
        <f>YEAR(TimeEntry[[#This Row],[WkEnd]])</f>
        <v>2018</v>
      </c>
      <c r="S858" s="9">
        <f>WEEKNUM(TimeEntry[[#This Row],[WkEnd]])</f>
        <v>47</v>
      </c>
      <c r="T858" s="9" t="str">
        <f>TimeEntry[[#This Row],[Year]]&amp;"-"&amp;TimeEntry[[#This Row],[WkNo]]</f>
        <v>2018-47</v>
      </c>
    </row>
    <row r="859" spans="1:20" x14ac:dyDescent="0.25">
      <c r="A859" s="6">
        <f>MOD(IF(ROW()=2,0.1,IF(INDEX(TimeEntry[WkEnd],ROW()-1)  =  INDEX(TimeEntry[WkEnd],ROW()-2),    INDEX(TimeEntry[format],ROW()-2),    INDEX(TimeEntry[format],ROW()-2)    +1)),2)</f>
        <v>1.1000000000000001</v>
      </c>
      <c r="B859" s="7"/>
      <c r="C859" s="8">
        <v>43420</v>
      </c>
      <c r="D859" s="8"/>
      <c r="E859" s="1" t="s">
        <v>461</v>
      </c>
      <c r="F859" s="8">
        <f>IF(TimeEntry[[#This Row],[Date]]=0,F858,C859+(7-Q859))</f>
        <v>43422</v>
      </c>
      <c r="G859" s="35" t="str">
        <f>INDEX(projects[Charge_Code],MATCH(TimeEntry[[#This Row],[Project_ID]],projects[Project_ID],0))</f>
        <v>215526-27 CP - Assessment (01-124)</v>
      </c>
      <c r="H859" s="1" t="str">
        <f t="shared" si="23"/>
        <v>Normal Time</v>
      </c>
      <c r="I859" s="1"/>
      <c r="J859" s="15">
        <v>5.5</v>
      </c>
      <c r="K859" s="15"/>
      <c r="L859" s="15"/>
      <c r="M859" s="15"/>
      <c r="N859" s="15"/>
      <c r="O859" s="15" t="str">
        <f>INDEX(projects[job number],MATCH(TimeEntry[[#This Row],[Project_ID]], projects[Project_ID],0))</f>
        <v>215526-27</v>
      </c>
      <c r="P859" s="15" t="str">
        <f>INDEX(projects[Project_Name],MATCH(TimeEntry[[#This Row],[Project_ID]], projects[Project_ID],0))</f>
        <v>CP - Assessment</v>
      </c>
      <c r="Q859" s="1">
        <f>IF(TimeEntry[[#This Row],[Date]]=0,"",WEEKDAY(C859,2))</f>
        <v>5</v>
      </c>
      <c r="R859" s="9">
        <f>YEAR(TimeEntry[[#This Row],[WkEnd]])</f>
        <v>2018</v>
      </c>
      <c r="S859" s="9">
        <f>WEEKNUM(TimeEntry[[#This Row],[WkEnd]])</f>
        <v>47</v>
      </c>
      <c r="T859" s="9" t="str">
        <f>TimeEntry[[#This Row],[Year]]&amp;"-"&amp;TimeEntry[[#This Row],[WkNo]]</f>
        <v>2018-47</v>
      </c>
    </row>
    <row r="860" spans="1:20" x14ac:dyDescent="0.25">
      <c r="A860" s="6">
        <f>MOD(IF(ROW()=2,0.1,IF(INDEX(TimeEntry[WkEnd],ROW()-1)  =  INDEX(TimeEntry[WkEnd],ROW()-2),    INDEX(TimeEntry[format],ROW()-2),    INDEX(TimeEntry[format],ROW()-2)    +1)),2)</f>
        <v>0.10000000000000009</v>
      </c>
      <c r="B860" s="7"/>
      <c r="C860" s="8">
        <v>43409</v>
      </c>
      <c r="D860" s="8"/>
      <c r="E860" s="1" t="s">
        <v>467</v>
      </c>
      <c r="F860" s="8">
        <f>IF(TimeEntry[[#This Row],[Date]]=0,F859,C860+(7-Q860))</f>
        <v>43415</v>
      </c>
      <c r="G860" s="35" t="str">
        <f>INDEX(projects[Charge_Code],MATCH(TimeEntry[[#This Row],[Project_ID]],projects[Project_ID],0))</f>
        <v>261723-02 SMP</v>
      </c>
      <c r="H860" s="1" t="str">
        <f t="shared" si="23"/>
        <v>Normal Time</v>
      </c>
      <c r="I860" s="1"/>
      <c r="J860" s="15">
        <v>1.25</v>
      </c>
      <c r="K860" s="15"/>
      <c r="L860" s="15"/>
      <c r="M860" s="15"/>
      <c r="N860" s="15"/>
      <c r="O860" s="15" t="str">
        <f>INDEX(projects[job number],MATCH(TimeEntry[[#This Row],[Project_ID]], projects[Project_ID],0))</f>
        <v>261723-02</v>
      </c>
      <c r="P860" s="15" t="str">
        <f>INDEX(projects[Project_Name],MATCH(TimeEntry[[#This Row],[Project_ID]], projects[Project_ID],0))</f>
        <v>SMP</v>
      </c>
      <c r="Q860" s="1">
        <f>IF(TimeEntry[[#This Row],[Date]]=0,"",WEEKDAY(C860,2))</f>
        <v>1</v>
      </c>
      <c r="R860" s="9">
        <f>YEAR(TimeEntry[[#This Row],[WkEnd]])</f>
        <v>2018</v>
      </c>
      <c r="S860" s="9">
        <f>WEEKNUM(TimeEntry[[#This Row],[WkEnd]])</f>
        <v>46</v>
      </c>
      <c r="T860" s="9" t="str">
        <f>TimeEntry[[#This Row],[Year]]&amp;"-"&amp;TimeEntry[[#This Row],[WkNo]]</f>
        <v>2018-46</v>
      </c>
    </row>
    <row r="861" spans="1:20" x14ac:dyDescent="0.25">
      <c r="A861" s="6">
        <f>MOD(IF(ROW()=2,0.1,IF(INDEX(TimeEntry[WkEnd],ROW()-1)  =  INDEX(TimeEntry[WkEnd],ROW()-2),    INDEX(TimeEntry[format],ROW()-2),    INDEX(TimeEntry[format],ROW()-2)    +1)),2)</f>
        <v>0.10000000000000009</v>
      </c>
      <c r="B861" s="7"/>
      <c r="C861" s="8">
        <v>43409</v>
      </c>
      <c r="D861" s="8"/>
      <c r="E861" s="1" t="s">
        <v>467</v>
      </c>
      <c r="F861" s="8">
        <f>IF(TimeEntry[[#This Row],[Date]]=0,F860,C861+(7-Q861))</f>
        <v>43415</v>
      </c>
      <c r="G861" s="35" t="str">
        <f>INDEX(projects[Charge_Code],MATCH(TimeEntry[[#This Row],[Project_ID]],projects[Project_ID],0))</f>
        <v>261723-02 SMP</v>
      </c>
      <c r="H861" s="1" t="str">
        <f t="shared" si="23"/>
        <v>Normal Time</v>
      </c>
      <c r="I861" s="1"/>
      <c r="J861" s="15">
        <v>2.5</v>
      </c>
      <c r="K861" s="15"/>
      <c r="L861" s="15"/>
      <c r="M861" s="15"/>
      <c r="N861" s="15"/>
      <c r="O861" s="15" t="str">
        <f>INDEX(projects[job number],MATCH(TimeEntry[[#This Row],[Project_ID]], projects[Project_ID],0))</f>
        <v>261723-02</v>
      </c>
      <c r="P861" s="15" t="str">
        <f>INDEX(projects[Project_Name],MATCH(TimeEntry[[#This Row],[Project_ID]], projects[Project_ID],0))</f>
        <v>SMP</v>
      </c>
      <c r="Q861" s="1">
        <f>IF(TimeEntry[[#This Row],[Date]]=0,"",WEEKDAY(C861,2))</f>
        <v>1</v>
      </c>
      <c r="R861" s="9">
        <f>YEAR(TimeEntry[[#This Row],[WkEnd]])</f>
        <v>2018</v>
      </c>
      <c r="S861" s="9">
        <f>WEEKNUM(TimeEntry[[#This Row],[WkEnd]])</f>
        <v>46</v>
      </c>
      <c r="T861" s="9" t="str">
        <f>TimeEntry[[#This Row],[Year]]&amp;"-"&amp;TimeEntry[[#This Row],[WkNo]]</f>
        <v>2018-46</v>
      </c>
    </row>
    <row r="862" spans="1:20" x14ac:dyDescent="0.25">
      <c r="A862" s="6">
        <f>MOD(IF(ROW()=2,0.1,IF(INDEX(TimeEntry[WkEnd],ROW()-1)  =  INDEX(TimeEntry[WkEnd],ROW()-2),    INDEX(TimeEntry[format],ROW()-2),    INDEX(TimeEntry[format],ROW()-2)    +1)),2)</f>
        <v>0.10000000000000009</v>
      </c>
      <c r="B862" s="7"/>
      <c r="C862" s="8">
        <v>43409</v>
      </c>
      <c r="D862" s="8"/>
      <c r="E862" s="1" t="s">
        <v>444</v>
      </c>
      <c r="F862" s="8">
        <f>IF(TimeEntry[[#This Row],[Date]]=0,F861,C862+(7-Q862))</f>
        <v>43415</v>
      </c>
      <c r="G862" s="35" t="str">
        <f>INDEX(projects[Charge_Code],MATCH(TimeEntry[[#This Row],[Project_ID]],projects[Project_ID],0))</f>
        <v>LEAVE</v>
      </c>
      <c r="H862" s="1" t="str">
        <f t="shared" si="23"/>
        <v>Normal Time</v>
      </c>
      <c r="I862" s="1"/>
      <c r="J862" s="15">
        <v>3.75</v>
      </c>
      <c r="K862" s="15"/>
      <c r="L862" s="15"/>
      <c r="M862" s="15"/>
      <c r="N862" s="15"/>
      <c r="O862" s="15" t="str">
        <f>INDEX(projects[job number],MATCH(TimeEntry[[#This Row],[Project_ID]], projects[Project_ID],0))</f>
        <v>LEAVE</v>
      </c>
      <c r="P862" s="15">
        <f>INDEX(projects[Project_Name],MATCH(TimeEntry[[#This Row],[Project_ID]], projects[Project_ID],0))</f>
        <v>0</v>
      </c>
      <c r="Q862" s="1">
        <f>IF(TimeEntry[[#This Row],[Date]]=0,"",WEEKDAY(C862,2))</f>
        <v>1</v>
      </c>
      <c r="R862" s="9">
        <f>YEAR(TimeEntry[[#This Row],[WkEnd]])</f>
        <v>2018</v>
      </c>
      <c r="S862" s="9">
        <f>WEEKNUM(TimeEntry[[#This Row],[WkEnd]])</f>
        <v>46</v>
      </c>
      <c r="T862" s="9" t="str">
        <f>TimeEntry[[#This Row],[Year]]&amp;"-"&amp;TimeEntry[[#This Row],[WkNo]]</f>
        <v>2018-46</v>
      </c>
    </row>
    <row r="863" spans="1:20" x14ac:dyDescent="0.25">
      <c r="A863" s="6">
        <f>MOD(IF(ROW()=2,0.1,IF(INDEX(TimeEntry[WkEnd],ROW()-1)  =  INDEX(TimeEntry[WkEnd],ROW()-2),    INDEX(TimeEntry[format],ROW()-2),    INDEX(TimeEntry[format],ROW()-2)    +1)),2)</f>
        <v>0.10000000000000009</v>
      </c>
      <c r="B863" s="7"/>
      <c r="C863" s="8">
        <v>43410</v>
      </c>
      <c r="D863" s="8"/>
      <c r="E863" s="1" t="s">
        <v>467</v>
      </c>
      <c r="F863" s="8">
        <f>IF(TimeEntry[[#This Row],[Date]]=0,F862,C863+(7-Q863))</f>
        <v>43415</v>
      </c>
      <c r="G863" s="35" t="str">
        <f>INDEX(projects[Charge_Code],MATCH(TimeEntry[[#This Row],[Project_ID]],projects[Project_ID],0))</f>
        <v>261723-02 SMP</v>
      </c>
      <c r="H863" s="1" t="str">
        <f t="shared" si="23"/>
        <v>Normal Time</v>
      </c>
      <c r="I863" s="1"/>
      <c r="J863" s="15">
        <v>7.5</v>
      </c>
      <c r="K863" s="15"/>
      <c r="L863" s="15"/>
      <c r="M863" s="15"/>
      <c r="N863" s="15"/>
      <c r="O863" s="15" t="str">
        <f>INDEX(projects[job number],MATCH(TimeEntry[[#This Row],[Project_ID]], projects[Project_ID],0))</f>
        <v>261723-02</v>
      </c>
      <c r="P863" s="15" t="str">
        <f>INDEX(projects[Project_Name],MATCH(TimeEntry[[#This Row],[Project_ID]], projects[Project_ID],0))</f>
        <v>SMP</v>
      </c>
      <c r="Q863" s="1">
        <f>IF(TimeEntry[[#This Row],[Date]]=0,"",WEEKDAY(C863,2))</f>
        <v>2</v>
      </c>
      <c r="R863" s="9">
        <f>YEAR(TimeEntry[[#This Row],[WkEnd]])</f>
        <v>2018</v>
      </c>
      <c r="S863" s="9">
        <f>WEEKNUM(TimeEntry[[#This Row],[WkEnd]])</f>
        <v>46</v>
      </c>
      <c r="T863" s="9" t="str">
        <f>TimeEntry[[#This Row],[Year]]&amp;"-"&amp;TimeEntry[[#This Row],[WkNo]]</f>
        <v>2018-46</v>
      </c>
    </row>
    <row r="864" spans="1:20" x14ac:dyDescent="0.25">
      <c r="A864" s="6">
        <f>MOD(IF(ROW()=2,0.1,IF(INDEX(TimeEntry[WkEnd],ROW()-1)  =  INDEX(TimeEntry[WkEnd],ROW()-2),    INDEX(TimeEntry[format],ROW()-2),    INDEX(TimeEntry[format],ROW()-2)    +1)),2)</f>
        <v>0.10000000000000009</v>
      </c>
      <c r="B864" s="7"/>
      <c r="C864" s="8">
        <v>43411</v>
      </c>
      <c r="D864" s="8"/>
      <c r="E864" s="1" t="s">
        <v>471</v>
      </c>
      <c r="F864" s="8">
        <f>IF(TimeEntry[[#This Row],[Date]]=0,F863,C864+(7-Q864))</f>
        <v>43415</v>
      </c>
      <c r="G864" s="35" t="str">
        <f>INDEX(projects[Charge_Code],MATCH(TimeEntry[[#This Row],[Project_ID]],projects[Project_ID],0))</f>
        <v>264744-00 WLW</v>
      </c>
      <c r="H864" s="1" t="str">
        <f t="shared" si="23"/>
        <v>Normal Time</v>
      </c>
      <c r="I864" s="1"/>
      <c r="J864" s="15">
        <v>3</v>
      </c>
      <c r="K864" s="15"/>
      <c r="L864" s="15"/>
      <c r="M864" s="15"/>
      <c r="N864" s="15"/>
      <c r="O864" s="15" t="str">
        <f>INDEX(projects[job number],MATCH(TimeEntry[[#This Row],[Project_ID]], projects[Project_ID],0))</f>
        <v>264744-00</v>
      </c>
      <c r="P864" s="15" t="str">
        <f>INDEX(projects[Project_Name],MATCH(TimeEntry[[#This Row],[Project_ID]], projects[Project_ID],0))</f>
        <v>WLW</v>
      </c>
      <c r="Q864" s="1">
        <f>IF(TimeEntry[[#This Row],[Date]]=0,"",WEEKDAY(C864,2))</f>
        <v>3</v>
      </c>
      <c r="R864" s="9">
        <f>YEAR(TimeEntry[[#This Row],[WkEnd]])</f>
        <v>2018</v>
      </c>
      <c r="S864" s="9">
        <f>WEEKNUM(TimeEntry[[#This Row],[WkEnd]])</f>
        <v>46</v>
      </c>
      <c r="T864" s="9" t="str">
        <f>TimeEntry[[#This Row],[Year]]&amp;"-"&amp;TimeEntry[[#This Row],[WkNo]]</f>
        <v>2018-46</v>
      </c>
    </row>
    <row r="865" spans="1:20" x14ac:dyDescent="0.25">
      <c r="A865" s="6">
        <f>MOD(IF(ROW()=2,0.1,IF(INDEX(TimeEntry[WkEnd],ROW()-1)  =  INDEX(TimeEntry[WkEnd],ROW()-2),    INDEX(TimeEntry[format],ROW()-2),    INDEX(TimeEntry[format],ROW()-2)    +1)),2)</f>
        <v>0.10000000000000009</v>
      </c>
      <c r="B865" s="7"/>
      <c r="C865" s="8">
        <v>43411</v>
      </c>
      <c r="D865" s="8"/>
      <c r="E865" s="1" t="s">
        <v>463</v>
      </c>
      <c r="F865" s="8">
        <f>IF(TimeEntry[[#This Row],[Date]]=0,F864,C865+(7-Q865))</f>
        <v>43415</v>
      </c>
      <c r="G865" s="35" t="str">
        <f>INDEX(projects[Charge_Code],MATCH(TimeEntry[[#This Row],[Project_ID]],projects[Project_ID],0))</f>
        <v>262218-08 CAFA</v>
      </c>
      <c r="H865" s="1" t="str">
        <f t="shared" si="23"/>
        <v>Normal Time</v>
      </c>
      <c r="I865" s="1"/>
      <c r="J865" s="15">
        <v>1</v>
      </c>
      <c r="K865" s="15"/>
      <c r="L865" s="15"/>
      <c r="M865" s="15"/>
      <c r="N865" s="15"/>
      <c r="O865" s="15" t="str">
        <f>INDEX(projects[job number],MATCH(TimeEntry[[#This Row],[Project_ID]], projects[Project_ID],0))</f>
        <v>262218-08</v>
      </c>
      <c r="P865" s="15" t="str">
        <f>INDEX(projects[Project_Name],MATCH(TimeEntry[[#This Row],[Project_ID]], projects[Project_ID],0))</f>
        <v>CAFA</v>
      </c>
      <c r="Q865" s="1">
        <f>IF(TimeEntry[[#This Row],[Date]]=0,"",WEEKDAY(C865,2))</f>
        <v>3</v>
      </c>
      <c r="R865" s="9">
        <f>YEAR(TimeEntry[[#This Row],[WkEnd]])</f>
        <v>2018</v>
      </c>
      <c r="S865" s="9">
        <f>WEEKNUM(TimeEntry[[#This Row],[WkEnd]])</f>
        <v>46</v>
      </c>
      <c r="T865" s="9" t="str">
        <f>TimeEntry[[#This Row],[Year]]&amp;"-"&amp;TimeEntry[[#This Row],[WkNo]]</f>
        <v>2018-46</v>
      </c>
    </row>
    <row r="866" spans="1:20" x14ac:dyDescent="0.25">
      <c r="A866" s="6">
        <f>MOD(IF(ROW()=2,0.1,IF(INDEX(TimeEntry[WkEnd],ROW()-1)  =  INDEX(TimeEntry[WkEnd],ROW()-2),    INDEX(TimeEntry[format],ROW()-2),    INDEX(TimeEntry[format],ROW()-2)    +1)),2)</f>
        <v>0.10000000000000009</v>
      </c>
      <c r="B866" s="7"/>
      <c r="C866" s="8">
        <v>43411</v>
      </c>
      <c r="D866" s="8"/>
      <c r="E866" s="1" t="s">
        <v>463</v>
      </c>
      <c r="F866" s="8">
        <f>IF(TimeEntry[[#This Row],[Date]]=0,F865,C866+(7-Q866))</f>
        <v>43415</v>
      </c>
      <c r="G866" s="35" t="str">
        <f>INDEX(projects[Charge_Code],MATCH(TimeEntry[[#This Row],[Project_ID]],projects[Project_ID],0))</f>
        <v>262218-08 CAFA</v>
      </c>
      <c r="H866" s="1" t="str">
        <f t="shared" si="23"/>
        <v>Normal Time</v>
      </c>
      <c r="I866" s="1"/>
      <c r="J866" s="15">
        <v>3.5</v>
      </c>
      <c r="K866" s="15"/>
      <c r="L866" s="15"/>
      <c r="M866" s="15"/>
      <c r="N866" s="15"/>
      <c r="O866" s="15" t="str">
        <f>INDEX(projects[job number],MATCH(TimeEntry[[#This Row],[Project_ID]], projects[Project_ID],0))</f>
        <v>262218-08</v>
      </c>
      <c r="P866" s="15" t="str">
        <f>INDEX(projects[Project_Name],MATCH(TimeEntry[[#This Row],[Project_ID]], projects[Project_ID],0))</f>
        <v>CAFA</v>
      </c>
      <c r="Q866" s="1">
        <f>IF(TimeEntry[[#This Row],[Date]]=0,"",WEEKDAY(C866,2))</f>
        <v>3</v>
      </c>
      <c r="R866" s="9">
        <f>YEAR(TimeEntry[[#This Row],[WkEnd]])</f>
        <v>2018</v>
      </c>
      <c r="S866" s="9">
        <f>WEEKNUM(TimeEntry[[#This Row],[WkEnd]])</f>
        <v>46</v>
      </c>
      <c r="T866" s="9" t="str">
        <f>TimeEntry[[#This Row],[Year]]&amp;"-"&amp;TimeEntry[[#This Row],[WkNo]]</f>
        <v>2018-46</v>
      </c>
    </row>
    <row r="867" spans="1:20" x14ac:dyDescent="0.25">
      <c r="A867" s="6">
        <f>MOD(IF(ROW()=2,0.1,IF(INDEX(TimeEntry[WkEnd],ROW()-1)  =  INDEX(TimeEntry[WkEnd],ROW()-2),    INDEX(TimeEntry[format],ROW()-2),    INDEX(TimeEntry[format],ROW()-2)    +1)),2)</f>
        <v>0.10000000000000009</v>
      </c>
      <c r="B867" s="10"/>
      <c r="C867" s="11">
        <v>43412</v>
      </c>
      <c r="D867" s="11"/>
      <c r="E867" s="1" t="s">
        <v>471</v>
      </c>
      <c r="F867" s="8">
        <f>IF(TimeEntry[[#This Row],[Date]]=0,F866,C867+(7-Q867))</f>
        <v>43415</v>
      </c>
      <c r="G867" s="35" t="str">
        <f>INDEX(projects[Charge_Code],MATCH(TimeEntry[[#This Row],[Project_ID]],projects[Project_ID],0))</f>
        <v>264744-00 WLW</v>
      </c>
      <c r="H867" s="1" t="str">
        <f t="shared" si="23"/>
        <v>Normal Time</v>
      </c>
      <c r="I867" s="1"/>
      <c r="J867" s="15">
        <v>2</v>
      </c>
      <c r="K867" s="15"/>
      <c r="L867" s="15"/>
      <c r="M867" s="15"/>
      <c r="N867" s="15"/>
      <c r="O867" s="15" t="str">
        <f>INDEX(projects[job number],MATCH(TimeEntry[[#This Row],[Project_ID]], projects[Project_ID],0))</f>
        <v>264744-00</v>
      </c>
      <c r="P867" s="15" t="str">
        <f>INDEX(projects[Project_Name],MATCH(TimeEntry[[#This Row],[Project_ID]], projects[Project_ID],0))</f>
        <v>WLW</v>
      </c>
      <c r="Q867" s="1">
        <f>IF(TimeEntry[[#This Row],[Date]]=0,"",WEEKDAY(C867,2))</f>
        <v>4</v>
      </c>
      <c r="R867" s="9">
        <f>YEAR(TimeEntry[[#This Row],[WkEnd]])</f>
        <v>2018</v>
      </c>
      <c r="S867" s="9">
        <f>WEEKNUM(TimeEntry[[#This Row],[WkEnd]])</f>
        <v>46</v>
      </c>
      <c r="T867" s="9" t="str">
        <f>TimeEntry[[#This Row],[Year]]&amp;"-"&amp;TimeEntry[[#This Row],[WkNo]]</f>
        <v>2018-46</v>
      </c>
    </row>
    <row r="868" spans="1:20" x14ac:dyDescent="0.25">
      <c r="A868" s="6">
        <f>MOD(IF(ROW()=2,0.1,IF(INDEX(TimeEntry[WkEnd],ROW()-1)  =  INDEX(TimeEntry[WkEnd],ROW()-2),    INDEX(TimeEntry[format],ROW()-2),    INDEX(TimeEntry[format],ROW()-2)    +1)),2)</f>
        <v>0.10000000000000009</v>
      </c>
      <c r="B868" s="12"/>
      <c r="C868" s="13">
        <v>43412</v>
      </c>
      <c r="D868" s="13"/>
      <c r="E868" s="1" t="s">
        <v>675</v>
      </c>
      <c r="F868" s="8">
        <f>IF(TimeEntry[[#This Row],[Date]]=0,F867,C868+(7-Q868))</f>
        <v>43415</v>
      </c>
      <c r="G868" s="35" t="str">
        <f>INDEX(projects[Charge_Code],MATCH(TimeEntry[[#This Row],[Project_ID]],projects[Project_ID],0))</f>
        <v>071945-07 BCS - promotional</v>
      </c>
      <c r="H868" s="1" t="str">
        <f t="shared" si="23"/>
        <v>Normal Time</v>
      </c>
      <c r="I868" s="1"/>
      <c r="J868" s="15">
        <v>2</v>
      </c>
      <c r="K868" s="15"/>
      <c r="L868" s="15"/>
      <c r="M868" s="15"/>
      <c r="N868" s="15"/>
      <c r="O868" s="15" t="str">
        <f>INDEX(projects[job number],MATCH(TimeEntry[[#This Row],[Project_ID]], projects[Project_ID],0))</f>
        <v>071945-07</v>
      </c>
      <c r="P868" s="15" t="str">
        <f>INDEX(projects[Project_Name],MATCH(TimeEntry[[#This Row],[Project_ID]], projects[Project_ID],0))</f>
        <v>BCS - promotional</v>
      </c>
      <c r="Q868" s="1">
        <f>IF(TimeEntry[[#This Row],[Date]]=0,"",WEEKDAY(C868,2))</f>
        <v>4</v>
      </c>
      <c r="R868" s="9">
        <f>YEAR(TimeEntry[[#This Row],[WkEnd]])</f>
        <v>2018</v>
      </c>
      <c r="S868" s="9">
        <f>WEEKNUM(TimeEntry[[#This Row],[WkEnd]])</f>
        <v>46</v>
      </c>
      <c r="T868" s="9" t="str">
        <f>TimeEntry[[#This Row],[Year]]&amp;"-"&amp;TimeEntry[[#This Row],[WkNo]]</f>
        <v>2018-46</v>
      </c>
    </row>
    <row r="869" spans="1:20" x14ac:dyDescent="0.25">
      <c r="A869" s="6">
        <f>MOD(IF(ROW()=2,0.1,IF(INDEX(TimeEntry[WkEnd],ROW()-1)  =  INDEX(TimeEntry[WkEnd],ROW()-2),    INDEX(TimeEntry[format],ROW()-2),    INDEX(TimeEntry[format],ROW()-2)    +1)),2)</f>
        <v>0.10000000000000009</v>
      </c>
      <c r="B869" s="7"/>
      <c r="C869" s="8">
        <v>43412</v>
      </c>
      <c r="D869" s="8"/>
      <c r="E869" s="1" t="s">
        <v>675</v>
      </c>
      <c r="F869" s="8">
        <f>IF(TimeEntry[[#This Row],[Date]]=0,F868,C869+(7-Q869))</f>
        <v>43415</v>
      </c>
      <c r="G869" s="35" t="str">
        <f>INDEX(projects[Charge_Code],MATCH(TimeEntry[[#This Row],[Project_ID]],projects[Project_ID],0))</f>
        <v>071945-07 BCS - promotional</v>
      </c>
      <c r="H869" s="1" t="str">
        <f t="shared" si="23"/>
        <v>Normal Time</v>
      </c>
      <c r="I869" s="1"/>
      <c r="J869" s="15">
        <v>3.5</v>
      </c>
      <c r="K869" s="15"/>
      <c r="L869" s="15"/>
      <c r="M869" s="15"/>
      <c r="N869" s="15"/>
      <c r="O869" s="15" t="str">
        <f>INDEX(projects[job number],MATCH(TimeEntry[[#This Row],[Project_ID]], projects[Project_ID],0))</f>
        <v>071945-07</v>
      </c>
      <c r="P869" s="15" t="str">
        <f>INDEX(projects[Project_Name],MATCH(TimeEntry[[#This Row],[Project_ID]], projects[Project_ID],0))</f>
        <v>BCS - promotional</v>
      </c>
      <c r="Q869" s="1">
        <f>IF(TimeEntry[[#This Row],[Date]]=0,"",WEEKDAY(C869,2))</f>
        <v>4</v>
      </c>
      <c r="R869" s="9">
        <f>YEAR(TimeEntry[[#This Row],[WkEnd]])</f>
        <v>2018</v>
      </c>
      <c r="S869" s="9">
        <f>WEEKNUM(TimeEntry[[#This Row],[WkEnd]])</f>
        <v>46</v>
      </c>
      <c r="T869" s="9" t="str">
        <f>TimeEntry[[#This Row],[Year]]&amp;"-"&amp;TimeEntry[[#This Row],[WkNo]]</f>
        <v>2018-46</v>
      </c>
    </row>
    <row r="870" spans="1:20" x14ac:dyDescent="0.25">
      <c r="A870" s="6">
        <f>MOD(IF(ROW()=2,0.1,IF(INDEX(TimeEntry[WkEnd],ROW()-1)  =  INDEX(TimeEntry[WkEnd],ROW()-2),    INDEX(TimeEntry[format],ROW()-2),    INDEX(TimeEntry[format],ROW()-2)    +1)),2)</f>
        <v>0.10000000000000009</v>
      </c>
      <c r="B870" s="7"/>
      <c r="C870" s="8">
        <v>43413</v>
      </c>
      <c r="D870" s="8"/>
      <c r="E870" s="1" t="s">
        <v>675</v>
      </c>
      <c r="F870" s="8">
        <f>IF(TimeEntry[[#This Row],[Date]]=0,F869,C870+(7-Q870))</f>
        <v>43415</v>
      </c>
      <c r="G870" s="35" t="str">
        <f>INDEX(projects[Charge_Code],MATCH(TimeEntry[[#This Row],[Project_ID]],projects[Project_ID],0))</f>
        <v>071945-07 BCS - promotional</v>
      </c>
      <c r="H870" s="1" t="str">
        <f t="shared" si="23"/>
        <v>Normal Time</v>
      </c>
      <c r="I870" s="1"/>
      <c r="J870" s="15">
        <v>2</v>
      </c>
      <c r="K870" s="15"/>
      <c r="L870" s="15"/>
      <c r="M870" s="15"/>
      <c r="N870" s="15"/>
      <c r="O870" s="15" t="str">
        <f>INDEX(projects[job number],MATCH(TimeEntry[[#This Row],[Project_ID]], projects[Project_ID],0))</f>
        <v>071945-07</v>
      </c>
      <c r="P870" s="15" t="str">
        <f>INDEX(projects[Project_Name],MATCH(TimeEntry[[#This Row],[Project_ID]], projects[Project_ID],0))</f>
        <v>BCS - promotional</v>
      </c>
      <c r="Q870" s="1">
        <f>IF(TimeEntry[[#This Row],[Date]]=0,"",WEEKDAY(C870,2))</f>
        <v>5</v>
      </c>
      <c r="R870" s="9">
        <f>YEAR(TimeEntry[[#This Row],[WkEnd]])</f>
        <v>2018</v>
      </c>
      <c r="S870" s="9">
        <f>WEEKNUM(TimeEntry[[#This Row],[WkEnd]])</f>
        <v>46</v>
      </c>
      <c r="T870" s="9" t="str">
        <f>TimeEntry[[#This Row],[Year]]&amp;"-"&amp;TimeEntry[[#This Row],[WkNo]]</f>
        <v>2018-46</v>
      </c>
    </row>
    <row r="871" spans="1:20" x14ac:dyDescent="0.25">
      <c r="A871" s="6">
        <f>MOD(IF(ROW()=2,0.1,IF(INDEX(TimeEntry[WkEnd],ROW()-1)  =  INDEX(TimeEntry[WkEnd],ROW()-2),    INDEX(TimeEntry[format],ROW()-2),    INDEX(TimeEntry[format],ROW()-2)    +1)),2)</f>
        <v>0.10000000000000009</v>
      </c>
      <c r="B871" s="7"/>
      <c r="C871" s="8">
        <v>43413</v>
      </c>
      <c r="D871" s="8"/>
      <c r="E871" s="1" t="s">
        <v>452</v>
      </c>
      <c r="F871" s="8">
        <f>IF(TimeEntry[[#This Row],[Date]]=0,F870,C871+(7-Q871))</f>
        <v>43415</v>
      </c>
      <c r="G871" s="35" t="str">
        <f>INDEX(projects[Charge_Code],MATCH(TimeEntry[[#This Row],[Project_ID]],projects[Project_ID],0))</f>
        <v>252076-05 Intro to bridges</v>
      </c>
      <c r="H871" s="1" t="str">
        <f t="shared" si="23"/>
        <v>Normal Time</v>
      </c>
      <c r="I871" s="1"/>
      <c r="J871" s="15">
        <v>2.5</v>
      </c>
      <c r="K871" s="15"/>
      <c r="L871" s="15"/>
      <c r="M871" s="15"/>
      <c r="N871" s="15"/>
      <c r="O871" s="15" t="str">
        <f>INDEX(projects[job number],MATCH(TimeEntry[[#This Row],[Project_ID]], projects[Project_ID],0))</f>
        <v>252076-05</v>
      </c>
      <c r="P871" s="15" t="str">
        <f>INDEX(projects[Project_Name],MATCH(TimeEntry[[#This Row],[Project_ID]], projects[Project_ID],0))</f>
        <v>Intro to bridges</v>
      </c>
      <c r="Q871" s="1">
        <f>IF(TimeEntry[[#This Row],[Date]]=0,"",WEEKDAY(C871,2))</f>
        <v>5</v>
      </c>
      <c r="R871" s="9">
        <f>YEAR(TimeEntry[[#This Row],[WkEnd]])</f>
        <v>2018</v>
      </c>
      <c r="S871" s="9">
        <f>WEEKNUM(TimeEntry[[#This Row],[WkEnd]])</f>
        <v>46</v>
      </c>
      <c r="T871" s="9" t="str">
        <f>TimeEntry[[#This Row],[Year]]&amp;"-"&amp;TimeEntry[[#This Row],[WkNo]]</f>
        <v>2018-46</v>
      </c>
    </row>
    <row r="872" spans="1:20" x14ac:dyDescent="0.25">
      <c r="A872" s="6">
        <f>MOD(IF(ROW()=2,0.1,IF(INDEX(TimeEntry[WkEnd],ROW()-1)  =  INDEX(TimeEntry[WkEnd],ROW()-2),    INDEX(TimeEntry[format],ROW()-2),    INDEX(TimeEntry[format],ROW()-2)    +1)),2)</f>
        <v>0.10000000000000009</v>
      </c>
      <c r="B872" s="7"/>
      <c r="C872" s="8">
        <v>43413</v>
      </c>
      <c r="D872" s="8"/>
      <c r="E872" s="1" t="s">
        <v>471</v>
      </c>
      <c r="F872" s="8">
        <f>IF(TimeEntry[[#This Row],[Date]]=0,F871,C872+(7-Q872))</f>
        <v>43415</v>
      </c>
      <c r="G872" s="35" t="str">
        <f>INDEX(projects[Charge_Code],MATCH(TimeEntry[[#This Row],[Project_ID]],projects[Project_ID],0))</f>
        <v>264744-00 WLW</v>
      </c>
      <c r="H872" s="1" t="str">
        <f t="shared" si="23"/>
        <v>Normal Time</v>
      </c>
      <c r="I872" s="1"/>
      <c r="J872" s="15">
        <v>3</v>
      </c>
      <c r="K872" s="15"/>
      <c r="L872" s="15"/>
      <c r="M872" s="15"/>
      <c r="N872" s="15"/>
      <c r="O872" s="15" t="str">
        <f>INDEX(projects[job number],MATCH(TimeEntry[[#This Row],[Project_ID]], projects[Project_ID],0))</f>
        <v>264744-00</v>
      </c>
      <c r="P872" s="15" t="str">
        <f>INDEX(projects[Project_Name],MATCH(TimeEntry[[#This Row],[Project_ID]], projects[Project_ID],0))</f>
        <v>WLW</v>
      </c>
      <c r="Q872" s="1">
        <f>IF(TimeEntry[[#This Row],[Date]]=0,"",WEEKDAY(C872,2))</f>
        <v>5</v>
      </c>
      <c r="R872" s="9">
        <f>YEAR(TimeEntry[[#This Row],[WkEnd]])</f>
        <v>2018</v>
      </c>
      <c r="S872" s="9">
        <f>WEEKNUM(TimeEntry[[#This Row],[WkEnd]])</f>
        <v>46</v>
      </c>
      <c r="T872" s="9" t="str">
        <f>TimeEntry[[#This Row],[Year]]&amp;"-"&amp;TimeEntry[[#This Row],[WkNo]]</f>
        <v>2018-46</v>
      </c>
    </row>
    <row r="873" spans="1:20" x14ac:dyDescent="0.25">
      <c r="A873" s="6">
        <f>MOD(IF(ROW()=2,0.1,IF(INDEX(TimeEntry[WkEnd],ROW()-1)  =  INDEX(TimeEntry[WkEnd],ROW()-2),    INDEX(TimeEntry[format],ROW()-2),    INDEX(TimeEntry[format],ROW()-2)    +1)),2)</f>
        <v>1.1000000000000001</v>
      </c>
      <c r="B873" s="7"/>
      <c r="C873" s="8">
        <v>43402</v>
      </c>
      <c r="D873" s="8"/>
      <c r="E873" s="1" t="s">
        <v>471</v>
      </c>
      <c r="F873" s="8">
        <f>IF(TimeEntry[[#This Row],[Date]]=0,F872,C873+(7-Q873))</f>
        <v>43408</v>
      </c>
      <c r="G873" s="35" t="str">
        <f>INDEX(projects[Charge_Code],MATCH(TimeEntry[[#This Row],[Project_ID]],projects[Project_ID],0))</f>
        <v>264744-00 WLW</v>
      </c>
      <c r="H873" s="1" t="str">
        <f t="shared" si="23"/>
        <v>Normal Time</v>
      </c>
      <c r="I873" s="1"/>
      <c r="J873" s="15">
        <v>3.5</v>
      </c>
      <c r="K873" s="15"/>
      <c r="L873" s="15"/>
      <c r="M873" s="15"/>
      <c r="N873" s="15"/>
      <c r="O873" s="15" t="str">
        <f>INDEX(projects[job number],MATCH(TimeEntry[[#This Row],[Project_ID]], projects[Project_ID],0))</f>
        <v>264744-00</v>
      </c>
      <c r="P873" s="15" t="str">
        <f>INDEX(projects[Project_Name],MATCH(TimeEntry[[#This Row],[Project_ID]], projects[Project_ID],0))</f>
        <v>WLW</v>
      </c>
      <c r="Q873" s="1">
        <f>IF(TimeEntry[[#This Row],[Date]]=0,"",WEEKDAY(C873,2))</f>
        <v>1</v>
      </c>
      <c r="R873" s="9">
        <f>YEAR(TimeEntry[[#This Row],[WkEnd]])</f>
        <v>2018</v>
      </c>
      <c r="S873" s="9">
        <f>WEEKNUM(TimeEntry[[#This Row],[WkEnd]])</f>
        <v>45</v>
      </c>
      <c r="T873" s="9" t="str">
        <f>TimeEntry[[#This Row],[Year]]&amp;"-"&amp;TimeEntry[[#This Row],[WkNo]]</f>
        <v>2018-45</v>
      </c>
    </row>
    <row r="874" spans="1:20" x14ac:dyDescent="0.25">
      <c r="A874" s="6">
        <f>MOD(IF(ROW()=2,0.1,IF(INDEX(TimeEntry[WkEnd],ROW()-1)  =  INDEX(TimeEntry[WkEnd],ROW()-2),    INDEX(TimeEntry[format],ROW()-2),    INDEX(TimeEntry[format],ROW()-2)    +1)),2)</f>
        <v>1.1000000000000001</v>
      </c>
      <c r="B874" s="7"/>
      <c r="C874" s="8">
        <v>43402</v>
      </c>
      <c r="D874" s="8"/>
      <c r="E874" s="1" t="s">
        <v>463</v>
      </c>
      <c r="F874" s="8">
        <f>IF(TimeEntry[[#This Row],[Date]]=0,F873,C874+(7-Q874))</f>
        <v>43408</v>
      </c>
      <c r="G874" s="35" t="str">
        <f>INDEX(projects[Charge_Code],MATCH(TimeEntry[[#This Row],[Project_ID]],projects[Project_ID],0))</f>
        <v>262218-08 CAFA</v>
      </c>
      <c r="H874" s="1" t="str">
        <f t="shared" si="23"/>
        <v>Normal Time</v>
      </c>
      <c r="I874" s="1"/>
      <c r="J874" s="15">
        <v>4</v>
      </c>
      <c r="K874" s="15"/>
      <c r="L874" s="15"/>
      <c r="M874" s="15"/>
      <c r="N874" s="15"/>
      <c r="O874" s="15" t="str">
        <f>INDEX(projects[job number],MATCH(TimeEntry[[#This Row],[Project_ID]], projects[Project_ID],0))</f>
        <v>262218-08</v>
      </c>
      <c r="P874" s="15" t="str">
        <f>INDEX(projects[Project_Name],MATCH(TimeEntry[[#This Row],[Project_ID]], projects[Project_ID],0))</f>
        <v>CAFA</v>
      </c>
      <c r="Q874" s="1">
        <f>IF(TimeEntry[[#This Row],[Date]]=0,"",WEEKDAY(C874,2))</f>
        <v>1</v>
      </c>
      <c r="R874" s="9">
        <f>YEAR(TimeEntry[[#This Row],[WkEnd]])</f>
        <v>2018</v>
      </c>
      <c r="S874" s="9">
        <f>WEEKNUM(TimeEntry[[#This Row],[WkEnd]])</f>
        <v>45</v>
      </c>
      <c r="T874" s="9" t="str">
        <f>TimeEntry[[#This Row],[Year]]&amp;"-"&amp;TimeEntry[[#This Row],[WkNo]]</f>
        <v>2018-45</v>
      </c>
    </row>
    <row r="875" spans="1:20" x14ac:dyDescent="0.25">
      <c r="A875" s="6">
        <f>MOD(IF(ROW()=2,0.1,IF(INDEX(TimeEntry[WkEnd],ROW()-1)  =  INDEX(TimeEntry[WkEnd],ROW()-2),    INDEX(TimeEntry[format],ROW()-2),    INDEX(TimeEntry[format],ROW()-2)    +1)),2)</f>
        <v>1.1000000000000001</v>
      </c>
      <c r="B875" s="7"/>
      <c r="C875" s="8">
        <v>43403</v>
      </c>
      <c r="D875" s="8"/>
      <c r="E875" s="1" t="s">
        <v>463</v>
      </c>
      <c r="F875" s="8">
        <f>IF(TimeEntry[[#This Row],[Date]]=0,F874,C875+(7-Q875))</f>
        <v>43408</v>
      </c>
      <c r="G875" s="35" t="str">
        <f>INDEX(projects[Charge_Code],MATCH(TimeEntry[[#This Row],[Project_ID]],projects[Project_ID],0))</f>
        <v>262218-08 CAFA</v>
      </c>
      <c r="H875" s="1" t="str">
        <f t="shared" si="23"/>
        <v>Normal Time</v>
      </c>
      <c r="I875" s="1"/>
      <c r="J875" s="15">
        <v>7.5</v>
      </c>
      <c r="K875" s="15"/>
      <c r="L875" s="15"/>
      <c r="M875" s="15"/>
      <c r="N875" s="15"/>
      <c r="O875" s="15" t="str">
        <f>INDEX(projects[job number],MATCH(TimeEntry[[#This Row],[Project_ID]], projects[Project_ID],0))</f>
        <v>262218-08</v>
      </c>
      <c r="P875" s="15" t="str">
        <f>INDEX(projects[Project_Name],MATCH(TimeEntry[[#This Row],[Project_ID]], projects[Project_ID],0))</f>
        <v>CAFA</v>
      </c>
      <c r="Q875" s="1">
        <f>IF(TimeEntry[[#This Row],[Date]]=0,"",WEEKDAY(C875,2))</f>
        <v>2</v>
      </c>
      <c r="R875" s="9">
        <f>YEAR(TimeEntry[[#This Row],[WkEnd]])</f>
        <v>2018</v>
      </c>
      <c r="S875" s="9">
        <f>WEEKNUM(TimeEntry[[#This Row],[WkEnd]])</f>
        <v>45</v>
      </c>
      <c r="T875" s="9" t="str">
        <f>TimeEntry[[#This Row],[Year]]&amp;"-"&amp;TimeEntry[[#This Row],[WkNo]]</f>
        <v>2018-45</v>
      </c>
    </row>
    <row r="876" spans="1:20" x14ac:dyDescent="0.25">
      <c r="A876" s="6">
        <f>MOD(IF(ROW()=2,0.1,IF(INDEX(TimeEntry[WkEnd],ROW()-1)  =  INDEX(TimeEntry[WkEnd],ROW()-2),    INDEX(TimeEntry[format],ROW()-2),    INDEX(TimeEntry[format],ROW()-2)    +1)),2)</f>
        <v>1.1000000000000001</v>
      </c>
      <c r="B876" s="7"/>
      <c r="C876" s="8">
        <v>43404</v>
      </c>
      <c r="D876" s="8"/>
      <c r="E876" s="1" t="s">
        <v>467</v>
      </c>
      <c r="F876" s="8">
        <f>IF(TimeEntry[[#This Row],[Date]]=0,F875,C876+(7-Q876))</f>
        <v>43408</v>
      </c>
      <c r="G876" s="35" t="str">
        <f>INDEX(projects[Charge_Code],MATCH(TimeEntry[[#This Row],[Project_ID]],projects[Project_ID],0))</f>
        <v>261723-02 SMP</v>
      </c>
      <c r="H876" s="1" t="str">
        <f t="shared" si="23"/>
        <v>Normal Time</v>
      </c>
      <c r="I876" s="1"/>
      <c r="J876" s="15">
        <v>7.5</v>
      </c>
      <c r="K876" s="15"/>
      <c r="L876" s="15"/>
      <c r="M876" s="15"/>
      <c r="N876" s="15"/>
      <c r="O876" s="15" t="str">
        <f>INDEX(projects[job number],MATCH(TimeEntry[[#This Row],[Project_ID]], projects[Project_ID],0))</f>
        <v>261723-02</v>
      </c>
      <c r="P876" s="15" t="str">
        <f>INDEX(projects[Project_Name],MATCH(TimeEntry[[#This Row],[Project_ID]], projects[Project_ID],0))</f>
        <v>SMP</v>
      </c>
      <c r="Q876" s="1">
        <f>IF(TimeEntry[[#This Row],[Date]]=0,"",WEEKDAY(C876,2))</f>
        <v>3</v>
      </c>
      <c r="R876" s="9">
        <f>YEAR(TimeEntry[[#This Row],[WkEnd]])</f>
        <v>2018</v>
      </c>
      <c r="S876" s="9">
        <f>WEEKNUM(TimeEntry[[#This Row],[WkEnd]])</f>
        <v>45</v>
      </c>
      <c r="T876" s="9" t="str">
        <f>TimeEntry[[#This Row],[Year]]&amp;"-"&amp;TimeEntry[[#This Row],[WkNo]]</f>
        <v>2018-45</v>
      </c>
    </row>
    <row r="877" spans="1:20" x14ac:dyDescent="0.25">
      <c r="A877" s="6">
        <f>MOD(IF(ROW()=2,0.1,IF(INDEX(TimeEntry[WkEnd],ROW()-1)  =  INDEX(TimeEntry[WkEnd],ROW()-2),    INDEX(TimeEntry[format],ROW()-2),    INDEX(TimeEntry[format],ROW()-2)    +1)),2)</f>
        <v>1.1000000000000001</v>
      </c>
      <c r="B877" s="7"/>
      <c r="C877" s="8">
        <v>43405</v>
      </c>
      <c r="D877" s="8"/>
      <c r="E877" s="1" t="s">
        <v>471</v>
      </c>
      <c r="F877" s="8">
        <f>IF(TimeEntry[[#This Row],[Date]]=0,F876,C877+(7-Q877))</f>
        <v>43408</v>
      </c>
      <c r="G877" s="35" t="str">
        <f>INDEX(projects[Charge_Code],MATCH(TimeEntry[[#This Row],[Project_ID]],projects[Project_ID],0))</f>
        <v>264744-00 WLW</v>
      </c>
      <c r="H877" s="1" t="str">
        <f t="shared" si="23"/>
        <v>Normal Time</v>
      </c>
      <c r="I877" s="1"/>
      <c r="J877" s="15">
        <v>3.75</v>
      </c>
      <c r="K877" s="15"/>
      <c r="L877" s="15"/>
      <c r="M877" s="15"/>
      <c r="N877" s="15"/>
      <c r="O877" s="15" t="str">
        <f>INDEX(projects[job number],MATCH(TimeEntry[[#This Row],[Project_ID]], projects[Project_ID],0))</f>
        <v>264744-00</v>
      </c>
      <c r="P877" s="15" t="str">
        <f>INDEX(projects[Project_Name],MATCH(TimeEntry[[#This Row],[Project_ID]], projects[Project_ID],0))</f>
        <v>WLW</v>
      </c>
      <c r="Q877" s="1">
        <f>IF(TimeEntry[[#This Row],[Date]]=0,"",WEEKDAY(C877,2))</f>
        <v>4</v>
      </c>
      <c r="R877" s="9">
        <f>YEAR(TimeEntry[[#This Row],[WkEnd]])</f>
        <v>2018</v>
      </c>
      <c r="S877" s="9">
        <f>WEEKNUM(TimeEntry[[#This Row],[WkEnd]])</f>
        <v>45</v>
      </c>
      <c r="T877" s="9" t="str">
        <f>TimeEntry[[#This Row],[Year]]&amp;"-"&amp;TimeEntry[[#This Row],[WkNo]]</f>
        <v>2018-45</v>
      </c>
    </row>
    <row r="878" spans="1:20" x14ac:dyDescent="0.25">
      <c r="A878" s="6">
        <f>MOD(IF(ROW()=2,0.1,IF(INDEX(TimeEntry[WkEnd],ROW()-1)  =  INDEX(TimeEntry[WkEnd],ROW()-2),    INDEX(TimeEntry[format],ROW()-2),    INDEX(TimeEntry[format],ROW()-2)    +1)),2)</f>
        <v>1.1000000000000001</v>
      </c>
      <c r="B878" s="7"/>
      <c r="C878" s="8">
        <v>43405</v>
      </c>
      <c r="D878" s="8"/>
      <c r="E878" s="1" t="s">
        <v>482</v>
      </c>
      <c r="F878" s="8">
        <f>IF(TimeEntry[[#This Row],[Date]]=0,F877,C878+(7-Q878))</f>
        <v>43408</v>
      </c>
      <c r="G878" s="35" t="str">
        <f>INDEX(projects[Charge_Code],MATCH(TimeEntry[[#This Row],[Project_ID]],projects[Project_ID],0))</f>
        <v>074103-30 Engagement cohort</v>
      </c>
      <c r="H878" s="1" t="str">
        <f t="shared" si="23"/>
        <v>Normal Time</v>
      </c>
      <c r="I878" s="1"/>
      <c r="J878" s="15">
        <v>3.75</v>
      </c>
      <c r="K878" s="15"/>
      <c r="L878" s="15"/>
      <c r="M878" s="15"/>
      <c r="N878" s="15"/>
      <c r="O878" s="15" t="str">
        <f>INDEX(projects[job number],MATCH(TimeEntry[[#This Row],[Project_ID]], projects[Project_ID],0))</f>
        <v>074103-30</v>
      </c>
      <c r="P878" s="15" t="str">
        <f>INDEX(projects[Project_Name],MATCH(TimeEntry[[#This Row],[Project_ID]], projects[Project_ID],0))</f>
        <v>Engagement cohort</v>
      </c>
      <c r="Q878" s="1">
        <f>IF(TimeEntry[[#This Row],[Date]]=0,"",WEEKDAY(C878,2))</f>
        <v>4</v>
      </c>
      <c r="R878" s="9">
        <f>YEAR(TimeEntry[[#This Row],[WkEnd]])</f>
        <v>2018</v>
      </c>
      <c r="S878" s="9">
        <f>WEEKNUM(TimeEntry[[#This Row],[WkEnd]])</f>
        <v>45</v>
      </c>
      <c r="T878" s="9" t="str">
        <f>TimeEntry[[#This Row],[Year]]&amp;"-"&amp;TimeEntry[[#This Row],[WkNo]]</f>
        <v>2018-45</v>
      </c>
    </row>
    <row r="879" spans="1:20" x14ac:dyDescent="0.25">
      <c r="A879" s="6">
        <f>MOD(IF(ROW()=2,0.1,IF(INDEX(TimeEntry[WkEnd],ROW()-1)  =  INDEX(TimeEntry[WkEnd],ROW()-2),    INDEX(TimeEntry[format],ROW()-2),    INDEX(TimeEntry[format],ROW()-2)    +1)),2)</f>
        <v>1.1000000000000001</v>
      </c>
      <c r="B879" s="7"/>
      <c r="C879" s="8">
        <v>43406</v>
      </c>
      <c r="D879" s="8"/>
      <c r="E879" s="1" t="s">
        <v>467</v>
      </c>
      <c r="F879" s="8">
        <f>IF(TimeEntry[[#This Row],[Date]]=0,F878,C879+(7-Q879))</f>
        <v>43408</v>
      </c>
      <c r="G879" s="35" t="str">
        <f>INDEX(projects[Charge_Code],MATCH(TimeEntry[[#This Row],[Project_ID]],projects[Project_ID],0))</f>
        <v>261723-02 SMP</v>
      </c>
      <c r="H879" s="1" t="str">
        <f t="shared" si="23"/>
        <v>Normal Time</v>
      </c>
      <c r="I879" s="1"/>
      <c r="J879" s="15">
        <v>7.5</v>
      </c>
      <c r="K879" s="15"/>
      <c r="L879" s="15"/>
      <c r="M879" s="15"/>
      <c r="N879" s="15"/>
      <c r="O879" s="15" t="str">
        <f>INDEX(projects[job number],MATCH(TimeEntry[[#This Row],[Project_ID]], projects[Project_ID],0))</f>
        <v>261723-02</v>
      </c>
      <c r="P879" s="15" t="str">
        <f>INDEX(projects[Project_Name],MATCH(TimeEntry[[#This Row],[Project_ID]], projects[Project_ID],0))</f>
        <v>SMP</v>
      </c>
      <c r="Q879" s="1">
        <f>IF(TimeEntry[[#This Row],[Date]]=0,"",WEEKDAY(C879,2))</f>
        <v>5</v>
      </c>
      <c r="R879" s="9">
        <f>YEAR(TimeEntry[[#This Row],[WkEnd]])</f>
        <v>2018</v>
      </c>
      <c r="S879" s="9">
        <f>WEEKNUM(TimeEntry[[#This Row],[WkEnd]])</f>
        <v>45</v>
      </c>
      <c r="T879" s="9" t="str">
        <f>TimeEntry[[#This Row],[Year]]&amp;"-"&amp;TimeEntry[[#This Row],[WkNo]]</f>
        <v>2018-45</v>
      </c>
    </row>
    <row r="880" spans="1:20" x14ac:dyDescent="0.25">
      <c r="A880" s="3" t="s">
        <v>99</v>
      </c>
      <c r="C880" s="3"/>
      <c r="T880" s="3">
        <f>SUBTOTAL(103,TimeEntry[WkRef])</f>
        <v>878</v>
      </c>
    </row>
  </sheetData>
  <phoneticPr fontId="2" type="noConversion"/>
  <conditionalFormatting sqref="B881:Q1844 Q445:T445 Q460:T460 Q817:T817 Q822:T822 Q834:T834 Q843:T843 B195:B879 O446:T459 O823:T833 O835:T842 O844:T879 O206:T444 O461:T816 O818:T821 C1:N1 O2:T2 C118:P118 C105:D117 F105:G117 Q118:T205 J105:T117 C97:G104 I95:T104 B95:B191 G2:H2 I74:T93 B74:G79 B81:G81 B80:D80 F80:G80 B83:G93 B82:D82 F82:G82 C95:D96 F95:G96 C119:D120 F119:P120 C121:P468 C572:P576 C571:D571 F571:P571 C577:D577 F577:P577 C578:P651 C470:P570 C469:D469 F469:P469 C653:P803 C652:D652 F652:P652 C856:P879 C855:D855 F855:P855 C841:D841 F841:P841 C804:D804 F804:P804 C805:P840 C842:P854 H2:H879">
    <cfRule type="expression" dxfId="145" priority="62">
      <formula>$A1=1.1</formula>
    </cfRule>
  </conditionalFormatting>
  <conditionalFormatting sqref="I197">
    <cfRule type="expression" dxfId="144" priority="44">
      <formula>$A197=1.1</formula>
    </cfRule>
  </conditionalFormatting>
  <conditionalFormatting sqref="I195:I196">
    <cfRule type="expression" dxfId="143" priority="38">
      <formula>$A195=1.1</formula>
    </cfRule>
  </conditionalFormatting>
  <conditionalFormatting sqref="B194">
    <cfRule type="expression" dxfId="142" priority="36">
      <formula>$A194=1.1</formula>
    </cfRule>
  </conditionalFormatting>
  <conditionalFormatting sqref="B193">
    <cfRule type="expression" dxfId="141" priority="35">
      <formula>$A193=1.1</formula>
    </cfRule>
  </conditionalFormatting>
  <conditionalFormatting sqref="B192">
    <cfRule type="expression" dxfId="140" priority="34">
      <formula>$A192=1.1</formula>
    </cfRule>
  </conditionalFormatting>
  <conditionalFormatting sqref="P188:P205 P154:P184">
    <cfRule type="expression" dxfId="139" priority="23">
      <formula>$A154=1.1</formula>
    </cfRule>
  </conditionalFormatting>
  <conditionalFormatting sqref="P187">
    <cfRule type="expression" dxfId="138" priority="22">
      <formula>$A187=1.1</formula>
    </cfRule>
  </conditionalFormatting>
  <conditionalFormatting sqref="P186">
    <cfRule type="expression" dxfId="137" priority="21">
      <formula>$A186=1.1</formula>
    </cfRule>
  </conditionalFormatting>
  <conditionalFormatting sqref="P185">
    <cfRule type="expression" dxfId="136" priority="20">
      <formula>$A185=1.1</formula>
    </cfRule>
  </conditionalFormatting>
  <conditionalFormatting sqref="B2:F2 I2:N2">
    <cfRule type="expression" dxfId="135" priority="16">
      <formula>$A2=1.1</formula>
    </cfRule>
  </conditionalFormatting>
  <conditionalFormatting sqref="E105 E107:E117">
    <cfRule type="expression" dxfId="134" priority="15">
      <formula>$A105=1.1</formula>
    </cfRule>
  </conditionalFormatting>
  <conditionalFormatting sqref="I105:I117">
    <cfRule type="expression" dxfId="133" priority="14">
      <formula>$A105=1.1</formula>
    </cfRule>
  </conditionalFormatting>
  <conditionalFormatting sqref="B94:G94 I94:T94">
    <cfRule type="expression" dxfId="132" priority="13">
      <formula>$A94=1.1</formula>
    </cfRule>
  </conditionalFormatting>
  <conditionalFormatting sqref="B3:T73">
    <cfRule type="expression" dxfId="131" priority="12">
      <formula>$A3=1.1</formula>
    </cfRule>
  </conditionalFormatting>
  <conditionalFormatting sqref="E80">
    <cfRule type="expression" dxfId="130" priority="11">
      <formula>$A80=1.1</formula>
    </cfRule>
  </conditionalFormatting>
  <conditionalFormatting sqref="E82">
    <cfRule type="expression" dxfId="129" priority="10">
      <formula>$A82=1.1</formula>
    </cfRule>
  </conditionalFormatting>
  <conditionalFormatting sqref="E95">
    <cfRule type="expression" dxfId="128" priority="9">
      <formula>$A95=1.1</formula>
    </cfRule>
  </conditionalFormatting>
  <conditionalFormatting sqref="E96">
    <cfRule type="expression" dxfId="127" priority="8">
      <formula>$A96=1.1</formula>
    </cfRule>
  </conditionalFormatting>
  <conditionalFormatting sqref="E106">
    <cfRule type="expression" dxfId="126" priority="7">
      <formula>$A106=1.1</formula>
    </cfRule>
  </conditionalFormatting>
  <conditionalFormatting sqref="E120">
    <cfRule type="expression" dxfId="125" priority="6">
      <formula>$A120=1.1</formula>
    </cfRule>
  </conditionalFormatting>
  <conditionalFormatting sqref="E119">
    <cfRule type="expression" dxfId="124" priority="5">
      <formula>$A119=1.1</formula>
    </cfRule>
  </conditionalFormatting>
  <conditionalFormatting sqref="E577 E571">
    <cfRule type="expression" dxfId="123" priority="4">
      <formula>$A571=1.1</formula>
    </cfRule>
  </conditionalFormatting>
  <conditionalFormatting sqref="E469">
    <cfRule type="expression" dxfId="122" priority="3">
      <formula>$A469=1.1</formula>
    </cfRule>
  </conditionalFormatting>
  <conditionalFormatting sqref="E652">
    <cfRule type="expression" dxfId="121" priority="2">
      <formula>$A652=1.1</formula>
    </cfRule>
  </conditionalFormatting>
  <conditionalFormatting sqref="E804 E841 E855">
    <cfRule type="expression" dxfId="120" priority="1">
      <formula>$A804=1.1</formula>
    </cfRule>
  </conditionalFormatting>
  <dataValidations count="2">
    <dataValidation type="list" allowBlank="1" showInputMessage="1" showErrorMessage="1" sqref="C248:E248" xr:uid="{0D0E6C57-5C8F-4E70-B4BD-1293579F81DF}">
      <formula1>INDIRECT("ProjectsCurrent[Project]")</formula1>
    </dataValidation>
    <dataValidation type="list" allowBlank="1" showInputMessage="1" showErrorMessage="1" sqref="E3:E130 E571 E577 E469 E652 E855 E841 E804" xr:uid="{40E8471C-1CFA-4100-BEDF-4115726CB50A}">
      <formula1>INDIRECT("projects[Project_ID]")</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8D90-6FAC-4466-9059-942BEA9D5166}">
  <sheetPr codeName="Sheet2">
    <tabColor theme="9"/>
  </sheetPr>
  <dimension ref="A1:I556"/>
  <sheetViews>
    <sheetView zoomScale="85" zoomScaleNormal="85" workbookViewId="0"/>
  </sheetViews>
  <sheetFormatPr defaultRowHeight="15" x14ac:dyDescent="0.25"/>
  <cols>
    <col min="1" max="1" width="15.7109375" style="2" bestFit="1" customWidth="1"/>
    <col min="2" max="2" width="52.7109375" style="2" bestFit="1" customWidth="1"/>
    <col min="3" max="3" width="14.28515625" style="2" bestFit="1" customWidth="1"/>
    <col min="4" max="4" width="40.7109375" style="2" customWidth="1"/>
    <col min="5" max="9" width="9.140625" style="36" customWidth="1"/>
    <col min="10" max="10" width="9.140625" style="2" customWidth="1"/>
    <col min="11" max="12" width="10" style="2" bestFit="1" customWidth="1"/>
    <col min="13" max="16384" width="9.140625" style="2"/>
  </cols>
  <sheetData>
    <row r="1" spans="1:9" ht="30" x14ac:dyDescent="0.25">
      <c r="A1" s="25" t="s">
        <v>173</v>
      </c>
      <c r="B1" s="25" t="s">
        <v>364</v>
      </c>
      <c r="C1" s="25" t="s">
        <v>393</v>
      </c>
      <c r="D1" s="25" t="s">
        <v>97</v>
      </c>
      <c r="E1" s="36" t="s">
        <v>597</v>
      </c>
      <c r="F1" s="36" t="s">
        <v>598</v>
      </c>
      <c r="G1" s="36" t="s">
        <v>599</v>
      </c>
      <c r="H1" s="36" t="s">
        <v>600</v>
      </c>
      <c r="I1" s="36" t="s">
        <v>601</v>
      </c>
    </row>
    <row r="2" spans="1:9" x14ac:dyDescent="0.25">
      <c r="A2" s="26">
        <v>44129</v>
      </c>
      <c r="B2" s="2" t="s">
        <v>366</v>
      </c>
      <c r="C2" s="2" t="s">
        <v>365</v>
      </c>
      <c r="D2" s="2" t="s">
        <v>504</v>
      </c>
      <c r="F2" s="36">
        <v>2</v>
      </c>
    </row>
    <row r="3" spans="1:9" x14ac:dyDescent="0.25">
      <c r="A3" s="26">
        <v>44129</v>
      </c>
      <c r="B3" s="2" t="s">
        <v>366</v>
      </c>
      <c r="C3" s="2" t="s">
        <v>365</v>
      </c>
      <c r="D3" s="2" t="s">
        <v>503</v>
      </c>
      <c r="F3" s="36">
        <v>5.5</v>
      </c>
    </row>
    <row r="4" spans="1:9" x14ac:dyDescent="0.25">
      <c r="A4" s="26">
        <v>44129</v>
      </c>
      <c r="B4" s="2" t="s">
        <v>366</v>
      </c>
      <c r="C4" s="2" t="s">
        <v>365</v>
      </c>
      <c r="D4" s="2" t="s">
        <v>501</v>
      </c>
      <c r="E4" s="36">
        <v>5</v>
      </c>
    </row>
    <row r="5" spans="1:9" x14ac:dyDescent="0.25">
      <c r="A5" s="26">
        <v>44129</v>
      </c>
      <c r="B5" s="2" t="s">
        <v>366</v>
      </c>
      <c r="C5" s="2" t="s">
        <v>365</v>
      </c>
      <c r="D5" s="2" t="s">
        <v>500</v>
      </c>
      <c r="E5" s="36">
        <v>2.5</v>
      </c>
    </row>
    <row r="6" spans="1:9" x14ac:dyDescent="0.25">
      <c r="A6" s="2" t="s">
        <v>505</v>
      </c>
      <c r="E6" s="36">
        <v>7.5</v>
      </c>
      <c r="F6" s="36">
        <v>7.5</v>
      </c>
    </row>
    <row r="7" spans="1:9" x14ac:dyDescent="0.25">
      <c r="A7" s="26">
        <v>44122</v>
      </c>
      <c r="B7" s="2" t="s">
        <v>366</v>
      </c>
      <c r="C7" s="2" t="s">
        <v>365</v>
      </c>
      <c r="D7" s="2" t="s">
        <v>496</v>
      </c>
      <c r="I7" s="36">
        <v>3.5</v>
      </c>
    </row>
    <row r="8" spans="1:9" x14ac:dyDescent="0.25">
      <c r="A8" s="26">
        <v>44122</v>
      </c>
      <c r="B8" s="2" t="s">
        <v>366</v>
      </c>
      <c r="C8" s="2" t="s">
        <v>365</v>
      </c>
      <c r="D8" s="2" t="s">
        <v>498</v>
      </c>
      <c r="I8" s="36">
        <v>4</v>
      </c>
    </row>
    <row r="9" spans="1:9" x14ac:dyDescent="0.25">
      <c r="A9" s="26">
        <v>44122</v>
      </c>
      <c r="B9" s="2" t="s">
        <v>366</v>
      </c>
      <c r="C9" s="2" t="s">
        <v>365</v>
      </c>
      <c r="D9" s="2" t="s">
        <v>495</v>
      </c>
      <c r="H9" s="36">
        <v>4.5</v>
      </c>
    </row>
    <row r="10" spans="1:9" x14ac:dyDescent="0.25">
      <c r="A10" s="26">
        <v>44122</v>
      </c>
      <c r="B10" s="2" t="s">
        <v>366</v>
      </c>
      <c r="C10" s="2" t="s">
        <v>365</v>
      </c>
      <c r="D10" s="2" t="s">
        <v>494</v>
      </c>
      <c r="H10" s="36">
        <v>3</v>
      </c>
    </row>
    <row r="11" spans="1:9" x14ac:dyDescent="0.25">
      <c r="A11" s="26">
        <v>44122</v>
      </c>
      <c r="B11" s="2" t="s">
        <v>366</v>
      </c>
      <c r="C11" s="2" t="s">
        <v>365</v>
      </c>
      <c r="D11" s="2" t="s">
        <v>493</v>
      </c>
      <c r="G11" s="36">
        <v>5.5</v>
      </c>
    </row>
    <row r="12" spans="1:9" x14ac:dyDescent="0.25">
      <c r="A12" s="26">
        <v>44122</v>
      </c>
      <c r="B12" s="2" t="s">
        <v>366</v>
      </c>
      <c r="C12" s="2" t="s">
        <v>365</v>
      </c>
      <c r="D12" s="2" t="s">
        <v>492</v>
      </c>
      <c r="G12" s="36">
        <v>2</v>
      </c>
    </row>
    <row r="13" spans="1:9" x14ac:dyDescent="0.25">
      <c r="A13" s="26">
        <v>44122</v>
      </c>
      <c r="B13" s="2" t="s">
        <v>366</v>
      </c>
      <c r="C13" s="2" t="s">
        <v>365</v>
      </c>
      <c r="D13" s="2" t="s">
        <v>491</v>
      </c>
      <c r="F13" s="36">
        <v>3</v>
      </c>
    </row>
    <row r="14" spans="1:9" x14ac:dyDescent="0.25">
      <c r="A14" s="26">
        <v>44122</v>
      </c>
      <c r="B14" s="2" t="s">
        <v>366</v>
      </c>
      <c r="C14" s="2" t="s">
        <v>365</v>
      </c>
      <c r="D14" s="2" t="s">
        <v>490</v>
      </c>
      <c r="F14" s="36">
        <v>1</v>
      </c>
    </row>
    <row r="15" spans="1:9" x14ac:dyDescent="0.25">
      <c r="A15" s="26">
        <v>44122</v>
      </c>
      <c r="B15" s="2" t="s">
        <v>366</v>
      </c>
      <c r="C15" s="2" t="s">
        <v>365</v>
      </c>
      <c r="D15" s="2" t="s">
        <v>489</v>
      </c>
      <c r="F15" s="36">
        <v>3.5</v>
      </c>
    </row>
    <row r="16" spans="1:9" x14ac:dyDescent="0.25">
      <c r="A16" s="26">
        <v>44122</v>
      </c>
      <c r="B16" s="2" t="s">
        <v>366</v>
      </c>
      <c r="C16" s="2" t="s">
        <v>365</v>
      </c>
      <c r="D16" s="2" t="s">
        <v>488</v>
      </c>
      <c r="E16" s="36">
        <v>3.5</v>
      </c>
    </row>
    <row r="17" spans="1:9" x14ac:dyDescent="0.25">
      <c r="A17" s="26">
        <v>44122</v>
      </c>
      <c r="B17" s="2" t="s">
        <v>366</v>
      </c>
      <c r="C17" s="2" t="s">
        <v>365</v>
      </c>
      <c r="D17" s="2" t="s">
        <v>487</v>
      </c>
      <c r="E17" s="36">
        <v>2</v>
      </c>
    </row>
    <row r="18" spans="1:9" x14ac:dyDescent="0.25">
      <c r="A18" s="26">
        <v>44122</v>
      </c>
      <c r="B18" s="2" t="s">
        <v>366</v>
      </c>
      <c r="C18" s="2" t="s">
        <v>365</v>
      </c>
      <c r="D18" s="2" t="s">
        <v>486</v>
      </c>
      <c r="E18" s="36">
        <v>2</v>
      </c>
    </row>
    <row r="19" spans="1:9" x14ac:dyDescent="0.25">
      <c r="A19" s="26">
        <v>44122</v>
      </c>
      <c r="B19" s="2" t="s">
        <v>390</v>
      </c>
      <c r="C19" s="2" t="s">
        <v>365</v>
      </c>
      <c r="D19" s="2" t="s">
        <v>497</v>
      </c>
    </row>
    <row r="20" spans="1:9" x14ac:dyDescent="0.25">
      <c r="A20" s="2" t="s">
        <v>506</v>
      </c>
      <c r="E20" s="36">
        <v>7.5</v>
      </c>
      <c r="F20" s="36">
        <v>7.5</v>
      </c>
      <c r="G20" s="36">
        <v>7.5</v>
      </c>
      <c r="H20" s="36">
        <v>7.5</v>
      </c>
      <c r="I20" s="36">
        <v>7.5</v>
      </c>
    </row>
    <row r="21" spans="1:9" x14ac:dyDescent="0.25">
      <c r="A21" s="26">
        <v>44115</v>
      </c>
      <c r="B21" s="2" t="s">
        <v>366</v>
      </c>
      <c r="C21" s="2" t="s">
        <v>365</v>
      </c>
      <c r="D21" s="2" t="s">
        <v>352</v>
      </c>
      <c r="E21" s="36">
        <v>1.5</v>
      </c>
    </row>
    <row r="22" spans="1:9" x14ac:dyDescent="0.25">
      <c r="A22" s="26">
        <v>44115</v>
      </c>
      <c r="B22" s="2" t="s">
        <v>366</v>
      </c>
      <c r="C22" s="2" t="s">
        <v>365</v>
      </c>
      <c r="D22" s="2" t="s">
        <v>351</v>
      </c>
      <c r="E22" s="36">
        <v>6</v>
      </c>
    </row>
    <row r="23" spans="1:9" x14ac:dyDescent="0.25">
      <c r="A23" s="26">
        <v>44115</v>
      </c>
      <c r="B23" s="2" t="s">
        <v>366</v>
      </c>
      <c r="C23" s="2" t="s">
        <v>365</v>
      </c>
      <c r="D23" s="2" t="s">
        <v>358</v>
      </c>
      <c r="E23" s="36">
        <v>5.5</v>
      </c>
    </row>
    <row r="24" spans="1:9" x14ac:dyDescent="0.25">
      <c r="A24" s="26">
        <v>44115</v>
      </c>
      <c r="B24" s="2" t="s">
        <v>366</v>
      </c>
      <c r="C24" s="2" t="s">
        <v>365</v>
      </c>
      <c r="D24" s="2" t="s">
        <v>357</v>
      </c>
      <c r="E24" s="36">
        <v>2</v>
      </c>
    </row>
    <row r="25" spans="1:9" ht="30" x14ac:dyDescent="0.25">
      <c r="A25" s="26">
        <v>44115</v>
      </c>
      <c r="B25" s="2" t="s">
        <v>366</v>
      </c>
      <c r="C25" s="2" t="s">
        <v>365</v>
      </c>
      <c r="D25" s="2" t="s">
        <v>356</v>
      </c>
      <c r="E25" s="36">
        <v>4</v>
      </c>
    </row>
    <row r="26" spans="1:9" x14ac:dyDescent="0.25">
      <c r="A26" s="26">
        <v>44115</v>
      </c>
      <c r="B26" s="2" t="s">
        <v>366</v>
      </c>
      <c r="C26" s="2" t="s">
        <v>365</v>
      </c>
      <c r="D26" s="2" t="s">
        <v>355</v>
      </c>
      <c r="E26" s="36">
        <v>1.5</v>
      </c>
    </row>
    <row r="27" spans="1:9" x14ac:dyDescent="0.25">
      <c r="A27" s="26">
        <v>44115</v>
      </c>
      <c r="B27" s="2" t="s">
        <v>366</v>
      </c>
      <c r="C27" s="2" t="s">
        <v>365</v>
      </c>
      <c r="D27" s="2" t="s">
        <v>496</v>
      </c>
      <c r="E27" s="36">
        <v>5</v>
      </c>
    </row>
    <row r="28" spans="1:9" x14ac:dyDescent="0.25">
      <c r="A28" s="26">
        <v>44115</v>
      </c>
      <c r="B28" s="2" t="s">
        <v>366</v>
      </c>
      <c r="C28" s="2" t="s">
        <v>365</v>
      </c>
      <c r="D28" s="2" t="s">
        <v>383</v>
      </c>
      <c r="E28" s="36">
        <v>2</v>
      </c>
    </row>
    <row r="29" spans="1:9" x14ac:dyDescent="0.25">
      <c r="A29" s="26">
        <v>44115</v>
      </c>
      <c r="B29" s="2" t="s">
        <v>366</v>
      </c>
      <c r="C29" s="2" t="s">
        <v>365</v>
      </c>
      <c r="D29" s="2" t="s">
        <v>384</v>
      </c>
      <c r="E29" s="36">
        <v>5.5</v>
      </c>
    </row>
    <row r="30" spans="1:9" x14ac:dyDescent="0.25">
      <c r="A30" s="26">
        <v>44115</v>
      </c>
      <c r="B30" s="2" t="s">
        <v>390</v>
      </c>
      <c r="C30" s="2" t="s">
        <v>365</v>
      </c>
      <c r="D30" s="2" t="s">
        <v>385</v>
      </c>
      <c r="E30" s="36">
        <v>1</v>
      </c>
    </row>
    <row r="31" spans="1:9" x14ac:dyDescent="0.25">
      <c r="A31" s="26">
        <v>44115</v>
      </c>
      <c r="B31" s="2" t="s">
        <v>390</v>
      </c>
      <c r="C31" s="2" t="s">
        <v>365</v>
      </c>
      <c r="D31" s="2" t="s">
        <v>386</v>
      </c>
      <c r="E31" s="36">
        <v>1.5</v>
      </c>
    </row>
    <row r="32" spans="1:9" x14ac:dyDescent="0.25">
      <c r="A32" s="26">
        <v>44115</v>
      </c>
      <c r="B32" s="2" t="s">
        <v>389</v>
      </c>
      <c r="C32" s="2" t="s">
        <v>365</v>
      </c>
      <c r="D32" s="2" t="s">
        <v>354</v>
      </c>
      <c r="E32" s="36">
        <v>2</v>
      </c>
    </row>
    <row r="33" spans="1:5" x14ac:dyDescent="0.25">
      <c r="A33" s="2" t="s">
        <v>353</v>
      </c>
      <c r="E33" s="36">
        <v>37.5</v>
      </c>
    </row>
    <row r="34" spans="1:5" ht="30" x14ac:dyDescent="0.25">
      <c r="A34" s="26">
        <v>44108</v>
      </c>
      <c r="B34" s="2" t="s">
        <v>366</v>
      </c>
      <c r="C34" s="2" t="s">
        <v>365</v>
      </c>
      <c r="D34" s="2" t="s">
        <v>347</v>
      </c>
      <c r="E34" s="36">
        <v>3</v>
      </c>
    </row>
    <row r="35" spans="1:5" ht="30" x14ac:dyDescent="0.25">
      <c r="A35" s="26">
        <v>44108</v>
      </c>
      <c r="B35" s="2" t="s">
        <v>366</v>
      </c>
      <c r="C35" s="2" t="s">
        <v>365</v>
      </c>
      <c r="D35" s="2" t="s">
        <v>346</v>
      </c>
      <c r="E35" s="36">
        <v>4.5</v>
      </c>
    </row>
    <row r="36" spans="1:5" ht="30" x14ac:dyDescent="0.25">
      <c r="A36" s="26">
        <v>44108</v>
      </c>
      <c r="B36" s="2" t="s">
        <v>366</v>
      </c>
      <c r="C36" s="2" t="s">
        <v>365</v>
      </c>
      <c r="D36" s="2" t="s">
        <v>342</v>
      </c>
      <c r="E36" s="36">
        <v>7.5</v>
      </c>
    </row>
    <row r="37" spans="1:5" x14ac:dyDescent="0.25">
      <c r="A37" s="26">
        <v>44108</v>
      </c>
      <c r="B37" s="2" t="s">
        <v>366</v>
      </c>
      <c r="C37" s="2" t="s">
        <v>365</v>
      </c>
      <c r="D37" s="2" t="s">
        <v>341</v>
      </c>
      <c r="E37" s="36">
        <v>7.5</v>
      </c>
    </row>
    <row r="38" spans="1:5" ht="30" x14ac:dyDescent="0.25">
      <c r="A38" s="26">
        <v>44108</v>
      </c>
      <c r="B38" s="2" t="s">
        <v>366</v>
      </c>
      <c r="C38" s="2" t="s">
        <v>365</v>
      </c>
      <c r="D38" s="2" t="s">
        <v>332</v>
      </c>
      <c r="E38" s="36">
        <v>3</v>
      </c>
    </row>
    <row r="39" spans="1:5" ht="30" x14ac:dyDescent="0.25">
      <c r="A39" s="26">
        <v>44108</v>
      </c>
      <c r="B39" s="2" t="s">
        <v>366</v>
      </c>
      <c r="C39" s="2" t="s">
        <v>365</v>
      </c>
      <c r="D39" s="2" t="s">
        <v>331</v>
      </c>
      <c r="E39" s="36">
        <v>4.5</v>
      </c>
    </row>
    <row r="40" spans="1:5" ht="45" x14ac:dyDescent="0.25">
      <c r="A40" s="26">
        <v>44108</v>
      </c>
      <c r="B40" s="2" t="s">
        <v>366</v>
      </c>
      <c r="C40" s="2" t="s">
        <v>365</v>
      </c>
      <c r="D40" s="2" t="s">
        <v>345</v>
      </c>
      <c r="E40" s="36">
        <v>7.5</v>
      </c>
    </row>
    <row r="41" spans="1:5" x14ac:dyDescent="0.25">
      <c r="A41" s="26">
        <v>44108</v>
      </c>
      <c r="B41" s="2" t="s">
        <v>366</v>
      </c>
      <c r="C41" s="2" t="s">
        <v>365</v>
      </c>
      <c r="D41" s="2" t="s">
        <v>344</v>
      </c>
    </row>
    <row r="42" spans="1:5" x14ac:dyDescent="0.25">
      <c r="A42" s="26">
        <v>44108</v>
      </c>
      <c r="B42" s="2" t="s">
        <v>366</v>
      </c>
      <c r="C42" s="2" t="s">
        <v>365</v>
      </c>
      <c r="D42" s="2" t="s">
        <v>343</v>
      </c>
    </row>
    <row r="43" spans="1:5" x14ac:dyDescent="0.25">
      <c r="A43" s="26">
        <v>44108</v>
      </c>
      <c r="B43" s="2" t="s">
        <v>366</v>
      </c>
      <c r="C43" s="2" t="s">
        <v>365</v>
      </c>
      <c r="D43" s="2" t="s">
        <v>340</v>
      </c>
    </row>
    <row r="44" spans="1:5" x14ac:dyDescent="0.25">
      <c r="A44" s="2" t="s">
        <v>338</v>
      </c>
      <c r="E44" s="36">
        <v>37.5</v>
      </c>
    </row>
    <row r="45" spans="1:5" x14ac:dyDescent="0.25">
      <c r="A45" s="26">
        <v>44101</v>
      </c>
      <c r="B45" s="2" t="s">
        <v>366</v>
      </c>
      <c r="C45" s="2" t="s">
        <v>365</v>
      </c>
      <c r="D45" s="2" t="s">
        <v>330</v>
      </c>
      <c r="E45" s="36">
        <v>7.5</v>
      </c>
    </row>
    <row r="46" spans="1:5" x14ac:dyDescent="0.25">
      <c r="A46" s="26">
        <v>44101</v>
      </c>
      <c r="B46" s="2" t="s">
        <v>366</v>
      </c>
      <c r="C46" s="2" t="s">
        <v>365</v>
      </c>
      <c r="D46" s="2" t="s">
        <v>336</v>
      </c>
    </row>
    <row r="47" spans="1:5" x14ac:dyDescent="0.25">
      <c r="A47" s="26">
        <v>44101</v>
      </c>
      <c r="B47" s="2" t="s">
        <v>366</v>
      </c>
      <c r="C47" s="2" t="s">
        <v>365</v>
      </c>
      <c r="D47" s="2" t="s">
        <v>335</v>
      </c>
    </row>
    <row r="48" spans="1:5" x14ac:dyDescent="0.25">
      <c r="A48" s="26">
        <v>44101</v>
      </c>
      <c r="B48" s="2" t="s">
        <v>366</v>
      </c>
      <c r="C48" s="2" t="s">
        <v>365</v>
      </c>
      <c r="D48" s="2" t="s">
        <v>328</v>
      </c>
      <c r="E48" s="36">
        <v>5.5</v>
      </c>
    </row>
    <row r="49" spans="1:5" x14ac:dyDescent="0.25">
      <c r="A49" s="26">
        <v>44101</v>
      </c>
      <c r="B49" s="2" t="s">
        <v>366</v>
      </c>
      <c r="C49" s="2" t="s">
        <v>365</v>
      </c>
      <c r="D49" s="2" t="s">
        <v>327</v>
      </c>
      <c r="E49" s="36">
        <v>3.5</v>
      </c>
    </row>
    <row r="50" spans="1:5" ht="30" x14ac:dyDescent="0.25">
      <c r="A50" s="26">
        <v>44101</v>
      </c>
      <c r="B50" s="2" t="s">
        <v>366</v>
      </c>
      <c r="C50" s="2" t="s">
        <v>365</v>
      </c>
      <c r="D50" s="2" t="s">
        <v>326</v>
      </c>
      <c r="E50" s="36">
        <v>4</v>
      </c>
    </row>
    <row r="51" spans="1:5" x14ac:dyDescent="0.25">
      <c r="A51" s="26">
        <v>44101</v>
      </c>
      <c r="B51" s="2" t="s">
        <v>366</v>
      </c>
      <c r="C51" s="2" t="s">
        <v>365</v>
      </c>
      <c r="D51" s="2" t="s">
        <v>333</v>
      </c>
      <c r="E51" s="36">
        <v>2</v>
      </c>
    </row>
    <row r="52" spans="1:5" ht="45" x14ac:dyDescent="0.25">
      <c r="A52" s="26">
        <v>44101</v>
      </c>
      <c r="B52" s="2" t="s">
        <v>366</v>
      </c>
      <c r="C52" s="2" t="s">
        <v>365</v>
      </c>
      <c r="D52" s="2" t="s">
        <v>325</v>
      </c>
      <c r="E52" s="36">
        <v>4.5</v>
      </c>
    </row>
    <row r="53" spans="1:5" ht="30" x14ac:dyDescent="0.25">
      <c r="A53" s="26">
        <v>44101</v>
      </c>
      <c r="B53" s="2" t="s">
        <v>366</v>
      </c>
      <c r="C53" s="2" t="s">
        <v>365</v>
      </c>
      <c r="D53" s="2" t="s">
        <v>324</v>
      </c>
      <c r="E53" s="36">
        <v>3</v>
      </c>
    </row>
    <row r="54" spans="1:5" ht="105" x14ac:dyDescent="0.25">
      <c r="A54" s="26">
        <v>44101</v>
      </c>
      <c r="B54" s="2" t="s">
        <v>366</v>
      </c>
      <c r="C54" s="2" t="s">
        <v>365</v>
      </c>
      <c r="D54" s="2" t="s">
        <v>323</v>
      </c>
      <c r="E54" s="36">
        <v>3.5</v>
      </c>
    </row>
    <row r="55" spans="1:5" ht="30" x14ac:dyDescent="0.25">
      <c r="A55" s="26">
        <v>44101</v>
      </c>
      <c r="B55" s="2" t="s">
        <v>368</v>
      </c>
      <c r="C55" s="2" t="s">
        <v>365</v>
      </c>
      <c r="D55" s="2" t="s">
        <v>334</v>
      </c>
      <c r="E55" s="36">
        <v>2</v>
      </c>
    </row>
    <row r="56" spans="1:5" ht="30" x14ac:dyDescent="0.25">
      <c r="A56" s="26">
        <v>44101</v>
      </c>
      <c r="B56" s="2" t="s">
        <v>389</v>
      </c>
      <c r="C56" s="2" t="s">
        <v>365</v>
      </c>
      <c r="D56" s="2" t="s">
        <v>337</v>
      </c>
      <c r="E56" s="36">
        <v>2</v>
      </c>
    </row>
    <row r="57" spans="1:5" x14ac:dyDescent="0.25">
      <c r="A57" s="2" t="s">
        <v>339</v>
      </c>
      <c r="E57" s="36">
        <v>37.5</v>
      </c>
    </row>
    <row r="58" spans="1:5" x14ac:dyDescent="0.25">
      <c r="A58" s="26">
        <v>44094</v>
      </c>
      <c r="B58" s="2" t="s">
        <v>366</v>
      </c>
      <c r="C58" s="2" t="s">
        <v>365</v>
      </c>
      <c r="D58" s="2" t="s">
        <v>321</v>
      </c>
      <c r="E58" s="36">
        <v>3.75</v>
      </c>
    </row>
    <row r="59" spans="1:5" x14ac:dyDescent="0.25">
      <c r="A59" s="26">
        <v>44094</v>
      </c>
      <c r="B59" s="2" t="s">
        <v>366</v>
      </c>
      <c r="C59" s="2" t="s">
        <v>365</v>
      </c>
      <c r="D59" s="2" t="s">
        <v>319</v>
      </c>
      <c r="E59" s="36">
        <v>2.5</v>
      </c>
    </row>
    <row r="60" spans="1:5" ht="30" x14ac:dyDescent="0.25">
      <c r="A60" s="26">
        <v>44094</v>
      </c>
      <c r="B60" s="2" t="s">
        <v>366</v>
      </c>
      <c r="C60" s="2" t="s">
        <v>365</v>
      </c>
      <c r="D60" s="2" t="s">
        <v>316</v>
      </c>
      <c r="E60" s="36">
        <v>3</v>
      </c>
    </row>
    <row r="61" spans="1:5" ht="45" x14ac:dyDescent="0.25">
      <c r="A61" s="26">
        <v>44094</v>
      </c>
      <c r="B61" s="2" t="s">
        <v>366</v>
      </c>
      <c r="C61" s="2" t="s">
        <v>365</v>
      </c>
      <c r="D61" s="2" t="s">
        <v>320</v>
      </c>
      <c r="E61" s="36">
        <v>3.75</v>
      </c>
    </row>
    <row r="62" spans="1:5" ht="75" x14ac:dyDescent="0.25">
      <c r="A62" s="26">
        <v>44094</v>
      </c>
      <c r="B62" s="2" t="s">
        <v>366</v>
      </c>
      <c r="C62" s="2" t="s">
        <v>365</v>
      </c>
      <c r="D62" s="2" t="s">
        <v>329</v>
      </c>
      <c r="E62" s="36">
        <v>5</v>
      </c>
    </row>
    <row r="63" spans="1:5" ht="75" x14ac:dyDescent="0.25">
      <c r="A63" s="26">
        <v>44094</v>
      </c>
      <c r="B63" s="2" t="s">
        <v>366</v>
      </c>
      <c r="C63" s="2" t="s">
        <v>365</v>
      </c>
      <c r="D63" s="2" t="s">
        <v>318</v>
      </c>
      <c r="E63" s="36">
        <v>2</v>
      </c>
    </row>
    <row r="64" spans="1:5" ht="75" x14ac:dyDescent="0.25">
      <c r="A64" s="26">
        <v>44094</v>
      </c>
      <c r="B64" s="2" t="s">
        <v>366</v>
      </c>
      <c r="C64" s="2" t="s">
        <v>365</v>
      </c>
      <c r="D64" s="2" t="s">
        <v>317</v>
      </c>
      <c r="E64" s="36">
        <v>5.5</v>
      </c>
    </row>
    <row r="65" spans="1:5" ht="75" x14ac:dyDescent="0.25">
      <c r="A65" s="26">
        <v>44094</v>
      </c>
      <c r="B65" s="2" t="s">
        <v>366</v>
      </c>
      <c r="C65" s="2" t="s">
        <v>365</v>
      </c>
      <c r="D65" s="2" t="s">
        <v>315</v>
      </c>
      <c r="E65" s="36">
        <v>4.5</v>
      </c>
    </row>
    <row r="66" spans="1:5" ht="30" x14ac:dyDescent="0.25">
      <c r="A66" s="26">
        <v>44094</v>
      </c>
      <c r="B66" s="2" t="s">
        <v>366</v>
      </c>
      <c r="C66" s="2" t="s">
        <v>365</v>
      </c>
      <c r="D66" s="2" t="s">
        <v>314</v>
      </c>
      <c r="E66" s="36">
        <v>2</v>
      </c>
    </row>
    <row r="67" spans="1:5" ht="120" x14ac:dyDescent="0.25">
      <c r="A67" s="26">
        <v>44094</v>
      </c>
      <c r="B67" s="2" t="s">
        <v>366</v>
      </c>
      <c r="C67" s="2" t="s">
        <v>365</v>
      </c>
      <c r="D67" s="2" t="s">
        <v>313</v>
      </c>
      <c r="E67" s="36">
        <v>5.5</v>
      </c>
    </row>
    <row r="68" spans="1:5" x14ac:dyDescent="0.25">
      <c r="A68" s="2" t="s">
        <v>322</v>
      </c>
      <c r="E68" s="36">
        <v>37.5</v>
      </c>
    </row>
    <row r="69" spans="1:5" ht="30" x14ac:dyDescent="0.25">
      <c r="A69" s="26">
        <v>44087</v>
      </c>
      <c r="B69" s="2" t="s">
        <v>366</v>
      </c>
      <c r="C69" s="2" t="s">
        <v>365</v>
      </c>
      <c r="D69" s="2" t="s">
        <v>311</v>
      </c>
      <c r="E69" s="36">
        <v>4.5</v>
      </c>
    </row>
    <row r="70" spans="1:5" ht="45" x14ac:dyDescent="0.25">
      <c r="A70" s="26">
        <v>44087</v>
      </c>
      <c r="B70" s="2" t="s">
        <v>366</v>
      </c>
      <c r="C70" s="2" t="s">
        <v>365</v>
      </c>
      <c r="D70" s="2" t="s">
        <v>308</v>
      </c>
      <c r="E70" s="36">
        <v>4.5</v>
      </c>
    </row>
    <row r="71" spans="1:5" ht="60" x14ac:dyDescent="0.25">
      <c r="A71" s="26">
        <v>44087</v>
      </c>
      <c r="B71" s="2" t="s">
        <v>366</v>
      </c>
      <c r="C71" s="2" t="s">
        <v>365</v>
      </c>
      <c r="D71" s="2" t="s">
        <v>310</v>
      </c>
      <c r="E71" s="36">
        <v>3</v>
      </c>
    </row>
    <row r="72" spans="1:5" ht="60" x14ac:dyDescent="0.25">
      <c r="A72" s="26">
        <v>44087</v>
      </c>
      <c r="B72" s="2" t="s">
        <v>366</v>
      </c>
      <c r="C72" s="2" t="s">
        <v>365</v>
      </c>
      <c r="D72" s="2" t="s">
        <v>309</v>
      </c>
      <c r="E72" s="36">
        <v>3</v>
      </c>
    </row>
    <row r="73" spans="1:5" ht="60" x14ac:dyDescent="0.25">
      <c r="A73" s="26">
        <v>44087</v>
      </c>
      <c r="B73" s="2" t="s">
        <v>366</v>
      </c>
      <c r="C73" s="2" t="s">
        <v>365</v>
      </c>
      <c r="D73" s="2" t="s">
        <v>307</v>
      </c>
      <c r="E73" s="36">
        <v>2.5</v>
      </c>
    </row>
    <row r="74" spans="1:5" ht="75" x14ac:dyDescent="0.25">
      <c r="A74" s="26">
        <v>44087</v>
      </c>
      <c r="B74" s="2" t="s">
        <v>366</v>
      </c>
      <c r="C74" s="2" t="s">
        <v>365</v>
      </c>
      <c r="D74" s="2" t="s">
        <v>306</v>
      </c>
      <c r="E74" s="36">
        <v>5</v>
      </c>
    </row>
    <row r="75" spans="1:5" ht="60" x14ac:dyDescent="0.25">
      <c r="A75" s="26">
        <v>44087</v>
      </c>
      <c r="B75" s="2" t="s">
        <v>366</v>
      </c>
      <c r="C75" s="2" t="s">
        <v>365</v>
      </c>
      <c r="D75" s="2" t="s">
        <v>305</v>
      </c>
      <c r="E75" s="36">
        <v>3.5</v>
      </c>
    </row>
    <row r="76" spans="1:5" ht="60" x14ac:dyDescent="0.25">
      <c r="A76" s="26">
        <v>44087</v>
      </c>
      <c r="B76" s="2" t="s">
        <v>366</v>
      </c>
      <c r="C76" s="2" t="s">
        <v>365</v>
      </c>
      <c r="D76" s="2" t="s">
        <v>304</v>
      </c>
      <c r="E76" s="36">
        <v>4</v>
      </c>
    </row>
    <row r="77" spans="1:5" ht="75" x14ac:dyDescent="0.25">
      <c r="A77" s="26">
        <v>44087</v>
      </c>
      <c r="B77" s="2" t="s">
        <v>366</v>
      </c>
      <c r="C77" s="2" t="s">
        <v>365</v>
      </c>
      <c r="D77" s="2" t="s">
        <v>303</v>
      </c>
      <c r="E77" s="36">
        <v>4.5</v>
      </c>
    </row>
    <row r="78" spans="1:5" ht="75" x14ac:dyDescent="0.25">
      <c r="A78" s="26">
        <v>44087</v>
      </c>
      <c r="B78" s="2" t="s">
        <v>366</v>
      </c>
      <c r="C78" s="2" t="s">
        <v>365</v>
      </c>
      <c r="D78" s="2" t="s">
        <v>302</v>
      </c>
      <c r="E78" s="36">
        <v>3</v>
      </c>
    </row>
    <row r="79" spans="1:5" x14ac:dyDescent="0.25">
      <c r="A79" s="2" t="s">
        <v>312</v>
      </c>
      <c r="E79" s="36">
        <v>37.5</v>
      </c>
    </row>
    <row r="80" spans="1:5" x14ac:dyDescent="0.25">
      <c r="A80" s="26">
        <v>44080</v>
      </c>
      <c r="B80" s="2" t="s">
        <v>366</v>
      </c>
      <c r="C80" s="2" t="s">
        <v>365</v>
      </c>
      <c r="D80" s="2" t="s">
        <v>298</v>
      </c>
      <c r="E80" s="36">
        <v>3.75</v>
      </c>
    </row>
    <row r="81" spans="1:5" x14ac:dyDescent="0.25">
      <c r="A81" s="26">
        <v>44080</v>
      </c>
      <c r="B81" s="2" t="s">
        <v>366</v>
      </c>
      <c r="C81" s="2" t="s">
        <v>365</v>
      </c>
      <c r="D81" s="2" t="s">
        <v>297</v>
      </c>
      <c r="E81" s="36">
        <v>3.75</v>
      </c>
    </row>
    <row r="82" spans="1:5" ht="30" x14ac:dyDescent="0.25">
      <c r="A82" s="26">
        <v>44080</v>
      </c>
      <c r="B82" s="2" t="s">
        <v>366</v>
      </c>
      <c r="C82" s="2" t="s">
        <v>365</v>
      </c>
      <c r="D82" s="2" t="s">
        <v>296</v>
      </c>
      <c r="E82" s="36">
        <v>3.75</v>
      </c>
    </row>
    <row r="83" spans="1:5" ht="45" x14ac:dyDescent="0.25">
      <c r="A83" s="26">
        <v>44080</v>
      </c>
      <c r="B83" s="2" t="s">
        <v>366</v>
      </c>
      <c r="C83" s="2" t="s">
        <v>365</v>
      </c>
      <c r="D83" s="2" t="s">
        <v>295</v>
      </c>
      <c r="E83" s="36">
        <v>3.75</v>
      </c>
    </row>
    <row r="84" spans="1:5" ht="45" x14ac:dyDescent="0.25">
      <c r="A84" s="26">
        <v>44080</v>
      </c>
      <c r="B84" s="2" t="s">
        <v>366</v>
      </c>
      <c r="C84" s="2" t="s">
        <v>365</v>
      </c>
      <c r="D84" s="2" t="s">
        <v>294</v>
      </c>
      <c r="E84" s="36">
        <v>3.75</v>
      </c>
    </row>
    <row r="85" spans="1:5" ht="30" x14ac:dyDescent="0.25">
      <c r="A85" s="26">
        <v>44080</v>
      </c>
      <c r="B85" s="2" t="s">
        <v>366</v>
      </c>
      <c r="C85" s="2" t="s">
        <v>365</v>
      </c>
      <c r="D85" s="2" t="s">
        <v>293</v>
      </c>
      <c r="E85" s="36">
        <v>3.75</v>
      </c>
    </row>
    <row r="86" spans="1:5" ht="45" x14ac:dyDescent="0.25">
      <c r="A86" s="26">
        <v>44080</v>
      </c>
      <c r="B86" s="2" t="s">
        <v>366</v>
      </c>
      <c r="C86" s="2" t="s">
        <v>365</v>
      </c>
      <c r="D86" s="2" t="s">
        <v>300</v>
      </c>
      <c r="E86" s="36">
        <v>3.75</v>
      </c>
    </row>
    <row r="87" spans="1:5" ht="45" x14ac:dyDescent="0.25">
      <c r="A87" s="26">
        <v>44080</v>
      </c>
      <c r="B87" s="2" t="s">
        <v>366</v>
      </c>
      <c r="C87" s="2" t="s">
        <v>365</v>
      </c>
      <c r="D87" s="2" t="s">
        <v>299</v>
      </c>
      <c r="E87" s="36">
        <v>3.75</v>
      </c>
    </row>
    <row r="88" spans="1:5" x14ac:dyDescent="0.25">
      <c r="A88" s="26">
        <v>44080</v>
      </c>
      <c r="B88" s="2" t="s">
        <v>373</v>
      </c>
      <c r="C88" s="2" t="s">
        <v>365</v>
      </c>
      <c r="D88" s="2" t="s">
        <v>107</v>
      </c>
      <c r="E88" s="36">
        <v>7.5</v>
      </c>
    </row>
    <row r="89" spans="1:5" x14ac:dyDescent="0.25">
      <c r="A89" s="2" t="s">
        <v>301</v>
      </c>
      <c r="E89" s="36">
        <v>37.5</v>
      </c>
    </row>
    <row r="90" spans="1:5" ht="30" x14ac:dyDescent="0.25">
      <c r="A90" s="26">
        <v>44073</v>
      </c>
      <c r="B90" s="2" t="s">
        <v>366</v>
      </c>
      <c r="C90" s="2" t="s">
        <v>365</v>
      </c>
      <c r="D90" s="2" t="s">
        <v>283</v>
      </c>
      <c r="E90" s="36">
        <v>2</v>
      </c>
    </row>
    <row r="91" spans="1:5" ht="30" x14ac:dyDescent="0.25">
      <c r="A91" s="26">
        <v>44073</v>
      </c>
      <c r="B91" s="2" t="s">
        <v>366</v>
      </c>
      <c r="C91" s="2" t="s">
        <v>365</v>
      </c>
      <c r="D91" s="2" t="s">
        <v>284</v>
      </c>
      <c r="E91" s="36">
        <v>5.5</v>
      </c>
    </row>
    <row r="92" spans="1:5" ht="45" x14ac:dyDescent="0.25">
      <c r="A92" s="26">
        <v>44073</v>
      </c>
      <c r="B92" s="2" t="s">
        <v>366</v>
      </c>
      <c r="C92" s="2" t="s">
        <v>365</v>
      </c>
      <c r="D92" s="2" t="s">
        <v>289</v>
      </c>
      <c r="E92" s="36">
        <v>3.75</v>
      </c>
    </row>
    <row r="93" spans="1:5" ht="45" x14ac:dyDescent="0.25">
      <c r="A93" s="26">
        <v>44073</v>
      </c>
      <c r="B93" s="2" t="s">
        <v>366</v>
      </c>
      <c r="C93" s="2" t="s">
        <v>365</v>
      </c>
      <c r="D93" s="2" t="s">
        <v>285</v>
      </c>
      <c r="E93" s="36">
        <v>3.75</v>
      </c>
    </row>
    <row r="94" spans="1:5" x14ac:dyDescent="0.25">
      <c r="A94" s="26">
        <v>44073</v>
      </c>
      <c r="B94" s="2" t="s">
        <v>366</v>
      </c>
      <c r="C94" s="2" t="s">
        <v>365</v>
      </c>
      <c r="D94" s="2" t="s">
        <v>282</v>
      </c>
      <c r="E94" s="36">
        <v>7.5</v>
      </c>
    </row>
    <row r="95" spans="1:5" ht="90" x14ac:dyDescent="0.25">
      <c r="A95" s="26">
        <v>44073</v>
      </c>
      <c r="B95" s="2" t="s">
        <v>366</v>
      </c>
      <c r="C95" s="2" t="s">
        <v>365</v>
      </c>
      <c r="D95" s="2" t="s">
        <v>287</v>
      </c>
      <c r="E95" s="36">
        <v>5.5</v>
      </c>
    </row>
    <row r="96" spans="1:5" ht="45" x14ac:dyDescent="0.25">
      <c r="A96" s="26">
        <v>44073</v>
      </c>
      <c r="B96" s="2" t="s">
        <v>366</v>
      </c>
      <c r="C96" s="2" t="s">
        <v>365</v>
      </c>
      <c r="D96" s="2" t="s">
        <v>290</v>
      </c>
      <c r="E96" s="36">
        <v>3.75</v>
      </c>
    </row>
    <row r="97" spans="1:5" ht="60" x14ac:dyDescent="0.25">
      <c r="A97" s="26">
        <v>44073</v>
      </c>
      <c r="B97" s="2" t="s">
        <v>366</v>
      </c>
      <c r="C97" s="2" t="s">
        <v>365</v>
      </c>
      <c r="D97" s="2" t="s">
        <v>286</v>
      </c>
      <c r="E97" s="36">
        <v>3.75</v>
      </c>
    </row>
    <row r="98" spans="1:5" x14ac:dyDescent="0.25">
      <c r="A98" s="26">
        <v>44073</v>
      </c>
      <c r="B98" s="2" t="s">
        <v>374</v>
      </c>
      <c r="C98" s="2" t="s">
        <v>365</v>
      </c>
      <c r="D98" s="2" t="s">
        <v>288</v>
      </c>
      <c r="E98" s="36">
        <v>2</v>
      </c>
    </row>
    <row r="99" spans="1:5" x14ac:dyDescent="0.25">
      <c r="A99" s="2" t="s">
        <v>292</v>
      </c>
      <c r="E99" s="36">
        <v>37.5</v>
      </c>
    </row>
    <row r="100" spans="1:5" ht="30" x14ac:dyDescent="0.25">
      <c r="A100" s="26">
        <v>44059</v>
      </c>
      <c r="B100" s="2" t="s">
        <v>366</v>
      </c>
      <c r="C100" s="2" t="s">
        <v>365</v>
      </c>
      <c r="D100" s="2" t="s">
        <v>278</v>
      </c>
      <c r="E100" s="36">
        <v>12.5</v>
      </c>
    </row>
    <row r="101" spans="1:5" ht="30" x14ac:dyDescent="0.25">
      <c r="A101" s="26">
        <v>44059</v>
      </c>
      <c r="B101" s="2" t="s">
        <v>366</v>
      </c>
      <c r="C101" s="2" t="s">
        <v>365</v>
      </c>
      <c r="D101" s="2" t="s">
        <v>279</v>
      </c>
      <c r="E101" s="36">
        <v>7.5</v>
      </c>
    </row>
    <row r="102" spans="1:5" x14ac:dyDescent="0.25">
      <c r="A102" s="26">
        <v>44059</v>
      </c>
      <c r="B102" s="2" t="s">
        <v>366</v>
      </c>
      <c r="C102" s="2" t="s">
        <v>365</v>
      </c>
      <c r="D102" s="2" t="s">
        <v>280</v>
      </c>
      <c r="E102" s="36">
        <v>7.5</v>
      </c>
    </row>
    <row r="103" spans="1:5" ht="30" x14ac:dyDescent="0.25">
      <c r="A103" s="26">
        <v>44059</v>
      </c>
      <c r="B103" s="2" t="s">
        <v>366</v>
      </c>
      <c r="C103" s="2" t="s">
        <v>365</v>
      </c>
      <c r="D103" s="2" t="s">
        <v>277</v>
      </c>
      <c r="E103" s="36">
        <v>7.5</v>
      </c>
    </row>
    <row r="104" spans="1:5" ht="30" x14ac:dyDescent="0.25">
      <c r="A104" s="26">
        <v>44059</v>
      </c>
      <c r="B104" s="2" t="s">
        <v>375</v>
      </c>
      <c r="C104" s="2" t="s">
        <v>365</v>
      </c>
      <c r="D104" s="2" t="s">
        <v>274</v>
      </c>
      <c r="E104" s="36">
        <v>2.5</v>
      </c>
    </row>
    <row r="105" spans="1:5" x14ac:dyDescent="0.25">
      <c r="A105" s="2" t="s">
        <v>281</v>
      </c>
      <c r="E105" s="36">
        <v>37.5</v>
      </c>
    </row>
    <row r="106" spans="1:5" x14ac:dyDescent="0.25">
      <c r="A106" s="26">
        <v>44052</v>
      </c>
      <c r="B106" s="2" t="s">
        <v>366</v>
      </c>
      <c r="C106" s="2" t="s">
        <v>365</v>
      </c>
      <c r="D106" s="2" t="s">
        <v>272</v>
      </c>
      <c r="E106" s="36">
        <v>3.75</v>
      </c>
    </row>
    <row r="107" spans="1:5" ht="30" x14ac:dyDescent="0.25">
      <c r="A107" s="26">
        <v>44052</v>
      </c>
      <c r="B107" s="2" t="s">
        <v>366</v>
      </c>
      <c r="C107" s="2" t="s">
        <v>365</v>
      </c>
      <c r="D107" s="2" t="s">
        <v>271</v>
      </c>
      <c r="E107" s="36">
        <v>3.75</v>
      </c>
    </row>
    <row r="108" spans="1:5" x14ac:dyDescent="0.25">
      <c r="A108" s="26">
        <v>44052</v>
      </c>
      <c r="B108" s="2" t="s">
        <v>366</v>
      </c>
      <c r="C108" s="2" t="s">
        <v>365</v>
      </c>
      <c r="D108" s="2" t="s">
        <v>270</v>
      </c>
      <c r="E108" s="36">
        <v>3.75</v>
      </c>
    </row>
    <row r="109" spans="1:5" x14ac:dyDescent="0.25">
      <c r="A109" s="26">
        <v>44052</v>
      </c>
      <c r="B109" s="2" t="s">
        <v>366</v>
      </c>
      <c r="C109" s="2" t="s">
        <v>365</v>
      </c>
      <c r="D109" s="2" t="s">
        <v>268</v>
      </c>
      <c r="E109" s="36">
        <v>2</v>
      </c>
    </row>
    <row r="110" spans="1:5" x14ac:dyDescent="0.25">
      <c r="A110" s="26">
        <v>44052</v>
      </c>
      <c r="B110" s="2" t="s">
        <v>366</v>
      </c>
      <c r="C110" s="2" t="s">
        <v>365</v>
      </c>
      <c r="D110" s="2" t="s">
        <v>273</v>
      </c>
      <c r="E110" s="36">
        <v>2</v>
      </c>
    </row>
    <row r="111" spans="1:5" ht="30" x14ac:dyDescent="0.25">
      <c r="A111" s="26">
        <v>44052</v>
      </c>
      <c r="B111" s="2" t="s">
        <v>366</v>
      </c>
      <c r="C111" s="2" t="s">
        <v>365</v>
      </c>
      <c r="D111" s="2" t="s">
        <v>267</v>
      </c>
      <c r="E111" s="36">
        <v>3</v>
      </c>
    </row>
    <row r="112" spans="1:5" x14ac:dyDescent="0.25">
      <c r="A112" s="26">
        <v>44052</v>
      </c>
      <c r="B112" s="2" t="s">
        <v>366</v>
      </c>
      <c r="C112" s="2" t="s">
        <v>365</v>
      </c>
      <c r="D112" s="2" t="s">
        <v>266</v>
      </c>
      <c r="E112" s="36">
        <v>3.75</v>
      </c>
    </row>
    <row r="113" spans="1:5" x14ac:dyDescent="0.25">
      <c r="A113" s="26">
        <v>44052</v>
      </c>
      <c r="B113" s="2" t="s">
        <v>366</v>
      </c>
      <c r="C113" s="2" t="s">
        <v>365</v>
      </c>
      <c r="D113" s="2" t="s">
        <v>265</v>
      </c>
      <c r="E113" s="36">
        <v>3.75</v>
      </c>
    </row>
    <row r="114" spans="1:5" ht="120" x14ac:dyDescent="0.25">
      <c r="A114" s="26">
        <v>44052</v>
      </c>
      <c r="B114" s="2" t="s">
        <v>366</v>
      </c>
      <c r="C114" s="2" t="s">
        <v>365</v>
      </c>
      <c r="D114" s="2" t="s">
        <v>269</v>
      </c>
      <c r="E114" s="36">
        <v>3</v>
      </c>
    </row>
    <row r="115" spans="1:5" x14ac:dyDescent="0.25">
      <c r="A115" s="26">
        <v>44052</v>
      </c>
      <c r="B115" s="2" t="s">
        <v>373</v>
      </c>
      <c r="C115" s="2" t="s">
        <v>365</v>
      </c>
      <c r="D115" s="2" t="s">
        <v>65</v>
      </c>
      <c r="E115" s="36">
        <v>3.75</v>
      </c>
    </row>
    <row r="116" spans="1:5" ht="30" x14ac:dyDescent="0.25">
      <c r="A116" s="26">
        <v>44052</v>
      </c>
      <c r="B116" s="2" t="s">
        <v>375</v>
      </c>
      <c r="C116" s="2" t="s">
        <v>365</v>
      </c>
      <c r="D116" s="2" t="s">
        <v>274</v>
      </c>
      <c r="E116" s="36">
        <v>2.5</v>
      </c>
    </row>
    <row r="117" spans="1:5" x14ac:dyDescent="0.25">
      <c r="A117" s="26">
        <v>44052</v>
      </c>
      <c r="B117" s="2" t="s">
        <v>375</v>
      </c>
      <c r="C117" s="2" t="s">
        <v>365</v>
      </c>
      <c r="D117" s="2" t="s">
        <v>275</v>
      </c>
      <c r="E117" s="36">
        <v>2.5</v>
      </c>
    </row>
    <row r="118" spans="1:5" x14ac:dyDescent="0.25">
      <c r="A118" s="2" t="s">
        <v>276</v>
      </c>
      <c r="E118" s="36">
        <v>37.5</v>
      </c>
    </row>
    <row r="119" spans="1:5" x14ac:dyDescent="0.25">
      <c r="A119" s="26">
        <v>44045</v>
      </c>
      <c r="B119" s="2" t="s">
        <v>366</v>
      </c>
      <c r="C119" s="2" t="s">
        <v>365</v>
      </c>
      <c r="D119" s="2" t="s">
        <v>261</v>
      </c>
      <c r="E119" s="36">
        <v>3.75</v>
      </c>
    </row>
    <row r="120" spans="1:5" x14ac:dyDescent="0.25">
      <c r="A120" s="26">
        <v>44045</v>
      </c>
      <c r="B120" s="2" t="s">
        <v>366</v>
      </c>
      <c r="C120" s="2" t="s">
        <v>365</v>
      </c>
      <c r="D120" s="2" t="s">
        <v>263</v>
      </c>
      <c r="E120" s="36">
        <v>3.75</v>
      </c>
    </row>
    <row r="121" spans="1:5" ht="30" x14ac:dyDescent="0.25">
      <c r="A121" s="26">
        <v>44045</v>
      </c>
      <c r="B121" s="2" t="s">
        <v>366</v>
      </c>
      <c r="C121" s="2" t="s">
        <v>365</v>
      </c>
      <c r="D121" s="2" t="s">
        <v>258</v>
      </c>
      <c r="E121" s="36">
        <v>7.5</v>
      </c>
    </row>
    <row r="122" spans="1:5" ht="60" x14ac:dyDescent="0.25">
      <c r="A122" s="26">
        <v>44045</v>
      </c>
      <c r="B122" s="2" t="s">
        <v>366</v>
      </c>
      <c r="C122" s="2" t="s">
        <v>365</v>
      </c>
      <c r="D122" s="2" t="s">
        <v>264</v>
      </c>
      <c r="E122" s="36">
        <v>7.5</v>
      </c>
    </row>
    <row r="123" spans="1:5" x14ac:dyDescent="0.25">
      <c r="A123" s="26">
        <v>44045</v>
      </c>
      <c r="B123" s="2" t="s">
        <v>373</v>
      </c>
      <c r="C123" s="2" t="s">
        <v>365</v>
      </c>
      <c r="D123" s="2" t="s">
        <v>107</v>
      </c>
      <c r="E123" s="36">
        <v>7.5</v>
      </c>
    </row>
    <row r="124" spans="1:5" x14ac:dyDescent="0.25">
      <c r="A124" s="26">
        <v>44045</v>
      </c>
      <c r="B124" s="2" t="s">
        <v>375</v>
      </c>
      <c r="C124" s="2" t="s">
        <v>365</v>
      </c>
      <c r="D124" s="2" t="s">
        <v>260</v>
      </c>
      <c r="E124" s="36">
        <v>3.75</v>
      </c>
    </row>
    <row r="125" spans="1:5" ht="30" x14ac:dyDescent="0.25">
      <c r="A125" s="26">
        <v>44045</v>
      </c>
      <c r="B125" s="2" t="s">
        <v>375</v>
      </c>
      <c r="C125" s="2" t="s">
        <v>365</v>
      </c>
      <c r="D125" s="2" t="s">
        <v>262</v>
      </c>
      <c r="E125" s="36">
        <v>3.75</v>
      </c>
    </row>
    <row r="126" spans="1:5" x14ac:dyDescent="0.25">
      <c r="A126" s="2" t="s">
        <v>259</v>
      </c>
      <c r="E126" s="36">
        <v>37.5</v>
      </c>
    </row>
    <row r="127" spans="1:5" ht="30" x14ac:dyDescent="0.25">
      <c r="A127" s="26">
        <v>44038</v>
      </c>
      <c r="B127" s="2" t="s">
        <v>366</v>
      </c>
      <c r="C127" s="2" t="s">
        <v>365</v>
      </c>
      <c r="D127" s="2" t="s">
        <v>255</v>
      </c>
      <c r="E127" s="36">
        <v>7.5</v>
      </c>
    </row>
    <row r="128" spans="1:5" ht="30" x14ac:dyDescent="0.25">
      <c r="A128" s="26">
        <v>44038</v>
      </c>
      <c r="B128" s="2" t="s">
        <v>366</v>
      </c>
      <c r="C128" s="2" t="s">
        <v>365</v>
      </c>
      <c r="D128" s="2" t="s">
        <v>251</v>
      </c>
      <c r="E128" s="36">
        <v>3.75</v>
      </c>
    </row>
    <row r="129" spans="1:5" ht="30" x14ac:dyDescent="0.25">
      <c r="A129" s="26">
        <v>44038</v>
      </c>
      <c r="B129" s="2" t="s">
        <v>366</v>
      </c>
      <c r="C129" s="2" t="s">
        <v>365</v>
      </c>
      <c r="D129" s="2" t="s">
        <v>248</v>
      </c>
      <c r="E129" s="36">
        <v>2.5</v>
      </c>
    </row>
    <row r="130" spans="1:5" x14ac:dyDescent="0.25">
      <c r="A130" s="26">
        <v>44038</v>
      </c>
      <c r="B130" s="2" t="s">
        <v>366</v>
      </c>
      <c r="C130" s="2" t="s">
        <v>365</v>
      </c>
      <c r="D130" s="2" t="s">
        <v>247</v>
      </c>
      <c r="E130" s="36">
        <v>5</v>
      </c>
    </row>
    <row r="131" spans="1:5" x14ac:dyDescent="0.25">
      <c r="A131" s="26">
        <v>44038</v>
      </c>
      <c r="B131" s="2" t="s">
        <v>366</v>
      </c>
      <c r="C131" s="2" t="s">
        <v>365</v>
      </c>
      <c r="D131" s="2" t="s">
        <v>254</v>
      </c>
      <c r="E131" s="36">
        <v>3.75</v>
      </c>
    </row>
    <row r="132" spans="1:5" ht="75" x14ac:dyDescent="0.25">
      <c r="A132" s="26">
        <v>44038</v>
      </c>
      <c r="B132" s="2" t="s">
        <v>366</v>
      </c>
      <c r="C132" s="2" t="s">
        <v>365</v>
      </c>
      <c r="D132" s="2" t="s">
        <v>252</v>
      </c>
      <c r="E132" s="36">
        <v>3.75</v>
      </c>
    </row>
    <row r="133" spans="1:5" ht="45" x14ac:dyDescent="0.25">
      <c r="A133" s="26">
        <v>44038</v>
      </c>
      <c r="B133" s="2" t="s">
        <v>366</v>
      </c>
      <c r="C133" s="2" t="s">
        <v>365</v>
      </c>
      <c r="D133" s="2" t="s">
        <v>250</v>
      </c>
      <c r="E133" s="36">
        <v>2</v>
      </c>
    </row>
    <row r="134" spans="1:5" ht="60" x14ac:dyDescent="0.25">
      <c r="A134" s="26">
        <v>44038</v>
      </c>
      <c r="B134" s="2" t="s">
        <v>366</v>
      </c>
      <c r="C134" s="2" t="s">
        <v>365</v>
      </c>
      <c r="D134" s="2" t="s">
        <v>257</v>
      </c>
      <c r="E134" s="36">
        <v>5.5</v>
      </c>
    </row>
    <row r="135" spans="1:5" x14ac:dyDescent="0.25">
      <c r="A135" s="26">
        <v>44038</v>
      </c>
      <c r="B135" s="2" t="s">
        <v>368</v>
      </c>
      <c r="C135" s="2" t="s">
        <v>365</v>
      </c>
      <c r="D135" s="2" t="s">
        <v>227</v>
      </c>
    </row>
    <row r="136" spans="1:5" x14ac:dyDescent="0.25">
      <c r="A136" s="26">
        <v>44038</v>
      </c>
      <c r="B136" s="2" t="s">
        <v>368</v>
      </c>
      <c r="C136" s="2" t="s">
        <v>365</v>
      </c>
      <c r="D136" s="2" t="s">
        <v>256</v>
      </c>
    </row>
    <row r="137" spans="1:5" x14ac:dyDescent="0.25">
      <c r="A137" s="26">
        <v>44038</v>
      </c>
      <c r="B137" s="2" t="s">
        <v>375</v>
      </c>
      <c r="C137" s="2" t="s">
        <v>365</v>
      </c>
      <c r="D137" s="2" t="s">
        <v>253</v>
      </c>
      <c r="E137" s="36">
        <v>3.75</v>
      </c>
    </row>
    <row r="138" spans="1:5" x14ac:dyDescent="0.25">
      <c r="A138" s="2" t="s">
        <v>249</v>
      </c>
      <c r="E138" s="36">
        <v>37.5</v>
      </c>
    </row>
    <row r="139" spans="1:5" ht="30" x14ac:dyDescent="0.25">
      <c r="A139" s="26">
        <v>44031</v>
      </c>
      <c r="B139" s="2" t="s">
        <v>366</v>
      </c>
      <c r="C139" s="2" t="s">
        <v>365</v>
      </c>
      <c r="D139" s="2" t="s">
        <v>238</v>
      </c>
    </row>
    <row r="140" spans="1:5" ht="30" x14ac:dyDescent="0.25">
      <c r="A140" s="26">
        <v>44031</v>
      </c>
      <c r="B140" s="2" t="s">
        <v>366</v>
      </c>
      <c r="C140" s="2" t="s">
        <v>365</v>
      </c>
      <c r="D140" s="2" t="s">
        <v>245</v>
      </c>
      <c r="E140" s="36">
        <v>7.5</v>
      </c>
    </row>
    <row r="141" spans="1:5" ht="45" x14ac:dyDescent="0.25">
      <c r="A141" s="26">
        <v>44031</v>
      </c>
      <c r="B141" s="2" t="s">
        <v>366</v>
      </c>
      <c r="C141" s="2" t="s">
        <v>365</v>
      </c>
      <c r="D141" s="2" t="s">
        <v>236</v>
      </c>
      <c r="E141" s="36">
        <v>3.5</v>
      </c>
    </row>
    <row r="142" spans="1:5" ht="45" x14ac:dyDescent="0.25">
      <c r="A142" s="26">
        <v>44031</v>
      </c>
      <c r="B142" s="2" t="s">
        <v>366</v>
      </c>
      <c r="C142" s="2" t="s">
        <v>365</v>
      </c>
      <c r="D142" s="2" t="s">
        <v>237</v>
      </c>
      <c r="E142" s="36">
        <v>5.5</v>
      </c>
    </row>
    <row r="143" spans="1:5" x14ac:dyDescent="0.25">
      <c r="A143" s="26">
        <v>44031</v>
      </c>
      <c r="B143" s="2" t="s">
        <v>366</v>
      </c>
      <c r="C143" s="2" t="s">
        <v>365</v>
      </c>
      <c r="D143" s="2" t="s">
        <v>246</v>
      </c>
      <c r="E143" s="36">
        <v>2</v>
      </c>
    </row>
    <row r="144" spans="1:5" ht="90" x14ac:dyDescent="0.25">
      <c r="A144" s="26">
        <v>44031</v>
      </c>
      <c r="B144" s="2" t="s">
        <v>366</v>
      </c>
      <c r="C144" s="2" t="s">
        <v>365</v>
      </c>
      <c r="D144" s="2" t="s">
        <v>243</v>
      </c>
      <c r="E144" s="36">
        <v>3.75</v>
      </c>
    </row>
    <row r="145" spans="1:5" ht="45" x14ac:dyDescent="0.25">
      <c r="A145" s="26">
        <v>44031</v>
      </c>
      <c r="B145" s="2" t="s">
        <v>366</v>
      </c>
      <c r="C145" s="2" t="s">
        <v>365</v>
      </c>
      <c r="D145" s="2" t="s">
        <v>240</v>
      </c>
      <c r="E145" s="36">
        <v>5.5</v>
      </c>
    </row>
    <row r="146" spans="1:5" ht="75" x14ac:dyDescent="0.25">
      <c r="A146" s="26">
        <v>44031</v>
      </c>
      <c r="B146" s="2" t="s">
        <v>366</v>
      </c>
      <c r="C146" s="2" t="s">
        <v>365</v>
      </c>
      <c r="D146" s="2" t="s">
        <v>241</v>
      </c>
      <c r="E146" s="36">
        <v>4</v>
      </c>
    </row>
    <row r="147" spans="1:5" x14ac:dyDescent="0.25">
      <c r="A147" s="26">
        <v>44031</v>
      </c>
      <c r="B147" s="2" t="s">
        <v>368</v>
      </c>
      <c r="C147" s="2" t="s">
        <v>365</v>
      </c>
      <c r="D147" s="2" t="s">
        <v>244</v>
      </c>
    </row>
    <row r="148" spans="1:5" x14ac:dyDescent="0.25">
      <c r="A148" s="26">
        <v>44031</v>
      </c>
      <c r="B148" s="2" t="s">
        <v>373</v>
      </c>
      <c r="C148" s="2" t="s">
        <v>365</v>
      </c>
      <c r="D148" s="2" t="s">
        <v>107</v>
      </c>
      <c r="E148" s="36">
        <v>3.75</v>
      </c>
    </row>
    <row r="149" spans="1:5" x14ac:dyDescent="0.25">
      <c r="A149" s="26">
        <v>44031</v>
      </c>
      <c r="B149" s="2" t="s">
        <v>375</v>
      </c>
      <c r="C149" s="2" t="s">
        <v>365</v>
      </c>
      <c r="D149" s="2" t="s">
        <v>242</v>
      </c>
      <c r="E149" s="36">
        <v>2</v>
      </c>
    </row>
    <row r="150" spans="1:5" x14ac:dyDescent="0.25">
      <c r="A150" s="2" t="s">
        <v>239</v>
      </c>
      <c r="E150" s="36">
        <v>37.5</v>
      </c>
    </row>
    <row r="151" spans="1:5" x14ac:dyDescent="0.25">
      <c r="A151" s="26">
        <v>44024</v>
      </c>
      <c r="B151" s="2" t="s">
        <v>366</v>
      </c>
      <c r="C151" s="2" t="s">
        <v>365</v>
      </c>
      <c r="D151" s="2" t="s">
        <v>226</v>
      </c>
      <c r="E151" s="36">
        <v>3.75</v>
      </c>
    </row>
    <row r="152" spans="1:5" ht="30" x14ac:dyDescent="0.25">
      <c r="A152" s="26">
        <v>44024</v>
      </c>
      <c r="B152" s="2" t="s">
        <v>366</v>
      </c>
      <c r="C152" s="2" t="s">
        <v>365</v>
      </c>
      <c r="D152" s="2" t="s">
        <v>232</v>
      </c>
      <c r="E152" s="36">
        <v>5.5</v>
      </c>
    </row>
    <row r="153" spans="1:5" ht="30" x14ac:dyDescent="0.25">
      <c r="A153" s="26">
        <v>44024</v>
      </c>
      <c r="B153" s="2" t="s">
        <v>366</v>
      </c>
      <c r="C153" s="2" t="s">
        <v>365</v>
      </c>
      <c r="D153" s="2" t="s">
        <v>235</v>
      </c>
      <c r="E153" s="36">
        <v>7.5</v>
      </c>
    </row>
    <row r="154" spans="1:5" ht="30" x14ac:dyDescent="0.25">
      <c r="A154" s="26">
        <v>44024</v>
      </c>
      <c r="B154" s="2" t="s">
        <v>366</v>
      </c>
      <c r="C154" s="2" t="s">
        <v>365</v>
      </c>
      <c r="D154" s="2" t="s">
        <v>228</v>
      </c>
      <c r="E154" s="36">
        <v>3.75</v>
      </c>
    </row>
    <row r="155" spans="1:5" ht="30" x14ac:dyDescent="0.25">
      <c r="A155" s="26">
        <v>44024</v>
      </c>
      <c r="B155" s="2" t="s">
        <v>366</v>
      </c>
      <c r="C155" s="2" t="s">
        <v>365</v>
      </c>
      <c r="D155" s="2" t="s">
        <v>225</v>
      </c>
      <c r="E155" s="36">
        <v>7.5</v>
      </c>
    </row>
    <row r="156" spans="1:5" ht="60" x14ac:dyDescent="0.25">
      <c r="A156" s="26">
        <v>44024</v>
      </c>
      <c r="B156" s="2" t="s">
        <v>366</v>
      </c>
      <c r="C156" s="2" t="s">
        <v>365</v>
      </c>
      <c r="D156" s="2" t="s">
        <v>229</v>
      </c>
      <c r="E156" s="36">
        <v>7.5</v>
      </c>
    </row>
    <row r="157" spans="1:5" x14ac:dyDescent="0.25">
      <c r="A157" s="26">
        <v>44024</v>
      </c>
      <c r="B157" s="2" t="s">
        <v>368</v>
      </c>
      <c r="C157" s="2" t="s">
        <v>365</v>
      </c>
      <c r="D157" s="2" t="s">
        <v>227</v>
      </c>
    </row>
    <row r="158" spans="1:5" x14ac:dyDescent="0.25">
      <c r="A158" s="26">
        <v>44024</v>
      </c>
      <c r="B158" s="2" t="s">
        <v>368</v>
      </c>
      <c r="C158" s="2" t="s">
        <v>365</v>
      </c>
      <c r="D158" s="2" t="s">
        <v>230</v>
      </c>
    </row>
    <row r="159" spans="1:5" ht="30" x14ac:dyDescent="0.25">
      <c r="A159" s="26">
        <v>44024</v>
      </c>
      <c r="B159" s="2" t="s">
        <v>375</v>
      </c>
      <c r="C159" s="2" t="s">
        <v>365</v>
      </c>
      <c r="D159" s="2" t="s">
        <v>231</v>
      </c>
      <c r="E159" s="36">
        <v>2</v>
      </c>
    </row>
    <row r="160" spans="1:5" x14ac:dyDescent="0.25">
      <c r="A160" s="2" t="s">
        <v>233</v>
      </c>
      <c r="E160" s="36">
        <v>37.5</v>
      </c>
    </row>
    <row r="161" spans="1:5" ht="105" x14ac:dyDescent="0.25">
      <c r="A161" s="26">
        <v>44017</v>
      </c>
      <c r="B161" s="2" t="s">
        <v>366</v>
      </c>
      <c r="C161" s="2" t="s">
        <v>365</v>
      </c>
      <c r="D161" s="2" t="s">
        <v>223</v>
      </c>
      <c r="E161" s="36">
        <v>7.5</v>
      </c>
    </row>
    <row r="162" spans="1:5" ht="75" x14ac:dyDescent="0.25">
      <c r="A162" s="26">
        <v>44017</v>
      </c>
      <c r="B162" s="2" t="s">
        <v>366</v>
      </c>
      <c r="C162" s="2" t="s">
        <v>365</v>
      </c>
      <c r="D162" s="2" t="s">
        <v>222</v>
      </c>
      <c r="E162" s="36">
        <v>5</v>
      </c>
    </row>
    <row r="163" spans="1:5" ht="60" x14ac:dyDescent="0.25">
      <c r="A163" s="26">
        <v>44017</v>
      </c>
      <c r="B163" s="2" t="s">
        <v>366</v>
      </c>
      <c r="C163" s="2" t="s">
        <v>365</v>
      </c>
      <c r="D163" s="2" t="s">
        <v>221</v>
      </c>
      <c r="E163" s="36">
        <v>2.5</v>
      </c>
    </row>
    <row r="164" spans="1:5" ht="135" x14ac:dyDescent="0.25">
      <c r="A164" s="26">
        <v>44017</v>
      </c>
      <c r="B164" s="2" t="s">
        <v>366</v>
      </c>
      <c r="C164" s="2" t="s">
        <v>365</v>
      </c>
      <c r="D164" s="2" t="s">
        <v>220</v>
      </c>
      <c r="E164" s="36">
        <v>7.5</v>
      </c>
    </row>
    <row r="165" spans="1:5" ht="105" x14ac:dyDescent="0.25">
      <c r="A165" s="26">
        <v>44017</v>
      </c>
      <c r="B165" s="2" t="s">
        <v>366</v>
      </c>
      <c r="C165" s="2" t="s">
        <v>365</v>
      </c>
      <c r="D165" s="2" t="s">
        <v>217</v>
      </c>
      <c r="E165" s="36">
        <v>7.5</v>
      </c>
    </row>
    <row r="166" spans="1:5" ht="165" x14ac:dyDescent="0.25">
      <c r="A166" s="26">
        <v>44017</v>
      </c>
      <c r="B166" s="2" t="s">
        <v>366</v>
      </c>
      <c r="C166" s="2" t="s">
        <v>365</v>
      </c>
      <c r="D166" s="2" t="s">
        <v>213</v>
      </c>
      <c r="E166" s="36">
        <v>5</v>
      </c>
    </row>
    <row r="167" spans="1:5" x14ac:dyDescent="0.25">
      <c r="A167" s="26">
        <v>44017</v>
      </c>
      <c r="B167" s="2" t="s">
        <v>368</v>
      </c>
      <c r="C167" s="2" t="s">
        <v>365</v>
      </c>
      <c r="D167" s="2" t="s">
        <v>186</v>
      </c>
    </row>
    <row r="168" spans="1:5" x14ac:dyDescent="0.25">
      <c r="A168" s="26">
        <v>44017</v>
      </c>
      <c r="B168" s="2" t="s">
        <v>404</v>
      </c>
      <c r="C168" s="2" t="s">
        <v>365</v>
      </c>
      <c r="D168" s="2" t="s">
        <v>224</v>
      </c>
      <c r="E168" s="36">
        <v>2.5</v>
      </c>
    </row>
    <row r="169" spans="1:5" x14ac:dyDescent="0.25">
      <c r="A169" s="2" t="s">
        <v>234</v>
      </c>
      <c r="E169" s="36">
        <v>37.5</v>
      </c>
    </row>
    <row r="170" spans="1:5" x14ac:dyDescent="0.25">
      <c r="A170" s="26">
        <v>44010</v>
      </c>
      <c r="B170" s="2" t="s">
        <v>366</v>
      </c>
      <c r="C170" s="2" t="s">
        <v>365</v>
      </c>
      <c r="D170" s="2" t="s">
        <v>211</v>
      </c>
    </row>
    <row r="171" spans="1:5" ht="45" x14ac:dyDescent="0.25">
      <c r="A171" s="26">
        <v>44010</v>
      </c>
      <c r="B171" s="2" t="s">
        <v>366</v>
      </c>
      <c r="C171" s="2" t="s">
        <v>365</v>
      </c>
      <c r="D171" s="2" t="s">
        <v>212</v>
      </c>
    </row>
    <row r="172" spans="1:5" ht="30" x14ac:dyDescent="0.25">
      <c r="A172" s="26">
        <v>44010</v>
      </c>
      <c r="B172" s="2" t="s">
        <v>366</v>
      </c>
      <c r="C172" s="2" t="s">
        <v>365</v>
      </c>
      <c r="D172" s="2" t="s">
        <v>209</v>
      </c>
    </row>
    <row r="173" spans="1:5" ht="30" x14ac:dyDescent="0.25">
      <c r="A173" s="26">
        <v>44010</v>
      </c>
      <c r="B173" s="2" t="s">
        <v>366</v>
      </c>
      <c r="C173" s="2" t="s">
        <v>365</v>
      </c>
      <c r="D173" s="2" t="s">
        <v>210</v>
      </c>
    </row>
    <row r="174" spans="1:5" x14ac:dyDescent="0.25">
      <c r="A174" s="26">
        <v>44010</v>
      </c>
      <c r="B174" s="2" t="s">
        <v>373</v>
      </c>
      <c r="C174" s="2" t="s">
        <v>365</v>
      </c>
      <c r="D174" s="2" t="s">
        <v>107</v>
      </c>
      <c r="E174" s="36">
        <v>7.5</v>
      </c>
    </row>
    <row r="175" spans="1:5" x14ac:dyDescent="0.25">
      <c r="A175" s="2" t="s">
        <v>509</v>
      </c>
      <c r="E175" s="36">
        <v>7.5</v>
      </c>
    </row>
    <row r="176" spans="1:5" ht="30" x14ac:dyDescent="0.25">
      <c r="A176" s="26">
        <v>44003</v>
      </c>
      <c r="B176" s="2" t="s">
        <v>366</v>
      </c>
      <c r="C176" s="2" t="s">
        <v>365</v>
      </c>
      <c r="D176" s="2" t="s">
        <v>208</v>
      </c>
    </row>
    <row r="177" spans="1:5" x14ac:dyDescent="0.25">
      <c r="A177" s="2" t="s">
        <v>510</v>
      </c>
    </row>
    <row r="178" spans="1:5" x14ac:dyDescent="0.25">
      <c r="A178" s="26">
        <v>43996</v>
      </c>
      <c r="B178" s="2" t="s">
        <v>366</v>
      </c>
      <c r="C178" s="2" t="s">
        <v>365</v>
      </c>
      <c r="D178" s="2" t="s">
        <v>205</v>
      </c>
      <c r="E178" s="36">
        <v>5</v>
      </c>
    </row>
    <row r="179" spans="1:5" ht="30" x14ac:dyDescent="0.25">
      <c r="A179" s="26">
        <v>43996</v>
      </c>
      <c r="B179" s="2" t="s">
        <v>366</v>
      </c>
      <c r="C179" s="2" t="s">
        <v>365</v>
      </c>
      <c r="D179" s="2" t="s">
        <v>207</v>
      </c>
      <c r="E179" s="36">
        <v>4.5</v>
      </c>
    </row>
    <row r="180" spans="1:5" x14ac:dyDescent="0.25">
      <c r="A180" s="26">
        <v>43996</v>
      </c>
      <c r="B180" s="2" t="s">
        <v>366</v>
      </c>
      <c r="C180" s="2" t="s">
        <v>365</v>
      </c>
      <c r="D180" s="2" t="s">
        <v>204</v>
      </c>
      <c r="E180" s="36">
        <v>7.5</v>
      </c>
    </row>
    <row r="181" spans="1:5" ht="120" x14ac:dyDescent="0.25">
      <c r="A181" s="26">
        <v>43996</v>
      </c>
      <c r="B181" s="2" t="s">
        <v>366</v>
      </c>
      <c r="C181" s="2" t="s">
        <v>365</v>
      </c>
      <c r="D181" s="2" t="s">
        <v>199</v>
      </c>
      <c r="E181" s="36">
        <v>7.5</v>
      </c>
    </row>
    <row r="182" spans="1:5" ht="60" x14ac:dyDescent="0.25">
      <c r="A182" s="26">
        <v>43996</v>
      </c>
      <c r="B182" s="2" t="s">
        <v>366</v>
      </c>
      <c r="C182" s="2" t="s">
        <v>365</v>
      </c>
      <c r="D182" s="2" t="s">
        <v>202</v>
      </c>
      <c r="E182" s="36">
        <v>2.5</v>
      </c>
    </row>
    <row r="183" spans="1:5" ht="180" x14ac:dyDescent="0.25">
      <c r="A183" s="26">
        <v>43996</v>
      </c>
      <c r="B183" s="2" t="s">
        <v>366</v>
      </c>
      <c r="C183" s="2" t="s">
        <v>365</v>
      </c>
      <c r="D183" s="2" t="s">
        <v>198</v>
      </c>
      <c r="E183" s="36">
        <v>6.5</v>
      </c>
    </row>
    <row r="184" spans="1:5" x14ac:dyDescent="0.25">
      <c r="A184" s="26">
        <v>43996</v>
      </c>
      <c r="B184" s="2" t="s">
        <v>368</v>
      </c>
      <c r="C184" s="2" t="s">
        <v>365</v>
      </c>
      <c r="D184" s="2" t="s">
        <v>203</v>
      </c>
      <c r="E184" s="36">
        <v>0</v>
      </c>
    </row>
    <row r="185" spans="1:5" ht="30" x14ac:dyDescent="0.25">
      <c r="A185" s="26">
        <v>43996</v>
      </c>
      <c r="B185" s="2" t="s">
        <v>368</v>
      </c>
      <c r="C185" s="2" t="s">
        <v>365</v>
      </c>
      <c r="D185" s="2" t="s">
        <v>201</v>
      </c>
      <c r="E185" s="36">
        <v>0</v>
      </c>
    </row>
    <row r="186" spans="1:5" ht="45" x14ac:dyDescent="0.25">
      <c r="A186" s="26">
        <v>43996</v>
      </c>
      <c r="B186" s="2" t="s">
        <v>411</v>
      </c>
      <c r="C186" s="2" t="s">
        <v>365</v>
      </c>
      <c r="D186" s="2" t="s">
        <v>200</v>
      </c>
      <c r="E186" s="36">
        <v>3</v>
      </c>
    </row>
    <row r="187" spans="1:5" ht="105" x14ac:dyDescent="0.25">
      <c r="A187" s="26">
        <v>43996</v>
      </c>
      <c r="B187" s="2" t="s">
        <v>411</v>
      </c>
      <c r="C187" s="2" t="s">
        <v>365</v>
      </c>
      <c r="D187" s="2" t="s">
        <v>206</v>
      </c>
      <c r="E187" s="36">
        <v>1</v>
      </c>
    </row>
    <row r="188" spans="1:5" x14ac:dyDescent="0.25">
      <c r="A188" s="2" t="s">
        <v>511</v>
      </c>
      <c r="E188" s="36">
        <v>37.5</v>
      </c>
    </row>
    <row r="189" spans="1:5" ht="45" x14ac:dyDescent="0.25">
      <c r="A189" s="26">
        <v>43989</v>
      </c>
      <c r="B189" s="2" t="s">
        <v>366</v>
      </c>
      <c r="C189" s="2" t="s">
        <v>365</v>
      </c>
      <c r="D189" s="2" t="s">
        <v>194</v>
      </c>
      <c r="E189" s="36">
        <v>7.5</v>
      </c>
    </row>
    <row r="190" spans="1:5" ht="60" x14ac:dyDescent="0.25">
      <c r="A190" s="26">
        <v>43989</v>
      </c>
      <c r="B190" s="2" t="s">
        <v>366</v>
      </c>
      <c r="C190" s="2" t="s">
        <v>365</v>
      </c>
      <c r="D190" s="2" t="s">
        <v>195</v>
      </c>
      <c r="E190" s="36">
        <v>6.5</v>
      </c>
    </row>
    <row r="191" spans="1:5" ht="45" x14ac:dyDescent="0.25">
      <c r="A191" s="26">
        <v>43989</v>
      </c>
      <c r="B191" s="2" t="s">
        <v>366</v>
      </c>
      <c r="C191" s="2" t="s">
        <v>365</v>
      </c>
      <c r="D191" s="2" t="s">
        <v>196</v>
      </c>
      <c r="E191" s="36">
        <v>7.5</v>
      </c>
    </row>
    <row r="192" spans="1:5" ht="120" x14ac:dyDescent="0.25">
      <c r="A192" s="26">
        <v>43989</v>
      </c>
      <c r="B192" s="2" t="s">
        <v>366</v>
      </c>
      <c r="C192" s="2" t="s">
        <v>365</v>
      </c>
      <c r="D192" s="2" t="s">
        <v>193</v>
      </c>
      <c r="E192" s="36">
        <v>7.5</v>
      </c>
    </row>
    <row r="193" spans="1:5" x14ac:dyDescent="0.25">
      <c r="A193" s="26">
        <v>43989</v>
      </c>
      <c r="B193" s="2" t="s">
        <v>368</v>
      </c>
      <c r="C193" s="2" t="s">
        <v>365</v>
      </c>
      <c r="D193" s="2" t="s">
        <v>192</v>
      </c>
      <c r="E193" s="36">
        <v>2</v>
      </c>
    </row>
    <row r="194" spans="1:5" x14ac:dyDescent="0.25">
      <c r="A194" s="26">
        <v>43989</v>
      </c>
      <c r="B194" s="2" t="s">
        <v>411</v>
      </c>
      <c r="C194" s="2" t="s">
        <v>365</v>
      </c>
      <c r="D194" s="2" t="s">
        <v>197</v>
      </c>
      <c r="E194" s="36">
        <v>1</v>
      </c>
    </row>
    <row r="195" spans="1:5" ht="45" x14ac:dyDescent="0.25">
      <c r="A195" s="26">
        <v>43989</v>
      </c>
      <c r="B195" s="2" t="s">
        <v>415</v>
      </c>
      <c r="C195" s="2" t="s">
        <v>365</v>
      </c>
      <c r="D195" s="2" t="s">
        <v>190</v>
      </c>
      <c r="E195" s="36">
        <v>7.5</v>
      </c>
    </row>
    <row r="196" spans="1:5" x14ac:dyDescent="0.25">
      <c r="A196" s="2" t="s">
        <v>512</v>
      </c>
      <c r="E196" s="36">
        <v>39.5</v>
      </c>
    </row>
    <row r="197" spans="1:5" ht="30" x14ac:dyDescent="0.25">
      <c r="A197" s="26">
        <v>43982</v>
      </c>
      <c r="B197" s="2" t="s">
        <v>366</v>
      </c>
      <c r="C197" s="2" t="s">
        <v>365</v>
      </c>
      <c r="D197" s="2" t="s">
        <v>180</v>
      </c>
      <c r="E197" s="36">
        <v>4.5</v>
      </c>
    </row>
    <row r="198" spans="1:5" ht="60" x14ac:dyDescent="0.25">
      <c r="A198" s="26">
        <v>43982</v>
      </c>
      <c r="B198" s="2" t="s">
        <v>366</v>
      </c>
      <c r="C198" s="2" t="s">
        <v>365</v>
      </c>
      <c r="D198" s="2" t="s">
        <v>189</v>
      </c>
      <c r="E198" s="36">
        <v>5.5</v>
      </c>
    </row>
    <row r="199" spans="1:5" ht="75" x14ac:dyDescent="0.25">
      <c r="A199" s="26">
        <v>43982</v>
      </c>
      <c r="B199" s="2" t="s">
        <v>366</v>
      </c>
      <c r="C199" s="2" t="s">
        <v>365</v>
      </c>
      <c r="D199" s="2" t="s">
        <v>184</v>
      </c>
      <c r="E199" s="36">
        <v>5.5</v>
      </c>
    </row>
    <row r="200" spans="1:5" ht="30" x14ac:dyDescent="0.25">
      <c r="A200" s="26">
        <v>43982</v>
      </c>
      <c r="B200" s="2" t="s">
        <v>368</v>
      </c>
      <c r="C200" s="2" t="s">
        <v>365</v>
      </c>
      <c r="D200" s="2" t="s">
        <v>187</v>
      </c>
    </row>
    <row r="201" spans="1:5" ht="60" x14ac:dyDescent="0.25">
      <c r="A201" s="26">
        <v>43982</v>
      </c>
      <c r="B201" s="2" t="s">
        <v>375</v>
      </c>
      <c r="C201" s="2" t="s">
        <v>365</v>
      </c>
      <c r="D201" s="2" t="s">
        <v>191</v>
      </c>
      <c r="E201" s="36">
        <v>2</v>
      </c>
    </row>
    <row r="202" spans="1:5" ht="90" x14ac:dyDescent="0.25">
      <c r="A202" s="26">
        <v>43982</v>
      </c>
      <c r="B202" s="2" t="s">
        <v>375</v>
      </c>
      <c r="C202" s="2" t="s">
        <v>365</v>
      </c>
      <c r="D202" s="2" t="s">
        <v>183</v>
      </c>
      <c r="E202" s="36">
        <v>1</v>
      </c>
    </row>
    <row r="203" spans="1:5" ht="105" x14ac:dyDescent="0.25">
      <c r="A203" s="26">
        <v>43982</v>
      </c>
      <c r="B203" s="2" t="s">
        <v>375</v>
      </c>
      <c r="C203" s="2" t="s">
        <v>365</v>
      </c>
      <c r="D203" s="2" t="s">
        <v>182</v>
      </c>
      <c r="E203" s="36">
        <v>2</v>
      </c>
    </row>
    <row r="204" spans="1:5" ht="90" x14ac:dyDescent="0.25">
      <c r="A204" s="26">
        <v>43982</v>
      </c>
      <c r="B204" s="2" t="s">
        <v>375</v>
      </c>
      <c r="C204" s="2" t="s">
        <v>365</v>
      </c>
      <c r="D204" s="2" t="s">
        <v>181</v>
      </c>
      <c r="E204" s="36">
        <v>7.5</v>
      </c>
    </row>
    <row r="205" spans="1:5" ht="105" x14ac:dyDescent="0.25">
      <c r="A205" s="26">
        <v>43982</v>
      </c>
      <c r="B205" s="2" t="s">
        <v>411</v>
      </c>
      <c r="C205" s="2" t="s">
        <v>365</v>
      </c>
      <c r="D205" s="2" t="s">
        <v>185</v>
      </c>
      <c r="E205" s="36">
        <v>2</v>
      </c>
    </row>
    <row r="206" spans="1:5" x14ac:dyDescent="0.25">
      <c r="A206" s="26">
        <v>43982</v>
      </c>
      <c r="B206" s="2" t="s">
        <v>415</v>
      </c>
      <c r="C206" s="2" t="s">
        <v>365</v>
      </c>
      <c r="D206" s="2" t="s">
        <v>188</v>
      </c>
      <c r="E206" s="36">
        <v>0</v>
      </c>
    </row>
    <row r="207" spans="1:5" x14ac:dyDescent="0.25">
      <c r="A207" s="26">
        <v>43982</v>
      </c>
      <c r="B207" s="2" t="s">
        <v>397</v>
      </c>
      <c r="C207" s="2" t="s">
        <v>365</v>
      </c>
      <c r="D207" s="2" t="s">
        <v>107</v>
      </c>
      <c r="E207" s="36">
        <v>7.5</v>
      </c>
    </row>
    <row r="208" spans="1:5" x14ac:dyDescent="0.25">
      <c r="A208" s="2" t="s">
        <v>513</v>
      </c>
      <c r="E208" s="36">
        <v>37.5</v>
      </c>
    </row>
    <row r="209" spans="1:5" ht="30" x14ac:dyDescent="0.25">
      <c r="A209" s="26">
        <v>43975</v>
      </c>
      <c r="B209" s="2" t="s">
        <v>366</v>
      </c>
      <c r="C209" s="2" t="s">
        <v>365</v>
      </c>
      <c r="D209" s="2" t="s">
        <v>180</v>
      </c>
      <c r="E209" s="36">
        <v>15</v>
      </c>
    </row>
    <row r="210" spans="1:5" ht="120" x14ac:dyDescent="0.25">
      <c r="A210" s="26">
        <v>43975</v>
      </c>
      <c r="B210" s="2" t="s">
        <v>366</v>
      </c>
      <c r="C210" s="2" t="s">
        <v>365</v>
      </c>
      <c r="D210" s="2" t="s">
        <v>179</v>
      </c>
      <c r="E210" s="36">
        <v>2.5</v>
      </c>
    </row>
    <row r="211" spans="1:5" ht="135" x14ac:dyDescent="0.25">
      <c r="A211" s="26">
        <v>43975</v>
      </c>
      <c r="B211" s="2" t="s">
        <v>366</v>
      </c>
      <c r="C211" s="2" t="s">
        <v>365</v>
      </c>
      <c r="D211" s="2" t="s">
        <v>177</v>
      </c>
      <c r="E211" s="36">
        <v>2</v>
      </c>
    </row>
    <row r="212" spans="1:5" x14ac:dyDescent="0.25">
      <c r="A212" s="26">
        <v>43975</v>
      </c>
      <c r="B212" s="2" t="s">
        <v>373</v>
      </c>
      <c r="C212" s="2" t="s">
        <v>365</v>
      </c>
      <c r="D212" s="2" t="s">
        <v>107</v>
      </c>
      <c r="E212" s="36">
        <v>7.5</v>
      </c>
    </row>
    <row r="213" spans="1:5" ht="90" x14ac:dyDescent="0.25">
      <c r="A213" s="26">
        <v>43975</v>
      </c>
      <c r="B213" s="2" t="s">
        <v>375</v>
      </c>
      <c r="C213" s="2" t="s">
        <v>365</v>
      </c>
      <c r="D213" s="2" t="s">
        <v>178</v>
      </c>
      <c r="E213" s="36">
        <v>5</v>
      </c>
    </row>
    <row r="214" spans="1:5" ht="105" x14ac:dyDescent="0.25">
      <c r="A214" s="26">
        <v>43975</v>
      </c>
      <c r="B214" s="2" t="s">
        <v>375</v>
      </c>
      <c r="C214" s="2" t="s">
        <v>365</v>
      </c>
      <c r="D214" s="2" t="s">
        <v>176</v>
      </c>
      <c r="E214" s="36">
        <v>2.5</v>
      </c>
    </row>
    <row r="215" spans="1:5" ht="105" x14ac:dyDescent="0.25">
      <c r="A215" s="26">
        <v>43975</v>
      </c>
      <c r="B215" s="2" t="s">
        <v>414</v>
      </c>
      <c r="C215" s="2" t="s">
        <v>365</v>
      </c>
      <c r="D215" s="2" t="s">
        <v>175</v>
      </c>
      <c r="E215" s="36">
        <v>3</v>
      </c>
    </row>
    <row r="216" spans="1:5" x14ac:dyDescent="0.25">
      <c r="A216" s="2" t="s">
        <v>514</v>
      </c>
      <c r="E216" s="36">
        <v>37.5</v>
      </c>
    </row>
    <row r="217" spans="1:5" x14ac:dyDescent="0.25">
      <c r="A217" s="26">
        <v>43968</v>
      </c>
      <c r="B217" s="2" t="s">
        <v>366</v>
      </c>
      <c r="C217" s="2" t="s">
        <v>365</v>
      </c>
      <c r="D217" s="2" t="s">
        <v>107</v>
      </c>
      <c r="E217" s="36">
        <v>30</v>
      </c>
    </row>
    <row r="218" spans="1:5" x14ac:dyDescent="0.25">
      <c r="A218" s="26">
        <v>43968</v>
      </c>
      <c r="B218" s="2" t="s">
        <v>375</v>
      </c>
      <c r="C218" s="2" t="s">
        <v>365</v>
      </c>
      <c r="D218" s="2" t="s">
        <v>107</v>
      </c>
      <c r="E218" s="36">
        <v>7.5</v>
      </c>
    </row>
    <row r="219" spans="1:5" x14ac:dyDescent="0.25">
      <c r="A219" s="2" t="s">
        <v>515</v>
      </c>
      <c r="E219" s="36">
        <v>37.5</v>
      </c>
    </row>
    <row r="220" spans="1:5" x14ac:dyDescent="0.25">
      <c r="A220" s="26">
        <v>43961</v>
      </c>
      <c r="B220" s="2" t="s">
        <v>366</v>
      </c>
      <c r="C220" s="2" t="s">
        <v>365</v>
      </c>
      <c r="D220" s="2" t="s">
        <v>107</v>
      </c>
      <c r="E220" s="36">
        <v>22.5</v>
      </c>
    </row>
    <row r="221" spans="1:5" x14ac:dyDescent="0.25">
      <c r="A221" s="26">
        <v>43961</v>
      </c>
      <c r="B221" s="2" t="s">
        <v>397</v>
      </c>
      <c r="C221" s="2" t="s">
        <v>365</v>
      </c>
      <c r="D221" s="2" t="s">
        <v>107</v>
      </c>
      <c r="E221" s="36">
        <v>7.5</v>
      </c>
    </row>
    <row r="222" spans="1:5" x14ac:dyDescent="0.25">
      <c r="A222" s="26">
        <v>43961</v>
      </c>
      <c r="B222" s="2" t="s">
        <v>431</v>
      </c>
      <c r="C222" s="2" t="s">
        <v>365</v>
      </c>
      <c r="D222" s="2" t="s">
        <v>107</v>
      </c>
      <c r="E222" s="36">
        <v>7.5</v>
      </c>
    </row>
    <row r="223" spans="1:5" x14ac:dyDescent="0.25">
      <c r="A223" s="2" t="s">
        <v>516</v>
      </c>
      <c r="E223" s="36">
        <v>37.5</v>
      </c>
    </row>
    <row r="224" spans="1:5" x14ac:dyDescent="0.25">
      <c r="A224" s="26">
        <v>43954</v>
      </c>
      <c r="B224" s="2" t="s">
        <v>366</v>
      </c>
      <c r="C224" s="2" t="s">
        <v>365</v>
      </c>
      <c r="D224" s="2" t="s">
        <v>107</v>
      </c>
      <c r="E224" s="36">
        <v>37.5</v>
      </c>
    </row>
    <row r="225" spans="1:5" x14ac:dyDescent="0.25">
      <c r="A225" s="2" t="s">
        <v>517</v>
      </c>
      <c r="E225" s="36">
        <v>37.5</v>
      </c>
    </row>
    <row r="226" spans="1:5" x14ac:dyDescent="0.25">
      <c r="A226" s="26">
        <v>43947</v>
      </c>
      <c r="B226" s="2" t="s">
        <v>373</v>
      </c>
      <c r="C226" s="2" t="s">
        <v>365</v>
      </c>
      <c r="D226" s="2" t="s">
        <v>107</v>
      </c>
      <c r="E226" s="36">
        <v>3.75</v>
      </c>
    </row>
    <row r="227" spans="1:5" x14ac:dyDescent="0.25">
      <c r="A227" s="26">
        <v>43947</v>
      </c>
      <c r="B227" s="2" t="s">
        <v>431</v>
      </c>
      <c r="C227" s="2" t="s">
        <v>365</v>
      </c>
      <c r="D227" s="2" t="s">
        <v>107</v>
      </c>
      <c r="E227" s="36">
        <v>33.75</v>
      </c>
    </row>
    <row r="228" spans="1:5" x14ac:dyDescent="0.25">
      <c r="A228" s="2" t="s">
        <v>518</v>
      </c>
      <c r="E228" s="36">
        <v>37.5</v>
      </c>
    </row>
    <row r="229" spans="1:5" x14ac:dyDescent="0.25">
      <c r="A229" s="26">
        <v>43940</v>
      </c>
      <c r="B229" s="2" t="s">
        <v>397</v>
      </c>
      <c r="C229" s="2" t="s">
        <v>365</v>
      </c>
      <c r="D229" s="2" t="s">
        <v>107</v>
      </c>
      <c r="E229" s="36">
        <v>7.5</v>
      </c>
    </row>
    <row r="230" spans="1:5" x14ac:dyDescent="0.25">
      <c r="A230" s="26">
        <v>43940</v>
      </c>
      <c r="B230" s="2" t="s">
        <v>431</v>
      </c>
      <c r="C230" s="2" t="s">
        <v>365</v>
      </c>
      <c r="D230" s="2" t="s">
        <v>107</v>
      </c>
      <c r="E230" s="36">
        <v>30</v>
      </c>
    </row>
    <row r="231" spans="1:5" x14ac:dyDescent="0.25">
      <c r="A231" s="2" t="s">
        <v>519</v>
      </c>
      <c r="E231" s="36">
        <v>37.5</v>
      </c>
    </row>
    <row r="232" spans="1:5" x14ac:dyDescent="0.25">
      <c r="A232" s="26">
        <v>43933</v>
      </c>
      <c r="B232" s="2" t="s">
        <v>397</v>
      </c>
      <c r="C232" s="2" t="s">
        <v>365</v>
      </c>
      <c r="D232" s="2" t="s">
        <v>107</v>
      </c>
      <c r="E232" s="36">
        <v>7.5</v>
      </c>
    </row>
    <row r="233" spans="1:5" x14ac:dyDescent="0.25">
      <c r="A233" s="26">
        <v>43933</v>
      </c>
      <c r="B233" s="2" t="s">
        <v>431</v>
      </c>
      <c r="C233" s="2" t="s">
        <v>365</v>
      </c>
      <c r="D233" s="2" t="s">
        <v>107</v>
      </c>
      <c r="E233" s="36">
        <v>30</v>
      </c>
    </row>
    <row r="234" spans="1:5" x14ac:dyDescent="0.25">
      <c r="A234" s="2" t="s">
        <v>520</v>
      </c>
      <c r="E234" s="36">
        <v>37.5</v>
      </c>
    </row>
    <row r="235" spans="1:5" x14ac:dyDescent="0.25">
      <c r="A235" s="26">
        <v>43926</v>
      </c>
      <c r="B235" s="2" t="s">
        <v>431</v>
      </c>
      <c r="C235" s="2" t="s">
        <v>365</v>
      </c>
      <c r="D235" s="2" t="s">
        <v>107</v>
      </c>
      <c r="E235" s="36">
        <v>37.5</v>
      </c>
    </row>
    <row r="236" spans="1:5" x14ac:dyDescent="0.25">
      <c r="A236" s="2" t="s">
        <v>521</v>
      </c>
      <c r="E236" s="36">
        <v>37.5</v>
      </c>
    </row>
    <row r="237" spans="1:5" x14ac:dyDescent="0.25">
      <c r="A237" s="26">
        <v>43919</v>
      </c>
      <c r="B237" s="2" t="s">
        <v>431</v>
      </c>
      <c r="C237" s="2" t="s">
        <v>365</v>
      </c>
      <c r="D237" s="2" t="s">
        <v>107</v>
      </c>
      <c r="E237" s="36">
        <v>37.5</v>
      </c>
    </row>
    <row r="238" spans="1:5" x14ac:dyDescent="0.25">
      <c r="A238" s="2" t="s">
        <v>522</v>
      </c>
      <c r="E238" s="36">
        <v>37.5</v>
      </c>
    </row>
    <row r="239" spans="1:5" x14ac:dyDescent="0.25">
      <c r="A239" s="26">
        <v>43912</v>
      </c>
      <c r="B239" s="2" t="s">
        <v>411</v>
      </c>
      <c r="C239" s="2" t="s">
        <v>365</v>
      </c>
      <c r="D239" s="2" t="s">
        <v>107</v>
      </c>
      <c r="E239" s="36">
        <v>4.5</v>
      </c>
    </row>
    <row r="240" spans="1:5" x14ac:dyDescent="0.25">
      <c r="A240" s="26">
        <v>43912</v>
      </c>
      <c r="B240" s="2" t="s">
        <v>431</v>
      </c>
      <c r="C240" s="2" t="s">
        <v>365</v>
      </c>
      <c r="D240" s="2" t="s">
        <v>107</v>
      </c>
      <c r="E240" s="36">
        <v>33</v>
      </c>
    </row>
    <row r="241" spans="1:5" x14ac:dyDescent="0.25">
      <c r="A241" s="2" t="s">
        <v>523</v>
      </c>
      <c r="E241" s="36">
        <v>37.5</v>
      </c>
    </row>
    <row r="242" spans="1:5" x14ac:dyDescent="0.25">
      <c r="A242" s="26">
        <v>43905</v>
      </c>
      <c r="B242" s="2" t="s">
        <v>411</v>
      </c>
      <c r="C242" s="2" t="s">
        <v>365</v>
      </c>
      <c r="D242" s="2" t="s">
        <v>107</v>
      </c>
      <c r="E242" s="36">
        <v>5.5</v>
      </c>
    </row>
    <row r="243" spans="1:5" x14ac:dyDescent="0.25">
      <c r="A243" s="26">
        <v>43905</v>
      </c>
      <c r="B243" s="2" t="s">
        <v>431</v>
      </c>
      <c r="C243" s="2" t="s">
        <v>365</v>
      </c>
      <c r="D243" s="2" t="s">
        <v>107</v>
      </c>
      <c r="E243" s="36">
        <v>32</v>
      </c>
    </row>
    <row r="244" spans="1:5" x14ac:dyDescent="0.25">
      <c r="A244" s="2" t="s">
        <v>524</v>
      </c>
      <c r="E244" s="36">
        <v>37.5</v>
      </c>
    </row>
    <row r="245" spans="1:5" x14ac:dyDescent="0.25">
      <c r="A245" s="26">
        <v>43898</v>
      </c>
      <c r="B245" s="2" t="s">
        <v>431</v>
      </c>
      <c r="C245" s="2" t="s">
        <v>365</v>
      </c>
      <c r="D245" s="2" t="s">
        <v>107</v>
      </c>
      <c r="E245" s="36">
        <v>37.5</v>
      </c>
    </row>
    <row r="246" spans="1:5" x14ac:dyDescent="0.25">
      <c r="A246" s="2" t="s">
        <v>525</v>
      </c>
      <c r="E246" s="36">
        <v>37.5</v>
      </c>
    </row>
    <row r="247" spans="1:5" x14ac:dyDescent="0.25">
      <c r="A247" s="26">
        <v>43891</v>
      </c>
      <c r="B247" s="2" t="s">
        <v>431</v>
      </c>
      <c r="C247" s="2" t="s">
        <v>365</v>
      </c>
      <c r="D247" s="2" t="s">
        <v>107</v>
      </c>
      <c r="E247" s="36">
        <v>37.5</v>
      </c>
    </row>
    <row r="248" spans="1:5" x14ac:dyDescent="0.25">
      <c r="A248" s="2" t="s">
        <v>526</v>
      </c>
      <c r="E248" s="36">
        <v>37.5</v>
      </c>
    </row>
    <row r="249" spans="1:5" x14ac:dyDescent="0.25">
      <c r="A249" s="26">
        <v>43884</v>
      </c>
      <c r="B249" s="2" t="s">
        <v>411</v>
      </c>
      <c r="C249" s="2" t="s">
        <v>365</v>
      </c>
      <c r="D249" s="2" t="s">
        <v>107</v>
      </c>
      <c r="E249" s="36">
        <v>7.5</v>
      </c>
    </row>
    <row r="250" spans="1:5" x14ac:dyDescent="0.25">
      <c r="A250" s="26">
        <v>43884</v>
      </c>
      <c r="B250" s="2" t="s">
        <v>431</v>
      </c>
      <c r="C250" s="2" t="s">
        <v>365</v>
      </c>
      <c r="D250" s="2" t="s">
        <v>107</v>
      </c>
      <c r="E250" s="36">
        <v>30</v>
      </c>
    </row>
    <row r="251" spans="1:5" x14ac:dyDescent="0.25">
      <c r="A251" s="2" t="s">
        <v>527</v>
      </c>
      <c r="E251" s="36">
        <v>37.5</v>
      </c>
    </row>
    <row r="252" spans="1:5" x14ac:dyDescent="0.25">
      <c r="A252" s="26">
        <v>43877</v>
      </c>
      <c r="B252" s="2" t="s">
        <v>411</v>
      </c>
      <c r="C252" s="2" t="s">
        <v>365</v>
      </c>
      <c r="D252" s="2" t="s">
        <v>107</v>
      </c>
      <c r="E252" s="36">
        <v>7.5</v>
      </c>
    </row>
    <row r="253" spans="1:5" x14ac:dyDescent="0.25">
      <c r="A253" s="26">
        <v>43877</v>
      </c>
      <c r="B253" s="2" t="s">
        <v>431</v>
      </c>
      <c r="C253" s="2" t="s">
        <v>365</v>
      </c>
      <c r="D253" s="2" t="s">
        <v>107</v>
      </c>
      <c r="E253" s="36">
        <v>30</v>
      </c>
    </row>
    <row r="254" spans="1:5" x14ac:dyDescent="0.25">
      <c r="A254" s="2" t="s">
        <v>528</v>
      </c>
      <c r="E254" s="36">
        <v>37.5</v>
      </c>
    </row>
    <row r="255" spans="1:5" x14ac:dyDescent="0.25">
      <c r="A255" s="26">
        <v>43870</v>
      </c>
      <c r="B255" s="2" t="s">
        <v>411</v>
      </c>
      <c r="C255" s="2" t="s">
        <v>365</v>
      </c>
      <c r="D255" s="2" t="s">
        <v>107</v>
      </c>
      <c r="E255" s="36">
        <v>5.5</v>
      </c>
    </row>
    <row r="256" spans="1:5" x14ac:dyDescent="0.25">
      <c r="A256" s="26">
        <v>43870</v>
      </c>
      <c r="B256" s="2" t="s">
        <v>431</v>
      </c>
      <c r="C256" s="2" t="s">
        <v>365</v>
      </c>
      <c r="D256" s="2" t="s">
        <v>107</v>
      </c>
      <c r="E256" s="36">
        <v>28</v>
      </c>
    </row>
    <row r="257" spans="1:5" x14ac:dyDescent="0.25">
      <c r="A257" s="26">
        <v>43870</v>
      </c>
      <c r="B257" s="2" t="s">
        <v>419</v>
      </c>
      <c r="C257" s="2" t="s">
        <v>365</v>
      </c>
      <c r="D257" s="2" t="s">
        <v>107</v>
      </c>
      <c r="E257" s="36">
        <v>4</v>
      </c>
    </row>
    <row r="258" spans="1:5" x14ac:dyDescent="0.25">
      <c r="A258" s="2" t="s">
        <v>529</v>
      </c>
      <c r="E258" s="36">
        <v>37.5</v>
      </c>
    </row>
    <row r="259" spans="1:5" x14ac:dyDescent="0.25">
      <c r="A259" s="26">
        <v>43863</v>
      </c>
      <c r="B259" s="2" t="s">
        <v>411</v>
      </c>
      <c r="C259" s="2" t="s">
        <v>365</v>
      </c>
      <c r="D259" s="2" t="s">
        <v>107</v>
      </c>
      <c r="E259" s="36">
        <v>2.5</v>
      </c>
    </row>
    <row r="260" spans="1:5" x14ac:dyDescent="0.25">
      <c r="A260" s="26">
        <v>43863</v>
      </c>
      <c r="B260" s="2" t="s">
        <v>431</v>
      </c>
      <c r="C260" s="2" t="s">
        <v>365</v>
      </c>
      <c r="D260" s="2" t="s">
        <v>107</v>
      </c>
      <c r="E260" s="36">
        <v>15</v>
      </c>
    </row>
    <row r="261" spans="1:5" x14ac:dyDescent="0.25">
      <c r="A261" s="26">
        <v>43863</v>
      </c>
      <c r="B261" s="2" t="s">
        <v>421</v>
      </c>
      <c r="C261" s="2" t="s">
        <v>365</v>
      </c>
      <c r="D261" s="2" t="s">
        <v>107</v>
      </c>
      <c r="E261" s="36">
        <v>20</v>
      </c>
    </row>
    <row r="262" spans="1:5" x14ac:dyDescent="0.25">
      <c r="A262" s="2" t="s">
        <v>530</v>
      </c>
      <c r="E262" s="36">
        <v>37.5</v>
      </c>
    </row>
    <row r="263" spans="1:5" x14ac:dyDescent="0.25">
      <c r="A263" s="26">
        <v>43856</v>
      </c>
      <c r="B263" s="2" t="s">
        <v>431</v>
      </c>
      <c r="C263" s="2" t="s">
        <v>365</v>
      </c>
      <c r="D263" s="2" t="s">
        <v>107</v>
      </c>
      <c r="E263" s="36">
        <v>15</v>
      </c>
    </row>
    <row r="264" spans="1:5" x14ac:dyDescent="0.25">
      <c r="A264" s="26">
        <v>43856</v>
      </c>
      <c r="B264" s="2" t="s">
        <v>421</v>
      </c>
      <c r="C264" s="2" t="s">
        <v>365</v>
      </c>
      <c r="D264" s="2" t="s">
        <v>107</v>
      </c>
      <c r="E264" s="36">
        <v>22.5</v>
      </c>
    </row>
    <row r="265" spans="1:5" x14ac:dyDescent="0.25">
      <c r="A265" s="2" t="s">
        <v>531</v>
      </c>
      <c r="E265" s="36">
        <v>37.5</v>
      </c>
    </row>
    <row r="266" spans="1:5" x14ac:dyDescent="0.25">
      <c r="A266" s="26">
        <v>43849</v>
      </c>
      <c r="B266" s="2" t="s">
        <v>431</v>
      </c>
      <c r="C266" s="2" t="s">
        <v>365</v>
      </c>
      <c r="D266" s="2" t="s">
        <v>107</v>
      </c>
      <c r="E266" s="36">
        <v>7.5</v>
      </c>
    </row>
    <row r="267" spans="1:5" x14ac:dyDescent="0.25">
      <c r="A267" s="26">
        <v>43849</v>
      </c>
      <c r="B267" s="2" t="s">
        <v>421</v>
      </c>
      <c r="C267" s="2" t="s">
        <v>365</v>
      </c>
      <c r="D267" s="2" t="s">
        <v>107</v>
      </c>
      <c r="E267" s="36">
        <v>30</v>
      </c>
    </row>
    <row r="268" spans="1:5" x14ac:dyDescent="0.25">
      <c r="A268" s="2" t="s">
        <v>532</v>
      </c>
      <c r="E268" s="36">
        <v>37.5</v>
      </c>
    </row>
    <row r="269" spans="1:5" x14ac:dyDescent="0.25">
      <c r="A269" s="26">
        <v>43842</v>
      </c>
      <c r="B269" s="2" t="s">
        <v>421</v>
      </c>
      <c r="C269" s="2" t="s">
        <v>365</v>
      </c>
      <c r="D269" s="2" t="s">
        <v>107</v>
      </c>
      <c r="E269" s="36">
        <v>22.75</v>
      </c>
    </row>
    <row r="270" spans="1:5" x14ac:dyDescent="0.25">
      <c r="A270" s="26">
        <v>43842</v>
      </c>
      <c r="B270" s="2" t="s">
        <v>430</v>
      </c>
      <c r="C270" s="2" t="s">
        <v>365</v>
      </c>
      <c r="D270" s="2" t="s">
        <v>107</v>
      </c>
      <c r="E270" s="36">
        <v>14.75</v>
      </c>
    </row>
    <row r="271" spans="1:5" x14ac:dyDescent="0.25">
      <c r="A271" s="2" t="s">
        <v>533</v>
      </c>
      <c r="E271" s="36">
        <v>37.5</v>
      </c>
    </row>
    <row r="272" spans="1:5" x14ac:dyDescent="0.25">
      <c r="A272" s="26">
        <v>43835</v>
      </c>
      <c r="B272" s="2" t="s">
        <v>373</v>
      </c>
      <c r="C272" s="2" t="s">
        <v>365</v>
      </c>
      <c r="D272" s="2" t="s">
        <v>107</v>
      </c>
      <c r="E272" s="36">
        <v>30</v>
      </c>
    </row>
    <row r="273" spans="1:5" x14ac:dyDescent="0.25">
      <c r="A273" s="26">
        <v>43835</v>
      </c>
      <c r="B273" s="2" t="s">
        <v>397</v>
      </c>
      <c r="C273" s="2" t="s">
        <v>365</v>
      </c>
      <c r="D273" s="2" t="s">
        <v>107</v>
      </c>
      <c r="E273" s="36">
        <v>7.5</v>
      </c>
    </row>
    <row r="274" spans="1:5" x14ac:dyDescent="0.25">
      <c r="A274" s="2" t="s">
        <v>534</v>
      </c>
      <c r="E274" s="36">
        <v>37.5</v>
      </c>
    </row>
    <row r="275" spans="1:5" x14ac:dyDescent="0.25">
      <c r="A275" s="26">
        <v>43828</v>
      </c>
      <c r="B275" s="2" t="s">
        <v>373</v>
      </c>
      <c r="C275" s="2" t="s">
        <v>365</v>
      </c>
      <c r="D275" s="2" t="s">
        <v>107</v>
      </c>
      <c r="E275" s="36">
        <v>7.5</v>
      </c>
    </row>
    <row r="276" spans="1:5" x14ac:dyDescent="0.25">
      <c r="A276" s="26">
        <v>43828</v>
      </c>
      <c r="B276" s="2" t="s">
        <v>397</v>
      </c>
      <c r="C276" s="2" t="s">
        <v>365</v>
      </c>
      <c r="D276" s="2" t="s">
        <v>107</v>
      </c>
      <c r="E276" s="36">
        <v>15</v>
      </c>
    </row>
    <row r="277" spans="1:5" x14ac:dyDescent="0.25">
      <c r="A277" s="26">
        <v>43828</v>
      </c>
      <c r="B277" s="2" t="s">
        <v>421</v>
      </c>
      <c r="C277" s="2" t="s">
        <v>365</v>
      </c>
      <c r="D277" s="2" t="s">
        <v>107</v>
      </c>
      <c r="E277" s="36">
        <v>15</v>
      </c>
    </row>
    <row r="278" spans="1:5" x14ac:dyDescent="0.25">
      <c r="A278" s="2" t="s">
        <v>535</v>
      </c>
      <c r="E278" s="36">
        <v>37.5</v>
      </c>
    </row>
    <row r="279" spans="1:5" x14ac:dyDescent="0.25">
      <c r="A279" s="26">
        <v>43821</v>
      </c>
      <c r="B279" s="2" t="s">
        <v>421</v>
      </c>
      <c r="C279" s="2" t="s">
        <v>365</v>
      </c>
      <c r="D279" s="2" t="s">
        <v>107</v>
      </c>
      <c r="E279" s="36">
        <v>26</v>
      </c>
    </row>
    <row r="280" spans="1:5" x14ac:dyDescent="0.25">
      <c r="A280" s="26">
        <v>43821</v>
      </c>
      <c r="B280" s="2" t="s">
        <v>430</v>
      </c>
      <c r="C280" s="2" t="s">
        <v>365</v>
      </c>
      <c r="D280" s="2" t="s">
        <v>107</v>
      </c>
      <c r="E280" s="36">
        <v>7.5</v>
      </c>
    </row>
    <row r="281" spans="1:5" x14ac:dyDescent="0.25">
      <c r="A281" s="26">
        <v>43821</v>
      </c>
      <c r="B281" s="2" t="s">
        <v>422</v>
      </c>
      <c r="C281" s="2" t="s">
        <v>365</v>
      </c>
      <c r="D281" s="2" t="s">
        <v>107</v>
      </c>
      <c r="E281" s="36">
        <v>4</v>
      </c>
    </row>
    <row r="282" spans="1:5" x14ac:dyDescent="0.25">
      <c r="A282" s="2" t="s">
        <v>536</v>
      </c>
      <c r="E282" s="36">
        <v>37.5</v>
      </c>
    </row>
    <row r="283" spans="1:5" x14ac:dyDescent="0.25">
      <c r="A283" s="26">
        <v>43814</v>
      </c>
      <c r="B283" s="2" t="s">
        <v>421</v>
      </c>
      <c r="C283" s="2" t="s">
        <v>365</v>
      </c>
      <c r="D283" s="2" t="s">
        <v>107</v>
      </c>
      <c r="E283" s="36">
        <v>22.5</v>
      </c>
    </row>
    <row r="284" spans="1:5" x14ac:dyDescent="0.25">
      <c r="A284" s="26">
        <v>43814</v>
      </c>
      <c r="B284" s="2" t="s">
        <v>430</v>
      </c>
      <c r="C284" s="2" t="s">
        <v>365</v>
      </c>
      <c r="D284" s="2" t="s">
        <v>107</v>
      </c>
      <c r="E284" s="36">
        <v>7.5</v>
      </c>
    </row>
    <row r="285" spans="1:5" x14ac:dyDescent="0.25">
      <c r="A285" s="26">
        <v>43814</v>
      </c>
      <c r="B285" s="2" t="s">
        <v>422</v>
      </c>
      <c r="C285" s="2" t="s">
        <v>365</v>
      </c>
      <c r="D285" s="2" t="s">
        <v>107</v>
      </c>
      <c r="E285" s="36">
        <v>7.5</v>
      </c>
    </row>
    <row r="286" spans="1:5" x14ac:dyDescent="0.25">
      <c r="A286" s="2" t="s">
        <v>537</v>
      </c>
      <c r="E286" s="36">
        <v>37.5</v>
      </c>
    </row>
    <row r="287" spans="1:5" x14ac:dyDescent="0.25">
      <c r="A287" s="26">
        <v>43807</v>
      </c>
      <c r="B287" s="2" t="s">
        <v>421</v>
      </c>
      <c r="C287" s="2" t="s">
        <v>365</v>
      </c>
      <c r="D287" s="2" t="s">
        <v>107</v>
      </c>
      <c r="E287" s="36">
        <v>20</v>
      </c>
    </row>
    <row r="288" spans="1:5" x14ac:dyDescent="0.25">
      <c r="A288" s="26">
        <v>43807</v>
      </c>
      <c r="B288" s="2" t="s">
        <v>430</v>
      </c>
      <c r="C288" s="2" t="s">
        <v>365</v>
      </c>
      <c r="D288" s="2" t="s">
        <v>107</v>
      </c>
      <c r="E288" s="36">
        <v>17.5</v>
      </c>
    </row>
    <row r="289" spans="1:5" x14ac:dyDescent="0.25">
      <c r="A289" s="2" t="s">
        <v>538</v>
      </c>
      <c r="E289" s="36">
        <v>37.5</v>
      </c>
    </row>
    <row r="290" spans="1:5" x14ac:dyDescent="0.25">
      <c r="A290" s="26">
        <v>43800</v>
      </c>
      <c r="B290" s="2" t="s">
        <v>374</v>
      </c>
      <c r="C290" s="2" t="s">
        <v>365</v>
      </c>
      <c r="D290" s="2" t="s">
        <v>107</v>
      </c>
      <c r="E290" s="36">
        <v>2</v>
      </c>
    </row>
    <row r="291" spans="1:5" x14ac:dyDescent="0.25">
      <c r="A291" s="26">
        <v>43800</v>
      </c>
      <c r="B291" s="2" t="s">
        <v>421</v>
      </c>
      <c r="C291" s="2" t="s">
        <v>365</v>
      </c>
      <c r="D291" s="2" t="s">
        <v>107</v>
      </c>
      <c r="E291" s="36">
        <v>20</v>
      </c>
    </row>
    <row r="292" spans="1:5" x14ac:dyDescent="0.25">
      <c r="A292" s="26">
        <v>43800</v>
      </c>
      <c r="B292" s="2" t="s">
        <v>430</v>
      </c>
      <c r="C292" s="2" t="s">
        <v>365</v>
      </c>
      <c r="D292" s="2" t="s">
        <v>107</v>
      </c>
      <c r="E292" s="36">
        <v>15.5</v>
      </c>
    </row>
    <row r="293" spans="1:5" x14ac:dyDescent="0.25">
      <c r="A293" s="2" t="s">
        <v>539</v>
      </c>
      <c r="E293" s="36">
        <v>37.5</v>
      </c>
    </row>
    <row r="294" spans="1:5" x14ac:dyDescent="0.25">
      <c r="A294" s="26">
        <v>43793</v>
      </c>
      <c r="B294" s="2" t="s">
        <v>374</v>
      </c>
      <c r="C294" s="2" t="s">
        <v>365</v>
      </c>
      <c r="D294" s="2" t="s">
        <v>107</v>
      </c>
      <c r="E294" s="36">
        <v>2</v>
      </c>
    </row>
    <row r="295" spans="1:5" x14ac:dyDescent="0.25">
      <c r="A295" s="26">
        <v>43793</v>
      </c>
      <c r="B295" s="2" t="s">
        <v>421</v>
      </c>
      <c r="C295" s="2" t="s">
        <v>365</v>
      </c>
      <c r="D295" s="2" t="s">
        <v>107</v>
      </c>
      <c r="E295" s="36">
        <v>16.75</v>
      </c>
    </row>
    <row r="296" spans="1:5" x14ac:dyDescent="0.25">
      <c r="A296" s="26">
        <v>43793</v>
      </c>
      <c r="B296" s="2" t="s">
        <v>430</v>
      </c>
      <c r="C296" s="2" t="s">
        <v>365</v>
      </c>
      <c r="D296" s="2" t="s">
        <v>107</v>
      </c>
      <c r="E296" s="36">
        <v>13</v>
      </c>
    </row>
    <row r="297" spans="1:5" x14ac:dyDescent="0.25">
      <c r="A297" s="26">
        <v>43793</v>
      </c>
      <c r="B297" s="2" t="s">
        <v>432</v>
      </c>
      <c r="C297" s="2" t="s">
        <v>365</v>
      </c>
      <c r="D297" s="2" t="s">
        <v>107</v>
      </c>
      <c r="E297" s="36">
        <v>5.75</v>
      </c>
    </row>
    <row r="298" spans="1:5" x14ac:dyDescent="0.25">
      <c r="A298" s="2" t="s">
        <v>540</v>
      </c>
      <c r="E298" s="36">
        <v>37.5</v>
      </c>
    </row>
    <row r="299" spans="1:5" x14ac:dyDescent="0.25">
      <c r="A299" s="26">
        <v>43786</v>
      </c>
      <c r="B299" s="2" t="s">
        <v>421</v>
      </c>
      <c r="C299" s="2" t="s">
        <v>365</v>
      </c>
      <c r="D299" s="2" t="s">
        <v>107</v>
      </c>
      <c r="E299" s="36">
        <v>27.5</v>
      </c>
    </row>
    <row r="300" spans="1:5" x14ac:dyDescent="0.25">
      <c r="A300" s="26">
        <v>43786</v>
      </c>
      <c r="B300" s="2" t="s">
        <v>430</v>
      </c>
      <c r="C300" s="2" t="s">
        <v>365</v>
      </c>
      <c r="D300" s="2" t="s">
        <v>107</v>
      </c>
      <c r="E300" s="36">
        <v>10</v>
      </c>
    </row>
    <row r="301" spans="1:5" x14ac:dyDescent="0.25">
      <c r="A301" s="2" t="s">
        <v>541</v>
      </c>
      <c r="E301" s="36">
        <v>37.5</v>
      </c>
    </row>
    <row r="302" spans="1:5" x14ac:dyDescent="0.25">
      <c r="A302" s="26">
        <v>43779</v>
      </c>
      <c r="B302" s="2" t="s">
        <v>128</v>
      </c>
      <c r="C302" s="2" t="s">
        <v>365</v>
      </c>
      <c r="D302" s="2" t="s">
        <v>107</v>
      </c>
      <c r="E302" s="36">
        <v>2</v>
      </c>
    </row>
    <row r="303" spans="1:5" x14ac:dyDescent="0.25">
      <c r="A303" s="26">
        <v>43779</v>
      </c>
      <c r="B303" s="2" t="s">
        <v>421</v>
      </c>
      <c r="C303" s="2" t="s">
        <v>365</v>
      </c>
      <c r="D303" s="2" t="s">
        <v>107</v>
      </c>
      <c r="E303" s="36">
        <v>24.25</v>
      </c>
    </row>
    <row r="304" spans="1:5" x14ac:dyDescent="0.25">
      <c r="A304" s="26">
        <v>43779</v>
      </c>
      <c r="B304" s="2" t="s">
        <v>430</v>
      </c>
      <c r="C304" s="2" t="s">
        <v>365</v>
      </c>
      <c r="D304" s="2" t="s">
        <v>107</v>
      </c>
      <c r="E304" s="36">
        <v>11.25</v>
      </c>
    </row>
    <row r="305" spans="1:5" x14ac:dyDescent="0.25">
      <c r="A305" s="2" t="s">
        <v>542</v>
      </c>
      <c r="E305" s="36">
        <v>37.5</v>
      </c>
    </row>
    <row r="306" spans="1:5" x14ac:dyDescent="0.25">
      <c r="A306" s="26">
        <v>43772</v>
      </c>
      <c r="B306" s="2" t="s">
        <v>421</v>
      </c>
      <c r="C306" s="2" t="s">
        <v>365</v>
      </c>
      <c r="D306" s="2" t="s">
        <v>107</v>
      </c>
      <c r="E306" s="36">
        <v>30</v>
      </c>
    </row>
    <row r="307" spans="1:5" x14ac:dyDescent="0.25">
      <c r="A307" s="26">
        <v>43772</v>
      </c>
      <c r="B307" s="2" t="s">
        <v>430</v>
      </c>
      <c r="C307" s="2" t="s">
        <v>365</v>
      </c>
      <c r="D307" s="2" t="s">
        <v>107</v>
      </c>
      <c r="E307" s="36">
        <v>7.5</v>
      </c>
    </row>
    <row r="308" spans="1:5" x14ac:dyDescent="0.25">
      <c r="A308" s="2" t="s">
        <v>543</v>
      </c>
      <c r="E308" s="36">
        <v>37.5</v>
      </c>
    </row>
    <row r="309" spans="1:5" x14ac:dyDescent="0.25">
      <c r="A309" s="26">
        <v>43765</v>
      </c>
      <c r="B309" s="2" t="s">
        <v>421</v>
      </c>
      <c r="C309" s="2" t="s">
        <v>365</v>
      </c>
      <c r="D309" s="2" t="s">
        <v>107</v>
      </c>
      <c r="E309" s="36">
        <v>20</v>
      </c>
    </row>
    <row r="310" spans="1:5" x14ac:dyDescent="0.25">
      <c r="A310" s="26">
        <v>43765</v>
      </c>
      <c r="B310" s="2" t="s">
        <v>430</v>
      </c>
      <c r="C310" s="2" t="s">
        <v>365</v>
      </c>
      <c r="D310" s="2" t="s">
        <v>107</v>
      </c>
      <c r="E310" s="36">
        <v>7.5</v>
      </c>
    </row>
    <row r="311" spans="1:5" x14ac:dyDescent="0.25">
      <c r="A311" s="26">
        <v>43765</v>
      </c>
      <c r="B311" s="2" t="s">
        <v>420</v>
      </c>
      <c r="C311" s="2" t="s">
        <v>365</v>
      </c>
      <c r="D311" s="2" t="s">
        <v>107</v>
      </c>
      <c r="E311" s="36">
        <v>2.5</v>
      </c>
    </row>
    <row r="312" spans="1:5" x14ac:dyDescent="0.25">
      <c r="A312" s="26">
        <v>43765</v>
      </c>
      <c r="B312" s="2" t="s">
        <v>428</v>
      </c>
      <c r="C312" s="2" t="s">
        <v>365</v>
      </c>
      <c r="D312" s="2" t="s">
        <v>107</v>
      </c>
      <c r="E312" s="36">
        <v>7.5</v>
      </c>
    </row>
    <row r="313" spans="1:5" x14ac:dyDescent="0.25">
      <c r="A313" s="2" t="s">
        <v>544</v>
      </c>
      <c r="E313" s="36">
        <v>37.5</v>
      </c>
    </row>
    <row r="314" spans="1:5" x14ac:dyDescent="0.25">
      <c r="A314" s="26">
        <v>43758</v>
      </c>
      <c r="B314" s="2" t="s">
        <v>421</v>
      </c>
      <c r="C314" s="2" t="s">
        <v>365</v>
      </c>
      <c r="D314" s="2" t="s">
        <v>107</v>
      </c>
      <c r="E314" s="36">
        <v>9.25</v>
      </c>
    </row>
    <row r="315" spans="1:5" x14ac:dyDescent="0.25">
      <c r="A315" s="26">
        <v>43758</v>
      </c>
      <c r="B315" s="2" t="s">
        <v>430</v>
      </c>
      <c r="C315" s="2" t="s">
        <v>365</v>
      </c>
      <c r="D315" s="2" t="s">
        <v>107</v>
      </c>
      <c r="E315" s="36">
        <v>7.5</v>
      </c>
    </row>
    <row r="316" spans="1:5" x14ac:dyDescent="0.25">
      <c r="A316" s="26">
        <v>43758</v>
      </c>
      <c r="B316" s="2" t="s">
        <v>420</v>
      </c>
      <c r="C316" s="2" t="s">
        <v>365</v>
      </c>
      <c r="D316" s="2" t="s">
        <v>107</v>
      </c>
      <c r="E316" s="36">
        <v>11.25</v>
      </c>
    </row>
    <row r="317" spans="1:5" x14ac:dyDescent="0.25">
      <c r="A317" s="26">
        <v>43758</v>
      </c>
      <c r="B317" s="2" t="s">
        <v>412</v>
      </c>
      <c r="C317" s="2" t="s">
        <v>365</v>
      </c>
      <c r="D317" s="2" t="s">
        <v>107</v>
      </c>
      <c r="E317" s="36">
        <v>9.5</v>
      </c>
    </row>
    <row r="318" spans="1:5" x14ac:dyDescent="0.25">
      <c r="A318" s="2" t="s">
        <v>545</v>
      </c>
      <c r="E318" s="36">
        <v>37.5</v>
      </c>
    </row>
    <row r="319" spans="1:5" x14ac:dyDescent="0.25">
      <c r="A319" s="26">
        <v>43751</v>
      </c>
      <c r="B319" s="2" t="s">
        <v>421</v>
      </c>
      <c r="C319" s="2" t="s">
        <v>365</v>
      </c>
      <c r="D319" s="2" t="s">
        <v>107</v>
      </c>
      <c r="E319" s="36">
        <v>7.5</v>
      </c>
    </row>
    <row r="320" spans="1:5" x14ac:dyDescent="0.25">
      <c r="A320" s="26">
        <v>43751</v>
      </c>
      <c r="B320" s="2" t="s">
        <v>430</v>
      </c>
      <c r="C320" s="2" t="s">
        <v>365</v>
      </c>
      <c r="D320" s="2" t="s">
        <v>107</v>
      </c>
      <c r="E320" s="36">
        <v>11.5</v>
      </c>
    </row>
    <row r="321" spans="1:5" x14ac:dyDescent="0.25">
      <c r="A321" s="26">
        <v>43751</v>
      </c>
      <c r="B321" s="2" t="s">
        <v>420</v>
      </c>
      <c r="C321" s="2" t="s">
        <v>365</v>
      </c>
      <c r="D321" s="2" t="s">
        <v>107</v>
      </c>
      <c r="E321" s="36">
        <v>18.5</v>
      </c>
    </row>
    <row r="322" spans="1:5" x14ac:dyDescent="0.25">
      <c r="A322" s="2" t="s">
        <v>546</v>
      </c>
      <c r="E322" s="36">
        <v>37.5</v>
      </c>
    </row>
    <row r="323" spans="1:5" x14ac:dyDescent="0.25">
      <c r="A323" s="26">
        <v>43744</v>
      </c>
      <c r="B323" s="2" t="s">
        <v>421</v>
      </c>
      <c r="C323" s="2" t="s">
        <v>365</v>
      </c>
      <c r="D323" s="2" t="s">
        <v>107</v>
      </c>
      <c r="E323" s="36">
        <v>18.75</v>
      </c>
    </row>
    <row r="324" spans="1:5" x14ac:dyDescent="0.25">
      <c r="A324" s="26">
        <v>43744</v>
      </c>
      <c r="B324" s="2" t="s">
        <v>430</v>
      </c>
      <c r="C324" s="2" t="s">
        <v>365</v>
      </c>
      <c r="D324" s="2" t="s">
        <v>107</v>
      </c>
      <c r="E324" s="36">
        <v>18.75</v>
      </c>
    </row>
    <row r="325" spans="1:5" x14ac:dyDescent="0.25">
      <c r="A325" s="2" t="s">
        <v>547</v>
      </c>
      <c r="E325" s="36">
        <v>37.5</v>
      </c>
    </row>
    <row r="326" spans="1:5" x14ac:dyDescent="0.25">
      <c r="A326" s="26">
        <v>43737</v>
      </c>
      <c r="B326" s="2" t="s">
        <v>421</v>
      </c>
      <c r="C326" s="2" t="s">
        <v>365</v>
      </c>
      <c r="D326" s="2" t="s">
        <v>107</v>
      </c>
      <c r="E326" s="36">
        <v>13.25</v>
      </c>
    </row>
    <row r="327" spans="1:5" x14ac:dyDescent="0.25">
      <c r="A327" s="26">
        <v>43737</v>
      </c>
      <c r="B327" s="2" t="s">
        <v>430</v>
      </c>
      <c r="C327" s="2" t="s">
        <v>365</v>
      </c>
      <c r="D327" s="2" t="s">
        <v>107</v>
      </c>
      <c r="E327" s="36">
        <v>16.75</v>
      </c>
    </row>
    <row r="328" spans="1:5" x14ac:dyDescent="0.25">
      <c r="A328" s="26">
        <v>43737</v>
      </c>
      <c r="B328" s="2" t="s">
        <v>428</v>
      </c>
      <c r="C328" s="2" t="s">
        <v>365</v>
      </c>
      <c r="D328" s="2" t="s">
        <v>107</v>
      </c>
      <c r="E328" s="36">
        <v>7.5</v>
      </c>
    </row>
    <row r="329" spans="1:5" x14ac:dyDescent="0.25">
      <c r="A329" s="2" t="s">
        <v>548</v>
      </c>
      <c r="E329" s="36">
        <v>37.5</v>
      </c>
    </row>
    <row r="330" spans="1:5" x14ac:dyDescent="0.25">
      <c r="A330" s="26">
        <v>43730</v>
      </c>
      <c r="B330" s="2" t="s">
        <v>421</v>
      </c>
      <c r="C330" s="2" t="s">
        <v>365</v>
      </c>
      <c r="D330" s="2" t="s">
        <v>107</v>
      </c>
      <c r="E330" s="36">
        <v>37.5</v>
      </c>
    </row>
    <row r="331" spans="1:5" x14ac:dyDescent="0.25">
      <c r="A331" s="2" t="s">
        <v>549</v>
      </c>
      <c r="E331" s="36">
        <v>37.5</v>
      </c>
    </row>
    <row r="332" spans="1:5" x14ac:dyDescent="0.25">
      <c r="A332" s="26">
        <v>43723</v>
      </c>
      <c r="B332" s="2" t="s">
        <v>421</v>
      </c>
      <c r="C332" s="2" t="s">
        <v>365</v>
      </c>
      <c r="D332" s="2" t="s">
        <v>107</v>
      </c>
      <c r="E332" s="36">
        <v>7.5</v>
      </c>
    </row>
    <row r="333" spans="1:5" x14ac:dyDescent="0.25">
      <c r="A333" s="26">
        <v>43723</v>
      </c>
      <c r="B333" s="2" t="s">
        <v>430</v>
      </c>
      <c r="C333" s="2" t="s">
        <v>365</v>
      </c>
      <c r="D333" s="2" t="s">
        <v>107</v>
      </c>
      <c r="E333" s="36">
        <v>15</v>
      </c>
    </row>
    <row r="334" spans="1:5" x14ac:dyDescent="0.25">
      <c r="A334" s="26">
        <v>43723</v>
      </c>
      <c r="B334" s="2" t="s">
        <v>428</v>
      </c>
      <c r="C334" s="2" t="s">
        <v>365</v>
      </c>
      <c r="D334" s="2" t="s">
        <v>107</v>
      </c>
      <c r="E334" s="36">
        <v>15</v>
      </c>
    </row>
    <row r="335" spans="1:5" x14ac:dyDescent="0.25">
      <c r="A335" s="2" t="s">
        <v>550</v>
      </c>
      <c r="E335" s="36">
        <v>37.5</v>
      </c>
    </row>
    <row r="336" spans="1:5" x14ac:dyDescent="0.25">
      <c r="A336" s="26">
        <v>43716</v>
      </c>
      <c r="B336" s="2" t="s">
        <v>373</v>
      </c>
      <c r="C336" s="2" t="s">
        <v>365</v>
      </c>
      <c r="D336" s="2" t="s">
        <v>107</v>
      </c>
      <c r="E336" s="36">
        <v>37.5</v>
      </c>
    </row>
    <row r="337" spans="1:5" x14ac:dyDescent="0.25">
      <c r="A337" s="2" t="s">
        <v>551</v>
      </c>
      <c r="E337" s="36">
        <v>37.5</v>
      </c>
    </row>
    <row r="338" spans="1:5" x14ac:dyDescent="0.25">
      <c r="A338" s="26">
        <v>43709</v>
      </c>
      <c r="B338" s="2" t="s">
        <v>373</v>
      </c>
      <c r="C338" s="2" t="s">
        <v>365</v>
      </c>
      <c r="D338" s="2" t="s">
        <v>107</v>
      </c>
      <c r="E338" s="36">
        <v>30</v>
      </c>
    </row>
    <row r="339" spans="1:5" x14ac:dyDescent="0.25">
      <c r="A339" s="26">
        <v>43709</v>
      </c>
      <c r="B339" s="2" t="s">
        <v>397</v>
      </c>
      <c r="C339" s="2" t="s">
        <v>365</v>
      </c>
      <c r="D339" s="2" t="s">
        <v>107</v>
      </c>
      <c r="E339" s="36">
        <v>7.5</v>
      </c>
    </row>
    <row r="340" spans="1:5" x14ac:dyDescent="0.25">
      <c r="A340" s="2" t="s">
        <v>552</v>
      </c>
      <c r="E340" s="36">
        <v>37.5</v>
      </c>
    </row>
    <row r="341" spans="1:5" x14ac:dyDescent="0.25">
      <c r="A341" s="26">
        <v>43702</v>
      </c>
      <c r="B341" s="2" t="s">
        <v>430</v>
      </c>
      <c r="C341" s="2" t="s">
        <v>365</v>
      </c>
      <c r="D341" s="2" t="s">
        <v>107</v>
      </c>
      <c r="E341" s="36">
        <v>18.5</v>
      </c>
    </row>
    <row r="342" spans="1:5" x14ac:dyDescent="0.25">
      <c r="A342" s="26">
        <v>43702</v>
      </c>
      <c r="B342" s="2" t="s">
        <v>428</v>
      </c>
      <c r="C342" s="2" t="s">
        <v>365</v>
      </c>
      <c r="D342" s="2" t="s">
        <v>107</v>
      </c>
      <c r="E342" s="36">
        <v>19</v>
      </c>
    </row>
    <row r="343" spans="1:5" x14ac:dyDescent="0.25">
      <c r="A343" s="2" t="s">
        <v>553</v>
      </c>
      <c r="E343" s="36">
        <v>37.5</v>
      </c>
    </row>
    <row r="344" spans="1:5" x14ac:dyDescent="0.25">
      <c r="A344" s="26">
        <v>43695</v>
      </c>
      <c r="B344" s="2" t="s">
        <v>373</v>
      </c>
      <c r="C344" s="2" t="s">
        <v>365</v>
      </c>
      <c r="D344" s="2" t="s">
        <v>107</v>
      </c>
      <c r="E344" s="36">
        <v>7.5</v>
      </c>
    </row>
    <row r="345" spans="1:5" x14ac:dyDescent="0.25">
      <c r="A345" s="26">
        <v>43695</v>
      </c>
      <c r="B345" s="2" t="s">
        <v>430</v>
      </c>
      <c r="C345" s="2" t="s">
        <v>365</v>
      </c>
      <c r="D345" s="2" t="s">
        <v>107</v>
      </c>
      <c r="E345" s="36">
        <v>18.75</v>
      </c>
    </row>
    <row r="346" spans="1:5" x14ac:dyDescent="0.25">
      <c r="A346" s="26">
        <v>43695</v>
      </c>
      <c r="B346" s="2" t="s">
        <v>428</v>
      </c>
      <c r="C346" s="2" t="s">
        <v>365</v>
      </c>
      <c r="D346" s="2" t="s">
        <v>107</v>
      </c>
      <c r="E346" s="36">
        <v>11.25</v>
      </c>
    </row>
    <row r="347" spans="1:5" x14ac:dyDescent="0.25">
      <c r="A347" s="2" t="s">
        <v>554</v>
      </c>
      <c r="E347" s="36">
        <v>37.5</v>
      </c>
    </row>
    <row r="348" spans="1:5" x14ac:dyDescent="0.25">
      <c r="A348" s="26">
        <v>43688</v>
      </c>
      <c r="B348" s="2" t="s">
        <v>430</v>
      </c>
      <c r="C348" s="2" t="s">
        <v>365</v>
      </c>
      <c r="D348" s="2" t="s">
        <v>107</v>
      </c>
    </row>
    <row r="349" spans="1:5" x14ac:dyDescent="0.25">
      <c r="A349" s="26">
        <v>43688</v>
      </c>
      <c r="B349" s="2" t="s">
        <v>428</v>
      </c>
      <c r="C349" s="2" t="s">
        <v>365</v>
      </c>
      <c r="D349" s="2" t="s">
        <v>107</v>
      </c>
    </row>
    <row r="350" spans="1:5" x14ac:dyDescent="0.25">
      <c r="A350" s="2" t="s">
        <v>555</v>
      </c>
    </row>
    <row r="351" spans="1:5" x14ac:dyDescent="0.25">
      <c r="A351" s="26">
        <v>43681</v>
      </c>
      <c r="B351" s="2" t="s">
        <v>373</v>
      </c>
      <c r="C351" s="2" t="s">
        <v>365</v>
      </c>
      <c r="D351" s="2" t="s">
        <v>107</v>
      </c>
      <c r="E351" s="36">
        <v>7.5</v>
      </c>
    </row>
    <row r="352" spans="1:5" x14ac:dyDescent="0.25">
      <c r="A352" s="26">
        <v>43681</v>
      </c>
      <c r="B352" s="2" t="s">
        <v>430</v>
      </c>
      <c r="C352" s="2" t="s">
        <v>365</v>
      </c>
      <c r="D352" s="2" t="s">
        <v>107</v>
      </c>
      <c r="E352" s="36">
        <v>15</v>
      </c>
    </row>
    <row r="353" spans="1:5" x14ac:dyDescent="0.25">
      <c r="A353" s="26">
        <v>43681</v>
      </c>
      <c r="B353" s="2" t="s">
        <v>428</v>
      </c>
      <c r="C353" s="2" t="s">
        <v>365</v>
      </c>
      <c r="D353" s="2" t="s">
        <v>107</v>
      </c>
      <c r="E353" s="36">
        <v>15</v>
      </c>
    </row>
    <row r="354" spans="1:5" x14ac:dyDescent="0.25">
      <c r="A354" s="2" t="s">
        <v>556</v>
      </c>
      <c r="E354" s="36">
        <v>37.5</v>
      </c>
    </row>
    <row r="355" spans="1:5" x14ac:dyDescent="0.25">
      <c r="A355" s="26">
        <v>43674</v>
      </c>
      <c r="B355" s="2" t="s">
        <v>430</v>
      </c>
      <c r="C355" s="2" t="s">
        <v>365</v>
      </c>
      <c r="D355" s="2" t="s">
        <v>107</v>
      </c>
      <c r="E355" s="36">
        <v>7.5</v>
      </c>
    </row>
    <row r="356" spans="1:5" x14ac:dyDescent="0.25">
      <c r="A356" s="26">
        <v>43674</v>
      </c>
      <c r="B356" s="2" t="s">
        <v>428</v>
      </c>
      <c r="C356" s="2" t="s">
        <v>365</v>
      </c>
      <c r="D356" s="2" t="s">
        <v>107</v>
      </c>
      <c r="E356" s="36">
        <v>5</v>
      </c>
    </row>
    <row r="357" spans="1:5" x14ac:dyDescent="0.25">
      <c r="A357" s="26">
        <v>43674</v>
      </c>
      <c r="B357" s="2" t="s">
        <v>399</v>
      </c>
      <c r="C357" s="2" t="s">
        <v>365</v>
      </c>
      <c r="D357" s="2" t="s">
        <v>107</v>
      </c>
      <c r="E357" s="36">
        <v>2.5</v>
      </c>
    </row>
    <row r="358" spans="1:5" x14ac:dyDescent="0.25">
      <c r="A358" s="26">
        <v>43674</v>
      </c>
      <c r="B358" s="2" t="s">
        <v>400</v>
      </c>
      <c r="C358" s="2" t="s">
        <v>365</v>
      </c>
      <c r="D358" s="2" t="s">
        <v>107</v>
      </c>
      <c r="E358" s="36">
        <v>22.5</v>
      </c>
    </row>
    <row r="359" spans="1:5" x14ac:dyDescent="0.25">
      <c r="A359" s="2" t="s">
        <v>557</v>
      </c>
      <c r="E359" s="36">
        <v>37.5</v>
      </c>
    </row>
    <row r="360" spans="1:5" x14ac:dyDescent="0.25">
      <c r="A360" s="26">
        <v>43667</v>
      </c>
      <c r="B360" s="2" t="s">
        <v>373</v>
      </c>
      <c r="C360" s="2" t="s">
        <v>365</v>
      </c>
      <c r="D360" s="2" t="s">
        <v>107</v>
      </c>
      <c r="E360" s="36">
        <v>7.5</v>
      </c>
    </row>
    <row r="361" spans="1:5" x14ac:dyDescent="0.25">
      <c r="A361" s="26">
        <v>43667</v>
      </c>
      <c r="B361" s="2" t="s">
        <v>430</v>
      </c>
      <c r="C361" s="2" t="s">
        <v>365</v>
      </c>
      <c r="D361" s="2" t="s">
        <v>107</v>
      </c>
      <c r="E361" s="36">
        <v>11</v>
      </c>
    </row>
    <row r="362" spans="1:5" x14ac:dyDescent="0.25">
      <c r="A362" s="26">
        <v>43667</v>
      </c>
      <c r="B362" s="2" t="s">
        <v>428</v>
      </c>
      <c r="C362" s="2" t="s">
        <v>365</v>
      </c>
      <c r="D362" s="2" t="s">
        <v>107</v>
      </c>
      <c r="E362" s="36">
        <v>14</v>
      </c>
    </row>
    <row r="363" spans="1:5" x14ac:dyDescent="0.25">
      <c r="A363" s="26">
        <v>43667</v>
      </c>
      <c r="B363" s="2" t="s">
        <v>399</v>
      </c>
      <c r="C363" s="2" t="s">
        <v>365</v>
      </c>
      <c r="D363" s="2" t="s">
        <v>107</v>
      </c>
      <c r="E363" s="36">
        <v>2.5</v>
      </c>
    </row>
    <row r="364" spans="1:5" x14ac:dyDescent="0.25">
      <c r="A364" s="26">
        <v>43667</v>
      </c>
      <c r="B364" s="2" t="s">
        <v>398</v>
      </c>
      <c r="C364" s="2" t="s">
        <v>365</v>
      </c>
      <c r="D364" s="2" t="s">
        <v>107</v>
      </c>
      <c r="E364" s="36">
        <v>2.5</v>
      </c>
    </row>
    <row r="365" spans="1:5" x14ac:dyDescent="0.25">
      <c r="A365" s="2" t="s">
        <v>558</v>
      </c>
      <c r="E365" s="36">
        <v>37.5</v>
      </c>
    </row>
    <row r="366" spans="1:5" x14ac:dyDescent="0.25">
      <c r="A366" s="26">
        <v>43660</v>
      </c>
      <c r="B366" s="2" t="s">
        <v>373</v>
      </c>
      <c r="C366" s="2" t="s">
        <v>365</v>
      </c>
      <c r="D366" s="2" t="s">
        <v>107</v>
      </c>
      <c r="E366" s="36">
        <v>7.5</v>
      </c>
    </row>
    <row r="367" spans="1:5" x14ac:dyDescent="0.25">
      <c r="A367" s="26">
        <v>43660</v>
      </c>
      <c r="B367" s="2" t="s">
        <v>411</v>
      </c>
      <c r="C367" s="2" t="s">
        <v>365</v>
      </c>
      <c r="D367" s="2" t="s">
        <v>107</v>
      </c>
      <c r="E367" s="36">
        <v>1</v>
      </c>
    </row>
    <row r="368" spans="1:5" x14ac:dyDescent="0.25">
      <c r="A368" s="26">
        <v>43660</v>
      </c>
      <c r="B368" s="2" t="s">
        <v>430</v>
      </c>
      <c r="C368" s="2" t="s">
        <v>365</v>
      </c>
      <c r="D368" s="2" t="s">
        <v>107</v>
      </c>
      <c r="E368" s="36">
        <v>9.5</v>
      </c>
    </row>
    <row r="369" spans="1:5" x14ac:dyDescent="0.25">
      <c r="A369" s="26">
        <v>43660</v>
      </c>
      <c r="B369" s="2" t="s">
        <v>428</v>
      </c>
      <c r="C369" s="2" t="s">
        <v>365</v>
      </c>
      <c r="D369" s="2" t="s">
        <v>107</v>
      </c>
      <c r="E369" s="36">
        <v>19.5</v>
      </c>
    </row>
    <row r="370" spans="1:5" x14ac:dyDescent="0.25">
      <c r="A370" s="2" t="s">
        <v>559</v>
      </c>
      <c r="E370" s="36">
        <v>37.5</v>
      </c>
    </row>
    <row r="371" spans="1:5" x14ac:dyDescent="0.25">
      <c r="A371" s="26">
        <v>43653</v>
      </c>
      <c r="B371" s="2" t="s">
        <v>411</v>
      </c>
      <c r="C371" s="2" t="s">
        <v>365</v>
      </c>
      <c r="D371" s="2" t="s">
        <v>107</v>
      </c>
      <c r="E371" s="36">
        <v>4</v>
      </c>
    </row>
    <row r="372" spans="1:5" x14ac:dyDescent="0.25">
      <c r="A372" s="26">
        <v>43653</v>
      </c>
      <c r="B372" s="2" t="s">
        <v>430</v>
      </c>
      <c r="C372" s="2" t="s">
        <v>365</v>
      </c>
      <c r="D372" s="2" t="s">
        <v>107</v>
      </c>
      <c r="E372" s="36">
        <v>5.5</v>
      </c>
    </row>
    <row r="373" spans="1:5" x14ac:dyDescent="0.25">
      <c r="A373" s="26">
        <v>43653</v>
      </c>
      <c r="B373" s="2" t="s">
        <v>428</v>
      </c>
      <c r="C373" s="2" t="s">
        <v>365</v>
      </c>
      <c r="D373" s="2" t="s">
        <v>107</v>
      </c>
      <c r="E373" s="36">
        <v>20.75</v>
      </c>
    </row>
    <row r="374" spans="1:5" x14ac:dyDescent="0.25">
      <c r="A374" s="26">
        <v>43653</v>
      </c>
      <c r="B374" s="2" t="s">
        <v>398</v>
      </c>
      <c r="C374" s="2" t="s">
        <v>365</v>
      </c>
      <c r="D374" s="2" t="s">
        <v>107</v>
      </c>
      <c r="E374" s="36">
        <v>3.75</v>
      </c>
    </row>
    <row r="375" spans="1:5" x14ac:dyDescent="0.25">
      <c r="A375" s="26">
        <v>43653</v>
      </c>
      <c r="B375" s="2" t="s">
        <v>402</v>
      </c>
      <c r="C375" s="2" t="s">
        <v>365</v>
      </c>
      <c r="D375" s="2" t="s">
        <v>107</v>
      </c>
      <c r="E375" s="36">
        <v>3.5</v>
      </c>
    </row>
    <row r="376" spans="1:5" x14ac:dyDescent="0.25">
      <c r="A376" s="2" t="s">
        <v>560</v>
      </c>
      <c r="E376" s="36">
        <v>37.5</v>
      </c>
    </row>
    <row r="377" spans="1:5" x14ac:dyDescent="0.25">
      <c r="A377" s="26">
        <v>43646</v>
      </c>
      <c r="B377" s="2" t="s">
        <v>373</v>
      </c>
      <c r="C377" s="2" t="s">
        <v>365</v>
      </c>
      <c r="D377" s="2" t="s">
        <v>107</v>
      </c>
      <c r="E377" s="36">
        <v>7.5</v>
      </c>
    </row>
    <row r="378" spans="1:5" x14ac:dyDescent="0.25">
      <c r="A378" s="26">
        <v>43646</v>
      </c>
      <c r="B378" s="2" t="s">
        <v>429</v>
      </c>
      <c r="C378" s="2" t="s">
        <v>365</v>
      </c>
      <c r="D378" s="2" t="s">
        <v>107</v>
      </c>
      <c r="E378" s="36">
        <v>30</v>
      </c>
    </row>
    <row r="379" spans="1:5" x14ac:dyDescent="0.25">
      <c r="A379" s="2" t="s">
        <v>561</v>
      </c>
      <c r="E379" s="36">
        <v>37.5</v>
      </c>
    </row>
    <row r="380" spans="1:5" x14ac:dyDescent="0.25">
      <c r="A380" s="26">
        <v>43639</v>
      </c>
      <c r="B380" s="2" t="s">
        <v>373</v>
      </c>
      <c r="C380" s="2" t="s">
        <v>365</v>
      </c>
      <c r="D380" s="2" t="s">
        <v>107</v>
      </c>
      <c r="E380" s="36">
        <v>15</v>
      </c>
    </row>
    <row r="381" spans="1:5" x14ac:dyDescent="0.25">
      <c r="A381" s="26">
        <v>43639</v>
      </c>
      <c r="B381" s="2" t="s">
        <v>411</v>
      </c>
      <c r="C381" s="2" t="s">
        <v>365</v>
      </c>
      <c r="D381" s="2" t="s">
        <v>107</v>
      </c>
      <c r="E381" s="36">
        <v>2</v>
      </c>
    </row>
    <row r="382" spans="1:5" x14ac:dyDescent="0.25">
      <c r="A382" s="26">
        <v>43639</v>
      </c>
      <c r="B382" s="2" t="s">
        <v>428</v>
      </c>
      <c r="C382" s="2" t="s">
        <v>365</v>
      </c>
      <c r="D382" s="2" t="s">
        <v>107</v>
      </c>
      <c r="E382" s="36">
        <v>7.5</v>
      </c>
    </row>
    <row r="383" spans="1:5" x14ac:dyDescent="0.25">
      <c r="A383" s="26">
        <v>43639</v>
      </c>
      <c r="B383" s="2" t="s">
        <v>400</v>
      </c>
      <c r="C383" s="2" t="s">
        <v>365</v>
      </c>
      <c r="D383" s="2" t="s">
        <v>107</v>
      </c>
      <c r="E383" s="36">
        <v>10</v>
      </c>
    </row>
    <row r="384" spans="1:5" x14ac:dyDescent="0.25">
      <c r="A384" s="26">
        <v>43639</v>
      </c>
      <c r="B384" s="2" t="s">
        <v>402</v>
      </c>
      <c r="C384" s="2" t="s">
        <v>365</v>
      </c>
      <c r="D384" s="2" t="s">
        <v>107</v>
      </c>
      <c r="E384" s="36">
        <v>1</v>
      </c>
    </row>
    <row r="385" spans="1:5" x14ac:dyDescent="0.25">
      <c r="A385" s="26">
        <v>43639</v>
      </c>
      <c r="B385" s="2" t="s">
        <v>429</v>
      </c>
      <c r="C385" s="2" t="s">
        <v>365</v>
      </c>
      <c r="D385" s="2" t="s">
        <v>107</v>
      </c>
      <c r="E385" s="36">
        <v>2</v>
      </c>
    </row>
    <row r="386" spans="1:5" x14ac:dyDescent="0.25">
      <c r="A386" s="2" t="s">
        <v>562</v>
      </c>
      <c r="E386" s="36">
        <v>37.5</v>
      </c>
    </row>
    <row r="387" spans="1:5" x14ac:dyDescent="0.25">
      <c r="A387" s="26">
        <v>43632</v>
      </c>
      <c r="B387" s="2" t="s">
        <v>428</v>
      </c>
      <c r="C387" s="2" t="s">
        <v>365</v>
      </c>
      <c r="D387" s="2" t="s">
        <v>107</v>
      </c>
      <c r="E387" s="36">
        <v>7.5</v>
      </c>
    </row>
    <row r="388" spans="1:5" x14ac:dyDescent="0.25">
      <c r="A388" s="26">
        <v>43632</v>
      </c>
      <c r="B388" s="2" t="s">
        <v>398</v>
      </c>
      <c r="C388" s="2" t="s">
        <v>365</v>
      </c>
      <c r="D388" s="2" t="s">
        <v>107</v>
      </c>
      <c r="E388" s="36">
        <v>15</v>
      </c>
    </row>
    <row r="389" spans="1:5" x14ac:dyDescent="0.25">
      <c r="A389" s="26">
        <v>43632</v>
      </c>
      <c r="B389" s="2" t="s">
        <v>429</v>
      </c>
      <c r="C389" s="2" t="s">
        <v>365</v>
      </c>
      <c r="D389" s="2" t="s">
        <v>107</v>
      </c>
      <c r="E389" s="36">
        <v>15</v>
      </c>
    </row>
    <row r="390" spans="1:5" x14ac:dyDescent="0.25">
      <c r="A390" s="2" t="s">
        <v>563</v>
      </c>
      <c r="E390" s="36">
        <v>37.5</v>
      </c>
    </row>
    <row r="391" spans="1:5" x14ac:dyDescent="0.25">
      <c r="A391" s="26">
        <v>43625</v>
      </c>
      <c r="B391" s="2" t="s">
        <v>373</v>
      </c>
      <c r="C391" s="2" t="s">
        <v>365</v>
      </c>
      <c r="D391" s="2" t="s">
        <v>107</v>
      </c>
      <c r="E391" s="36">
        <v>3.75</v>
      </c>
    </row>
    <row r="392" spans="1:5" x14ac:dyDescent="0.25">
      <c r="A392" s="26">
        <v>43625</v>
      </c>
      <c r="B392" s="2" t="s">
        <v>398</v>
      </c>
      <c r="C392" s="2" t="s">
        <v>365</v>
      </c>
      <c r="D392" s="2" t="s">
        <v>107</v>
      </c>
      <c r="E392" s="36">
        <v>7.5</v>
      </c>
    </row>
    <row r="393" spans="1:5" x14ac:dyDescent="0.25">
      <c r="A393" s="26">
        <v>43625</v>
      </c>
      <c r="B393" s="2" t="s">
        <v>402</v>
      </c>
      <c r="C393" s="2" t="s">
        <v>365</v>
      </c>
      <c r="D393" s="2" t="s">
        <v>107</v>
      </c>
      <c r="E393" s="36">
        <v>3.75</v>
      </c>
    </row>
    <row r="394" spans="1:5" x14ac:dyDescent="0.25">
      <c r="A394" s="26">
        <v>43625</v>
      </c>
      <c r="B394" s="2" t="s">
        <v>429</v>
      </c>
      <c r="C394" s="2" t="s">
        <v>365</v>
      </c>
      <c r="D394" s="2" t="s">
        <v>107</v>
      </c>
      <c r="E394" s="36">
        <v>22.5</v>
      </c>
    </row>
    <row r="395" spans="1:5" x14ac:dyDescent="0.25">
      <c r="A395" s="2" t="s">
        <v>564</v>
      </c>
      <c r="E395" s="36">
        <v>37.5</v>
      </c>
    </row>
    <row r="396" spans="1:5" x14ac:dyDescent="0.25">
      <c r="A396" s="26">
        <v>43618</v>
      </c>
      <c r="B396" s="2" t="s">
        <v>397</v>
      </c>
      <c r="C396" s="2" t="s">
        <v>365</v>
      </c>
      <c r="D396" s="2" t="s">
        <v>107</v>
      </c>
      <c r="E396" s="36">
        <v>7.5</v>
      </c>
    </row>
    <row r="397" spans="1:5" x14ac:dyDescent="0.25">
      <c r="A397" s="26">
        <v>43618</v>
      </c>
      <c r="B397" s="2" t="s">
        <v>429</v>
      </c>
      <c r="C397" s="2" t="s">
        <v>365</v>
      </c>
      <c r="D397" s="2" t="s">
        <v>107</v>
      </c>
      <c r="E397" s="36">
        <v>22.5</v>
      </c>
    </row>
    <row r="398" spans="1:5" x14ac:dyDescent="0.25">
      <c r="A398" s="26">
        <v>43618</v>
      </c>
      <c r="B398" s="2" t="s">
        <v>401</v>
      </c>
      <c r="C398" s="2" t="s">
        <v>365</v>
      </c>
      <c r="D398" s="2" t="s">
        <v>107</v>
      </c>
      <c r="E398" s="36">
        <v>3.5</v>
      </c>
    </row>
    <row r="399" spans="1:5" x14ac:dyDescent="0.25">
      <c r="A399" s="26">
        <v>43618</v>
      </c>
      <c r="B399" s="2" t="s">
        <v>395</v>
      </c>
      <c r="C399" s="2" t="s">
        <v>365</v>
      </c>
      <c r="D399" s="2" t="s">
        <v>107</v>
      </c>
      <c r="E399" s="36">
        <v>4</v>
      </c>
    </row>
    <row r="400" spans="1:5" x14ac:dyDescent="0.25">
      <c r="A400" s="2" t="s">
        <v>565</v>
      </c>
      <c r="E400" s="36">
        <v>37.5</v>
      </c>
    </row>
    <row r="401" spans="1:5" x14ac:dyDescent="0.25">
      <c r="A401" s="26">
        <v>43611</v>
      </c>
      <c r="B401" s="2" t="s">
        <v>373</v>
      </c>
      <c r="C401" s="2" t="s">
        <v>365</v>
      </c>
      <c r="D401" s="2" t="s">
        <v>107</v>
      </c>
      <c r="E401" s="36">
        <v>3.75</v>
      </c>
    </row>
    <row r="402" spans="1:5" x14ac:dyDescent="0.25">
      <c r="A402" s="26">
        <v>43611</v>
      </c>
      <c r="B402" s="2" t="s">
        <v>428</v>
      </c>
      <c r="C402" s="2" t="s">
        <v>365</v>
      </c>
      <c r="D402" s="2" t="s">
        <v>107</v>
      </c>
      <c r="E402" s="36">
        <v>26.25</v>
      </c>
    </row>
    <row r="403" spans="1:5" x14ac:dyDescent="0.25">
      <c r="A403" s="26">
        <v>43611</v>
      </c>
      <c r="B403" s="2" t="s">
        <v>400</v>
      </c>
      <c r="C403" s="2" t="s">
        <v>365</v>
      </c>
      <c r="D403" s="2" t="s">
        <v>107</v>
      </c>
      <c r="E403" s="36">
        <v>7.5</v>
      </c>
    </row>
    <row r="404" spans="1:5" x14ac:dyDescent="0.25">
      <c r="A404" s="2" t="s">
        <v>566</v>
      </c>
      <c r="E404" s="36">
        <v>37.5</v>
      </c>
    </row>
    <row r="405" spans="1:5" x14ac:dyDescent="0.25">
      <c r="A405" s="26">
        <v>43604</v>
      </c>
      <c r="B405" s="2" t="s">
        <v>128</v>
      </c>
      <c r="C405" s="2" t="s">
        <v>365</v>
      </c>
      <c r="D405" s="2" t="s">
        <v>107</v>
      </c>
      <c r="E405" s="36">
        <v>1</v>
      </c>
    </row>
    <row r="406" spans="1:5" x14ac:dyDescent="0.25">
      <c r="A406" s="26">
        <v>43604</v>
      </c>
      <c r="B406" s="2" t="s">
        <v>428</v>
      </c>
      <c r="C406" s="2" t="s">
        <v>365</v>
      </c>
      <c r="D406" s="2" t="s">
        <v>107</v>
      </c>
      <c r="E406" s="36">
        <v>19.75</v>
      </c>
    </row>
    <row r="407" spans="1:5" x14ac:dyDescent="0.25">
      <c r="A407" s="26">
        <v>43604</v>
      </c>
      <c r="B407" s="2" t="s">
        <v>435</v>
      </c>
      <c r="C407" s="2" t="s">
        <v>365</v>
      </c>
      <c r="D407" s="2" t="s">
        <v>107</v>
      </c>
      <c r="E407" s="36">
        <v>13</v>
      </c>
    </row>
    <row r="408" spans="1:5" x14ac:dyDescent="0.25">
      <c r="A408" s="26">
        <v>43604</v>
      </c>
      <c r="B408" s="2" t="s">
        <v>427</v>
      </c>
      <c r="C408" s="2" t="s">
        <v>365</v>
      </c>
      <c r="D408" s="2" t="s">
        <v>107</v>
      </c>
      <c r="E408" s="36">
        <v>3.75</v>
      </c>
    </row>
    <row r="409" spans="1:5" x14ac:dyDescent="0.25">
      <c r="A409" s="2" t="s">
        <v>567</v>
      </c>
      <c r="E409" s="36">
        <v>37.5</v>
      </c>
    </row>
    <row r="410" spans="1:5" x14ac:dyDescent="0.25">
      <c r="A410" s="26">
        <v>43597</v>
      </c>
      <c r="B410" s="2" t="s">
        <v>397</v>
      </c>
      <c r="C410" s="2" t="s">
        <v>365</v>
      </c>
      <c r="D410" s="2" t="s">
        <v>107</v>
      </c>
      <c r="E410" s="36">
        <v>7.5</v>
      </c>
    </row>
    <row r="411" spans="1:5" x14ac:dyDescent="0.25">
      <c r="A411" s="26">
        <v>43597</v>
      </c>
      <c r="B411" s="2" t="s">
        <v>422</v>
      </c>
      <c r="C411" s="2" t="s">
        <v>365</v>
      </c>
      <c r="D411" s="2" t="s">
        <v>107</v>
      </c>
      <c r="E411" s="36">
        <v>7.5</v>
      </c>
    </row>
    <row r="412" spans="1:5" x14ac:dyDescent="0.25">
      <c r="A412" s="26">
        <v>43597</v>
      </c>
      <c r="B412" s="2" t="s">
        <v>428</v>
      </c>
      <c r="C412" s="2" t="s">
        <v>365</v>
      </c>
      <c r="D412" s="2" t="s">
        <v>107</v>
      </c>
      <c r="E412" s="36">
        <v>22.5</v>
      </c>
    </row>
    <row r="413" spans="1:5" x14ac:dyDescent="0.25">
      <c r="A413" s="2" t="s">
        <v>568</v>
      </c>
      <c r="E413" s="36">
        <v>37.5</v>
      </c>
    </row>
    <row r="414" spans="1:5" x14ac:dyDescent="0.25">
      <c r="A414" s="26">
        <v>43590</v>
      </c>
      <c r="B414" s="2" t="s">
        <v>373</v>
      </c>
      <c r="C414" s="2" t="s">
        <v>365</v>
      </c>
      <c r="D414" s="2" t="s">
        <v>107</v>
      </c>
      <c r="E414" s="36">
        <v>3.75</v>
      </c>
    </row>
    <row r="415" spans="1:5" x14ac:dyDescent="0.25">
      <c r="A415" s="26">
        <v>43590</v>
      </c>
      <c r="B415" s="2" t="s">
        <v>428</v>
      </c>
      <c r="C415" s="2" t="s">
        <v>365</v>
      </c>
      <c r="D415" s="2" t="s">
        <v>107</v>
      </c>
      <c r="E415" s="36">
        <v>3.75</v>
      </c>
    </row>
    <row r="416" spans="1:5" x14ac:dyDescent="0.25">
      <c r="A416" s="26">
        <v>43590</v>
      </c>
      <c r="B416" s="2" t="s">
        <v>429</v>
      </c>
      <c r="C416" s="2" t="s">
        <v>365</v>
      </c>
      <c r="D416" s="2" t="s">
        <v>107</v>
      </c>
      <c r="E416" s="36">
        <v>30</v>
      </c>
    </row>
    <row r="417" spans="1:5" x14ac:dyDescent="0.25">
      <c r="A417" s="2" t="s">
        <v>569</v>
      </c>
      <c r="E417" s="36">
        <v>37.5</v>
      </c>
    </row>
    <row r="418" spans="1:5" x14ac:dyDescent="0.25">
      <c r="A418" s="26">
        <v>43583</v>
      </c>
      <c r="B418" s="2" t="s">
        <v>397</v>
      </c>
      <c r="C418" s="2" t="s">
        <v>365</v>
      </c>
      <c r="D418" s="2" t="s">
        <v>107</v>
      </c>
      <c r="E418" s="36">
        <v>7.5</v>
      </c>
    </row>
    <row r="419" spans="1:5" x14ac:dyDescent="0.25">
      <c r="A419" s="26">
        <v>43583</v>
      </c>
      <c r="B419" s="2" t="s">
        <v>428</v>
      </c>
      <c r="C419" s="2" t="s">
        <v>365</v>
      </c>
      <c r="D419" s="2" t="s">
        <v>107</v>
      </c>
      <c r="E419" s="36">
        <v>11.25</v>
      </c>
    </row>
    <row r="420" spans="1:5" x14ac:dyDescent="0.25">
      <c r="A420" s="26">
        <v>43583</v>
      </c>
      <c r="B420" s="2" t="s">
        <v>429</v>
      </c>
      <c r="C420" s="2" t="s">
        <v>365</v>
      </c>
      <c r="D420" s="2" t="s">
        <v>107</v>
      </c>
      <c r="E420" s="36">
        <v>18.75</v>
      </c>
    </row>
    <row r="421" spans="1:5" x14ac:dyDescent="0.25">
      <c r="A421" s="2" t="s">
        <v>570</v>
      </c>
      <c r="E421" s="36">
        <v>37.5</v>
      </c>
    </row>
    <row r="422" spans="1:5" x14ac:dyDescent="0.25">
      <c r="A422" s="26">
        <v>43576</v>
      </c>
      <c r="B422" s="2" t="s">
        <v>373</v>
      </c>
      <c r="C422" s="2" t="s">
        <v>365</v>
      </c>
      <c r="D422" s="2" t="s">
        <v>107</v>
      </c>
      <c r="E422" s="36">
        <v>7.5</v>
      </c>
    </row>
    <row r="423" spans="1:5" x14ac:dyDescent="0.25">
      <c r="A423" s="26">
        <v>43576</v>
      </c>
      <c r="B423" s="2" t="s">
        <v>429</v>
      </c>
      <c r="C423" s="2" t="s">
        <v>365</v>
      </c>
      <c r="D423" s="2" t="s">
        <v>107</v>
      </c>
      <c r="E423" s="36">
        <v>30</v>
      </c>
    </row>
    <row r="424" spans="1:5" x14ac:dyDescent="0.25">
      <c r="A424" s="2" t="s">
        <v>571</v>
      </c>
      <c r="E424" s="36">
        <v>37.5</v>
      </c>
    </row>
    <row r="425" spans="1:5" x14ac:dyDescent="0.25">
      <c r="A425" s="26">
        <v>43569</v>
      </c>
      <c r="B425" s="2" t="s">
        <v>429</v>
      </c>
      <c r="C425" s="2" t="s">
        <v>365</v>
      </c>
      <c r="D425" s="2" t="s">
        <v>107</v>
      </c>
      <c r="E425" s="36">
        <v>30</v>
      </c>
    </row>
    <row r="426" spans="1:5" x14ac:dyDescent="0.25">
      <c r="A426" s="26">
        <v>43569</v>
      </c>
      <c r="B426" s="2" t="s">
        <v>424</v>
      </c>
      <c r="C426" s="2" t="s">
        <v>365</v>
      </c>
      <c r="D426" s="2" t="s">
        <v>107</v>
      </c>
      <c r="E426" s="36">
        <v>7.5</v>
      </c>
    </row>
    <row r="427" spans="1:5" x14ac:dyDescent="0.25">
      <c r="A427" s="2" t="s">
        <v>572</v>
      </c>
      <c r="E427" s="36">
        <v>37.5</v>
      </c>
    </row>
    <row r="428" spans="1:5" x14ac:dyDescent="0.25">
      <c r="A428" s="26">
        <v>43562</v>
      </c>
      <c r="B428" s="2" t="s">
        <v>429</v>
      </c>
      <c r="C428" s="2" t="s">
        <v>365</v>
      </c>
      <c r="D428" s="2" t="s">
        <v>107</v>
      </c>
      <c r="E428" s="36">
        <v>37.5</v>
      </c>
    </row>
    <row r="429" spans="1:5" x14ac:dyDescent="0.25">
      <c r="A429" s="2" t="s">
        <v>573</v>
      </c>
      <c r="E429" s="36">
        <v>37.5</v>
      </c>
    </row>
    <row r="430" spans="1:5" x14ac:dyDescent="0.25">
      <c r="A430" s="26">
        <v>43555</v>
      </c>
      <c r="B430" s="2" t="s">
        <v>429</v>
      </c>
      <c r="C430" s="2" t="s">
        <v>365</v>
      </c>
      <c r="D430" s="2" t="s">
        <v>107</v>
      </c>
      <c r="E430" s="36">
        <v>27.5</v>
      </c>
    </row>
    <row r="431" spans="1:5" x14ac:dyDescent="0.25">
      <c r="A431" s="26">
        <v>43555</v>
      </c>
      <c r="B431" s="2" t="s">
        <v>424</v>
      </c>
      <c r="C431" s="2" t="s">
        <v>365</v>
      </c>
      <c r="D431" s="2" t="s">
        <v>107</v>
      </c>
      <c r="E431" s="36">
        <v>10</v>
      </c>
    </row>
    <row r="432" spans="1:5" x14ac:dyDescent="0.25">
      <c r="A432" s="2" t="s">
        <v>574</v>
      </c>
      <c r="E432" s="36">
        <v>37.5</v>
      </c>
    </row>
    <row r="433" spans="1:5" x14ac:dyDescent="0.25">
      <c r="A433" s="26">
        <v>43548</v>
      </c>
      <c r="B433" s="2" t="s">
        <v>429</v>
      </c>
      <c r="C433" s="2" t="s">
        <v>365</v>
      </c>
      <c r="D433" s="2" t="s">
        <v>107</v>
      </c>
      <c r="E433" s="36">
        <v>22.5</v>
      </c>
    </row>
    <row r="434" spans="1:5" x14ac:dyDescent="0.25">
      <c r="A434" s="26">
        <v>43548</v>
      </c>
      <c r="B434" s="2" t="s">
        <v>394</v>
      </c>
      <c r="C434" s="2" t="s">
        <v>365</v>
      </c>
      <c r="D434" s="2" t="s">
        <v>107</v>
      </c>
      <c r="E434" s="36">
        <v>15</v>
      </c>
    </row>
    <row r="435" spans="1:5" x14ac:dyDescent="0.25">
      <c r="A435" s="2" t="s">
        <v>575</v>
      </c>
      <c r="E435" s="36">
        <v>37.5</v>
      </c>
    </row>
    <row r="436" spans="1:5" x14ac:dyDescent="0.25">
      <c r="A436" s="26">
        <v>43541</v>
      </c>
      <c r="B436" s="2" t="s">
        <v>429</v>
      </c>
      <c r="C436" s="2" t="s">
        <v>365</v>
      </c>
      <c r="D436" s="2" t="s">
        <v>107</v>
      </c>
      <c r="E436" s="36">
        <v>15</v>
      </c>
    </row>
    <row r="437" spans="1:5" x14ac:dyDescent="0.25">
      <c r="A437" s="26">
        <v>43541</v>
      </c>
      <c r="B437" s="2" t="s">
        <v>394</v>
      </c>
      <c r="C437" s="2" t="s">
        <v>365</v>
      </c>
      <c r="D437" s="2" t="s">
        <v>107</v>
      </c>
      <c r="E437" s="36">
        <v>22.5</v>
      </c>
    </row>
    <row r="438" spans="1:5" x14ac:dyDescent="0.25">
      <c r="A438" s="2" t="s">
        <v>576</v>
      </c>
      <c r="E438" s="36">
        <v>37.5</v>
      </c>
    </row>
    <row r="439" spans="1:5" x14ac:dyDescent="0.25">
      <c r="A439" s="26">
        <v>43534</v>
      </c>
      <c r="B439" s="2" t="s">
        <v>429</v>
      </c>
      <c r="C439" s="2" t="s">
        <v>365</v>
      </c>
      <c r="D439" s="2" t="s">
        <v>107</v>
      </c>
      <c r="E439" s="36">
        <v>7.5</v>
      </c>
    </row>
    <row r="440" spans="1:5" x14ac:dyDescent="0.25">
      <c r="A440" s="26">
        <v>43534</v>
      </c>
      <c r="B440" s="2" t="s">
        <v>394</v>
      </c>
      <c r="C440" s="2" t="s">
        <v>365</v>
      </c>
      <c r="D440" s="2" t="s">
        <v>107</v>
      </c>
      <c r="E440" s="36">
        <v>17.5</v>
      </c>
    </row>
    <row r="441" spans="1:5" x14ac:dyDescent="0.25">
      <c r="A441" s="26">
        <v>43534</v>
      </c>
      <c r="B441" s="2" t="s">
        <v>408</v>
      </c>
      <c r="C441" s="2" t="s">
        <v>365</v>
      </c>
      <c r="D441" s="2" t="s">
        <v>107</v>
      </c>
      <c r="E441" s="36">
        <v>5</v>
      </c>
    </row>
    <row r="442" spans="1:5" x14ac:dyDescent="0.25">
      <c r="A442" s="26">
        <v>43534</v>
      </c>
      <c r="B442" s="2" t="s">
        <v>423</v>
      </c>
      <c r="C442" s="2" t="s">
        <v>365</v>
      </c>
      <c r="D442" s="2" t="s">
        <v>107</v>
      </c>
      <c r="E442" s="36">
        <v>7.5</v>
      </c>
    </row>
    <row r="443" spans="1:5" x14ac:dyDescent="0.25">
      <c r="A443" s="2" t="s">
        <v>577</v>
      </c>
      <c r="E443" s="36">
        <v>37.5</v>
      </c>
    </row>
    <row r="444" spans="1:5" x14ac:dyDescent="0.25">
      <c r="A444" s="26">
        <v>43527</v>
      </c>
      <c r="B444" s="2" t="s">
        <v>414</v>
      </c>
      <c r="C444" s="2" t="s">
        <v>365</v>
      </c>
      <c r="D444" s="2" t="s">
        <v>107</v>
      </c>
      <c r="E444" s="36">
        <v>5</v>
      </c>
    </row>
    <row r="445" spans="1:5" x14ac:dyDescent="0.25">
      <c r="A445" s="26">
        <v>43527</v>
      </c>
      <c r="B445" s="2" t="s">
        <v>424</v>
      </c>
      <c r="C445" s="2" t="s">
        <v>365</v>
      </c>
      <c r="D445" s="2" t="s">
        <v>107</v>
      </c>
      <c r="E445" s="36">
        <v>2.5</v>
      </c>
    </row>
    <row r="446" spans="1:5" x14ac:dyDescent="0.25">
      <c r="A446" s="26">
        <v>43527</v>
      </c>
      <c r="B446" s="2" t="s">
        <v>394</v>
      </c>
      <c r="C446" s="2" t="s">
        <v>365</v>
      </c>
      <c r="D446" s="2" t="s">
        <v>107</v>
      </c>
      <c r="E446" s="36">
        <v>16</v>
      </c>
    </row>
    <row r="447" spans="1:5" x14ac:dyDescent="0.25">
      <c r="A447" s="26">
        <v>43527</v>
      </c>
      <c r="B447" s="2" t="s">
        <v>423</v>
      </c>
      <c r="C447" s="2" t="s">
        <v>365</v>
      </c>
      <c r="D447" s="2" t="s">
        <v>107</v>
      </c>
      <c r="E447" s="36">
        <v>3</v>
      </c>
    </row>
    <row r="448" spans="1:5" x14ac:dyDescent="0.25">
      <c r="A448" s="26">
        <v>43527</v>
      </c>
      <c r="B448" s="2" t="s">
        <v>434</v>
      </c>
      <c r="C448" s="2" t="s">
        <v>365</v>
      </c>
      <c r="D448" s="2" t="s">
        <v>107</v>
      </c>
      <c r="E448" s="36">
        <v>2</v>
      </c>
    </row>
    <row r="449" spans="1:5" x14ac:dyDescent="0.25">
      <c r="A449" s="26">
        <v>43527</v>
      </c>
      <c r="B449" s="2" t="s">
        <v>396</v>
      </c>
      <c r="C449" s="2" t="s">
        <v>365</v>
      </c>
      <c r="D449" s="2" t="s">
        <v>107</v>
      </c>
      <c r="E449" s="36">
        <v>3.5</v>
      </c>
    </row>
    <row r="450" spans="1:5" x14ac:dyDescent="0.25">
      <c r="A450" s="26">
        <v>43527</v>
      </c>
      <c r="B450" s="2" t="s">
        <v>433</v>
      </c>
      <c r="C450" s="2" t="s">
        <v>365</v>
      </c>
      <c r="D450" s="2" t="s">
        <v>107</v>
      </c>
      <c r="E450" s="36">
        <v>5.5</v>
      </c>
    </row>
    <row r="451" spans="1:5" x14ac:dyDescent="0.25">
      <c r="A451" s="2" t="s">
        <v>578</v>
      </c>
      <c r="E451" s="36">
        <v>37.5</v>
      </c>
    </row>
    <row r="452" spans="1:5" x14ac:dyDescent="0.25">
      <c r="A452" s="26">
        <v>43520</v>
      </c>
      <c r="B452" s="2" t="s">
        <v>411</v>
      </c>
      <c r="C452" s="2" t="s">
        <v>365</v>
      </c>
      <c r="D452" s="2" t="s">
        <v>107</v>
      </c>
      <c r="E452" s="36">
        <v>1</v>
      </c>
    </row>
    <row r="453" spans="1:5" x14ac:dyDescent="0.25">
      <c r="A453" s="26">
        <v>43520</v>
      </c>
      <c r="B453" s="2" t="s">
        <v>422</v>
      </c>
      <c r="C453" s="2" t="s">
        <v>365</v>
      </c>
      <c r="D453" s="2" t="s">
        <v>107</v>
      </c>
      <c r="E453" s="36">
        <v>6.5</v>
      </c>
    </row>
    <row r="454" spans="1:5" x14ac:dyDescent="0.25">
      <c r="A454" s="26">
        <v>43520</v>
      </c>
      <c r="B454" s="2" t="s">
        <v>424</v>
      </c>
      <c r="C454" s="2" t="s">
        <v>365</v>
      </c>
      <c r="D454" s="2" t="s">
        <v>107</v>
      </c>
      <c r="E454" s="36">
        <v>2</v>
      </c>
    </row>
    <row r="455" spans="1:5" x14ac:dyDescent="0.25">
      <c r="A455" s="26">
        <v>43520</v>
      </c>
      <c r="B455" s="2" t="s">
        <v>394</v>
      </c>
      <c r="C455" s="2" t="s">
        <v>365</v>
      </c>
      <c r="D455" s="2" t="s">
        <v>107</v>
      </c>
      <c r="E455" s="36">
        <v>22</v>
      </c>
    </row>
    <row r="456" spans="1:5" x14ac:dyDescent="0.25">
      <c r="A456" s="26">
        <v>43520</v>
      </c>
      <c r="B456" s="2" t="s">
        <v>434</v>
      </c>
      <c r="C456" s="2" t="s">
        <v>365</v>
      </c>
      <c r="D456" s="2" t="s">
        <v>107</v>
      </c>
      <c r="E456" s="36">
        <v>2</v>
      </c>
    </row>
    <row r="457" spans="1:5" x14ac:dyDescent="0.25">
      <c r="A457" s="26">
        <v>43520</v>
      </c>
      <c r="B457" s="2" t="s">
        <v>418</v>
      </c>
      <c r="C457" s="2" t="s">
        <v>365</v>
      </c>
      <c r="D457" s="2" t="s">
        <v>107</v>
      </c>
      <c r="E457" s="36">
        <v>4</v>
      </c>
    </row>
    <row r="458" spans="1:5" x14ac:dyDescent="0.25">
      <c r="A458" s="2" t="s">
        <v>579</v>
      </c>
      <c r="E458" s="36">
        <v>37.5</v>
      </c>
    </row>
    <row r="459" spans="1:5" x14ac:dyDescent="0.25">
      <c r="A459" s="26">
        <v>43513</v>
      </c>
      <c r="B459" s="2" t="s">
        <v>373</v>
      </c>
      <c r="C459" s="2" t="s">
        <v>365</v>
      </c>
      <c r="D459" s="2" t="s">
        <v>107</v>
      </c>
      <c r="E459" s="36">
        <v>37.5</v>
      </c>
    </row>
    <row r="460" spans="1:5" x14ac:dyDescent="0.25">
      <c r="A460" s="2" t="s">
        <v>580</v>
      </c>
      <c r="E460" s="36">
        <v>37.5</v>
      </c>
    </row>
    <row r="461" spans="1:5" x14ac:dyDescent="0.25">
      <c r="A461" s="26">
        <v>43506</v>
      </c>
      <c r="B461" s="2" t="s">
        <v>414</v>
      </c>
      <c r="C461" s="2" t="s">
        <v>365</v>
      </c>
      <c r="D461" s="2" t="s">
        <v>107</v>
      </c>
      <c r="E461" s="36">
        <v>2.75</v>
      </c>
    </row>
    <row r="462" spans="1:5" x14ac:dyDescent="0.25">
      <c r="A462" s="26">
        <v>43506</v>
      </c>
      <c r="B462" s="2" t="s">
        <v>422</v>
      </c>
      <c r="C462" s="2" t="s">
        <v>365</v>
      </c>
      <c r="D462" s="2" t="s">
        <v>107</v>
      </c>
      <c r="E462" s="36">
        <v>3.75</v>
      </c>
    </row>
    <row r="463" spans="1:5" x14ac:dyDescent="0.25">
      <c r="A463" s="26">
        <v>43506</v>
      </c>
      <c r="B463" s="2" t="s">
        <v>394</v>
      </c>
      <c r="C463" s="2" t="s">
        <v>365</v>
      </c>
      <c r="D463" s="2" t="s">
        <v>107</v>
      </c>
      <c r="E463" s="36">
        <v>11.25</v>
      </c>
    </row>
    <row r="464" spans="1:5" x14ac:dyDescent="0.25">
      <c r="A464" s="26">
        <v>43506</v>
      </c>
      <c r="B464" s="2" t="s">
        <v>407</v>
      </c>
      <c r="C464" s="2" t="s">
        <v>365</v>
      </c>
      <c r="D464" s="2" t="s">
        <v>107</v>
      </c>
      <c r="E464" s="36">
        <v>12.25</v>
      </c>
    </row>
    <row r="465" spans="1:5" x14ac:dyDescent="0.25">
      <c r="A465" s="26">
        <v>43506</v>
      </c>
      <c r="B465" s="2" t="s">
        <v>417</v>
      </c>
      <c r="C465" s="2" t="s">
        <v>365</v>
      </c>
      <c r="D465" s="2" t="s">
        <v>107</v>
      </c>
      <c r="E465" s="36">
        <v>7.5</v>
      </c>
    </row>
    <row r="466" spans="1:5" x14ac:dyDescent="0.25">
      <c r="A466" s="2" t="s">
        <v>581</v>
      </c>
      <c r="E466" s="36">
        <v>37.5</v>
      </c>
    </row>
    <row r="467" spans="1:5" x14ac:dyDescent="0.25">
      <c r="A467" s="26">
        <v>43499</v>
      </c>
      <c r="B467" s="2" t="s">
        <v>414</v>
      </c>
      <c r="C467" s="2" t="s">
        <v>365</v>
      </c>
      <c r="D467" s="2" t="s">
        <v>107</v>
      </c>
      <c r="E467" s="36">
        <v>2.5</v>
      </c>
    </row>
    <row r="468" spans="1:5" x14ac:dyDescent="0.25">
      <c r="A468" s="26">
        <v>43499</v>
      </c>
      <c r="B468" s="2" t="s">
        <v>422</v>
      </c>
      <c r="C468" s="2" t="s">
        <v>365</v>
      </c>
      <c r="D468" s="2" t="s">
        <v>107</v>
      </c>
      <c r="E468" s="36">
        <v>7.5</v>
      </c>
    </row>
    <row r="469" spans="1:5" x14ac:dyDescent="0.25">
      <c r="A469" s="26">
        <v>43499</v>
      </c>
      <c r="B469" s="2" t="s">
        <v>402</v>
      </c>
      <c r="C469" s="2" t="s">
        <v>365</v>
      </c>
      <c r="D469" s="2" t="s">
        <v>107</v>
      </c>
      <c r="E469" s="36">
        <v>3.75</v>
      </c>
    </row>
    <row r="470" spans="1:5" x14ac:dyDescent="0.25">
      <c r="A470" s="26">
        <v>43499</v>
      </c>
      <c r="B470" s="2" t="s">
        <v>394</v>
      </c>
      <c r="C470" s="2" t="s">
        <v>365</v>
      </c>
      <c r="D470" s="2" t="s">
        <v>107</v>
      </c>
      <c r="E470" s="36">
        <v>23.75</v>
      </c>
    </row>
    <row r="471" spans="1:5" x14ac:dyDescent="0.25">
      <c r="A471" s="2" t="s">
        <v>582</v>
      </c>
      <c r="E471" s="36">
        <v>37.5</v>
      </c>
    </row>
    <row r="472" spans="1:5" x14ac:dyDescent="0.25">
      <c r="A472" s="26">
        <v>43492</v>
      </c>
      <c r="B472" s="2" t="s">
        <v>414</v>
      </c>
      <c r="C472" s="2" t="s">
        <v>365</v>
      </c>
      <c r="D472" s="2" t="s">
        <v>107</v>
      </c>
      <c r="E472" s="36">
        <v>3.75</v>
      </c>
    </row>
    <row r="473" spans="1:5" x14ac:dyDescent="0.25">
      <c r="A473" s="26">
        <v>43492</v>
      </c>
      <c r="B473" s="2" t="s">
        <v>394</v>
      </c>
      <c r="C473" s="2" t="s">
        <v>365</v>
      </c>
      <c r="D473" s="2" t="s">
        <v>107</v>
      </c>
      <c r="E473" s="36">
        <v>11.25</v>
      </c>
    </row>
    <row r="474" spans="1:5" x14ac:dyDescent="0.25">
      <c r="A474" s="26">
        <v>43492</v>
      </c>
      <c r="B474" s="2" t="s">
        <v>396</v>
      </c>
      <c r="C474" s="2" t="s">
        <v>365</v>
      </c>
      <c r="D474" s="2" t="s">
        <v>107</v>
      </c>
      <c r="E474" s="36">
        <v>13</v>
      </c>
    </row>
    <row r="475" spans="1:5" x14ac:dyDescent="0.25">
      <c r="A475" s="26">
        <v>43492</v>
      </c>
      <c r="B475" s="2" t="s">
        <v>433</v>
      </c>
      <c r="C475" s="2" t="s">
        <v>365</v>
      </c>
      <c r="D475" s="2" t="s">
        <v>107</v>
      </c>
      <c r="E475" s="36">
        <v>7.5</v>
      </c>
    </row>
    <row r="476" spans="1:5" x14ac:dyDescent="0.25">
      <c r="A476" s="26">
        <v>43492</v>
      </c>
      <c r="B476" s="2" t="s">
        <v>403</v>
      </c>
      <c r="C476" s="2" t="s">
        <v>365</v>
      </c>
      <c r="D476" s="2" t="s">
        <v>107</v>
      </c>
      <c r="E476" s="36">
        <v>2</v>
      </c>
    </row>
    <row r="477" spans="1:5" x14ac:dyDescent="0.25">
      <c r="A477" s="2" t="s">
        <v>583</v>
      </c>
      <c r="E477" s="36">
        <v>37.5</v>
      </c>
    </row>
    <row r="478" spans="1:5" x14ac:dyDescent="0.25">
      <c r="A478" s="26">
        <v>43485</v>
      </c>
      <c r="B478" s="2" t="s">
        <v>433</v>
      </c>
      <c r="C478" s="2" t="s">
        <v>365</v>
      </c>
      <c r="D478" s="2" t="s">
        <v>107</v>
      </c>
      <c r="E478" s="36">
        <v>15</v>
      </c>
    </row>
    <row r="479" spans="1:5" x14ac:dyDescent="0.25">
      <c r="A479" s="26">
        <v>43485</v>
      </c>
      <c r="B479" s="2" t="s">
        <v>417</v>
      </c>
      <c r="C479" s="2" t="s">
        <v>365</v>
      </c>
      <c r="D479" s="2" t="s">
        <v>107</v>
      </c>
      <c r="E479" s="36">
        <v>22.5</v>
      </c>
    </row>
    <row r="480" spans="1:5" x14ac:dyDescent="0.25">
      <c r="A480" s="2" t="s">
        <v>584</v>
      </c>
      <c r="E480" s="36">
        <v>37.5</v>
      </c>
    </row>
    <row r="481" spans="1:5" x14ac:dyDescent="0.25">
      <c r="A481" s="26">
        <v>43478</v>
      </c>
      <c r="B481" s="2" t="s">
        <v>411</v>
      </c>
      <c r="C481" s="2" t="s">
        <v>365</v>
      </c>
      <c r="D481" s="2" t="s">
        <v>107</v>
      </c>
      <c r="E481" s="36">
        <v>2</v>
      </c>
    </row>
    <row r="482" spans="1:5" x14ac:dyDescent="0.25">
      <c r="A482" s="26">
        <v>43478</v>
      </c>
      <c r="B482" s="2" t="s">
        <v>415</v>
      </c>
      <c r="C482" s="2" t="s">
        <v>365</v>
      </c>
      <c r="D482" s="2" t="s">
        <v>107</v>
      </c>
      <c r="E482" s="36">
        <v>2.5</v>
      </c>
    </row>
    <row r="483" spans="1:5" x14ac:dyDescent="0.25">
      <c r="A483" s="26">
        <v>43478</v>
      </c>
      <c r="B483" s="2" t="s">
        <v>414</v>
      </c>
      <c r="C483" s="2" t="s">
        <v>365</v>
      </c>
      <c r="D483" s="2" t="s">
        <v>107</v>
      </c>
      <c r="E483" s="36">
        <v>8</v>
      </c>
    </row>
    <row r="484" spans="1:5" x14ac:dyDescent="0.25">
      <c r="A484" s="26">
        <v>43478</v>
      </c>
      <c r="B484" s="2" t="s">
        <v>422</v>
      </c>
      <c r="C484" s="2" t="s">
        <v>365</v>
      </c>
      <c r="D484" s="2" t="s">
        <v>107</v>
      </c>
      <c r="E484" s="36">
        <v>7.5</v>
      </c>
    </row>
    <row r="485" spans="1:5" x14ac:dyDescent="0.25">
      <c r="A485" s="26">
        <v>43478</v>
      </c>
      <c r="B485" s="2" t="s">
        <v>396</v>
      </c>
      <c r="C485" s="2" t="s">
        <v>365</v>
      </c>
      <c r="D485" s="2" t="s">
        <v>107</v>
      </c>
      <c r="E485" s="36">
        <v>12</v>
      </c>
    </row>
    <row r="486" spans="1:5" x14ac:dyDescent="0.25">
      <c r="A486" s="26">
        <v>43478</v>
      </c>
      <c r="B486" s="2" t="s">
        <v>433</v>
      </c>
      <c r="C486" s="2" t="s">
        <v>365</v>
      </c>
      <c r="D486" s="2" t="s">
        <v>107</v>
      </c>
      <c r="E486" s="36">
        <v>2.5</v>
      </c>
    </row>
    <row r="487" spans="1:5" x14ac:dyDescent="0.25">
      <c r="A487" s="26">
        <v>43478</v>
      </c>
      <c r="B487" s="2" t="s">
        <v>406</v>
      </c>
      <c r="C487" s="2" t="s">
        <v>365</v>
      </c>
      <c r="D487" s="2" t="s">
        <v>107</v>
      </c>
      <c r="E487" s="36">
        <v>3</v>
      </c>
    </row>
    <row r="488" spans="1:5" x14ac:dyDescent="0.25">
      <c r="A488" s="2" t="s">
        <v>585</v>
      </c>
      <c r="E488" s="36">
        <v>37.5</v>
      </c>
    </row>
    <row r="489" spans="1:5" x14ac:dyDescent="0.25">
      <c r="A489" s="26">
        <v>43471</v>
      </c>
      <c r="B489" s="2" t="s">
        <v>373</v>
      </c>
      <c r="C489" s="2" t="s">
        <v>365</v>
      </c>
      <c r="D489" s="2" t="s">
        <v>107</v>
      </c>
      <c r="E489" s="36">
        <v>7.5</v>
      </c>
    </row>
    <row r="490" spans="1:5" x14ac:dyDescent="0.25">
      <c r="A490" s="26">
        <v>43471</v>
      </c>
      <c r="B490" s="2" t="s">
        <v>415</v>
      </c>
      <c r="C490" s="2" t="s">
        <v>365</v>
      </c>
      <c r="D490" s="2" t="s">
        <v>107</v>
      </c>
      <c r="E490" s="36">
        <v>2</v>
      </c>
    </row>
    <row r="491" spans="1:5" x14ac:dyDescent="0.25">
      <c r="A491" s="26">
        <v>43471</v>
      </c>
      <c r="B491" s="2" t="s">
        <v>397</v>
      </c>
      <c r="C491" s="2" t="s">
        <v>365</v>
      </c>
      <c r="D491" s="2" t="s">
        <v>107</v>
      </c>
      <c r="E491" s="36">
        <v>7.5</v>
      </c>
    </row>
    <row r="492" spans="1:5" x14ac:dyDescent="0.25">
      <c r="A492" s="26">
        <v>43471</v>
      </c>
      <c r="B492" s="2" t="s">
        <v>422</v>
      </c>
      <c r="C492" s="2" t="s">
        <v>365</v>
      </c>
      <c r="D492" s="2" t="s">
        <v>107</v>
      </c>
      <c r="E492" s="36">
        <v>3</v>
      </c>
    </row>
    <row r="493" spans="1:5" x14ac:dyDescent="0.25">
      <c r="A493" s="26">
        <v>43471</v>
      </c>
      <c r="B493" s="2" t="s">
        <v>402</v>
      </c>
      <c r="C493" s="2" t="s">
        <v>365</v>
      </c>
      <c r="D493" s="2" t="s">
        <v>107</v>
      </c>
      <c r="E493" s="36">
        <v>7.5</v>
      </c>
    </row>
    <row r="494" spans="1:5" x14ac:dyDescent="0.25">
      <c r="A494" s="26">
        <v>43471</v>
      </c>
      <c r="B494" s="2" t="s">
        <v>406</v>
      </c>
      <c r="C494" s="2" t="s">
        <v>365</v>
      </c>
      <c r="D494" s="2" t="s">
        <v>107</v>
      </c>
      <c r="E494" s="36">
        <v>10</v>
      </c>
    </row>
    <row r="495" spans="1:5" x14ac:dyDescent="0.25">
      <c r="A495" s="2" t="s">
        <v>586</v>
      </c>
      <c r="E495" s="36">
        <v>37.5</v>
      </c>
    </row>
    <row r="496" spans="1:5" x14ac:dyDescent="0.25">
      <c r="A496" s="26">
        <v>43464</v>
      </c>
      <c r="B496" s="2" t="s">
        <v>373</v>
      </c>
      <c r="C496" s="2" t="s">
        <v>365</v>
      </c>
      <c r="D496" s="2" t="s">
        <v>107</v>
      </c>
      <c r="E496" s="36">
        <v>22.5</v>
      </c>
    </row>
    <row r="497" spans="1:5" x14ac:dyDescent="0.25">
      <c r="A497" s="26">
        <v>43464</v>
      </c>
      <c r="B497" s="2" t="s">
        <v>397</v>
      </c>
      <c r="C497" s="2" t="s">
        <v>365</v>
      </c>
      <c r="D497" s="2" t="s">
        <v>107</v>
      </c>
      <c r="E497" s="36">
        <v>15</v>
      </c>
    </row>
    <row r="498" spans="1:5" x14ac:dyDescent="0.25">
      <c r="A498" s="2" t="s">
        <v>587</v>
      </c>
      <c r="E498" s="36">
        <v>37.5</v>
      </c>
    </row>
    <row r="499" spans="1:5" x14ac:dyDescent="0.25">
      <c r="A499" s="26">
        <v>43457</v>
      </c>
      <c r="B499" s="2" t="s">
        <v>128</v>
      </c>
      <c r="C499" s="2" t="s">
        <v>365</v>
      </c>
      <c r="D499" s="2" t="s">
        <v>107</v>
      </c>
      <c r="E499" s="36">
        <v>1</v>
      </c>
    </row>
    <row r="500" spans="1:5" x14ac:dyDescent="0.25">
      <c r="A500" s="26">
        <v>43457</v>
      </c>
      <c r="B500" s="2" t="s">
        <v>414</v>
      </c>
      <c r="C500" s="2" t="s">
        <v>365</v>
      </c>
      <c r="D500" s="2" t="s">
        <v>107</v>
      </c>
      <c r="E500" s="36">
        <v>4.5</v>
      </c>
    </row>
    <row r="501" spans="1:5" x14ac:dyDescent="0.25">
      <c r="A501" s="26">
        <v>43457</v>
      </c>
      <c r="B501" s="2" t="s">
        <v>402</v>
      </c>
      <c r="C501" s="2" t="s">
        <v>365</v>
      </c>
      <c r="D501" s="2" t="s">
        <v>107</v>
      </c>
      <c r="E501" s="36">
        <v>11.25</v>
      </c>
    </row>
    <row r="502" spans="1:5" x14ac:dyDescent="0.25">
      <c r="A502" s="26">
        <v>43457</v>
      </c>
      <c r="B502" s="2" t="s">
        <v>396</v>
      </c>
      <c r="C502" s="2" t="s">
        <v>365</v>
      </c>
      <c r="D502" s="2" t="s">
        <v>107</v>
      </c>
      <c r="E502" s="36">
        <v>11.25</v>
      </c>
    </row>
    <row r="503" spans="1:5" x14ac:dyDescent="0.25">
      <c r="A503" s="26">
        <v>43457</v>
      </c>
      <c r="B503" s="2" t="s">
        <v>433</v>
      </c>
      <c r="C503" s="2" t="s">
        <v>365</v>
      </c>
      <c r="D503" s="2" t="s">
        <v>107</v>
      </c>
      <c r="E503" s="36">
        <v>7.5</v>
      </c>
    </row>
    <row r="504" spans="1:5" x14ac:dyDescent="0.25">
      <c r="A504" s="26">
        <v>43457</v>
      </c>
      <c r="B504" s="2" t="s">
        <v>413</v>
      </c>
      <c r="C504" s="2" t="s">
        <v>365</v>
      </c>
      <c r="D504" s="2" t="s">
        <v>107</v>
      </c>
      <c r="E504" s="36">
        <v>2</v>
      </c>
    </row>
    <row r="505" spans="1:5" x14ac:dyDescent="0.25">
      <c r="A505" s="2" t="s">
        <v>588</v>
      </c>
      <c r="E505" s="36">
        <v>37.5</v>
      </c>
    </row>
    <row r="506" spans="1:5" x14ac:dyDescent="0.25">
      <c r="A506" s="26">
        <v>43450</v>
      </c>
      <c r="B506" s="2" t="s">
        <v>396</v>
      </c>
      <c r="C506" s="2" t="s">
        <v>365</v>
      </c>
      <c r="D506" s="2" t="s">
        <v>107</v>
      </c>
      <c r="E506" s="36">
        <v>15</v>
      </c>
    </row>
    <row r="507" spans="1:5" x14ac:dyDescent="0.25">
      <c r="A507" s="26">
        <v>43450</v>
      </c>
      <c r="B507" s="2" t="s">
        <v>433</v>
      </c>
      <c r="C507" s="2" t="s">
        <v>365</v>
      </c>
      <c r="D507" s="2" t="s">
        <v>107</v>
      </c>
      <c r="E507" s="36">
        <v>4</v>
      </c>
    </row>
    <row r="508" spans="1:5" x14ac:dyDescent="0.25">
      <c r="A508" s="26">
        <v>43450</v>
      </c>
      <c r="B508" s="2" t="s">
        <v>426</v>
      </c>
      <c r="C508" s="2" t="s">
        <v>365</v>
      </c>
      <c r="D508" s="2" t="s">
        <v>107</v>
      </c>
      <c r="E508" s="36">
        <v>16.5</v>
      </c>
    </row>
    <row r="509" spans="1:5" x14ac:dyDescent="0.25">
      <c r="A509" s="26">
        <v>43450</v>
      </c>
      <c r="B509" s="2" t="s">
        <v>409</v>
      </c>
      <c r="C509" s="2" t="s">
        <v>365</v>
      </c>
      <c r="D509" s="2" t="s">
        <v>107</v>
      </c>
      <c r="E509" s="36">
        <v>2</v>
      </c>
    </row>
    <row r="510" spans="1:5" x14ac:dyDescent="0.25">
      <c r="A510" s="2" t="s">
        <v>589</v>
      </c>
      <c r="E510" s="36">
        <v>37.5</v>
      </c>
    </row>
    <row r="511" spans="1:5" x14ac:dyDescent="0.25">
      <c r="A511" s="26">
        <v>43443</v>
      </c>
      <c r="B511" s="2" t="s">
        <v>374</v>
      </c>
      <c r="C511" s="2" t="s">
        <v>365</v>
      </c>
      <c r="D511" s="2" t="s">
        <v>107</v>
      </c>
      <c r="E511" s="36">
        <v>4</v>
      </c>
    </row>
    <row r="512" spans="1:5" x14ac:dyDescent="0.25">
      <c r="A512" s="26">
        <v>43443</v>
      </c>
      <c r="B512" s="2" t="s">
        <v>414</v>
      </c>
      <c r="C512" s="2" t="s">
        <v>365</v>
      </c>
      <c r="D512" s="2" t="s">
        <v>107</v>
      </c>
      <c r="E512" s="36">
        <v>5.5</v>
      </c>
    </row>
    <row r="513" spans="1:5" x14ac:dyDescent="0.25">
      <c r="A513" s="26">
        <v>43443</v>
      </c>
      <c r="B513" s="2" t="s">
        <v>398</v>
      </c>
      <c r="C513" s="2" t="s">
        <v>365</v>
      </c>
      <c r="D513" s="2" t="s">
        <v>107</v>
      </c>
      <c r="E513" s="36">
        <v>2</v>
      </c>
    </row>
    <row r="514" spans="1:5" x14ac:dyDescent="0.25">
      <c r="A514" s="26">
        <v>43443</v>
      </c>
      <c r="B514" s="2" t="s">
        <v>396</v>
      </c>
      <c r="C514" s="2" t="s">
        <v>365</v>
      </c>
      <c r="D514" s="2" t="s">
        <v>107</v>
      </c>
      <c r="E514" s="36">
        <v>15</v>
      </c>
    </row>
    <row r="515" spans="1:5" x14ac:dyDescent="0.25">
      <c r="A515" s="26">
        <v>43443</v>
      </c>
      <c r="B515" s="2" t="s">
        <v>406</v>
      </c>
      <c r="C515" s="2" t="s">
        <v>365</v>
      </c>
      <c r="D515" s="2" t="s">
        <v>107</v>
      </c>
      <c r="E515" s="36">
        <v>3.5</v>
      </c>
    </row>
    <row r="516" spans="1:5" x14ac:dyDescent="0.25">
      <c r="A516" s="26">
        <v>43443</v>
      </c>
      <c r="B516" s="2" t="s">
        <v>425</v>
      </c>
      <c r="C516" s="2" t="s">
        <v>365</v>
      </c>
      <c r="D516" s="2" t="s">
        <v>107</v>
      </c>
      <c r="E516" s="36">
        <v>7.5</v>
      </c>
    </row>
    <row r="517" spans="1:5" x14ac:dyDescent="0.25">
      <c r="A517" s="2" t="s">
        <v>590</v>
      </c>
      <c r="E517" s="36">
        <v>37.5</v>
      </c>
    </row>
    <row r="518" spans="1:5" x14ac:dyDescent="0.25">
      <c r="A518" s="26">
        <v>43436</v>
      </c>
      <c r="B518" s="2" t="s">
        <v>374</v>
      </c>
      <c r="C518" s="2" t="s">
        <v>365</v>
      </c>
      <c r="D518" s="2" t="s">
        <v>107</v>
      </c>
      <c r="E518" s="36">
        <v>2</v>
      </c>
    </row>
    <row r="519" spans="1:5" x14ac:dyDescent="0.25">
      <c r="A519" s="26">
        <v>43436</v>
      </c>
      <c r="B519" s="2" t="s">
        <v>415</v>
      </c>
      <c r="C519" s="2" t="s">
        <v>365</v>
      </c>
      <c r="D519" s="2" t="s">
        <v>107</v>
      </c>
      <c r="E519" s="36">
        <v>3.5</v>
      </c>
    </row>
    <row r="520" spans="1:5" x14ac:dyDescent="0.25">
      <c r="A520" s="26">
        <v>43436</v>
      </c>
      <c r="B520" s="2" t="s">
        <v>414</v>
      </c>
      <c r="C520" s="2" t="s">
        <v>365</v>
      </c>
      <c r="D520" s="2" t="s">
        <v>107</v>
      </c>
      <c r="E520" s="36">
        <v>4</v>
      </c>
    </row>
    <row r="521" spans="1:5" x14ac:dyDescent="0.25">
      <c r="A521" s="26">
        <v>43436</v>
      </c>
      <c r="B521" s="2" t="s">
        <v>402</v>
      </c>
      <c r="C521" s="2" t="s">
        <v>365</v>
      </c>
      <c r="D521" s="2" t="s">
        <v>107</v>
      </c>
      <c r="E521" s="36">
        <v>6.25</v>
      </c>
    </row>
    <row r="522" spans="1:5" x14ac:dyDescent="0.25">
      <c r="A522" s="26">
        <v>43436</v>
      </c>
      <c r="B522" s="2" t="s">
        <v>424</v>
      </c>
      <c r="C522" s="2" t="s">
        <v>365</v>
      </c>
      <c r="D522" s="2" t="s">
        <v>107</v>
      </c>
      <c r="E522" s="36">
        <v>5</v>
      </c>
    </row>
    <row r="523" spans="1:5" x14ac:dyDescent="0.25">
      <c r="A523" s="26">
        <v>43436</v>
      </c>
      <c r="B523" s="2" t="s">
        <v>413</v>
      </c>
      <c r="C523" s="2" t="s">
        <v>365</v>
      </c>
      <c r="D523" s="2" t="s">
        <v>107</v>
      </c>
      <c r="E523" s="36">
        <v>10</v>
      </c>
    </row>
    <row r="524" spans="1:5" x14ac:dyDescent="0.25">
      <c r="A524" s="26">
        <v>43436</v>
      </c>
      <c r="B524" s="2" t="s">
        <v>405</v>
      </c>
      <c r="C524" s="2" t="s">
        <v>365</v>
      </c>
      <c r="D524" s="2" t="s">
        <v>107</v>
      </c>
      <c r="E524" s="36">
        <v>3.75</v>
      </c>
    </row>
    <row r="525" spans="1:5" x14ac:dyDescent="0.25">
      <c r="A525" s="26">
        <v>43436</v>
      </c>
      <c r="B525" s="2" t="s">
        <v>410</v>
      </c>
      <c r="C525" s="2" t="s">
        <v>365</v>
      </c>
      <c r="D525" s="2" t="s">
        <v>107</v>
      </c>
      <c r="E525" s="36">
        <v>3</v>
      </c>
    </row>
    <row r="526" spans="1:5" x14ac:dyDescent="0.25">
      <c r="A526" s="2" t="s">
        <v>591</v>
      </c>
      <c r="E526" s="36">
        <v>37.5</v>
      </c>
    </row>
    <row r="527" spans="1:5" x14ac:dyDescent="0.25">
      <c r="A527" s="26">
        <v>43429</v>
      </c>
      <c r="B527" s="2" t="s">
        <v>128</v>
      </c>
      <c r="C527" s="2" t="s">
        <v>365</v>
      </c>
      <c r="D527" s="2" t="s">
        <v>107</v>
      </c>
      <c r="E527" s="36">
        <v>0</v>
      </c>
    </row>
    <row r="528" spans="1:5" x14ac:dyDescent="0.25">
      <c r="A528" s="26">
        <v>43429</v>
      </c>
      <c r="B528" s="2" t="s">
        <v>374</v>
      </c>
      <c r="C528" s="2" t="s">
        <v>365</v>
      </c>
      <c r="D528" s="2" t="s">
        <v>107</v>
      </c>
      <c r="E528" s="36">
        <v>2</v>
      </c>
    </row>
    <row r="529" spans="1:5" x14ac:dyDescent="0.25">
      <c r="A529" s="26">
        <v>43429</v>
      </c>
      <c r="B529" s="2" t="s">
        <v>398</v>
      </c>
      <c r="C529" s="2" t="s">
        <v>365</v>
      </c>
      <c r="D529" s="2" t="s">
        <v>107</v>
      </c>
      <c r="E529" s="36">
        <v>3</v>
      </c>
    </row>
    <row r="530" spans="1:5" x14ac:dyDescent="0.25">
      <c r="A530" s="26">
        <v>43429</v>
      </c>
      <c r="B530" s="2" t="s">
        <v>424</v>
      </c>
      <c r="C530" s="2" t="s">
        <v>365</v>
      </c>
      <c r="D530" s="2" t="s">
        <v>107</v>
      </c>
      <c r="E530" s="36">
        <v>3.75</v>
      </c>
    </row>
    <row r="531" spans="1:5" x14ac:dyDescent="0.25">
      <c r="A531" s="26">
        <v>43429</v>
      </c>
      <c r="B531" s="2" t="s">
        <v>413</v>
      </c>
      <c r="C531" s="2" t="s">
        <v>365</v>
      </c>
      <c r="D531" s="2" t="s">
        <v>107</v>
      </c>
      <c r="E531" s="36">
        <v>13.5</v>
      </c>
    </row>
    <row r="532" spans="1:5" x14ac:dyDescent="0.25">
      <c r="A532" s="26">
        <v>43429</v>
      </c>
      <c r="B532" s="2" t="s">
        <v>405</v>
      </c>
      <c r="C532" s="2" t="s">
        <v>365</v>
      </c>
      <c r="D532" s="2" t="s">
        <v>107</v>
      </c>
      <c r="E532" s="36">
        <v>4</v>
      </c>
    </row>
    <row r="533" spans="1:5" x14ac:dyDescent="0.25">
      <c r="A533" s="26">
        <v>43429</v>
      </c>
      <c r="B533" s="2" t="s">
        <v>416</v>
      </c>
      <c r="C533" s="2" t="s">
        <v>365</v>
      </c>
      <c r="D533" s="2" t="s">
        <v>107</v>
      </c>
      <c r="E533" s="36">
        <v>11.25</v>
      </c>
    </row>
    <row r="534" spans="1:5" x14ac:dyDescent="0.25">
      <c r="A534" s="2" t="s">
        <v>592</v>
      </c>
      <c r="E534" s="36">
        <v>37.5</v>
      </c>
    </row>
    <row r="535" spans="1:5" x14ac:dyDescent="0.25">
      <c r="A535" s="26">
        <v>43422</v>
      </c>
      <c r="B535" s="2" t="s">
        <v>128</v>
      </c>
      <c r="C535" s="2" t="s">
        <v>365</v>
      </c>
      <c r="D535" s="2" t="s">
        <v>107</v>
      </c>
      <c r="E535" s="36">
        <v>3.75</v>
      </c>
    </row>
    <row r="536" spans="1:5" x14ac:dyDescent="0.25">
      <c r="A536" s="26">
        <v>43422</v>
      </c>
      <c r="B536" s="2" t="s">
        <v>398</v>
      </c>
      <c r="C536" s="2" t="s">
        <v>365</v>
      </c>
      <c r="D536" s="2" t="s">
        <v>107</v>
      </c>
      <c r="E536" s="36">
        <v>3</v>
      </c>
    </row>
    <row r="537" spans="1:5" x14ac:dyDescent="0.25">
      <c r="A537" s="26">
        <v>43422</v>
      </c>
      <c r="B537" s="2" t="s">
        <v>402</v>
      </c>
      <c r="C537" s="2" t="s">
        <v>365</v>
      </c>
      <c r="D537" s="2" t="s">
        <v>107</v>
      </c>
      <c r="E537" s="36">
        <v>7.5</v>
      </c>
    </row>
    <row r="538" spans="1:5" x14ac:dyDescent="0.25">
      <c r="A538" s="26">
        <v>43422</v>
      </c>
      <c r="B538" s="2" t="s">
        <v>424</v>
      </c>
      <c r="C538" s="2" t="s">
        <v>365</v>
      </c>
      <c r="D538" s="2" t="s">
        <v>107</v>
      </c>
      <c r="E538" s="36">
        <v>3.75</v>
      </c>
    </row>
    <row r="539" spans="1:5" x14ac:dyDescent="0.25">
      <c r="A539" s="26">
        <v>43422</v>
      </c>
      <c r="B539" s="2" t="s">
        <v>434</v>
      </c>
      <c r="C539" s="2" t="s">
        <v>365</v>
      </c>
      <c r="D539" s="2" t="s">
        <v>107</v>
      </c>
      <c r="E539" s="36">
        <v>18.5</v>
      </c>
    </row>
    <row r="540" spans="1:5" x14ac:dyDescent="0.25">
      <c r="A540" s="26">
        <v>43422</v>
      </c>
      <c r="B540" s="2" t="s">
        <v>405</v>
      </c>
      <c r="C540" s="2" t="s">
        <v>365</v>
      </c>
      <c r="D540" s="2" t="s">
        <v>107</v>
      </c>
      <c r="E540" s="36">
        <v>1</v>
      </c>
    </row>
    <row r="541" spans="1:5" x14ac:dyDescent="0.25">
      <c r="A541" s="2" t="s">
        <v>593</v>
      </c>
      <c r="E541" s="36">
        <v>37.5</v>
      </c>
    </row>
    <row r="542" spans="1:5" x14ac:dyDescent="0.25">
      <c r="A542" s="26">
        <v>43415</v>
      </c>
      <c r="B542" s="2" t="s">
        <v>373</v>
      </c>
      <c r="C542" s="2" t="s">
        <v>365</v>
      </c>
      <c r="D542" s="2" t="s">
        <v>107</v>
      </c>
      <c r="E542" s="36">
        <v>3.75</v>
      </c>
    </row>
    <row r="543" spans="1:5" x14ac:dyDescent="0.25">
      <c r="A543" s="26">
        <v>43415</v>
      </c>
      <c r="B543" s="2" t="s">
        <v>419</v>
      </c>
      <c r="C543" s="2" t="s">
        <v>365</v>
      </c>
      <c r="D543" s="2" t="s">
        <v>107</v>
      </c>
      <c r="E543" s="36">
        <v>2.5</v>
      </c>
    </row>
    <row r="544" spans="1:5" x14ac:dyDescent="0.25">
      <c r="A544" s="26">
        <v>43415</v>
      </c>
      <c r="B544" s="2" t="s">
        <v>398</v>
      </c>
      <c r="C544" s="2" t="s">
        <v>365</v>
      </c>
      <c r="D544" s="2" t="s">
        <v>107</v>
      </c>
      <c r="E544" s="36">
        <v>7.5</v>
      </c>
    </row>
    <row r="545" spans="1:9" x14ac:dyDescent="0.25">
      <c r="A545" s="26">
        <v>43415</v>
      </c>
      <c r="B545" s="2" t="s">
        <v>401</v>
      </c>
      <c r="C545" s="2" t="s">
        <v>365</v>
      </c>
      <c r="D545" s="2" t="s">
        <v>107</v>
      </c>
      <c r="E545" s="36">
        <v>4.5</v>
      </c>
    </row>
    <row r="546" spans="1:9" x14ac:dyDescent="0.25">
      <c r="A546" s="26">
        <v>43415</v>
      </c>
      <c r="B546" s="2" t="s">
        <v>424</v>
      </c>
      <c r="C546" s="2" t="s">
        <v>365</v>
      </c>
      <c r="D546" s="2" t="s">
        <v>107</v>
      </c>
      <c r="E546" s="36">
        <v>11.25</v>
      </c>
    </row>
    <row r="547" spans="1:9" x14ac:dyDescent="0.25">
      <c r="A547" s="26">
        <v>43415</v>
      </c>
      <c r="B547" s="2" t="s">
        <v>434</v>
      </c>
      <c r="C547" s="2" t="s">
        <v>365</v>
      </c>
      <c r="D547" s="2" t="s">
        <v>107</v>
      </c>
      <c r="E547" s="36">
        <v>8</v>
      </c>
    </row>
    <row r="548" spans="1:9" x14ac:dyDescent="0.25">
      <c r="A548" s="2" t="s">
        <v>594</v>
      </c>
      <c r="E548" s="36">
        <v>37.5</v>
      </c>
    </row>
    <row r="549" spans="1:9" x14ac:dyDescent="0.25">
      <c r="A549" s="26">
        <v>43408</v>
      </c>
      <c r="B549" s="2" t="s">
        <v>401</v>
      </c>
      <c r="C549" s="2" t="s">
        <v>365</v>
      </c>
      <c r="D549" s="2" t="s">
        <v>107</v>
      </c>
      <c r="E549" s="36">
        <v>11.5</v>
      </c>
    </row>
    <row r="550" spans="1:9" x14ac:dyDescent="0.25">
      <c r="A550" s="26">
        <v>43408</v>
      </c>
      <c r="B550" s="2" t="s">
        <v>424</v>
      </c>
      <c r="C550" s="2" t="s">
        <v>365</v>
      </c>
      <c r="D550" s="2" t="s">
        <v>107</v>
      </c>
      <c r="E550" s="36">
        <v>15</v>
      </c>
    </row>
    <row r="551" spans="1:9" x14ac:dyDescent="0.25">
      <c r="A551" s="26">
        <v>43408</v>
      </c>
      <c r="B551" s="2" t="s">
        <v>434</v>
      </c>
      <c r="C551" s="2" t="s">
        <v>365</v>
      </c>
      <c r="D551" s="2" t="s">
        <v>107</v>
      </c>
      <c r="E551" s="36">
        <v>7.25</v>
      </c>
    </row>
    <row r="552" spans="1:9" x14ac:dyDescent="0.25">
      <c r="A552" s="26">
        <v>43408</v>
      </c>
      <c r="B552" s="2" t="s">
        <v>405</v>
      </c>
      <c r="C552" s="2" t="s">
        <v>365</v>
      </c>
      <c r="D552" s="2" t="s">
        <v>107</v>
      </c>
      <c r="E552" s="36">
        <v>3.75</v>
      </c>
    </row>
    <row r="553" spans="1:9" x14ac:dyDescent="0.25">
      <c r="A553" s="2" t="s">
        <v>595</v>
      </c>
      <c r="E553" s="36">
        <v>37.5</v>
      </c>
    </row>
    <row r="554" spans="1:9" x14ac:dyDescent="0.25">
      <c r="A554" s="2" t="s">
        <v>173</v>
      </c>
      <c r="B554" s="2" t="s">
        <v>128</v>
      </c>
      <c r="C554" s="2" t="s">
        <v>365</v>
      </c>
      <c r="D554" s="2" t="s">
        <v>107</v>
      </c>
    </row>
    <row r="555" spans="1:9" x14ac:dyDescent="0.25">
      <c r="A555" s="2" t="s">
        <v>596</v>
      </c>
    </row>
    <row r="556" spans="1:9" x14ac:dyDescent="0.25">
      <c r="A556" s="2" t="s">
        <v>147</v>
      </c>
      <c r="E556" s="36">
        <v>3699.5</v>
      </c>
      <c r="F556" s="36">
        <v>15</v>
      </c>
      <c r="G556" s="36">
        <v>7.5</v>
      </c>
      <c r="H556" s="36">
        <v>7.5</v>
      </c>
      <c r="I556" s="36">
        <v>7.5</v>
      </c>
    </row>
  </sheetData>
  <pageMargins left="0.7" right="0.7" top="0.75" bottom="0.75" header="0.3" footer="0.3"/>
  <pageSetup paperSize="9" orientation="portrait" horizontalDpi="360" verticalDpi="36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D51D-197A-4797-A571-982E5B65CCF6}">
  <sheetPr>
    <tabColor theme="9"/>
  </sheetPr>
  <dimension ref="A1:C213"/>
  <sheetViews>
    <sheetView workbookViewId="0">
      <selection activeCell="D13" sqref="D13"/>
    </sheetView>
  </sheetViews>
  <sheetFormatPr defaultRowHeight="15" x14ac:dyDescent="0.25"/>
  <cols>
    <col min="1" max="1" width="43.5703125" bestFit="1" customWidth="1"/>
    <col min="2" max="3" width="7.42578125" bestFit="1" customWidth="1"/>
    <col min="4" max="5" width="12.5703125" bestFit="1" customWidth="1"/>
    <col min="6" max="6" width="4" bestFit="1" customWidth="1"/>
    <col min="7" max="7" width="2" bestFit="1" customWidth="1"/>
    <col min="8" max="8" width="5" bestFit="1" customWidth="1"/>
    <col min="9" max="9" width="4" bestFit="1" customWidth="1"/>
    <col min="10" max="10" width="5" bestFit="1" customWidth="1"/>
    <col min="11" max="11" width="2" bestFit="1" customWidth="1"/>
    <col min="12" max="12" width="4" bestFit="1" customWidth="1"/>
    <col min="13" max="13" width="5" bestFit="1" customWidth="1"/>
    <col min="14" max="14" width="2" bestFit="1" customWidth="1"/>
    <col min="15" max="15" width="4" bestFit="1" customWidth="1"/>
    <col min="16" max="16" width="2" bestFit="1" customWidth="1"/>
    <col min="17" max="17" width="4" bestFit="1" customWidth="1"/>
    <col min="18" max="18" width="2" bestFit="1" customWidth="1"/>
    <col min="19" max="20" width="4" bestFit="1" customWidth="1"/>
    <col min="21" max="21" width="7.28515625" bestFit="1" customWidth="1"/>
  </cols>
  <sheetData>
    <row r="1" spans="1:3" x14ac:dyDescent="0.25">
      <c r="A1" s="19" t="s">
        <v>372</v>
      </c>
      <c r="B1" s="19" t="s">
        <v>369</v>
      </c>
      <c r="C1" s="19" t="s">
        <v>174</v>
      </c>
    </row>
    <row r="2" spans="1:3" x14ac:dyDescent="0.25">
      <c r="A2" s="3" t="s">
        <v>3</v>
      </c>
      <c r="B2" s="3" t="s">
        <v>148</v>
      </c>
      <c r="C2" s="3" t="s">
        <v>151</v>
      </c>
    </row>
    <row r="3" spans="1:3" x14ac:dyDescent="0.25">
      <c r="A3" s="3"/>
      <c r="B3" s="3"/>
      <c r="C3" s="3" t="s">
        <v>150</v>
      </c>
    </row>
    <row r="4" spans="1:3" x14ac:dyDescent="0.25">
      <c r="A4" s="3"/>
      <c r="B4" s="3"/>
      <c r="C4" s="3" t="s">
        <v>149</v>
      </c>
    </row>
    <row r="5" spans="1:3" x14ac:dyDescent="0.25">
      <c r="A5" s="3" t="s">
        <v>125</v>
      </c>
      <c r="B5" s="3"/>
      <c r="C5" s="3"/>
    </row>
    <row r="6" spans="1:3" x14ac:dyDescent="0.25">
      <c r="A6" s="3" t="s">
        <v>6</v>
      </c>
      <c r="B6" s="3" t="s">
        <v>148</v>
      </c>
      <c r="C6" s="3" t="s">
        <v>152</v>
      </c>
    </row>
    <row r="7" spans="1:3" x14ac:dyDescent="0.25">
      <c r="A7" s="3" t="s">
        <v>120</v>
      </c>
      <c r="B7" s="3"/>
      <c r="C7" s="3"/>
    </row>
    <row r="8" spans="1:3" x14ac:dyDescent="0.25">
      <c r="A8" s="3" t="s">
        <v>381</v>
      </c>
      <c r="B8" s="3" t="s">
        <v>148</v>
      </c>
      <c r="C8" s="3" t="s">
        <v>150</v>
      </c>
    </row>
    <row r="9" spans="1:3" x14ac:dyDescent="0.25">
      <c r="A9" s="3"/>
      <c r="B9" s="3"/>
      <c r="C9" s="3" t="s">
        <v>149</v>
      </c>
    </row>
    <row r="10" spans="1:3" x14ac:dyDescent="0.25">
      <c r="A10" s="3"/>
      <c r="B10" s="3" t="s">
        <v>153</v>
      </c>
      <c r="C10" s="3" t="s">
        <v>154</v>
      </c>
    </row>
    <row r="11" spans="1:3" x14ac:dyDescent="0.25">
      <c r="A11" s="3" t="s">
        <v>507</v>
      </c>
      <c r="B11" s="3"/>
      <c r="C11" s="3"/>
    </row>
    <row r="12" spans="1:3" x14ac:dyDescent="0.25">
      <c r="A12" s="3" t="s">
        <v>10</v>
      </c>
      <c r="B12" s="3" t="s">
        <v>163</v>
      </c>
      <c r="C12" s="3" t="s">
        <v>152</v>
      </c>
    </row>
    <row r="13" spans="1:3" x14ac:dyDescent="0.25">
      <c r="A13" s="3"/>
      <c r="B13" s="3"/>
      <c r="C13" s="3" t="s">
        <v>156</v>
      </c>
    </row>
    <row r="14" spans="1:3" x14ac:dyDescent="0.25">
      <c r="A14" s="3"/>
      <c r="B14" s="3"/>
      <c r="C14" s="3" t="s">
        <v>149</v>
      </c>
    </row>
    <row r="15" spans="1:3" x14ac:dyDescent="0.25">
      <c r="A15" s="3"/>
      <c r="B15" s="3" t="s">
        <v>148</v>
      </c>
      <c r="C15" s="3" t="s">
        <v>154</v>
      </c>
    </row>
    <row r="16" spans="1:3" x14ac:dyDescent="0.25">
      <c r="A16" s="3"/>
      <c r="B16" s="3"/>
      <c r="C16" s="3" t="s">
        <v>157</v>
      </c>
    </row>
    <row r="17" spans="1:3" x14ac:dyDescent="0.25">
      <c r="A17" s="3"/>
      <c r="B17" s="3"/>
      <c r="C17" s="3" t="s">
        <v>152</v>
      </c>
    </row>
    <row r="18" spans="1:3" x14ac:dyDescent="0.25">
      <c r="A18" s="3"/>
      <c r="B18" s="3"/>
      <c r="C18" s="3" t="s">
        <v>156</v>
      </c>
    </row>
    <row r="19" spans="1:3" x14ac:dyDescent="0.25">
      <c r="A19" s="3"/>
      <c r="B19" s="3"/>
      <c r="C19" s="3" t="s">
        <v>149</v>
      </c>
    </row>
    <row r="20" spans="1:3" x14ac:dyDescent="0.25">
      <c r="A20" s="3"/>
      <c r="B20" s="3" t="s">
        <v>153</v>
      </c>
      <c r="C20" s="3" t="s">
        <v>154</v>
      </c>
    </row>
    <row r="21" spans="1:3" x14ac:dyDescent="0.25">
      <c r="A21" s="3" t="s">
        <v>113</v>
      </c>
      <c r="B21" s="3"/>
      <c r="C21" s="3"/>
    </row>
    <row r="22" spans="1:3" x14ac:dyDescent="0.25">
      <c r="A22" s="3" t="s">
        <v>186</v>
      </c>
      <c r="B22" s="3" t="s">
        <v>163</v>
      </c>
      <c r="C22" s="3" t="s">
        <v>161</v>
      </c>
    </row>
    <row r="23" spans="1:3" x14ac:dyDescent="0.25">
      <c r="A23" s="3"/>
      <c r="B23" s="3"/>
      <c r="C23" s="3" t="s">
        <v>159</v>
      </c>
    </row>
    <row r="24" spans="1:3" x14ac:dyDescent="0.25">
      <c r="A24" s="3"/>
      <c r="B24" s="3"/>
      <c r="C24" s="3" t="s">
        <v>158</v>
      </c>
    </row>
    <row r="25" spans="1:3" x14ac:dyDescent="0.25">
      <c r="A25" s="3"/>
      <c r="B25" s="3"/>
      <c r="C25" s="3" t="s">
        <v>152</v>
      </c>
    </row>
    <row r="26" spans="1:3" x14ac:dyDescent="0.25">
      <c r="A26" s="3" t="s">
        <v>376</v>
      </c>
      <c r="B26" s="3"/>
      <c r="C26" s="3"/>
    </row>
    <row r="27" spans="1:3" x14ac:dyDescent="0.25">
      <c r="A27" s="3" t="s">
        <v>12</v>
      </c>
      <c r="B27" s="3" t="s">
        <v>148</v>
      </c>
      <c r="C27" s="3" t="s">
        <v>159</v>
      </c>
    </row>
    <row r="28" spans="1:3" x14ac:dyDescent="0.25">
      <c r="A28" s="3"/>
      <c r="B28" s="3"/>
      <c r="C28" s="3" t="s">
        <v>158</v>
      </c>
    </row>
    <row r="29" spans="1:3" x14ac:dyDescent="0.25">
      <c r="A29" s="3"/>
      <c r="B29" s="3" t="s">
        <v>153</v>
      </c>
      <c r="C29" s="3" t="s">
        <v>154</v>
      </c>
    </row>
    <row r="30" spans="1:3" x14ac:dyDescent="0.25">
      <c r="A30" s="3"/>
      <c r="B30" s="3"/>
      <c r="C30" s="3" t="s">
        <v>155</v>
      </c>
    </row>
    <row r="31" spans="1:3" x14ac:dyDescent="0.25">
      <c r="A31" s="3" t="s">
        <v>116</v>
      </c>
      <c r="B31" s="3"/>
      <c r="C31" s="3"/>
    </row>
    <row r="32" spans="1:3" x14ac:dyDescent="0.25">
      <c r="A32" s="3" t="s">
        <v>14</v>
      </c>
      <c r="B32" s="3" t="s">
        <v>148</v>
      </c>
      <c r="C32" s="3" t="s">
        <v>159</v>
      </c>
    </row>
    <row r="33" spans="1:3" x14ac:dyDescent="0.25">
      <c r="A33" s="3" t="s">
        <v>114</v>
      </c>
      <c r="B33" s="3"/>
      <c r="C33" s="3"/>
    </row>
    <row r="34" spans="1:3" x14ac:dyDescent="0.25">
      <c r="A34" s="3" t="s">
        <v>291</v>
      </c>
      <c r="B34" s="3" t="s">
        <v>163</v>
      </c>
      <c r="C34" s="3" t="s">
        <v>157</v>
      </c>
    </row>
    <row r="35" spans="1:3" x14ac:dyDescent="0.25">
      <c r="A35" s="3"/>
      <c r="B35" s="3" t="s">
        <v>148</v>
      </c>
      <c r="C35" s="3" t="s">
        <v>155</v>
      </c>
    </row>
    <row r="36" spans="1:3" x14ac:dyDescent="0.25">
      <c r="A36" s="3"/>
      <c r="B36" s="3" t="s">
        <v>153</v>
      </c>
      <c r="C36" s="3" t="s">
        <v>154</v>
      </c>
    </row>
    <row r="37" spans="1:3" x14ac:dyDescent="0.25">
      <c r="A37" s="3"/>
      <c r="B37" s="3"/>
      <c r="C37" s="3" t="s">
        <v>155</v>
      </c>
    </row>
    <row r="38" spans="1:3" x14ac:dyDescent="0.25">
      <c r="A38" s="3" t="s">
        <v>377</v>
      </c>
      <c r="B38" s="3"/>
      <c r="C38" s="3"/>
    </row>
    <row r="39" spans="1:3" x14ac:dyDescent="0.25">
      <c r="A39" s="3" t="s">
        <v>16</v>
      </c>
      <c r="B39" s="3" t="s">
        <v>148</v>
      </c>
      <c r="C39" s="3" t="s">
        <v>159</v>
      </c>
    </row>
    <row r="40" spans="1:3" x14ac:dyDescent="0.25">
      <c r="A40" s="3"/>
      <c r="B40" s="3"/>
      <c r="C40" s="3" t="s">
        <v>158</v>
      </c>
    </row>
    <row r="41" spans="1:3" x14ac:dyDescent="0.25">
      <c r="A41" s="3"/>
      <c r="B41" s="3"/>
      <c r="C41" s="3" t="s">
        <v>152</v>
      </c>
    </row>
    <row r="42" spans="1:3" x14ac:dyDescent="0.25">
      <c r="A42" s="3" t="s">
        <v>115</v>
      </c>
      <c r="B42" s="3"/>
      <c r="C42" s="3"/>
    </row>
    <row r="43" spans="1:3" x14ac:dyDescent="0.25">
      <c r="A43" s="3" t="s">
        <v>98</v>
      </c>
      <c r="B43" s="3" t="s">
        <v>148</v>
      </c>
      <c r="C43" s="3" t="s">
        <v>152</v>
      </c>
    </row>
    <row r="44" spans="1:3" x14ac:dyDescent="0.25">
      <c r="A44" s="3"/>
      <c r="B44" s="3" t="s">
        <v>153</v>
      </c>
      <c r="C44" s="3" t="s">
        <v>155</v>
      </c>
    </row>
    <row r="45" spans="1:3" x14ac:dyDescent="0.25">
      <c r="A45" s="3"/>
      <c r="B45" s="3"/>
      <c r="C45" s="3" t="s">
        <v>160</v>
      </c>
    </row>
    <row r="46" spans="1:3" x14ac:dyDescent="0.25">
      <c r="A46" s="3" t="s">
        <v>145</v>
      </c>
      <c r="B46" s="3"/>
      <c r="C46" s="3"/>
    </row>
    <row r="47" spans="1:3" x14ac:dyDescent="0.25">
      <c r="A47" s="3" t="s">
        <v>20</v>
      </c>
      <c r="B47" s="3" t="s">
        <v>148</v>
      </c>
      <c r="C47" s="3" t="s">
        <v>159</v>
      </c>
    </row>
    <row r="48" spans="1:3" x14ac:dyDescent="0.25">
      <c r="A48" s="3"/>
      <c r="B48" s="3"/>
      <c r="C48" s="3" t="s">
        <v>158</v>
      </c>
    </row>
    <row r="49" spans="1:3" x14ac:dyDescent="0.25">
      <c r="A49" s="3"/>
      <c r="B49" s="3"/>
      <c r="C49" s="3" t="s">
        <v>149</v>
      </c>
    </row>
    <row r="50" spans="1:3" x14ac:dyDescent="0.25">
      <c r="A50" s="3"/>
      <c r="B50" s="3" t="s">
        <v>153</v>
      </c>
      <c r="C50" s="3" t="s">
        <v>154</v>
      </c>
    </row>
    <row r="51" spans="1:3" x14ac:dyDescent="0.25">
      <c r="A51" s="3"/>
      <c r="B51" s="3"/>
      <c r="C51" s="3" t="s">
        <v>155</v>
      </c>
    </row>
    <row r="52" spans="1:3" x14ac:dyDescent="0.25">
      <c r="A52" s="3" t="s">
        <v>118</v>
      </c>
      <c r="B52" s="3"/>
      <c r="C52" s="3"/>
    </row>
    <row r="53" spans="1:3" x14ac:dyDescent="0.25">
      <c r="A53" s="3" t="s">
        <v>22</v>
      </c>
      <c r="B53" s="3" t="s">
        <v>148</v>
      </c>
      <c r="C53" s="3" t="s">
        <v>149</v>
      </c>
    </row>
    <row r="54" spans="1:3" x14ac:dyDescent="0.25">
      <c r="A54" s="3" t="s">
        <v>135</v>
      </c>
      <c r="B54" s="3"/>
      <c r="C54" s="3"/>
    </row>
    <row r="55" spans="1:3" x14ac:dyDescent="0.25">
      <c r="A55" s="3" t="s">
        <v>214</v>
      </c>
      <c r="B55" s="3" t="s">
        <v>163</v>
      </c>
      <c r="C55" s="3" t="s">
        <v>158</v>
      </c>
    </row>
    <row r="56" spans="1:3" x14ac:dyDescent="0.25">
      <c r="A56" s="3" t="s">
        <v>378</v>
      </c>
      <c r="B56" s="3"/>
      <c r="C56" s="3"/>
    </row>
    <row r="57" spans="1:3" x14ac:dyDescent="0.25">
      <c r="A57" s="3" t="s">
        <v>25</v>
      </c>
      <c r="B57" s="3" t="s">
        <v>153</v>
      </c>
      <c r="C57" s="3" t="s">
        <v>155</v>
      </c>
    </row>
    <row r="58" spans="1:3" x14ac:dyDescent="0.25">
      <c r="A58" s="3" t="s">
        <v>142</v>
      </c>
      <c r="B58" s="3"/>
      <c r="C58" s="3"/>
    </row>
    <row r="59" spans="1:3" x14ac:dyDescent="0.25">
      <c r="A59" s="3" t="s">
        <v>27</v>
      </c>
      <c r="B59" s="3" t="s">
        <v>148</v>
      </c>
      <c r="C59" s="3" t="s">
        <v>149</v>
      </c>
    </row>
    <row r="60" spans="1:3" x14ac:dyDescent="0.25">
      <c r="A60" s="3"/>
      <c r="B60" s="3" t="s">
        <v>153</v>
      </c>
      <c r="C60" s="3" t="s">
        <v>154</v>
      </c>
    </row>
    <row r="61" spans="1:3" x14ac:dyDescent="0.25">
      <c r="A61" s="3" t="s">
        <v>137</v>
      </c>
      <c r="B61" s="3"/>
      <c r="C61" s="3"/>
    </row>
    <row r="62" spans="1:3" x14ac:dyDescent="0.25">
      <c r="A62" s="3" t="s">
        <v>29</v>
      </c>
      <c r="B62" s="3" t="s">
        <v>148</v>
      </c>
      <c r="C62" s="3" t="s">
        <v>150</v>
      </c>
    </row>
    <row r="63" spans="1:3" x14ac:dyDescent="0.25">
      <c r="A63" s="3" t="s">
        <v>134</v>
      </c>
      <c r="B63" s="3"/>
      <c r="C63" s="3"/>
    </row>
    <row r="64" spans="1:3" x14ac:dyDescent="0.25">
      <c r="A64" s="3" t="s">
        <v>31</v>
      </c>
      <c r="B64" s="3" t="s">
        <v>148</v>
      </c>
      <c r="C64" s="3" t="s">
        <v>151</v>
      </c>
    </row>
    <row r="65" spans="1:3" x14ac:dyDescent="0.25">
      <c r="A65" s="3" t="s">
        <v>127</v>
      </c>
      <c r="B65" s="3"/>
      <c r="C65" s="3"/>
    </row>
    <row r="66" spans="1:3" x14ac:dyDescent="0.25">
      <c r="A66" s="3" t="s">
        <v>33</v>
      </c>
      <c r="B66" s="3" t="s">
        <v>153</v>
      </c>
      <c r="C66" s="3" t="s">
        <v>154</v>
      </c>
    </row>
    <row r="67" spans="1:3" x14ac:dyDescent="0.25">
      <c r="A67" s="3" t="s">
        <v>140</v>
      </c>
      <c r="B67" s="3"/>
      <c r="C67" s="3"/>
    </row>
    <row r="68" spans="1:3" x14ac:dyDescent="0.25">
      <c r="A68" s="3" t="s">
        <v>35</v>
      </c>
      <c r="B68" s="3" t="s">
        <v>153</v>
      </c>
      <c r="C68" s="3" t="s">
        <v>155</v>
      </c>
    </row>
    <row r="69" spans="1:3" x14ac:dyDescent="0.25">
      <c r="A69" s="3" t="s">
        <v>143</v>
      </c>
      <c r="B69" s="3"/>
      <c r="C69" s="3"/>
    </row>
    <row r="70" spans="1:3" x14ac:dyDescent="0.25">
      <c r="A70" s="3" t="s">
        <v>37</v>
      </c>
      <c r="B70" s="3" t="s">
        <v>163</v>
      </c>
      <c r="C70" s="3" t="s">
        <v>158</v>
      </c>
    </row>
    <row r="71" spans="1:3" x14ac:dyDescent="0.25">
      <c r="A71" s="3"/>
      <c r="B71" s="3"/>
      <c r="C71" s="3" t="s">
        <v>152</v>
      </c>
    </row>
    <row r="72" spans="1:3" x14ac:dyDescent="0.25">
      <c r="A72" s="3"/>
      <c r="B72" s="3"/>
      <c r="C72" s="3" t="s">
        <v>151</v>
      </c>
    </row>
    <row r="73" spans="1:3" x14ac:dyDescent="0.25">
      <c r="A73" s="3"/>
      <c r="B73" s="3"/>
      <c r="C73" s="3" t="s">
        <v>150</v>
      </c>
    </row>
    <row r="74" spans="1:3" x14ac:dyDescent="0.25">
      <c r="A74" s="3"/>
      <c r="B74" s="3"/>
      <c r="C74" s="3" t="s">
        <v>149</v>
      </c>
    </row>
    <row r="75" spans="1:3" x14ac:dyDescent="0.25">
      <c r="A75" s="3"/>
      <c r="B75" s="3" t="s">
        <v>148</v>
      </c>
      <c r="C75" s="3" t="s">
        <v>159</v>
      </c>
    </row>
    <row r="76" spans="1:3" x14ac:dyDescent="0.25">
      <c r="A76" s="3"/>
      <c r="B76" s="3"/>
      <c r="C76" s="3" t="s">
        <v>158</v>
      </c>
    </row>
    <row r="77" spans="1:3" x14ac:dyDescent="0.25">
      <c r="A77" s="3"/>
      <c r="B77" s="3"/>
      <c r="C77" s="3" t="s">
        <v>150</v>
      </c>
    </row>
    <row r="78" spans="1:3" x14ac:dyDescent="0.25">
      <c r="A78" s="3"/>
      <c r="B78" s="3"/>
      <c r="C78" s="3" t="s">
        <v>149</v>
      </c>
    </row>
    <row r="79" spans="1:3" x14ac:dyDescent="0.25">
      <c r="A79" s="3" t="s">
        <v>117</v>
      </c>
      <c r="B79" s="3"/>
      <c r="C79" s="3"/>
    </row>
    <row r="80" spans="1:3" x14ac:dyDescent="0.25">
      <c r="A80" s="3" t="s">
        <v>40</v>
      </c>
      <c r="B80" s="3" t="s">
        <v>148</v>
      </c>
      <c r="C80" s="3" t="s">
        <v>160</v>
      </c>
    </row>
    <row r="81" spans="1:3" x14ac:dyDescent="0.25">
      <c r="A81" s="3" t="s">
        <v>111</v>
      </c>
      <c r="B81" s="3"/>
      <c r="C81" s="3"/>
    </row>
    <row r="82" spans="1:3" x14ac:dyDescent="0.25">
      <c r="A82" s="3" t="s">
        <v>42</v>
      </c>
      <c r="B82" s="3" t="s">
        <v>153</v>
      </c>
      <c r="C82" s="3" t="s">
        <v>154</v>
      </c>
    </row>
    <row r="83" spans="1:3" x14ac:dyDescent="0.25">
      <c r="A83" s="3"/>
      <c r="B83" s="3"/>
      <c r="C83" s="3" t="s">
        <v>155</v>
      </c>
    </row>
    <row r="84" spans="1:3" x14ac:dyDescent="0.25">
      <c r="A84" s="3" t="s">
        <v>138</v>
      </c>
      <c r="B84" s="3"/>
      <c r="C84" s="3"/>
    </row>
    <row r="85" spans="1:3" x14ac:dyDescent="0.25">
      <c r="A85" s="3" t="s">
        <v>45</v>
      </c>
      <c r="B85" s="3" t="s">
        <v>163</v>
      </c>
      <c r="C85" s="3" t="s">
        <v>152</v>
      </c>
    </row>
    <row r="86" spans="1:3" x14ac:dyDescent="0.25">
      <c r="A86" s="3"/>
      <c r="B86" s="3" t="s">
        <v>148</v>
      </c>
      <c r="C86" s="3" t="s">
        <v>150</v>
      </c>
    </row>
    <row r="87" spans="1:3" x14ac:dyDescent="0.25">
      <c r="A87" s="3"/>
      <c r="B87" s="3"/>
      <c r="C87" s="3" t="s">
        <v>149</v>
      </c>
    </row>
    <row r="88" spans="1:3" x14ac:dyDescent="0.25">
      <c r="A88" s="3"/>
      <c r="B88" s="3" t="s">
        <v>153</v>
      </c>
      <c r="C88" s="3" t="s">
        <v>154</v>
      </c>
    </row>
    <row r="89" spans="1:3" x14ac:dyDescent="0.25">
      <c r="A89" s="3"/>
      <c r="B89" s="3"/>
      <c r="C89" s="3" t="s">
        <v>155</v>
      </c>
    </row>
    <row r="90" spans="1:3" x14ac:dyDescent="0.25">
      <c r="A90" s="3" t="s">
        <v>129</v>
      </c>
      <c r="B90" s="3"/>
      <c r="C90" s="3"/>
    </row>
    <row r="91" spans="1:3" x14ac:dyDescent="0.25">
      <c r="A91" s="3" t="s">
        <v>48</v>
      </c>
      <c r="B91" s="3" t="s">
        <v>163</v>
      </c>
      <c r="C91" s="3" t="s">
        <v>158</v>
      </c>
    </row>
    <row r="92" spans="1:3" x14ac:dyDescent="0.25">
      <c r="A92" s="3"/>
      <c r="B92" s="3"/>
      <c r="C92" s="3" t="s">
        <v>152</v>
      </c>
    </row>
    <row r="93" spans="1:3" x14ac:dyDescent="0.25">
      <c r="A93" s="3"/>
      <c r="B93" s="3" t="s">
        <v>148</v>
      </c>
      <c r="C93" s="3" t="s">
        <v>149</v>
      </c>
    </row>
    <row r="94" spans="1:3" x14ac:dyDescent="0.25">
      <c r="A94" s="3"/>
      <c r="B94" s="3" t="s">
        <v>153</v>
      </c>
      <c r="C94" s="3" t="s">
        <v>155</v>
      </c>
    </row>
    <row r="95" spans="1:3" x14ac:dyDescent="0.25">
      <c r="A95" s="3" t="s">
        <v>136</v>
      </c>
      <c r="B95" s="3"/>
      <c r="C95" s="3"/>
    </row>
    <row r="96" spans="1:3" x14ac:dyDescent="0.25">
      <c r="A96" s="3" t="s">
        <v>50</v>
      </c>
      <c r="B96" s="3" t="s">
        <v>153</v>
      </c>
      <c r="C96" s="3" t="s">
        <v>155</v>
      </c>
    </row>
    <row r="97" spans="1:3" x14ac:dyDescent="0.25">
      <c r="A97" s="3" t="s">
        <v>144</v>
      </c>
      <c r="B97" s="3"/>
      <c r="C97" s="3"/>
    </row>
    <row r="98" spans="1:3" x14ac:dyDescent="0.25">
      <c r="A98" s="3" t="s">
        <v>52</v>
      </c>
      <c r="B98" s="3" t="s">
        <v>148</v>
      </c>
      <c r="C98" s="3" t="s">
        <v>150</v>
      </c>
    </row>
    <row r="99" spans="1:3" x14ac:dyDescent="0.25">
      <c r="A99" s="3"/>
      <c r="B99" s="3"/>
      <c r="C99" s="3" t="s">
        <v>149</v>
      </c>
    </row>
    <row r="100" spans="1:3" x14ac:dyDescent="0.25">
      <c r="A100" s="3" t="s">
        <v>133</v>
      </c>
      <c r="B100" s="3"/>
      <c r="C100" s="3"/>
    </row>
    <row r="101" spans="1:3" x14ac:dyDescent="0.25">
      <c r="A101" s="3" t="s">
        <v>57</v>
      </c>
      <c r="B101" s="3" t="s">
        <v>148</v>
      </c>
      <c r="C101" s="3" t="s">
        <v>150</v>
      </c>
    </row>
    <row r="102" spans="1:3" x14ac:dyDescent="0.25">
      <c r="A102" s="3" t="s">
        <v>132</v>
      </c>
      <c r="B102" s="3"/>
      <c r="C102" s="3"/>
    </row>
    <row r="103" spans="1:3" x14ac:dyDescent="0.25">
      <c r="A103" s="3" t="s">
        <v>58</v>
      </c>
      <c r="B103" s="3" t="s">
        <v>163</v>
      </c>
      <c r="C103" s="3" t="s">
        <v>150</v>
      </c>
    </row>
    <row r="104" spans="1:3" x14ac:dyDescent="0.25">
      <c r="A104" s="3"/>
      <c r="B104" s="3" t="s">
        <v>153</v>
      </c>
      <c r="C104" s="3" t="s">
        <v>155</v>
      </c>
    </row>
    <row r="105" spans="1:3" x14ac:dyDescent="0.25">
      <c r="A105" s="3" t="s">
        <v>146</v>
      </c>
      <c r="B105" s="3"/>
      <c r="C105" s="3"/>
    </row>
    <row r="106" spans="1:3" x14ac:dyDescent="0.25">
      <c r="A106" s="3" t="s">
        <v>60</v>
      </c>
      <c r="B106" s="3" t="s">
        <v>148</v>
      </c>
      <c r="C106" s="3" t="s">
        <v>160</v>
      </c>
    </row>
    <row r="107" spans="1:3" x14ac:dyDescent="0.25">
      <c r="A107" s="3" t="s">
        <v>110</v>
      </c>
      <c r="B107" s="3"/>
      <c r="C107" s="3"/>
    </row>
    <row r="108" spans="1:3" x14ac:dyDescent="0.25">
      <c r="A108" s="3" t="s">
        <v>62</v>
      </c>
      <c r="B108" s="3" t="s">
        <v>163</v>
      </c>
      <c r="C108" s="3" t="s">
        <v>149</v>
      </c>
    </row>
    <row r="109" spans="1:3" x14ac:dyDescent="0.25">
      <c r="A109" s="3"/>
      <c r="B109" s="3" t="s">
        <v>148</v>
      </c>
      <c r="C109" s="3" t="s">
        <v>154</v>
      </c>
    </row>
    <row r="110" spans="1:3" x14ac:dyDescent="0.25">
      <c r="A110" s="3"/>
      <c r="B110" s="3"/>
      <c r="C110" s="3" t="s">
        <v>155</v>
      </c>
    </row>
    <row r="111" spans="1:3" x14ac:dyDescent="0.25">
      <c r="A111" s="3"/>
      <c r="B111" s="3"/>
      <c r="C111" s="3" t="s">
        <v>160</v>
      </c>
    </row>
    <row r="112" spans="1:3" x14ac:dyDescent="0.25">
      <c r="A112" s="3"/>
      <c r="B112" s="3"/>
      <c r="C112" s="3" t="s">
        <v>161</v>
      </c>
    </row>
    <row r="113" spans="1:3" x14ac:dyDescent="0.25">
      <c r="A113" s="3" t="s">
        <v>105</v>
      </c>
      <c r="B113" s="3"/>
      <c r="C113" s="3"/>
    </row>
    <row r="114" spans="1:3" x14ac:dyDescent="0.25">
      <c r="A114" s="3" t="s">
        <v>65</v>
      </c>
      <c r="B114" s="3" t="s">
        <v>163</v>
      </c>
      <c r="C114" s="3" t="s">
        <v>157</v>
      </c>
    </row>
    <row r="115" spans="1:3" x14ac:dyDescent="0.25">
      <c r="A115" s="3"/>
      <c r="B115" s="3"/>
      <c r="C115" s="3" t="s">
        <v>159</v>
      </c>
    </row>
    <row r="116" spans="1:3" x14ac:dyDescent="0.25">
      <c r="A116" s="3"/>
      <c r="B116" s="3"/>
      <c r="C116" s="3" t="s">
        <v>158</v>
      </c>
    </row>
    <row r="117" spans="1:3" x14ac:dyDescent="0.25">
      <c r="A117" s="3"/>
      <c r="B117" s="3"/>
      <c r="C117" s="3" t="s">
        <v>152</v>
      </c>
    </row>
    <row r="118" spans="1:3" x14ac:dyDescent="0.25">
      <c r="A118" s="3"/>
      <c r="B118" s="3"/>
      <c r="C118" s="3" t="s">
        <v>156</v>
      </c>
    </row>
    <row r="119" spans="1:3" x14ac:dyDescent="0.25">
      <c r="A119" s="3"/>
      <c r="B119" s="3"/>
      <c r="C119" s="3" t="s">
        <v>149</v>
      </c>
    </row>
    <row r="120" spans="1:3" x14ac:dyDescent="0.25">
      <c r="A120" s="3"/>
      <c r="B120" s="3" t="s">
        <v>148</v>
      </c>
      <c r="C120" s="3" t="s">
        <v>154</v>
      </c>
    </row>
    <row r="121" spans="1:3" x14ac:dyDescent="0.25">
      <c r="A121" s="3"/>
      <c r="B121" s="3"/>
      <c r="C121" s="3" t="s">
        <v>161</v>
      </c>
    </row>
    <row r="122" spans="1:3" x14ac:dyDescent="0.25">
      <c r="A122" s="3"/>
      <c r="B122" s="3"/>
      <c r="C122" s="3" t="s">
        <v>157</v>
      </c>
    </row>
    <row r="123" spans="1:3" x14ac:dyDescent="0.25">
      <c r="A123" s="3"/>
      <c r="B123" s="3"/>
      <c r="C123" s="3" t="s">
        <v>159</v>
      </c>
    </row>
    <row r="124" spans="1:3" x14ac:dyDescent="0.25">
      <c r="A124" s="3"/>
      <c r="B124" s="3"/>
      <c r="C124" s="3" t="s">
        <v>158</v>
      </c>
    </row>
    <row r="125" spans="1:3" x14ac:dyDescent="0.25">
      <c r="A125" s="3"/>
      <c r="B125" s="3"/>
      <c r="C125" s="3" t="s">
        <v>152</v>
      </c>
    </row>
    <row r="126" spans="1:3" x14ac:dyDescent="0.25">
      <c r="A126" s="3"/>
      <c r="B126" s="3"/>
      <c r="C126" s="3" t="s">
        <v>156</v>
      </c>
    </row>
    <row r="127" spans="1:3" x14ac:dyDescent="0.25">
      <c r="A127" s="3"/>
      <c r="B127" s="3"/>
      <c r="C127" s="3" t="s">
        <v>150</v>
      </c>
    </row>
    <row r="128" spans="1:3" x14ac:dyDescent="0.25">
      <c r="A128" s="3"/>
      <c r="B128" s="3" t="s">
        <v>153</v>
      </c>
      <c r="C128" s="3" t="s">
        <v>154</v>
      </c>
    </row>
    <row r="129" spans="1:3" x14ac:dyDescent="0.25">
      <c r="A129" s="3"/>
      <c r="B129" s="3"/>
      <c r="C129" s="3" t="s">
        <v>155</v>
      </c>
    </row>
    <row r="130" spans="1:3" x14ac:dyDescent="0.25">
      <c r="A130" s="3" t="s">
        <v>112</v>
      </c>
      <c r="B130" s="3"/>
      <c r="C130" s="3"/>
    </row>
    <row r="131" spans="1:3" x14ac:dyDescent="0.25">
      <c r="A131" s="3" t="s">
        <v>67</v>
      </c>
      <c r="B131" s="3" t="s">
        <v>148</v>
      </c>
      <c r="C131" s="3" t="s">
        <v>154</v>
      </c>
    </row>
    <row r="132" spans="1:3" x14ac:dyDescent="0.25">
      <c r="A132" s="3"/>
      <c r="B132" s="3"/>
      <c r="C132" s="3" t="s">
        <v>152</v>
      </c>
    </row>
    <row r="133" spans="1:3" x14ac:dyDescent="0.25">
      <c r="A133" s="3"/>
      <c r="B133" s="3"/>
      <c r="C133" s="3" t="s">
        <v>150</v>
      </c>
    </row>
    <row r="134" spans="1:3" x14ac:dyDescent="0.25">
      <c r="A134" s="3"/>
      <c r="B134" s="3"/>
      <c r="C134" s="3" t="s">
        <v>149</v>
      </c>
    </row>
    <row r="135" spans="1:3" x14ac:dyDescent="0.25">
      <c r="A135" s="3" t="s">
        <v>123</v>
      </c>
      <c r="B135" s="3"/>
      <c r="C135" s="3"/>
    </row>
    <row r="136" spans="1:3" x14ac:dyDescent="0.25">
      <c r="A136" s="3" t="s">
        <v>363</v>
      </c>
      <c r="B136" s="3" t="s">
        <v>163</v>
      </c>
      <c r="C136" s="3" t="s">
        <v>160</v>
      </c>
    </row>
    <row r="137" spans="1:3" x14ac:dyDescent="0.25">
      <c r="A137" s="3"/>
      <c r="B137" s="3"/>
      <c r="C137" s="3" t="s">
        <v>161</v>
      </c>
    </row>
    <row r="138" spans="1:3" x14ac:dyDescent="0.25">
      <c r="A138" s="3"/>
      <c r="B138" s="3"/>
      <c r="C138" s="3" t="s">
        <v>157</v>
      </c>
    </row>
    <row r="139" spans="1:3" x14ac:dyDescent="0.25">
      <c r="A139" s="3"/>
      <c r="B139" s="3"/>
      <c r="C139" s="3" t="s">
        <v>159</v>
      </c>
    </row>
    <row r="140" spans="1:3" x14ac:dyDescent="0.25">
      <c r="A140" s="3"/>
      <c r="B140" s="3"/>
      <c r="C140" s="3" t="s">
        <v>158</v>
      </c>
    </row>
    <row r="141" spans="1:3" x14ac:dyDescent="0.25">
      <c r="A141" s="3"/>
      <c r="B141" s="3"/>
      <c r="C141" s="3" t="s">
        <v>152</v>
      </c>
    </row>
    <row r="142" spans="1:3" x14ac:dyDescent="0.25">
      <c r="A142" s="3"/>
      <c r="B142" s="3"/>
      <c r="C142" s="3" t="s">
        <v>156</v>
      </c>
    </row>
    <row r="143" spans="1:3" x14ac:dyDescent="0.25">
      <c r="A143" s="3" t="s">
        <v>379</v>
      </c>
      <c r="B143" s="3"/>
      <c r="C143" s="3"/>
    </row>
    <row r="144" spans="1:3" x14ac:dyDescent="0.25">
      <c r="A144" s="3" t="s">
        <v>165</v>
      </c>
      <c r="B144" s="3" t="s">
        <v>163</v>
      </c>
      <c r="C144" s="3" t="s">
        <v>157</v>
      </c>
    </row>
    <row r="145" spans="1:3" x14ac:dyDescent="0.25">
      <c r="A145" s="3"/>
      <c r="B145" s="3"/>
      <c r="C145" s="3" t="s">
        <v>159</v>
      </c>
    </row>
    <row r="146" spans="1:3" x14ac:dyDescent="0.25">
      <c r="A146" s="3"/>
      <c r="B146" s="3"/>
      <c r="C146" s="3" t="s">
        <v>152</v>
      </c>
    </row>
    <row r="147" spans="1:3" x14ac:dyDescent="0.25">
      <c r="A147" s="3" t="s">
        <v>380</v>
      </c>
      <c r="B147" s="3"/>
      <c r="C147" s="3"/>
    </row>
    <row r="148" spans="1:3" x14ac:dyDescent="0.25">
      <c r="A148" s="3" t="s">
        <v>69</v>
      </c>
      <c r="B148" s="3" t="s">
        <v>148</v>
      </c>
      <c r="C148" s="3" t="s">
        <v>151</v>
      </c>
    </row>
    <row r="149" spans="1:3" x14ac:dyDescent="0.25">
      <c r="A149" s="3"/>
      <c r="B149" s="3"/>
      <c r="C149" s="3" t="s">
        <v>150</v>
      </c>
    </row>
    <row r="150" spans="1:3" x14ac:dyDescent="0.25">
      <c r="A150" s="3" t="s">
        <v>126</v>
      </c>
      <c r="B150" s="3"/>
      <c r="C150" s="3"/>
    </row>
    <row r="151" spans="1:3" x14ac:dyDescent="0.25">
      <c r="A151" s="3" t="s">
        <v>71</v>
      </c>
      <c r="B151" s="3" t="s">
        <v>148</v>
      </c>
      <c r="C151" s="3" t="s">
        <v>156</v>
      </c>
    </row>
    <row r="152" spans="1:3" x14ac:dyDescent="0.25">
      <c r="A152" s="3"/>
      <c r="B152" s="3"/>
      <c r="C152" s="3" t="s">
        <v>151</v>
      </c>
    </row>
    <row r="153" spans="1:3" x14ac:dyDescent="0.25">
      <c r="A153" s="3"/>
      <c r="B153" s="3"/>
      <c r="C153" s="3" t="s">
        <v>150</v>
      </c>
    </row>
    <row r="154" spans="1:3" x14ac:dyDescent="0.25">
      <c r="A154" s="3"/>
      <c r="B154" s="3" t="s">
        <v>153</v>
      </c>
      <c r="C154" s="3" t="s">
        <v>155</v>
      </c>
    </row>
    <row r="155" spans="1:3" x14ac:dyDescent="0.25">
      <c r="A155" s="3"/>
      <c r="B155" s="3"/>
      <c r="C155" s="3" t="s">
        <v>160</v>
      </c>
    </row>
    <row r="156" spans="1:3" x14ac:dyDescent="0.25">
      <c r="A156" s="3" t="s">
        <v>124</v>
      </c>
      <c r="B156" s="3"/>
      <c r="C156" s="3"/>
    </row>
    <row r="157" spans="1:3" x14ac:dyDescent="0.25">
      <c r="A157" s="3" t="s">
        <v>73</v>
      </c>
      <c r="B157" s="3" t="s">
        <v>153</v>
      </c>
      <c r="C157" s="3" t="s">
        <v>154</v>
      </c>
    </row>
    <row r="158" spans="1:3" x14ac:dyDescent="0.25">
      <c r="A158" s="3" t="s">
        <v>141</v>
      </c>
      <c r="B158" s="3"/>
      <c r="C158" s="3"/>
    </row>
    <row r="159" spans="1:3" x14ac:dyDescent="0.25">
      <c r="A159" s="3" t="s">
        <v>75</v>
      </c>
      <c r="B159" s="3" t="s">
        <v>153</v>
      </c>
      <c r="C159" s="3" t="s">
        <v>154</v>
      </c>
    </row>
    <row r="160" spans="1:3" x14ac:dyDescent="0.25">
      <c r="A160" s="3" t="s">
        <v>139</v>
      </c>
      <c r="B160" s="3"/>
      <c r="C160" s="3"/>
    </row>
    <row r="161" spans="1:3" x14ac:dyDescent="0.25">
      <c r="A161" s="3" t="s">
        <v>77</v>
      </c>
      <c r="B161" s="3" t="s">
        <v>148</v>
      </c>
      <c r="C161" s="3" t="s">
        <v>152</v>
      </c>
    </row>
    <row r="162" spans="1:3" x14ac:dyDescent="0.25">
      <c r="A162" s="3" t="s">
        <v>121</v>
      </c>
      <c r="B162" s="3"/>
      <c r="C162" s="3"/>
    </row>
    <row r="163" spans="1:3" x14ac:dyDescent="0.25">
      <c r="A163" s="3" t="s">
        <v>79</v>
      </c>
      <c r="B163" s="3" t="s">
        <v>148</v>
      </c>
      <c r="C163" s="3" t="s">
        <v>160</v>
      </c>
    </row>
    <row r="164" spans="1:3" x14ac:dyDescent="0.25">
      <c r="A164" s="3"/>
      <c r="B164" s="3"/>
      <c r="C164" s="3" t="s">
        <v>161</v>
      </c>
    </row>
    <row r="165" spans="1:3" x14ac:dyDescent="0.25">
      <c r="A165" s="3"/>
      <c r="B165" s="3"/>
      <c r="C165" s="3" t="s">
        <v>157</v>
      </c>
    </row>
    <row r="166" spans="1:3" x14ac:dyDescent="0.25">
      <c r="A166" s="3"/>
      <c r="B166" s="3"/>
      <c r="C166" s="3" t="s">
        <v>159</v>
      </c>
    </row>
    <row r="167" spans="1:3" x14ac:dyDescent="0.25">
      <c r="A167" s="3"/>
      <c r="B167" s="3"/>
      <c r="C167" s="3" t="s">
        <v>158</v>
      </c>
    </row>
    <row r="168" spans="1:3" x14ac:dyDescent="0.25">
      <c r="A168" s="3"/>
      <c r="B168" s="3"/>
      <c r="C168" s="3" t="s">
        <v>152</v>
      </c>
    </row>
    <row r="169" spans="1:3" x14ac:dyDescent="0.25">
      <c r="A169" s="3"/>
      <c r="B169" s="3"/>
      <c r="C169" s="3" t="s">
        <v>156</v>
      </c>
    </row>
    <row r="170" spans="1:3" x14ac:dyDescent="0.25">
      <c r="A170" s="3" t="s">
        <v>109</v>
      </c>
      <c r="B170" s="3"/>
      <c r="C170" s="3"/>
    </row>
    <row r="171" spans="1:3" x14ac:dyDescent="0.25">
      <c r="A171" s="3" t="s">
        <v>81</v>
      </c>
      <c r="B171" s="3" t="s">
        <v>148</v>
      </c>
      <c r="C171" s="3" t="s">
        <v>158</v>
      </c>
    </row>
    <row r="172" spans="1:3" x14ac:dyDescent="0.25">
      <c r="A172" s="3"/>
      <c r="B172" s="3"/>
      <c r="C172" s="3" t="s">
        <v>152</v>
      </c>
    </row>
    <row r="173" spans="1:3" x14ac:dyDescent="0.25">
      <c r="A173" s="3"/>
      <c r="B173" s="3"/>
      <c r="C173" s="3" t="s">
        <v>156</v>
      </c>
    </row>
    <row r="174" spans="1:3" x14ac:dyDescent="0.25">
      <c r="A174" s="3"/>
      <c r="B174" s="3"/>
      <c r="C174" s="3" t="s">
        <v>151</v>
      </c>
    </row>
    <row r="175" spans="1:3" x14ac:dyDescent="0.25">
      <c r="A175" s="3" t="s">
        <v>119</v>
      </c>
      <c r="B175" s="3"/>
      <c r="C175" s="3"/>
    </row>
    <row r="176" spans="1:3" x14ac:dyDescent="0.25">
      <c r="A176" s="3" t="s">
        <v>83</v>
      </c>
      <c r="B176" s="3" t="s">
        <v>163</v>
      </c>
      <c r="C176" s="3" t="s">
        <v>149</v>
      </c>
    </row>
    <row r="177" spans="1:3" x14ac:dyDescent="0.25">
      <c r="A177" s="3"/>
      <c r="B177" s="3" t="s">
        <v>148</v>
      </c>
      <c r="C177" s="3" t="s">
        <v>154</v>
      </c>
    </row>
    <row r="178" spans="1:3" x14ac:dyDescent="0.25">
      <c r="A178" s="3"/>
      <c r="B178" s="3"/>
      <c r="C178" s="3" t="s">
        <v>155</v>
      </c>
    </row>
    <row r="179" spans="1:3" x14ac:dyDescent="0.25">
      <c r="A179" s="3"/>
      <c r="B179" s="3"/>
      <c r="C179" s="3" t="s">
        <v>160</v>
      </c>
    </row>
    <row r="180" spans="1:3" x14ac:dyDescent="0.25">
      <c r="A180" s="3"/>
      <c r="B180" s="3"/>
      <c r="C180" s="3" t="s">
        <v>161</v>
      </c>
    </row>
    <row r="181" spans="1:3" x14ac:dyDescent="0.25">
      <c r="A181" s="3"/>
      <c r="B181" s="3"/>
      <c r="C181" s="3" t="s">
        <v>157</v>
      </c>
    </row>
    <row r="182" spans="1:3" x14ac:dyDescent="0.25">
      <c r="A182" s="3"/>
      <c r="B182" s="3"/>
      <c r="C182" s="3" t="s">
        <v>159</v>
      </c>
    </row>
    <row r="183" spans="1:3" x14ac:dyDescent="0.25">
      <c r="A183" s="3" t="s">
        <v>103</v>
      </c>
      <c r="B183" s="3"/>
      <c r="C183" s="3"/>
    </row>
    <row r="184" spans="1:3" x14ac:dyDescent="0.25">
      <c r="A184" s="3" t="s">
        <v>85</v>
      </c>
      <c r="B184" s="3" t="s">
        <v>163</v>
      </c>
      <c r="C184" s="3" t="s">
        <v>152</v>
      </c>
    </row>
    <row r="185" spans="1:3" x14ac:dyDescent="0.25">
      <c r="A185" s="3"/>
      <c r="B185" s="3"/>
      <c r="C185" s="3" t="s">
        <v>156</v>
      </c>
    </row>
    <row r="186" spans="1:3" x14ac:dyDescent="0.25">
      <c r="A186" s="3"/>
      <c r="B186" s="3"/>
      <c r="C186" s="3" t="s">
        <v>151</v>
      </c>
    </row>
    <row r="187" spans="1:3" x14ac:dyDescent="0.25">
      <c r="A187" s="3"/>
      <c r="B187" s="3"/>
      <c r="C187" s="3" t="s">
        <v>150</v>
      </c>
    </row>
    <row r="188" spans="1:3" x14ac:dyDescent="0.25">
      <c r="A188" s="3"/>
      <c r="B188" s="3"/>
      <c r="C188" s="3" t="s">
        <v>149</v>
      </c>
    </row>
    <row r="189" spans="1:3" x14ac:dyDescent="0.25">
      <c r="A189" s="3" t="s">
        <v>162</v>
      </c>
      <c r="B189" s="3"/>
      <c r="C189" s="3"/>
    </row>
    <row r="190" spans="1:3" x14ac:dyDescent="0.25">
      <c r="A190" s="3" t="s">
        <v>94</v>
      </c>
      <c r="B190" s="3" t="s">
        <v>148</v>
      </c>
      <c r="C190" s="3" t="s">
        <v>155</v>
      </c>
    </row>
    <row r="191" spans="1:3" x14ac:dyDescent="0.25">
      <c r="A191" s="3" t="s">
        <v>108</v>
      </c>
      <c r="B191" s="3"/>
      <c r="C191" s="3"/>
    </row>
    <row r="192" spans="1:3" x14ac:dyDescent="0.25">
      <c r="A192" s="3" t="s">
        <v>87</v>
      </c>
      <c r="B192" s="3" t="s">
        <v>148</v>
      </c>
      <c r="C192" s="3" t="s">
        <v>150</v>
      </c>
    </row>
    <row r="193" spans="1:3" x14ac:dyDescent="0.25">
      <c r="A193" s="3"/>
      <c r="B193" s="3"/>
      <c r="C193" s="3" t="s">
        <v>149</v>
      </c>
    </row>
    <row r="194" spans="1:3" x14ac:dyDescent="0.25">
      <c r="A194" s="3"/>
      <c r="B194" s="3" t="s">
        <v>153</v>
      </c>
      <c r="C194" s="3" t="s">
        <v>154</v>
      </c>
    </row>
    <row r="195" spans="1:3" x14ac:dyDescent="0.25">
      <c r="A195" s="3" t="s">
        <v>130</v>
      </c>
      <c r="B195" s="3"/>
      <c r="C195" s="3"/>
    </row>
    <row r="196" spans="1:3" x14ac:dyDescent="0.25">
      <c r="A196" s="3" t="s">
        <v>90</v>
      </c>
      <c r="B196" s="3" t="s">
        <v>148</v>
      </c>
      <c r="C196" s="3" t="s">
        <v>150</v>
      </c>
    </row>
    <row r="197" spans="1:3" x14ac:dyDescent="0.25">
      <c r="A197" s="3"/>
      <c r="B197" s="3" t="s">
        <v>153</v>
      </c>
      <c r="C197" s="3" t="s">
        <v>155</v>
      </c>
    </row>
    <row r="198" spans="1:3" x14ac:dyDescent="0.25">
      <c r="A198" s="3"/>
      <c r="B198" s="3"/>
      <c r="C198" s="3" t="s">
        <v>160</v>
      </c>
    </row>
    <row r="199" spans="1:3" x14ac:dyDescent="0.25">
      <c r="A199" s="3" t="s">
        <v>131</v>
      </c>
      <c r="B199" s="3"/>
      <c r="C199" s="3"/>
    </row>
    <row r="200" spans="1:3" x14ac:dyDescent="0.25">
      <c r="A200" s="3" t="s">
        <v>92</v>
      </c>
      <c r="B200" s="3" t="s">
        <v>148</v>
      </c>
      <c r="C200" s="3" t="s">
        <v>152</v>
      </c>
    </row>
    <row r="201" spans="1:3" x14ac:dyDescent="0.25">
      <c r="A201" s="3" t="s">
        <v>122</v>
      </c>
      <c r="B201" s="3"/>
      <c r="C201" s="3"/>
    </row>
    <row r="202" spans="1:3" x14ac:dyDescent="0.25">
      <c r="A202" s="3" t="s">
        <v>128</v>
      </c>
      <c r="B202" s="3" t="s">
        <v>148</v>
      </c>
      <c r="C202" s="3" t="s">
        <v>155</v>
      </c>
    </row>
    <row r="203" spans="1:3" x14ac:dyDescent="0.25">
      <c r="A203" s="3"/>
      <c r="B203" s="3"/>
      <c r="C203" s="3" t="s">
        <v>152</v>
      </c>
    </row>
    <row r="204" spans="1:3" x14ac:dyDescent="0.25">
      <c r="A204" s="3"/>
      <c r="B204" s="3" t="s">
        <v>153</v>
      </c>
      <c r="C204" s="3" t="s">
        <v>154</v>
      </c>
    </row>
    <row r="205" spans="1:3" x14ac:dyDescent="0.25">
      <c r="A205" s="3"/>
      <c r="B205" s="3"/>
      <c r="C205" s="3" t="s">
        <v>155</v>
      </c>
    </row>
    <row r="206" spans="1:3" x14ac:dyDescent="0.25">
      <c r="A206" s="3"/>
      <c r="B206" s="3" t="s">
        <v>370</v>
      </c>
      <c r="C206" s="3" t="s">
        <v>107</v>
      </c>
    </row>
    <row r="207" spans="1:3" x14ac:dyDescent="0.25">
      <c r="A207" s="3" t="s">
        <v>508</v>
      </c>
      <c r="B207" s="3"/>
      <c r="C207" s="3"/>
    </row>
    <row r="208" spans="1:3" x14ac:dyDescent="0.25">
      <c r="A208" s="3" t="s">
        <v>388</v>
      </c>
      <c r="B208" s="3" t="s">
        <v>163</v>
      </c>
      <c r="C208" s="3" t="s">
        <v>160</v>
      </c>
    </row>
    <row r="209" spans="1:3" x14ac:dyDescent="0.25">
      <c r="A209" s="3" t="s">
        <v>391</v>
      </c>
      <c r="B209" s="3"/>
      <c r="C209" s="3"/>
    </row>
    <row r="210" spans="1:3" x14ac:dyDescent="0.25">
      <c r="A210" s="3" t="s">
        <v>389</v>
      </c>
      <c r="B210" s="3" t="s">
        <v>163</v>
      </c>
      <c r="C210" s="3" t="s">
        <v>160</v>
      </c>
    </row>
    <row r="211" spans="1:3" x14ac:dyDescent="0.25">
      <c r="A211" s="3"/>
      <c r="B211" s="3"/>
      <c r="C211" s="3" t="s">
        <v>161</v>
      </c>
    </row>
    <row r="212" spans="1:3" x14ac:dyDescent="0.25">
      <c r="A212" s="3" t="s">
        <v>392</v>
      </c>
      <c r="B212" s="3"/>
      <c r="C212" s="3"/>
    </row>
    <row r="213" spans="1:3" x14ac:dyDescent="0.25">
      <c r="A213" s="3" t="s">
        <v>147</v>
      </c>
      <c r="B213" s="3"/>
      <c r="C213" s="3"/>
    </row>
  </sheetData>
  <pageMargins left="0.7" right="0.7" top="0.75" bottom="0.75" header="0.3" footer="0.3"/>
  <pageSetup paperSize="9" orientation="portrait" horizontalDpi="360" verticalDpi="36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711E-83D3-4F46-9979-5E99D984D6AC}">
  <sheetPr>
    <tabColor theme="9"/>
  </sheetPr>
  <dimension ref="A3:A54"/>
  <sheetViews>
    <sheetView workbookViewId="0">
      <selection activeCell="L18" sqref="L18"/>
    </sheetView>
  </sheetViews>
  <sheetFormatPr defaultRowHeight="15" x14ac:dyDescent="0.25"/>
  <cols>
    <col min="1" max="1" width="33.42578125" bestFit="1" customWidth="1"/>
    <col min="2" max="2" width="12.5703125" bestFit="1" customWidth="1"/>
  </cols>
  <sheetData>
    <row r="3" spans="1:1" x14ac:dyDescent="0.25">
      <c r="A3" s="19" t="s">
        <v>372</v>
      </c>
    </row>
    <row r="4" spans="1:1" x14ac:dyDescent="0.25">
      <c r="A4" s="3" t="s">
        <v>3</v>
      </c>
    </row>
    <row r="5" spans="1:1" x14ac:dyDescent="0.25">
      <c r="A5" s="3" t="s">
        <v>6</v>
      </c>
    </row>
    <row r="6" spans="1:1" x14ac:dyDescent="0.25">
      <c r="A6" s="3" t="s">
        <v>381</v>
      </c>
    </row>
    <row r="7" spans="1:1" x14ac:dyDescent="0.25">
      <c r="A7" s="3" t="s">
        <v>10</v>
      </c>
    </row>
    <row r="8" spans="1:1" x14ac:dyDescent="0.25">
      <c r="A8" s="3" t="s">
        <v>186</v>
      </c>
    </row>
    <row r="9" spans="1:1" x14ac:dyDescent="0.25">
      <c r="A9" s="3" t="s">
        <v>12</v>
      </c>
    </row>
    <row r="10" spans="1:1" x14ac:dyDescent="0.25">
      <c r="A10" s="3" t="s">
        <v>14</v>
      </c>
    </row>
    <row r="11" spans="1:1" x14ac:dyDescent="0.25">
      <c r="A11" s="3" t="s">
        <v>291</v>
      </c>
    </row>
    <row r="12" spans="1:1" x14ac:dyDescent="0.25">
      <c r="A12" s="3" t="s">
        <v>16</v>
      </c>
    </row>
    <row r="13" spans="1:1" x14ac:dyDescent="0.25">
      <c r="A13" s="3" t="s">
        <v>98</v>
      </c>
    </row>
    <row r="14" spans="1:1" x14ac:dyDescent="0.25">
      <c r="A14" s="3" t="s">
        <v>20</v>
      </c>
    </row>
    <row r="15" spans="1:1" x14ac:dyDescent="0.25">
      <c r="A15" s="3" t="s">
        <v>22</v>
      </c>
    </row>
    <row r="16" spans="1:1" x14ac:dyDescent="0.25">
      <c r="A16" s="3" t="s">
        <v>214</v>
      </c>
    </row>
    <row r="17" spans="1:1" x14ac:dyDescent="0.25">
      <c r="A17" s="3" t="s">
        <v>25</v>
      </c>
    </row>
    <row r="18" spans="1:1" x14ac:dyDescent="0.25">
      <c r="A18" s="3" t="s">
        <v>27</v>
      </c>
    </row>
    <row r="19" spans="1:1" x14ac:dyDescent="0.25">
      <c r="A19" s="3" t="s">
        <v>29</v>
      </c>
    </row>
    <row r="20" spans="1:1" x14ac:dyDescent="0.25">
      <c r="A20" s="3" t="s">
        <v>31</v>
      </c>
    </row>
    <row r="21" spans="1:1" x14ac:dyDescent="0.25">
      <c r="A21" s="3" t="s">
        <v>33</v>
      </c>
    </row>
    <row r="22" spans="1:1" x14ac:dyDescent="0.25">
      <c r="A22" s="3" t="s">
        <v>35</v>
      </c>
    </row>
    <row r="23" spans="1:1" x14ac:dyDescent="0.25">
      <c r="A23" s="3" t="s">
        <v>37</v>
      </c>
    </row>
    <row r="24" spans="1:1" x14ac:dyDescent="0.25">
      <c r="A24" s="3" t="s">
        <v>40</v>
      </c>
    </row>
    <row r="25" spans="1:1" x14ac:dyDescent="0.25">
      <c r="A25" s="3" t="s">
        <v>42</v>
      </c>
    </row>
    <row r="26" spans="1:1" x14ac:dyDescent="0.25">
      <c r="A26" s="3" t="s">
        <v>45</v>
      </c>
    </row>
    <row r="27" spans="1:1" x14ac:dyDescent="0.25">
      <c r="A27" s="3" t="s">
        <v>48</v>
      </c>
    </row>
    <row r="28" spans="1:1" x14ac:dyDescent="0.25">
      <c r="A28" s="3" t="s">
        <v>50</v>
      </c>
    </row>
    <row r="29" spans="1:1" x14ac:dyDescent="0.25">
      <c r="A29" s="3" t="s">
        <v>52</v>
      </c>
    </row>
    <row r="30" spans="1:1" x14ac:dyDescent="0.25">
      <c r="A30" s="3" t="s">
        <v>57</v>
      </c>
    </row>
    <row r="31" spans="1:1" x14ac:dyDescent="0.25">
      <c r="A31" s="3" t="s">
        <v>58</v>
      </c>
    </row>
    <row r="32" spans="1:1" x14ac:dyDescent="0.25">
      <c r="A32" s="3" t="s">
        <v>60</v>
      </c>
    </row>
    <row r="33" spans="1:1" x14ac:dyDescent="0.25">
      <c r="A33" s="3" t="s">
        <v>62</v>
      </c>
    </row>
    <row r="34" spans="1:1" x14ac:dyDescent="0.25">
      <c r="A34" s="3" t="s">
        <v>388</v>
      </c>
    </row>
    <row r="35" spans="1:1" x14ac:dyDescent="0.25">
      <c r="A35" s="3" t="s">
        <v>65</v>
      </c>
    </row>
    <row r="36" spans="1:1" x14ac:dyDescent="0.25">
      <c r="A36" s="3" t="s">
        <v>67</v>
      </c>
    </row>
    <row r="37" spans="1:1" x14ac:dyDescent="0.25">
      <c r="A37" s="3" t="s">
        <v>363</v>
      </c>
    </row>
    <row r="38" spans="1:1" x14ac:dyDescent="0.25">
      <c r="A38" s="3" t="s">
        <v>165</v>
      </c>
    </row>
    <row r="39" spans="1:1" x14ac:dyDescent="0.25">
      <c r="A39" s="3" t="s">
        <v>69</v>
      </c>
    </row>
    <row r="40" spans="1:1" x14ac:dyDescent="0.25">
      <c r="A40" s="3" t="s">
        <v>71</v>
      </c>
    </row>
    <row r="41" spans="1:1" x14ac:dyDescent="0.25">
      <c r="A41" s="3" t="s">
        <v>73</v>
      </c>
    </row>
    <row r="42" spans="1:1" x14ac:dyDescent="0.25">
      <c r="A42" s="3" t="s">
        <v>75</v>
      </c>
    </row>
    <row r="43" spans="1:1" x14ac:dyDescent="0.25">
      <c r="A43" s="3" t="s">
        <v>389</v>
      </c>
    </row>
    <row r="44" spans="1:1" x14ac:dyDescent="0.25">
      <c r="A44" s="3" t="s">
        <v>77</v>
      </c>
    </row>
    <row r="45" spans="1:1" x14ac:dyDescent="0.25">
      <c r="A45" s="3" t="s">
        <v>79</v>
      </c>
    </row>
    <row r="46" spans="1:1" x14ac:dyDescent="0.25">
      <c r="A46" s="3" t="s">
        <v>81</v>
      </c>
    </row>
    <row r="47" spans="1:1" x14ac:dyDescent="0.25">
      <c r="A47" s="3" t="s">
        <v>83</v>
      </c>
    </row>
    <row r="48" spans="1:1" x14ac:dyDescent="0.25">
      <c r="A48" s="3" t="s">
        <v>85</v>
      </c>
    </row>
    <row r="49" spans="1:1" x14ac:dyDescent="0.25">
      <c r="A49" s="3" t="s">
        <v>94</v>
      </c>
    </row>
    <row r="50" spans="1:1" x14ac:dyDescent="0.25">
      <c r="A50" s="3" t="s">
        <v>87</v>
      </c>
    </row>
    <row r="51" spans="1:1" x14ac:dyDescent="0.25">
      <c r="A51" s="3" t="s">
        <v>90</v>
      </c>
    </row>
    <row r="52" spans="1:1" x14ac:dyDescent="0.25">
      <c r="A52" s="3" t="s">
        <v>92</v>
      </c>
    </row>
    <row r="53" spans="1:1" x14ac:dyDescent="0.25">
      <c r="A53" s="3" t="s">
        <v>128</v>
      </c>
    </row>
    <row r="54" spans="1:1" x14ac:dyDescent="0.25">
      <c r="A54" s="3" t="s">
        <v>147</v>
      </c>
    </row>
  </sheetData>
  <pageMargins left="0.7" right="0.7" top="0.75" bottom="0.75" header="0.3" footer="0.3"/>
  <pageSetup paperSize="9" orientation="portrait" horizontalDpi="360" verticalDpi="36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xml version="1.0" encoding="utf-8"?>
<?mso-contentType ?>
<FormTemplates xmlns="http://schemas.microsoft.com/sharepoint/v3/contenttype/forms">
  <Display>DocumentLibraryForm</Display>
  <Edit>DocumentLibraryForm</Edit>
  <New>DocumentLibraryForm</New>
</FormTemplates>
</file>

<file path=customXml/item16.xml>�� 
</file>

<file path=customXml/item17.xml>�� 
</file>

<file path=customXml/item18.xml>�� 
</file>

<file path=customXml/item19.xml><?xml version="1.0" encoding="utf-8"?>
<p:properties xmlns:p="http://schemas.microsoft.com/office/2006/metadata/properties" xmlns:xsi="http://www.w3.org/2001/XMLSchema-instance" xmlns:pc="http://schemas.microsoft.com/office/infopath/2007/PartnerControls">
  <documentManagement/>
</p:properties>
</file>

<file path=customXml/item20.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988D598-A361-48C3-AF30-8D7A59D9A163}">
  <ds:schemaRefs>
    <ds:schemaRef ds:uri="http://gemini/pivotcustomization/ClientWindowXML"/>
  </ds:schemaRefs>
</ds:datastoreItem>
</file>

<file path=customXml/itemProps2.xml><?xml version="1.0" encoding="utf-8"?>
<ds:datastoreItem xmlns:ds="http://schemas.openxmlformats.org/officeDocument/2006/customXml" ds:itemID="{DC7054FA-548F-40DA-987E-EF917B5232AB}">
  <ds:schemaRefs/>
</ds:datastoreItem>
</file>

<file path=customXml/itemProps3.xml><?xml version="1.0" encoding="utf-8"?>
<ds:datastoreItem xmlns:ds="http://schemas.openxmlformats.org/officeDocument/2006/customXml" ds:itemID="{199CB258-B510-4B36-B882-72EE3CF643D8}">
  <ds:schemaRefs>
    <ds:schemaRef ds:uri="http://gemini/pivotcustomization/FormulaBarState"/>
  </ds:schemaRefs>
</ds:datastoreItem>
</file>

<file path=customXml/itemProps4.xml><?xml version="1.0" encoding="utf-8"?>
<ds:datastoreItem xmlns:ds="http://schemas.openxmlformats.org/officeDocument/2006/customXml" ds:itemID="{CFF9A8D1-D6BD-425C-96BD-7A9333F5F70F}">
  <ds:schemaRefs>
    <ds:schemaRef ds:uri="http://gemini/pivotcustomization/ShowHidden"/>
  </ds:schemaRefs>
</ds:datastoreItem>
</file>

<file path=customXml/itemProps5.xml><?xml version="1.0" encoding="utf-8"?>
<ds:datastoreItem xmlns:ds="http://schemas.openxmlformats.org/officeDocument/2006/customXml" ds:itemID="{0BABE401-687C-4AD8-9506-691FF0D22381}">
  <ds:schemaRefs/>
</ds:datastoreItem>
</file>

<file path=customXml/itemProps6.xml><?xml version="1.0" encoding="utf-8"?>
<ds:datastoreItem xmlns:ds="http://schemas.openxmlformats.org/officeDocument/2006/customXml" ds:itemID="{9224C96D-C5A6-41C3-A37A-7338B420F0A8}">
  <ds:schemaRefs>
    <ds:schemaRef ds:uri="http://gemini/pivotcustomization/ShowImplicitMeasures"/>
  </ds:schemaRefs>
</ds:datastoreItem>
</file>

<file path=customXml/itemProps7.xml><?xml version="1.0" encoding="utf-8"?>
<ds:datastoreItem xmlns:ds="http://schemas.openxmlformats.org/officeDocument/2006/customXml" ds:itemID="{73902325-FBB9-4FE4-BA2D-014A0E9E130C}">
  <ds:schemaRefs>
    <ds:schemaRef ds:uri="http://gemini/pivotcustomization/TableCountInSandbox"/>
  </ds:schemaRefs>
</ds:datastoreItem>
</file>

<file path=customXml/itemProps8.xml><?xml version="1.0" encoding="utf-8"?>
<ds:datastoreItem xmlns:ds="http://schemas.openxmlformats.org/officeDocument/2006/customXml" ds:itemID="{7518042F-EDA9-491F-BED1-C069724EC681}">
  <ds:schemaRefs/>
</ds:datastoreItem>
</file>

<file path=customXml/itemProps9.xml><?xml version="1.0" encoding="utf-8"?>
<ds:datastoreItem xmlns:ds="http://schemas.openxmlformats.org/officeDocument/2006/customXml" ds:itemID="{1A7C51EE-C6F3-4B8A-AA87-9AC64D35D4C1}">
  <ds:schemaRefs/>
</ds:datastoreItem>
</file>

<file path=customXml/itemProps10.xml><?xml version="1.0" encoding="utf-8"?>
<ds:datastoreItem xmlns:ds="http://schemas.openxmlformats.org/officeDocument/2006/customXml" ds:itemID="{32D2B9CA-A507-4C7B-A9AD-C847415FFCA9}">
  <ds:schemaRefs/>
</ds:datastoreItem>
</file>

<file path=customXml/itemProps11.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12.xml><?xml version="1.0" encoding="utf-8"?>
<ds:datastoreItem xmlns:ds="http://schemas.openxmlformats.org/officeDocument/2006/customXml" ds:itemID="{F3385EF0-6AEE-43C9-ABE2-BF4FF2905B22}">
  <ds:schemaRefs/>
</ds:datastoreItem>
</file>

<file path=customXml/itemProps13.xml><?xml version="1.0" encoding="utf-8"?>
<ds:datastoreItem xmlns:ds="http://schemas.openxmlformats.org/officeDocument/2006/customXml" ds:itemID="{AB6FF0C2-3AE8-4231-8424-E9FDA0093A80}">
  <ds:schemaRefs/>
</ds:datastoreItem>
</file>

<file path=customXml/itemProps14.xml><?xml version="1.0" encoding="utf-8"?>
<ds:datastoreItem xmlns:ds="http://schemas.openxmlformats.org/officeDocument/2006/customXml" ds:itemID="{45EA3649-79E5-4A29-AF78-8930AA22DAC9}">
  <ds:schemaRefs/>
</ds:datastoreItem>
</file>

<file path=customXml/itemProps15.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16.xml><?xml version="1.0" encoding="utf-8"?>
<ds:datastoreItem xmlns:ds="http://schemas.openxmlformats.org/officeDocument/2006/customXml" ds:itemID="{98951001-3A09-4A05-855A-3DDD09797274}">
  <ds:schemaRefs/>
</ds:datastoreItem>
</file>

<file path=customXml/itemProps17.xml><?xml version="1.0" encoding="utf-8"?>
<ds:datastoreItem xmlns:ds="http://schemas.openxmlformats.org/officeDocument/2006/customXml" ds:itemID="{61483E43-225A-43B3-96CB-C15111873FDA}">
  <ds:schemaRefs>
    <ds:schemaRef ds:uri="http://gemini/pivotcustomization/ManualCalcMode"/>
  </ds:schemaRefs>
</ds:datastoreItem>
</file>

<file path=customXml/itemProps18.xml><?xml version="1.0" encoding="utf-8"?>
<ds:datastoreItem xmlns:ds="http://schemas.openxmlformats.org/officeDocument/2006/customXml" ds:itemID="{CD098567-33A4-4828-B459-B0709D1CAB07}">
  <ds:schemaRefs>
    <ds:schemaRef ds:uri="http://gemini/pivotcustomization/TableOrder"/>
  </ds:schemaRefs>
</ds:datastoreItem>
</file>

<file path=customXml/itemProps19.xml><?xml version="1.0" encoding="utf-8"?>
<ds:datastoreItem xmlns:ds="http://schemas.openxmlformats.org/officeDocument/2006/customXml" ds:itemID="{942A9908-A0E4-49FE-B1BB-EAF326896089}">
  <ds:schemaRefs>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bdb01c88-af54-46ef-8b38-c11759485684"/>
    <ds:schemaRef ds:uri="http://purl.org/dc/elements/1.1/"/>
    <ds:schemaRef ds:uri="http://schemas.microsoft.com/office/2006/metadata/properties"/>
    <ds:schemaRef ds:uri="43bcb968-bace-442f-a65f-908538f58f8c"/>
    <ds:schemaRef ds:uri="http://purl.org/dc/terms/"/>
    <ds:schemaRef ds:uri="http://www.w3.org/XML/1998/namespace"/>
  </ds:schemaRefs>
</ds:datastoreItem>
</file>

<file path=customXml/itemProps20.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projects</vt:lpstr>
      <vt:lpstr>journal</vt:lpstr>
      <vt:lpstr>timesheet</vt:lpstr>
      <vt:lpstr>time_day</vt:lpstr>
      <vt:lpstr>time_job_month</vt:lpstr>
      <vt:lpstr>time_job_total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De-Melo</cp:lastModifiedBy>
  <cp:revision/>
  <dcterms:created xsi:type="dcterms:W3CDTF">2018-11-28T09:39:45Z</dcterms:created>
  <dcterms:modified xsi:type="dcterms:W3CDTF">2020-12-18T16:05:01Z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