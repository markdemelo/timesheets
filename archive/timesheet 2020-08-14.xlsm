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hidePivotFieldList="1" defaultThemeVersion="166925"/>
  <mc:AlternateContent xmlns:mc="http://schemas.openxmlformats.org/markup-compatibility/2006">
    <mc:Choice Requires="x15">
      <x15ac:absPath xmlns:x15ac="http://schemas.microsoft.com/office/spreadsheetml/2010/11/ac" url="https://arup-my.sharepoint.com/personal/mark_de-melo_arup_com/Documents/time_booking/old/"/>
    </mc:Choice>
  </mc:AlternateContent>
  <xr:revisionPtr revIDLastSave="56" documentId="6_{C1A37FD3-9983-4328-A03B-1D88F49B9791}" xr6:coauthVersionLast="44" xr6:coauthVersionMax="44" xr10:uidLastSave="{33FE5839-C974-4473-A07D-DBDECE641DD1}"/>
  <bookViews>
    <workbookView xWindow="3180" yWindow="1560" windowWidth="27585" windowHeight="15885" autoFilterDateGrouping="0" xr2:uid="{077BB09F-D062-45D7-B97A-0C4A5B00FB77}"/>
  </bookViews>
  <sheets>
    <sheet name="timesheet_data" sheetId="1" r:id="rId1"/>
    <sheet name="time_day" sheetId="10" r:id="rId2"/>
    <sheet name="time_JobNo" sheetId="11" r:id="rId3"/>
    <sheet name="time_job" sheetId="3" r:id="rId4"/>
    <sheet name="job_codes_pvt" sheetId="6" r:id="rId5"/>
  </sheets>
  <definedNames>
    <definedName name="_xlcn.WorksheetConnection_timesheet.xlsxTable2" hidden="1">TimeEntry[]</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licer_job">#N/A</definedName>
    <definedName name="Slicer_job1">#N/A</definedName>
    <definedName name="Slicer_job11">#N/A</definedName>
  </definedNames>
  <calcPr calcId="191029"/>
  <pivotCaches>
    <pivotCache cacheId="0" r:id="rId6"/>
    <pivotCache cacheId="1" r:id="rId7"/>
    <pivotCache cacheId="2" r:id="rId8"/>
  </pivotCaches>
  <extLst>
    <ext xmlns:x14="http://schemas.microsoft.com/office/spreadsheetml/2009/9/main" uri="{876F7934-8845-4945-9796-88D515C7AA90}">
      <x14:pivotCaches>
        <pivotCache cacheId="3" r:id="rId9"/>
        <pivotCache cacheId="4" r:id="rId10"/>
      </x14:pivotCaches>
    </ex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timesheet.xlsx!Table2"/>
        </x15:modelTables>
        <x15:extLst>
          <ext xmlns:x16="http://schemas.microsoft.com/office/spreadsheetml/2014/11/main" uri="{9835A34E-60A6-4A7C-AAB8-D5F71C897F49}">
            <x16:modelTimeGroupings>
              <x16:modelTimeGrouping tableName="Table2"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2" i="1" l="1"/>
  <c r="J12" i="1"/>
  <c r="K12" i="1"/>
  <c r="N12" i="1"/>
  <c r="H12" i="1" s="1"/>
  <c r="O12" i="1" l="1"/>
  <c r="P12" i="1"/>
  <c r="I11"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K18" i="1"/>
  <c r="J18" i="1"/>
  <c r="N18" i="1"/>
  <c r="K20" i="1"/>
  <c r="J20" i="1"/>
  <c r="N20" i="1"/>
  <c r="N13" i="1"/>
  <c r="H13" i="1" s="1"/>
  <c r="J13" i="1"/>
  <c r="K13" i="1"/>
  <c r="Q12" i="1" l="1"/>
  <c r="P13" i="1"/>
  <c r="O13" i="1"/>
  <c r="K14" i="1"/>
  <c r="J14" i="1"/>
  <c r="N14" i="1"/>
  <c r="H14" i="1" s="1"/>
  <c r="Q13" i="1" l="1"/>
  <c r="O14" i="1"/>
  <c r="P14" i="1"/>
  <c r="K15" i="1"/>
  <c r="J15" i="1"/>
  <c r="N15" i="1"/>
  <c r="H15" i="1" s="1"/>
  <c r="Q14" i="1" l="1"/>
  <c r="O15" i="1"/>
  <c r="P15" i="1"/>
  <c r="K16" i="1"/>
  <c r="J16" i="1"/>
  <c r="N16" i="1"/>
  <c r="H16" i="1" s="1"/>
  <c r="Q15" i="1" l="1"/>
  <c r="O16" i="1"/>
  <c r="P16" i="1"/>
  <c r="K17" i="1"/>
  <c r="J17" i="1"/>
  <c r="N17" i="1"/>
  <c r="H17" i="1" s="1"/>
  <c r="H18" i="1" s="1"/>
  <c r="P18" i="1" l="1"/>
  <c r="O18" i="1"/>
  <c r="Q16" i="1"/>
  <c r="O17" i="1"/>
  <c r="P17" i="1"/>
  <c r="K19" i="1"/>
  <c r="J19" i="1"/>
  <c r="N19" i="1"/>
  <c r="H19" i="1" s="1"/>
  <c r="H20" i="1" s="1"/>
  <c r="Q18" i="1" l="1"/>
  <c r="O20" i="1"/>
  <c r="P20" i="1"/>
  <c r="Q17" i="1"/>
  <c r="O19" i="1"/>
  <c r="P19" i="1"/>
  <c r="K21" i="1"/>
  <c r="J21" i="1"/>
  <c r="N21" i="1"/>
  <c r="H21" i="1" s="1"/>
  <c r="Q20" i="1" l="1"/>
  <c r="Q19" i="1"/>
  <c r="O21" i="1"/>
  <c r="P21" i="1"/>
  <c r="K22" i="1"/>
  <c r="J22" i="1"/>
  <c r="N22" i="1"/>
  <c r="H22" i="1" s="1"/>
  <c r="Q21" i="1" l="1"/>
  <c r="O22" i="1"/>
  <c r="P22" i="1"/>
  <c r="K23" i="1"/>
  <c r="J23" i="1"/>
  <c r="N23" i="1"/>
  <c r="H23" i="1" s="1"/>
  <c r="Q22" i="1" l="1"/>
  <c r="O23" i="1"/>
  <c r="P23" i="1"/>
  <c r="K24" i="1"/>
  <c r="J24" i="1"/>
  <c r="N24" i="1"/>
  <c r="H24" i="1" s="1"/>
  <c r="Q23" i="1" l="1"/>
  <c r="O24" i="1"/>
  <c r="P24" i="1"/>
  <c r="K31" i="1"/>
  <c r="J31" i="1"/>
  <c r="N31" i="1"/>
  <c r="K28" i="1"/>
  <c r="J28" i="1"/>
  <c r="N28" i="1"/>
  <c r="K25" i="1"/>
  <c r="J25" i="1"/>
  <c r="N25" i="1"/>
  <c r="H25" i="1" s="1"/>
  <c r="Q24" i="1" l="1"/>
  <c r="O25" i="1"/>
  <c r="P25" i="1"/>
  <c r="K26" i="1"/>
  <c r="J26" i="1"/>
  <c r="N26" i="1"/>
  <c r="H26" i="1" s="1"/>
  <c r="Q25" i="1" l="1"/>
  <c r="P26" i="1"/>
  <c r="O26" i="1"/>
  <c r="K27" i="1"/>
  <c r="J27" i="1"/>
  <c r="N27" i="1"/>
  <c r="H27" i="1" s="1"/>
  <c r="H28" i="1" s="1"/>
  <c r="O28" i="1" l="1"/>
  <c r="P28" i="1"/>
  <c r="Q26" i="1"/>
  <c r="O27" i="1"/>
  <c r="P27" i="1"/>
  <c r="Q28" i="1" l="1"/>
  <c r="Q27" i="1"/>
  <c r="K29" i="1"/>
  <c r="J29" i="1"/>
  <c r="N29" i="1"/>
  <c r="H29" i="1" s="1"/>
  <c r="O29" i="1" l="1"/>
  <c r="P29" i="1"/>
  <c r="Q29" i="1" l="1"/>
  <c r="K30" i="1" l="1"/>
  <c r="J30" i="1"/>
  <c r="N30" i="1"/>
  <c r="H30" i="1" s="1"/>
  <c r="O30" i="1" l="1"/>
  <c r="P30" i="1"/>
  <c r="H31" i="1"/>
  <c r="O31" i="1" l="1"/>
  <c r="P31" i="1"/>
  <c r="Q30" i="1"/>
  <c r="K32" i="1"/>
  <c r="J32" i="1"/>
  <c r="N32" i="1"/>
  <c r="H32" i="1" s="1"/>
  <c r="Q31" i="1" l="1"/>
  <c r="O32" i="1"/>
  <c r="P32" i="1"/>
  <c r="K39" i="1"/>
  <c r="J39" i="1"/>
  <c r="N39" i="1"/>
  <c r="K34" i="1"/>
  <c r="J34" i="1"/>
  <c r="N34" i="1"/>
  <c r="K42" i="1"/>
  <c r="J42" i="1"/>
  <c r="N42" i="1"/>
  <c r="Q32" i="1" l="1"/>
  <c r="K33" i="1"/>
  <c r="J33" i="1"/>
  <c r="N33" i="1"/>
  <c r="H33" i="1" s="1"/>
  <c r="P33" i="1" l="1"/>
  <c r="H34" i="1"/>
  <c r="O33" i="1"/>
  <c r="Q33" i="1" l="1"/>
  <c r="O34" i="1"/>
  <c r="P34" i="1"/>
  <c r="K35" i="1"/>
  <c r="J35" i="1"/>
  <c r="N35" i="1"/>
  <c r="H35" i="1" s="1"/>
  <c r="Q34" i="1" l="1"/>
  <c r="O35" i="1"/>
  <c r="P35" i="1"/>
  <c r="K36" i="1"/>
  <c r="J36" i="1"/>
  <c r="N36" i="1"/>
  <c r="H36" i="1" s="1"/>
  <c r="Q35" i="1" l="1"/>
  <c r="O36" i="1"/>
  <c r="P36" i="1"/>
  <c r="K37" i="1"/>
  <c r="J37" i="1"/>
  <c r="N37" i="1"/>
  <c r="H37" i="1" s="1"/>
  <c r="Q36" i="1" l="1"/>
  <c r="O37" i="1"/>
  <c r="P37" i="1"/>
  <c r="K38" i="1"/>
  <c r="J38" i="1"/>
  <c r="N38" i="1"/>
  <c r="H38" i="1" s="1"/>
  <c r="H39" i="1" s="1"/>
  <c r="O39" i="1" l="1"/>
  <c r="P39" i="1"/>
  <c r="Q37" i="1"/>
  <c r="O38" i="1"/>
  <c r="P38" i="1"/>
  <c r="K40" i="1"/>
  <c r="J40" i="1"/>
  <c r="N40" i="1"/>
  <c r="H40" i="1" s="1"/>
  <c r="Q39" i="1" l="1"/>
  <c r="Q38" i="1"/>
  <c r="O40" i="1"/>
  <c r="P40" i="1"/>
  <c r="K41" i="1"/>
  <c r="J41" i="1"/>
  <c r="N41" i="1"/>
  <c r="H41" i="1" s="1"/>
  <c r="O41" i="1" l="1"/>
  <c r="Q40" i="1"/>
  <c r="P41" i="1"/>
  <c r="Q41" i="1" s="1"/>
  <c r="H42" i="1" l="1"/>
  <c r="K43" i="1"/>
  <c r="J43" i="1"/>
  <c r="N43" i="1"/>
  <c r="H43" i="1" s="1"/>
  <c r="O42" i="1" l="1"/>
  <c r="P42" i="1"/>
  <c r="O43" i="1"/>
  <c r="P43" i="1"/>
  <c r="Q42" i="1" l="1"/>
  <c r="Q43" i="1"/>
  <c r="K49" i="1"/>
  <c r="J49" i="1"/>
  <c r="N49" i="1"/>
  <c r="K44" i="1"/>
  <c r="J44" i="1"/>
  <c r="N44" i="1"/>
  <c r="H44" i="1" s="1"/>
  <c r="K47" i="1"/>
  <c r="J47" i="1"/>
  <c r="N47" i="1"/>
  <c r="O44" i="1" l="1"/>
  <c r="P44" i="1"/>
  <c r="K45" i="1"/>
  <c r="J45" i="1"/>
  <c r="N45" i="1"/>
  <c r="H45" i="1" s="1"/>
  <c r="Q44" i="1" l="1"/>
  <c r="O45" i="1"/>
  <c r="P45" i="1"/>
  <c r="Q45" i="1" l="1"/>
  <c r="K46" i="1"/>
  <c r="J46" i="1"/>
  <c r="N46" i="1"/>
  <c r="H46" i="1" s="1"/>
  <c r="H47" i="1" s="1"/>
  <c r="O47" i="1" l="1"/>
  <c r="P47" i="1"/>
  <c r="P46" i="1"/>
  <c r="O46" i="1"/>
  <c r="K48" i="1"/>
  <c r="J48" i="1"/>
  <c r="N48" i="1"/>
  <c r="H48" i="1" s="1"/>
  <c r="O48" i="1" s="1"/>
  <c r="Q47" i="1" l="1"/>
  <c r="Q46" i="1"/>
  <c r="P48" i="1"/>
  <c r="Q48" i="1" s="1"/>
  <c r="H49" i="1"/>
  <c r="O49" i="1" l="1"/>
  <c r="P49" i="1"/>
  <c r="K50" i="1"/>
  <c r="J50" i="1"/>
  <c r="N50" i="1"/>
  <c r="H50" i="1" s="1"/>
  <c r="Q49" i="1" l="1"/>
  <c r="O50" i="1"/>
  <c r="P50" i="1"/>
  <c r="Q50" i="1" l="1"/>
  <c r="K51" i="1"/>
  <c r="J51" i="1"/>
  <c r="N51" i="1"/>
  <c r="H51" i="1" s="1"/>
  <c r="O51" i="1" s="1"/>
  <c r="P51" i="1" l="1"/>
  <c r="Q51" i="1" s="1"/>
  <c r="K52" i="1"/>
  <c r="J52" i="1"/>
  <c r="N52" i="1"/>
  <c r="H52" i="1" s="1"/>
  <c r="O52" i="1" l="1"/>
  <c r="P52" i="1"/>
  <c r="K53" i="1"/>
  <c r="J53" i="1"/>
  <c r="N53" i="1"/>
  <c r="H53" i="1" s="1"/>
  <c r="Q52" i="1" l="1"/>
  <c r="P53" i="1"/>
  <c r="O53" i="1"/>
  <c r="K54" i="1"/>
  <c r="J54" i="1"/>
  <c r="N54" i="1"/>
  <c r="H54" i="1" s="1"/>
  <c r="Q53" i="1" l="1"/>
  <c r="O54" i="1"/>
  <c r="P54" i="1"/>
  <c r="Q54" i="1" l="1"/>
  <c r="K63" i="1"/>
  <c r="J63" i="1"/>
  <c r="N63" i="1"/>
  <c r="N57" i="1"/>
  <c r="H57" i="1" s="1"/>
  <c r="P57" i="1" s="1"/>
  <c r="J57" i="1"/>
  <c r="K57" i="1"/>
  <c r="K58" i="1"/>
  <c r="J58" i="1"/>
  <c r="N58" i="1"/>
  <c r="H58" i="1" s="1"/>
  <c r="K55" i="1"/>
  <c r="J55" i="1"/>
  <c r="N55" i="1"/>
  <c r="H55" i="1" s="1"/>
  <c r="O57" i="1" l="1"/>
  <c r="Q57" i="1" s="1"/>
  <c r="O58" i="1"/>
  <c r="P58" i="1"/>
  <c r="O55" i="1"/>
  <c r="P55" i="1"/>
  <c r="K56" i="1"/>
  <c r="J56" i="1"/>
  <c r="N56" i="1"/>
  <c r="H56" i="1" s="1"/>
  <c r="Q55" i="1" l="1"/>
  <c r="P56" i="1"/>
  <c r="Q58" i="1"/>
  <c r="O56" i="1"/>
  <c r="Q56" i="1" l="1"/>
  <c r="K59" i="1"/>
  <c r="J59" i="1"/>
  <c r="N59" i="1"/>
  <c r="H59" i="1" s="1"/>
  <c r="P59" i="1" s="1"/>
  <c r="O59" i="1" l="1"/>
  <c r="Q59" i="1" s="1"/>
  <c r="K60" i="1"/>
  <c r="J60" i="1"/>
  <c r="N60" i="1"/>
  <c r="H60" i="1" s="1"/>
  <c r="O60" i="1" l="1"/>
  <c r="P60" i="1"/>
  <c r="K61" i="1"/>
  <c r="J61" i="1"/>
  <c r="N61" i="1"/>
  <c r="H61" i="1" s="1"/>
  <c r="P61" i="1" s="1"/>
  <c r="Q60" i="1" l="1"/>
  <c r="O61" i="1"/>
  <c r="Q61" i="1" s="1"/>
  <c r="K62" i="1"/>
  <c r="J62" i="1"/>
  <c r="N62" i="1"/>
  <c r="H62" i="1" s="1"/>
  <c r="H63" i="1" s="1"/>
  <c r="O63" i="1" l="1"/>
  <c r="P63" i="1"/>
  <c r="O62" i="1"/>
  <c r="P62" i="1"/>
  <c r="K64" i="1"/>
  <c r="J64" i="1"/>
  <c r="N64" i="1"/>
  <c r="H64" i="1" s="1"/>
  <c r="Q63" i="1" l="1"/>
  <c r="Q62" i="1"/>
  <c r="O64" i="1"/>
  <c r="P64" i="1"/>
  <c r="K65" i="1"/>
  <c r="J65" i="1"/>
  <c r="N65" i="1"/>
  <c r="H65" i="1" s="1"/>
  <c r="Q64" i="1" l="1"/>
  <c r="O65" i="1"/>
  <c r="P65" i="1"/>
  <c r="K66" i="1"/>
  <c r="J66" i="1"/>
  <c r="N66" i="1"/>
  <c r="H66" i="1" s="1"/>
  <c r="Q65" i="1" l="1"/>
  <c r="P66" i="1"/>
  <c r="O66" i="1"/>
  <c r="K67" i="1"/>
  <c r="J67" i="1"/>
  <c r="N67" i="1"/>
  <c r="H67" i="1" s="1"/>
  <c r="Q66" i="1" l="1"/>
  <c r="P67" i="1"/>
  <c r="O67" i="1"/>
  <c r="Q67" i="1" l="1"/>
  <c r="J68" i="1"/>
  <c r="K71" i="1" l="1"/>
  <c r="J71" i="1"/>
  <c r="N71" i="1"/>
  <c r="H71" i="1" s="1"/>
  <c r="K68" i="1"/>
  <c r="K69" i="1"/>
  <c r="K70" i="1"/>
  <c r="J69" i="1"/>
  <c r="J70" i="1"/>
  <c r="N68" i="1"/>
  <c r="H68" i="1" s="1"/>
  <c r="N69" i="1"/>
  <c r="H69" i="1" s="1"/>
  <c r="N70" i="1"/>
  <c r="H70" i="1" s="1"/>
  <c r="K72" i="1" l="1"/>
  <c r="K73" i="1"/>
  <c r="K74" i="1"/>
  <c r="K75" i="1"/>
  <c r="J72" i="1"/>
  <c r="J73" i="1"/>
  <c r="J74" i="1"/>
  <c r="J75" i="1"/>
  <c r="N72" i="1"/>
  <c r="H72" i="1" s="1"/>
  <c r="N73" i="1"/>
  <c r="H73" i="1" s="1"/>
  <c r="N74" i="1"/>
  <c r="H74" i="1" s="1"/>
  <c r="N75" i="1"/>
  <c r="H75" i="1" s="1"/>
  <c r="K76" i="1"/>
  <c r="K77" i="1"/>
  <c r="J76" i="1"/>
  <c r="J77" i="1"/>
  <c r="N76" i="1"/>
  <c r="H76" i="1" s="1"/>
  <c r="N77" i="1"/>
  <c r="H77" i="1" s="1"/>
  <c r="P72" i="1" l="1"/>
  <c r="O72" i="1"/>
  <c r="O74" i="1"/>
  <c r="O76" i="1"/>
  <c r="P76" i="1"/>
  <c r="P77" i="1"/>
  <c r="O73" i="1"/>
  <c r="P73" i="1"/>
  <c r="L82" i="1"/>
  <c r="P75" i="1" l="1"/>
  <c r="Q72" i="1"/>
  <c r="Q76" i="1"/>
  <c r="Q73" i="1"/>
  <c r="P74" i="1"/>
  <c r="Q74" i="1" s="1"/>
  <c r="O77" i="1"/>
  <c r="Q77" i="1" s="1"/>
  <c r="K83" i="1"/>
  <c r="J83" i="1"/>
  <c r="N83" i="1"/>
  <c r="H83" i="1" s="1"/>
  <c r="K78" i="1"/>
  <c r="K79" i="1"/>
  <c r="K80" i="1"/>
  <c r="J78" i="1"/>
  <c r="J79" i="1"/>
  <c r="J80" i="1"/>
  <c r="N78" i="1"/>
  <c r="H78" i="1" s="1"/>
  <c r="N79" i="1"/>
  <c r="H79" i="1" s="1"/>
  <c r="N80" i="1"/>
  <c r="H80" i="1" s="1"/>
  <c r="O75" i="1" l="1"/>
  <c r="Q75" i="1" s="1"/>
  <c r="O68" i="1"/>
  <c r="P68" i="1"/>
  <c r="K84" i="1"/>
  <c r="K85" i="1"/>
  <c r="J84" i="1"/>
  <c r="J85" i="1"/>
  <c r="N84" i="1"/>
  <c r="H84" i="1" s="1"/>
  <c r="N85" i="1"/>
  <c r="H85" i="1" s="1"/>
  <c r="K81" i="1"/>
  <c r="K82" i="1"/>
  <c r="K86" i="1"/>
  <c r="K87" i="1"/>
  <c r="J81" i="1"/>
  <c r="J82" i="1"/>
  <c r="J86" i="1"/>
  <c r="J87" i="1"/>
  <c r="N81" i="1"/>
  <c r="H81" i="1" s="1"/>
  <c r="N82" i="1"/>
  <c r="H82" i="1" s="1"/>
  <c r="N86" i="1"/>
  <c r="H86" i="1" s="1"/>
  <c r="N87" i="1"/>
  <c r="H87" i="1" s="1"/>
  <c r="P69" i="1" l="1"/>
  <c r="O69" i="1"/>
  <c r="Q68" i="1"/>
  <c r="O81" i="1"/>
  <c r="P81" i="1"/>
  <c r="P78" i="1"/>
  <c r="O78" i="1"/>
  <c r="K90" i="1"/>
  <c r="J90" i="1"/>
  <c r="N90" i="1"/>
  <c r="H90" i="1" s="1"/>
  <c r="Q69" i="1" l="1"/>
  <c r="O71" i="1"/>
  <c r="P71" i="1"/>
  <c r="P70" i="1"/>
  <c r="O70" i="1"/>
  <c r="Q81" i="1"/>
  <c r="P84" i="1"/>
  <c r="Q78" i="1"/>
  <c r="P79" i="1"/>
  <c r="O79" i="1"/>
  <c r="P82" i="1"/>
  <c r="O82" i="1"/>
  <c r="K88" i="1"/>
  <c r="K89" i="1"/>
  <c r="K91" i="1"/>
  <c r="J88" i="1"/>
  <c r="J89" i="1"/>
  <c r="J91" i="1"/>
  <c r="N88" i="1"/>
  <c r="H88" i="1" s="1"/>
  <c r="N89" i="1"/>
  <c r="H89" i="1" s="1"/>
  <c r="N91" i="1"/>
  <c r="H91" i="1" s="1"/>
  <c r="O85" i="1" l="1"/>
  <c r="Q70" i="1"/>
  <c r="Q71" i="1"/>
  <c r="O84" i="1"/>
  <c r="Q84" i="1" s="1"/>
  <c r="Q79" i="1"/>
  <c r="O83" i="1"/>
  <c r="P83" i="1"/>
  <c r="P80" i="1"/>
  <c r="O80" i="1"/>
  <c r="Q82" i="1"/>
  <c r="P86" i="1"/>
  <c r="O86" i="1"/>
  <c r="K92" i="1"/>
  <c r="K93" i="1"/>
  <c r="J92" i="1"/>
  <c r="J93" i="1"/>
  <c r="N92" i="1"/>
  <c r="H92" i="1" s="1"/>
  <c r="N93" i="1"/>
  <c r="H93" i="1" s="1"/>
  <c r="P93" i="1" l="1"/>
  <c r="P85" i="1"/>
  <c r="Q85" i="1" s="1"/>
  <c r="Q80" i="1"/>
  <c r="Q83" i="1"/>
  <c r="Q86" i="1"/>
  <c r="O87" i="1"/>
  <c r="P87" i="1"/>
  <c r="P88" i="1"/>
  <c r="O88" i="1"/>
  <c r="P92" i="1"/>
  <c r="O92" i="1"/>
  <c r="O93" i="1"/>
  <c r="K95" i="1"/>
  <c r="J95" i="1"/>
  <c r="N95" i="1"/>
  <c r="H95" i="1" s="1"/>
  <c r="Q93" i="1" l="1"/>
  <c r="Q87" i="1"/>
  <c r="O90" i="1"/>
  <c r="P90" i="1"/>
  <c r="Q88" i="1"/>
  <c r="P89" i="1"/>
  <c r="O89" i="1"/>
  <c r="Q92" i="1"/>
  <c r="K94" i="1"/>
  <c r="K96" i="1"/>
  <c r="J94" i="1"/>
  <c r="J96" i="1"/>
  <c r="N94" i="1"/>
  <c r="H94" i="1" s="1"/>
  <c r="N96" i="1"/>
  <c r="H96" i="1" s="1"/>
  <c r="K97" i="1"/>
  <c r="K98" i="1"/>
  <c r="J97" i="1"/>
  <c r="J98" i="1"/>
  <c r="N97" i="1"/>
  <c r="H97" i="1" s="1"/>
  <c r="N98" i="1"/>
  <c r="H98" i="1" s="1"/>
  <c r="Q90" i="1" l="1"/>
  <c r="Q89" i="1"/>
  <c r="P91" i="1"/>
  <c r="O91" i="1"/>
  <c r="P95" i="1"/>
  <c r="O94" i="1"/>
  <c r="P94" i="1"/>
  <c r="O96" i="1"/>
  <c r="O97" i="1"/>
  <c r="P97" i="1"/>
  <c r="O98" i="1"/>
  <c r="K99" i="1"/>
  <c r="J99" i="1"/>
  <c r="N99" i="1"/>
  <c r="H99" i="1" s="1"/>
  <c r="K102" i="1"/>
  <c r="J102" i="1"/>
  <c r="N102" i="1"/>
  <c r="H102" i="1" s="1"/>
  <c r="K100" i="1"/>
  <c r="K101" i="1"/>
  <c r="K103" i="1"/>
  <c r="K104" i="1"/>
  <c r="K105" i="1"/>
  <c r="J100" i="1"/>
  <c r="J101" i="1"/>
  <c r="J103" i="1"/>
  <c r="J104" i="1"/>
  <c r="J105" i="1"/>
  <c r="N100" i="1"/>
  <c r="H100" i="1" s="1"/>
  <c r="N101" i="1"/>
  <c r="H101" i="1" s="1"/>
  <c r="N103" i="1"/>
  <c r="H103" i="1" s="1"/>
  <c r="N104" i="1"/>
  <c r="H104" i="1" s="1"/>
  <c r="N105" i="1"/>
  <c r="H105" i="1" s="1"/>
  <c r="O95" i="1" l="1"/>
  <c r="Q95" i="1" s="1"/>
  <c r="Q91" i="1"/>
  <c r="Q94" i="1"/>
  <c r="P96" i="1"/>
  <c r="Q96" i="1" s="1"/>
  <c r="Q97" i="1"/>
  <c r="P98" i="1"/>
  <c r="Q98" i="1" s="1"/>
  <c r="P99" i="1"/>
  <c r="O99" i="1"/>
  <c r="O100" i="1"/>
  <c r="P100" i="1"/>
  <c r="P101" i="1"/>
  <c r="O101" i="1"/>
  <c r="K111" i="1"/>
  <c r="K112" i="1"/>
  <c r="K113" i="1"/>
  <c r="J111" i="1"/>
  <c r="J112" i="1"/>
  <c r="J113" i="1"/>
  <c r="N111" i="1"/>
  <c r="H111" i="1" s="1"/>
  <c r="N112" i="1"/>
  <c r="H112" i="1" s="1"/>
  <c r="N113" i="1"/>
  <c r="H113" i="1" s="1"/>
  <c r="O103" i="1" l="1"/>
  <c r="Q99" i="1"/>
  <c r="Q100" i="1"/>
  <c r="Q101" i="1"/>
  <c r="P103" i="1"/>
  <c r="O102" i="1"/>
  <c r="P102" i="1"/>
  <c r="K106" i="1"/>
  <c r="J106" i="1"/>
  <c r="N106" i="1"/>
  <c r="H106" i="1" s="1"/>
  <c r="K107" i="1"/>
  <c r="J107" i="1"/>
  <c r="N107" i="1"/>
  <c r="H107" i="1" s="1"/>
  <c r="Q103" i="1" l="1"/>
  <c r="P104" i="1"/>
  <c r="O104" i="1"/>
  <c r="Q102" i="1"/>
  <c r="P105" i="1"/>
  <c r="O105" i="1"/>
  <c r="K110" i="1"/>
  <c r="J110" i="1"/>
  <c r="N110" i="1"/>
  <c r="H110" i="1" s="1"/>
  <c r="Q104" i="1" l="1"/>
  <c r="Q105" i="1"/>
  <c r="K108" i="1"/>
  <c r="J108" i="1"/>
  <c r="N108" i="1"/>
  <c r="H108" i="1" s="1"/>
  <c r="K109" i="1"/>
  <c r="J109" i="1"/>
  <c r="N109" i="1"/>
  <c r="H109" i="1" s="1"/>
  <c r="K11"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O107" i="1" l="1"/>
  <c r="P107" i="1"/>
  <c r="P108" i="1"/>
  <c r="J114" i="1"/>
  <c r="J115" i="1"/>
  <c r="J116" i="1"/>
  <c r="J117" i="1"/>
  <c r="J118" i="1"/>
  <c r="J119" i="1"/>
  <c r="J120" i="1"/>
  <c r="N114" i="1"/>
  <c r="H114" i="1" s="1"/>
  <c r="N115" i="1"/>
  <c r="H115" i="1" s="1"/>
  <c r="N116" i="1"/>
  <c r="H116" i="1" s="1"/>
  <c r="N117" i="1"/>
  <c r="H117" i="1" s="1"/>
  <c r="N118" i="1"/>
  <c r="H118" i="1" s="1"/>
  <c r="N119" i="1"/>
  <c r="H119" i="1" s="1"/>
  <c r="N120" i="1"/>
  <c r="H120" i="1" s="1"/>
  <c r="P109" i="1" l="1"/>
  <c r="O109" i="1"/>
  <c r="O110" i="1"/>
  <c r="P110" i="1"/>
  <c r="O111" i="1"/>
  <c r="P111" i="1"/>
  <c r="O106" i="1"/>
  <c r="P106" i="1"/>
  <c r="Q107" i="1"/>
  <c r="O108" i="1"/>
  <c r="Q108" i="1" s="1"/>
  <c r="J121" i="1"/>
  <c r="J122" i="1"/>
  <c r="J123" i="1"/>
  <c r="J124" i="1"/>
  <c r="J125" i="1"/>
  <c r="N121" i="1"/>
  <c r="H121" i="1" s="1"/>
  <c r="N122" i="1"/>
  <c r="H122" i="1" s="1"/>
  <c r="N123" i="1"/>
  <c r="H123" i="1" s="1"/>
  <c r="N124" i="1"/>
  <c r="H124" i="1" s="1"/>
  <c r="N125" i="1"/>
  <c r="H125" i="1" s="1"/>
  <c r="Q109" i="1" l="1"/>
  <c r="Q110" i="1"/>
  <c r="O114" i="1"/>
  <c r="P114" i="1"/>
  <c r="O112" i="1"/>
  <c r="P112" i="1"/>
  <c r="Q111" i="1"/>
  <c r="P113" i="1"/>
  <c r="O113" i="1"/>
  <c r="Q106" i="1"/>
  <c r="J135" i="1"/>
  <c r="N135" i="1"/>
  <c r="H135" i="1" s="1"/>
  <c r="J132" i="1"/>
  <c r="N132" i="1"/>
  <c r="H132" i="1" s="1"/>
  <c r="J134" i="1"/>
  <c r="N134" i="1"/>
  <c r="H134" i="1" s="1"/>
  <c r="J126" i="1"/>
  <c r="N126" i="1"/>
  <c r="H126" i="1" s="1"/>
  <c r="J127" i="1"/>
  <c r="J128" i="1"/>
  <c r="J129" i="1"/>
  <c r="J130" i="1"/>
  <c r="N127" i="1"/>
  <c r="H127" i="1" s="1"/>
  <c r="N128" i="1"/>
  <c r="H128" i="1" s="1"/>
  <c r="N129" i="1"/>
  <c r="H129" i="1" s="1"/>
  <c r="N130" i="1"/>
  <c r="H130" i="1" s="1"/>
  <c r="J131" i="1"/>
  <c r="J133" i="1"/>
  <c r="J136" i="1"/>
  <c r="J137" i="1"/>
  <c r="J138" i="1"/>
  <c r="J139" i="1"/>
  <c r="J140" i="1"/>
  <c r="J141" i="1"/>
  <c r="J142" i="1"/>
  <c r="N131" i="1"/>
  <c r="H131" i="1" s="1"/>
  <c r="N133" i="1"/>
  <c r="H133" i="1" s="1"/>
  <c r="N136" i="1"/>
  <c r="H136" i="1" s="1"/>
  <c r="N137" i="1"/>
  <c r="H137" i="1" s="1"/>
  <c r="N138" i="1"/>
  <c r="H138" i="1" s="1"/>
  <c r="N139" i="1"/>
  <c r="H139" i="1" s="1"/>
  <c r="N140" i="1"/>
  <c r="H140" i="1" s="1"/>
  <c r="N141" i="1"/>
  <c r="H141" i="1" s="1"/>
  <c r="N142" i="1"/>
  <c r="H142" i="1" s="1"/>
  <c r="P116" i="1" l="1"/>
  <c r="O115" i="1"/>
  <c r="O116" i="1"/>
  <c r="Q114" i="1"/>
  <c r="Q112" i="1"/>
  <c r="P115" i="1"/>
  <c r="Q113" i="1"/>
  <c r="P117" i="1"/>
  <c r="O117" i="1"/>
  <c r="J143" i="1"/>
  <c r="J144" i="1"/>
  <c r="J145" i="1"/>
  <c r="J146" i="1"/>
  <c r="J147" i="1"/>
  <c r="J148" i="1"/>
  <c r="J149" i="1"/>
  <c r="J150" i="1"/>
  <c r="J151" i="1"/>
  <c r="J152" i="1"/>
  <c r="N143" i="1"/>
  <c r="H143" i="1" s="1"/>
  <c r="N144" i="1"/>
  <c r="H144" i="1" s="1"/>
  <c r="N145" i="1"/>
  <c r="H145" i="1" s="1"/>
  <c r="N146" i="1"/>
  <c r="H146" i="1" s="1"/>
  <c r="N147" i="1"/>
  <c r="H147" i="1" s="1"/>
  <c r="N148" i="1"/>
  <c r="H148" i="1" s="1"/>
  <c r="N149" i="1"/>
  <c r="H149" i="1" s="1"/>
  <c r="N150" i="1"/>
  <c r="H150" i="1" s="1"/>
  <c r="N151" i="1"/>
  <c r="H151" i="1" s="1"/>
  <c r="N152" i="1"/>
  <c r="H152" i="1" s="1"/>
  <c r="Q116" i="1" l="1"/>
  <c r="Q115" i="1"/>
  <c r="Q117" i="1"/>
  <c r="P118" i="1"/>
  <c r="O118" i="1"/>
  <c r="P131" i="1"/>
  <c r="J153" i="1"/>
  <c r="J154" i="1"/>
  <c r="J155" i="1"/>
  <c r="J156" i="1"/>
  <c r="J157" i="1"/>
  <c r="N153" i="1"/>
  <c r="H153" i="1" s="1"/>
  <c r="N154" i="1"/>
  <c r="H154" i="1" s="1"/>
  <c r="N155" i="1"/>
  <c r="H155" i="1" s="1"/>
  <c r="N156" i="1"/>
  <c r="H156" i="1" s="1"/>
  <c r="N157" i="1"/>
  <c r="H157" i="1" s="1"/>
  <c r="Q118" i="1" l="1"/>
  <c r="O119" i="1"/>
  <c r="P119" i="1"/>
  <c r="O135" i="1"/>
  <c r="P135" i="1"/>
  <c r="O131" i="1"/>
  <c r="Q131" i="1" s="1"/>
  <c r="O134" i="1"/>
  <c r="P134" i="1"/>
  <c r="O126" i="1"/>
  <c r="P126" i="1"/>
  <c r="O133" i="1"/>
  <c r="P133" i="1"/>
  <c r="O143" i="1"/>
  <c r="P143" i="1"/>
  <c r="J159" i="1"/>
  <c r="N159" i="1"/>
  <c r="H159" i="1" s="1"/>
  <c r="J162" i="1"/>
  <c r="N162" i="1"/>
  <c r="H162" i="1" s="1"/>
  <c r="J158" i="1"/>
  <c r="J160" i="1"/>
  <c r="J161" i="1"/>
  <c r="J163" i="1"/>
  <c r="N158" i="1"/>
  <c r="H158" i="1" s="1"/>
  <c r="N160" i="1"/>
  <c r="H160" i="1" s="1"/>
  <c r="N161" i="1"/>
  <c r="H161" i="1" s="1"/>
  <c r="N163" i="1"/>
  <c r="H163" i="1" s="1"/>
  <c r="J164" i="1"/>
  <c r="J165" i="1"/>
  <c r="J166" i="1"/>
  <c r="J167" i="1"/>
  <c r="J168" i="1"/>
  <c r="N164" i="1"/>
  <c r="H164" i="1" s="1"/>
  <c r="N165" i="1"/>
  <c r="H165" i="1" s="1"/>
  <c r="N166" i="1"/>
  <c r="H166" i="1" s="1"/>
  <c r="N167" i="1"/>
  <c r="H167" i="1" s="1"/>
  <c r="N168" i="1"/>
  <c r="H168" i="1" s="1"/>
  <c r="J169" i="1"/>
  <c r="J170" i="1"/>
  <c r="N169" i="1"/>
  <c r="H169" i="1" s="1"/>
  <c r="N170" i="1"/>
  <c r="H170" i="1" s="1"/>
  <c r="P153" i="1" l="1"/>
  <c r="O153" i="1"/>
  <c r="P120" i="1"/>
  <c r="O120" i="1"/>
  <c r="Q119" i="1"/>
  <c r="O121" i="1"/>
  <c r="P121" i="1"/>
  <c r="Q135" i="1"/>
  <c r="P132" i="1"/>
  <c r="O132" i="1"/>
  <c r="Q126" i="1"/>
  <c r="Q134" i="1"/>
  <c r="O127" i="1"/>
  <c r="P127" i="1"/>
  <c r="Q133" i="1"/>
  <c r="O144" i="1"/>
  <c r="P144" i="1"/>
  <c r="Q143" i="1"/>
  <c r="O154" i="1"/>
  <c r="P154" i="1"/>
  <c r="O155" i="1"/>
  <c r="P155" i="1"/>
  <c r="J179" i="1"/>
  <c r="N179" i="1"/>
  <c r="H179" i="1" s="1"/>
  <c r="J171" i="1"/>
  <c r="J172" i="1"/>
  <c r="J173" i="1"/>
  <c r="J174" i="1"/>
  <c r="J175" i="1"/>
  <c r="N171" i="1"/>
  <c r="H171" i="1" s="1"/>
  <c r="N172" i="1"/>
  <c r="H172" i="1" s="1"/>
  <c r="N173" i="1"/>
  <c r="H173" i="1" s="1"/>
  <c r="N174" i="1"/>
  <c r="H174" i="1" s="1"/>
  <c r="N175" i="1"/>
  <c r="H175" i="1" s="1"/>
  <c r="Q153" i="1" l="1"/>
  <c r="O158" i="1"/>
  <c r="P158" i="1"/>
  <c r="O159" i="1"/>
  <c r="P159" i="1"/>
  <c r="Q120" i="1"/>
  <c r="O122" i="1"/>
  <c r="P122" i="1"/>
  <c r="Q121" i="1"/>
  <c r="Q132" i="1"/>
  <c r="P128" i="1"/>
  <c r="O128" i="1"/>
  <c r="Q127" i="1"/>
  <c r="P136" i="1"/>
  <c r="O136" i="1"/>
  <c r="Q144" i="1"/>
  <c r="O145" i="1"/>
  <c r="P145" i="1"/>
  <c r="Q154" i="1"/>
  <c r="Q155" i="1"/>
  <c r="P156" i="1"/>
  <c r="O156" i="1"/>
  <c r="J176" i="1"/>
  <c r="J177" i="1"/>
  <c r="J178" i="1"/>
  <c r="J180" i="1"/>
  <c r="N176" i="1"/>
  <c r="H176" i="1" s="1"/>
  <c r="N177" i="1"/>
  <c r="H177" i="1" s="1"/>
  <c r="N178" i="1"/>
  <c r="H178" i="1" s="1"/>
  <c r="N180" i="1"/>
  <c r="H180" i="1" s="1"/>
  <c r="Q158" i="1" l="1"/>
  <c r="Q159" i="1"/>
  <c r="P160" i="1"/>
  <c r="O160" i="1"/>
  <c r="P164" i="1"/>
  <c r="O164" i="1"/>
  <c r="O123" i="1"/>
  <c r="P123" i="1"/>
  <c r="Q122" i="1"/>
  <c r="Q128" i="1"/>
  <c r="P129" i="1"/>
  <c r="O129" i="1"/>
  <c r="Q136" i="1"/>
  <c r="P137" i="1"/>
  <c r="O137" i="1"/>
  <c r="O146" i="1"/>
  <c r="P146" i="1"/>
  <c r="Q145" i="1"/>
  <c r="Q156" i="1"/>
  <c r="P157" i="1"/>
  <c r="O157" i="1"/>
  <c r="P162" i="1"/>
  <c r="O162" i="1"/>
  <c r="O161" i="1"/>
  <c r="P161" i="1"/>
  <c r="J182" i="1"/>
  <c r="N182" i="1"/>
  <c r="H182" i="1" s="1"/>
  <c r="Q160" i="1" l="1"/>
  <c r="Q164" i="1"/>
  <c r="P165" i="1"/>
  <c r="O165" i="1"/>
  <c r="Q123" i="1"/>
  <c r="P124" i="1"/>
  <c r="O124" i="1"/>
  <c r="Q129" i="1"/>
  <c r="P130" i="1"/>
  <c r="O130" i="1"/>
  <c r="Q137" i="1"/>
  <c r="O138" i="1"/>
  <c r="P138" i="1"/>
  <c r="Q146" i="1"/>
  <c r="O147" i="1"/>
  <c r="P147" i="1"/>
  <c r="Q157" i="1"/>
  <c r="Q162" i="1"/>
  <c r="Q161" i="1"/>
  <c r="O163" i="1"/>
  <c r="P163" i="1"/>
  <c r="J181" i="1"/>
  <c r="J183" i="1"/>
  <c r="J184" i="1"/>
  <c r="J185" i="1"/>
  <c r="J186" i="1"/>
  <c r="J187" i="1"/>
  <c r="N181" i="1"/>
  <c r="H181" i="1" s="1"/>
  <c r="N183" i="1"/>
  <c r="H183" i="1" s="1"/>
  <c r="N184" i="1"/>
  <c r="H184" i="1" s="1"/>
  <c r="N185" i="1"/>
  <c r="H185" i="1" s="1"/>
  <c r="N186" i="1"/>
  <c r="H186" i="1" s="1"/>
  <c r="N187" i="1"/>
  <c r="H187" i="1" s="1"/>
  <c r="J188" i="1"/>
  <c r="N188" i="1"/>
  <c r="H188" i="1" s="1"/>
  <c r="J189" i="1"/>
  <c r="N189" i="1"/>
  <c r="H189" i="1" s="1"/>
  <c r="J190" i="1"/>
  <c r="N190" i="1"/>
  <c r="H190" i="1" s="1"/>
  <c r="J191" i="1"/>
  <c r="N191" i="1"/>
  <c r="H191" i="1" s="1"/>
  <c r="J192" i="1"/>
  <c r="N192" i="1"/>
  <c r="H192" i="1" s="1"/>
  <c r="J193" i="1"/>
  <c r="N193" i="1"/>
  <c r="H193" i="1" s="1"/>
  <c r="J194" i="1"/>
  <c r="N194" i="1"/>
  <c r="H194" i="1" s="1"/>
  <c r="J195" i="1"/>
  <c r="N195" i="1"/>
  <c r="H195" i="1" s="1"/>
  <c r="J196" i="1"/>
  <c r="N196" i="1"/>
  <c r="H196" i="1" s="1"/>
  <c r="J197" i="1"/>
  <c r="N197" i="1"/>
  <c r="H197" i="1" s="1"/>
  <c r="J198" i="1"/>
  <c r="N198" i="1"/>
  <c r="H198" i="1" s="1"/>
  <c r="J199" i="1"/>
  <c r="N199" i="1"/>
  <c r="H199" i="1" s="1"/>
  <c r="J200" i="1"/>
  <c r="N200" i="1"/>
  <c r="H200" i="1" s="1"/>
  <c r="J201" i="1"/>
  <c r="N201" i="1"/>
  <c r="H201" i="1" s="1"/>
  <c r="Q165" i="1" l="1"/>
  <c r="P166" i="1"/>
  <c r="O166" i="1"/>
  <c r="Q124" i="1"/>
  <c r="P125" i="1"/>
  <c r="O125" i="1"/>
  <c r="Q130" i="1"/>
  <c r="Q138" i="1"/>
  <c r="O139" i="1"/>
  <c r="P139" i="1"/>
  <c r="Q147" i="1"/>
  <c r="P148" i="1"/>
  <c r="O148" i="1"/>
  <c r="Q163" i="1"/>
  <c r="Q166" i="1" l="1"/>
  <c r="P167" i="1"/>
  <c r="O167" i="1"/>
  <c r="Q125" i="1"/>
  <c r="O140" i="1"/>
  <c r="P140" i="1"/>
  <c r="Q139" i="1"/>
  <c r="Q148" i="1"/>
  <c r="P149" i="1"/>
  <c r="O149" i="1"/>
  <c r="J207" i="1"/>
  <c r="N207" i="1"/>
  <c r="H207" i="1" s="1"/>
  <c r="Q167" i="1" l="1"/>
  <c r="O168" i="1"/>
  <c r="P168" i="1"/>
  <c r="Q140" i="1"/>
  <c r="O141" i="1"/>
  <c r="P141" i="1"/>
  <c r="Q149" i="1"/>
  <c r="O150" i="1"/>
  <c r="P150" i="1"/>
  <c r="J202" i="1"/>
  <c r="J203" i="1"/>
  <c r="J204" i="1"/>
  <c r="J205" i="1"/>
  <c r="J206" i="1"/>
  <c r="N202" i="1"/>
  <c r="H202" i="1" s="1"/>
  <c r="N203" i="1"/>
  <c r="H203" i="1" s="1"/>
  <c r="N204" i="1"/>
  <c r="H204" i="1" s="1"/>
  <c r="N205" i="1"/>
  <c r="H205" i="1" s="1"/>
  <c r="N206" i="1"/>
  <c r="H206" i="1" s="1"/>
  <c r="Q168" i="1" l="1"/>
  <c r="P169" i="1"/>
  <c r="O169" i="1"/>
  <c r="O142" i="1"/>
  <c r="P142" i="1"/>
  <c r="Q141" i="1"/>
  <c r="Q150" i="1"/>
  <c r="O151" i="1"/>
  <c r="P151" i="1"/>
  <c r="J208" i="1"/>
  <c r="J209" i="1"/>
  <c r="J210" i="1"/>
  <c r="J211" i="1"/>
  <c r="J212" i="1"/>
  <c r="N208" i="1"/>
  <c r="H208" i="1" s="1"/>
  <c r="N209" i="1"/>
  <c r="H209" i="1" s="1"/>
  <c r="N210" i="1"/>
  <c r="H210" i="1" s="1"/>
  <c r="N211" i="1"/>
  <c r="H211" i="1" s="1"/>
  <c r="N212" i="1"/>
  <c r="H212" i="1" s="1"/>
  <c r="Q169" i="1" l="1"/>
  <c r="O170" i="1"/>
  <c r="P170" i="1"/>
  <c r="Q142" i="1"/>
  <c r="Q151" i="1"/>
  <c r="O152" i="1"/>
  <c r="P152" i="1"/>
  <c r="J213" i="1"/>
  <c r="J214" i="1"/>
  <c r="J215" i="1"/>
  <c r="J216" i="1"/>
  <c r="J217" i="1"/>
  <c r="N213" i="1"/>
  <c r="H213" i="1" s="1"/>
  <c r="N214" i="1"/>
  <c r="H214" i="1" s="1"/>
  <c r="N215" i="1"/>
  <c r="H215" i="1" s="1"/>
  <c r="N216" i="1"/>
  <c r="H216" i="1" s="1"/>
  <c r="N217" i="1"/>
  <c r="H217" i="1" s="1"/>
  <c r="Q170" i="1" l="1"/>
  <c r="O171" i="1"/>
  <c r="P171" i="1"/>
  <c r="Q152" i="1"/>
  <c r="L221" i="1"/>
  <c r="J220" i="1"/>
  <c r="J221" i="1"/>
  <c r="N220" i="1"/>
  <c r="H220" i="1" s="1"/>
  <c r="N221" i="1"/>
  <c r="H221" i="1" s="1"/>
  <c r="J218" i="1"/>
  <c r="J219" i="1"/>
  <c r="J222" i="1"/>
  <c r="J223" i="1"/>
  <c r="J224" i="1"/>
  <c r="N218" i="1"/>
  <c r="H218" i="1" s="1"/>
  <c r="N219" i="1"/>
  <c r="H219" i="1" s="1"/>
  <c r="N222" i="1"/>
  <c r="H222" i="1" s="1"/>
  <c r="N223" i="1"/>
  <c r="H223" i="1" s="1"/>
  <c r="N224" i="1"/>
  <c r="H224" i="1" s="1"/>
  <c r="O172" i="1" l="1"/>
  <c r="P172" i="1"/>
  <c r="Q171" i="1"/>
  <c r="J225" i="1"/>
  <c r="J226" i="1"/>
  <c r="J227" i="1"/>
  <c r="J228" i="1"/>
  <c r="J229" i="1"/>
  <c r="J230" i="1"/>
  <c r="J231" i="1"/>
  <c r="J232" i="1"/>
  <c r="J233" i="1"/>
  <c r="J234" i="1"/>
  <c r="N225" i="1"/>
  <c r="H225" i="1" s="1"/>
  <c r="N226" i="1"/>
  <c r="H226" i="1" s="1"/>
  <c r="N227" i="1"/>
  <c r="H227" i="1" s="1"/>
  <c r="N228" i="1"/>
  <c r="H228" i="1" s="1"/>
  <c r="N229" i="1"/>
  <c r="H229" i="1" s="1"/>
  <c r="N230" i="1"/>
  <c r="H230" i="1" s="1"/>
  <c r="N231" i="1"/>
  <c r="H231" i="1" s="1"/>
  <c r="N232" i="1"/>
  <c r="H232" i="1" s="1"/>
  <c r="N233" i="1"/>
  <c r="H233" i="1" s="1"/>
  <c r="N234" i="1"/>
  <c r="H234" i="1" s="1"/>
  <c r="Q172" i="1" l="1"/>
  <c r="P173" i="1"/>
  <c r="O173" i="1"/>
  <c r="J238" i="1"/>
  <c r="N238" i="1"/>
  <c r="H238" i="1" s="1"/>
  <c r="J236" i="1"/>
  <c r="N236" i="1"/>
  <c r="H236" i="1" s="1"/>
  <c r="J235" i="1"/>
  <c r="J237" i="1"/>
  <c r="J239" i="1"/>
  <c r="J240" i="1"/>
  <c r="J241" i="1"/>
  <c r="N235" i="1"/>
  <c r="H235" i="1" s="1"/>
  <c r="N237" i="1"/>
  <c r="H237" i="1" s="1"/>
  <c r="N239" i="1"/>
  <c r="H239" i="1" s="1"/>
  <c r="N240" i="1"/>
  <c r="H240" i="1" s="1"/>
  <c r="N241" i="1"/>
  <c r="H241" i="1" s="1"/>
  <c r="Q173" i="1" l="1"/>
  <c r="P174" i="1"/>
  <c r="O174" i="1"/>
  <c r="Q174" i="1" l="1"/>
  <c r="O175" i="1"/>
  <c r="P175" i="1"/>
  <c r="J242" i="1"/>
  <c r="J243" i="1"/>
  <c r="J244" i="1"/>
  <c r="J245" i="1"/>
  <c r="J246" i="1"/>
  <c r="N242" i="1"/>
  <c r="H242" i="1" s="1"/>
  <c r="N243" i="1"/>
  <c r="H243" i="1" s="1"/>
  <c r="N244" i="1"/>
  <c r="H244" i="1" s="1"/>
  <c r="N245" i="1"/>
  <c r="H245" i="1" s="1"/>
  <c r="N246" i="1"/>
  <c r="H246" i="1" s="1"/>
  <c r="J257" i="1"/>
  <c r="J258" i="1"/>
  <c r="N257" i="1"/>
  <c r="H257" i="1" s="1"/>
  <c r="N258" i="1"/>
  <c r="H258" i="1" s="1"/>
  <c r="Q175" i="1" l="1"/>
  <c r="O176" i="1"/>
  <c r="P176" i="1"/>
  <c r="J250" i="1"/>
  <c r="N250" i="1"/>
  <c r="H250" i="1" s="1"/>
  <c r="J247" i="1"/>
  <c r="J248" i="1"/>
  <c r="J249" i="1"/>
  <c r="J251" i="1"/>
  <c r="J252" i="1"/>
  <c r="J253" i="1"/>
  <c r="J254" i="1"/>
  <c r="J255" i="1"/>
  <c r="J256" i="1"/>
  <c r="N247" i="1"/>
  <c r="H247" i="1" s="1"/>
  <c r="N248" i="1"/>
  <c r="H248" i="1" s="1"/>
  <c r="N249" i="1"/>
  <c r="H249" i="1" s="1"/>
  <c r="N251" i="1"/>
  <c r="H251" i="1" s="1"/>
  <c r="N252" i="1"/>
  <c r="H252" i="1" s="1"/>
  <c r="N253" i="1"/>
  <c r="H253" i="1" s="1"/>
  <c r="N254" i="1"/>
  <c r="H254" i="1" s="1"/>
  <c r="N255" i="1"/>
  <c r="H255" i="1" s="1"/>
  <c r="N256" i="1"/>
  <c r="H256" i="1" s="1"/>
  <c r="Q176" i="1" l="1"/>
  <c r="P177" i="1"/>
  <c r="O177" i="1"/>
  <c r="J262" i="1"/>
  <c r="N262" i="1"/>
  <c r="H262" i="1" s="1"/>
  <c r="Q177" i="1" l="1"/>
  <c r="P178" i="1"/>
  <c r="O178" i="1"/>
  <c r="J260" i="1"/>
  <c r="J261" i="1"/>
  <c r="J263" i="1"/>
  <c r="J264" i="1"/>
  <c r="J265" i="1"/>
  <c r="J266" i="1"/>
  <c r="J267" i="1"/>
  <c r="N260" i="1"/>
  <c r="H260" i="1" s="1"/>
  <c r="N261" i="1"/>
  <c r="H261" i="1" s="1"/>
  <c r="N263" i="1"/>
  <c r="H263" i="1" s="1"/>
  <c r="N264" i="1"/>
  <c r="H264" i="1" s="1"/>
  <c r="N265" i="1"/>
  <c r="H265" i="1" s="1"/>
  <c r="N266" i="1"/>
  <c r="H266" i="1" s="1"/>
  <c r="N267" i="1"/>
  <c r="H267" i="1" s="1"/>
  <c r="J259" i="1"/>
  <c r="N259" i="1"/>
  <c r="H259" i="1" s="1"/>
  <c r="J274" i="1"/>
  <c r="N274" i="1"/>
  <c r="H274" i="1" s="1"/>
  <c r="J270" i="1"/>
  <c r="N270" i="1"/>
  <c r="H270" i="1" s="1"/>
  <c r="J273" i="1"/>
  <c r="N273" i="1"/>
  <c r="H273" i="1" s="1"/>
  <c r="J268" i="1"/>
  <c r="J269" i="1"/>
  <c r="J271" i="1"/>
  <c r="J272" i="1"/>
  <c r="J275" i="1"/>
  <c r="J276" i="1"/>
  <c r="J277" i="1"/>
  <c r="N268" i="1"/>
  <c r="H268" i="1" s="1"/>
  <c r="N269" i="1"/>
  <c r="H269" i="1" s="1"/>
  <c r="N271" i="1"/>
  <c r="H271" i="1" s="1"/>
  <c r="N272" i="1"/>
  <c r="H272" i="1" s="1"/>
  <c r="N275" i="1"/>
  <c r="H275" i="1" s="1"/>
  <c r="N276" i="1"/>
  <c r="H276" i="1" s="1"/>
  <c r="N277" i="1"/>
  <c r="H277" i="1" s="1"/>
  <c r="Q178" i="1" l="1"/>
  <c r="P179" i="1"/>
  <c r="O179" i="1"/>
  <c r="J278" i="1"/>
  <c r="J279" i="1"/>
  <c r="J280" i="1"/>
  <c r="J281" i="1"/>
  <c r="J282" i="1"/>
  <c r="J283" i="1"/>
  <c r="N278" i="1"/>
  <c r="H278" i="1" s="1"/>
  <c r="N279" i="1"/>
  <c r="H279" i="1" s="1"/>
  <c r="N280" i="1"/>
  <c r="H280" i="1" s="1"/>
  <c r="N281" i="1"/>
  <c r="H281" i="1" s="1"/>
  <c r="N282" i="1"/>
  <c r="H282" i="1" s="1"/>
  <c r="N283" i="1"/>
  <c r="H283" i="1" s="1"/>
  <c r="Q179" i="1" l="1"/>
  <c r="P180" i="1"/>
  <c r="O180" i="1"/>
  <c r="J289" i="1"/>
  <c r="N289" i="1"/>
  <c r="H289" i="1" s="1"/>
  <c r="J285" i="1"/>
  <c r="N285" i="1"/>
  <c r="H285" i="1" s="1"/>
  <c r="J292" i="1"/>
  <c r="N292" i="1"/>
  <c r="H292" i="1" s="1"/>
  <c r="J284" i="1"/>
  <c r="J286" i="1"/>
  <c r="J287" i="1"/>
  <c r="J288" i="1"/>
  <c r="J290" i="1"/>
  <c r="J291" i="1"/>
  <c r="J293" i="1"/>
  <c r="N284" i="1"/>
  <c r="H284" i="1" s="1"/>
  <c r="N286" i="1"/>
  <c r="H286" i="1" s="1"/>
  <c r="N287" i="1"/>
  <c r="H287" i="1" s="1"/>
  <c r="N288" i="1"/>
  <c r="H288" i="1" s="1"/>
  <c r="N290" i="1"/>
  <c r="H290" i="1" s="1"/>
  <c r="N291" i="1"/>
  <c r="H291" i="1" s="1"/>
  <c r="N293" i="1"/>
  <c r="H293" i="1" s="1"/>
  <c r="Q180" i="1" l="1"/>
  <c r="O181" i="1"/>
  <c r="P181" i="1"/>
  <c r="J299" i="1"/>
  <c r="N299" i="1"/>
  <c r="H299" i="1" s="1"/>
  <c r="J294" i="1"/>
  <c r="J295" i="1"/>
  <c r="J296" i="1"/>
  <c r="N294" i="1"/>
  <c r="H294" i="1" s="1"/>
  <c r="N295" i="1"/>
  <c r="H295" i="1" s="1"/>
  <c r="N296" i="1"/>
  <c r="H296" i="1" s="1"/>
  <c r="Q181" i="1" l="1"/>
  <c r="O182" i="1"/>
  <c r="P182" i="1"/>
  <c r="J302" i="1"/>
  <c r="N302" i="1"/>
  <c r="H302" i="1" s="1"/>
  <c r="J297" i="1"/>
  <c r="J298" i="1"/>
  <c r="J300" i="1"/>
  <c r="J301" i="1"/>
  <c r="J303" i="1"/>
  <c r="J304" i="1"/>
  <c r="J305" i="1"/>
  <c r="J306" i="1"/>
  <c r="N297" i="1"/>
  <c r="H297" i="1" s="1"/>
  <c r="N298" i="1"/>
  <c r="H298" i="1" s="1"/>
  <c r="N300" i="1"/>
  <c r="H300" i="1" s="1"/>
  <c r="N301" i="1"/>
  <c r="H301" i="1" s="1"/>
  <c r="N303" i="1"/>
  <c r="H303" i="1" s="1"/>
  <c r="N304" i="1"/>
  <c r="H304" i="1" s="1"/>
  <c r="N305" i="1"/>
  <c r="H305" i="1" s="1"/>
  <c r="N306" i="1"/>
  <c r="H306" i="1" s="1"/>
  <c r="O183" i="1" l="1"/>
  <c r="P183" i="1"/>
  <c r="Q182" i="1"/>
  <c r="J309" i="1"/>
  <c r="J310" i="1"/>
  <c r="J311" i="1"/>
  <c r="J312" i="1"/>
  <c r="J313" i="1"/>
  <c r="J314" i="1"/>
  <c r="N309" i="1"/>
  <c r="H309" i="1" s="1"/>
  <c r="N310" i="1"/>
  <c r="H310" i="1" s="1"/>
  <c r="N311" i="1"/>
  <c r="H311" i="1" s="1"/>
  <c r="N312" i="1"/>
  <c r="H312" i="1" s="1"/>
  <c r="N313" i="1"/>
  <c r="H313" i="1" s="1"/>
  <c r="N314" i="1"/>
  <c r="H314" i="1" s="1"/>
  <c r="Q183" i="1" l="1"/>
  <c r="O184" i="1"/>
  <c r="P184" i="1"/>
  <c r="J318" i="1"/>
  <c r="N318" i="1"/>
  <c r="H318" i="1" s="1"/>
  <c r="J316" i="1"/>
  <c r="N316" i="1"/>
  <c r="H316" i="1" s="1"/>
  <c r="J308" i="1"/>
  <c r="N308" i="1"/>
  <c r="H308" i="1" s="1"/>
  <c r="J307" i="1"/>
  <c r="J315" i="1"/>
  <c r="J317" i="1"/>
  <c r="J319" i="1"/>
  <c r="J320" i="1"/>
  <c r="J321" i="1"/>
  <c r="J322" i="1"/>
  <c r="J323" i="1"/>
  <c r="N307" i="1"/>
  <c r="H307" i="1" s="1"/>
  <c r="N315" i="1"/>
  <c r="H315" i="1" s="1"/>
  <c r="N317" i="1"/>
  <c r="H317" i="1" s="1"/>
  <c r="N319" i="1"/>
  <c r="H319" i="1" s="1"/>
  <c r="N320" i="1"/>
  <c r="H320" i="1" s="1"/>
  <c r="N321" i="1"/>
  <c r="H321" i="1" s="1"/>
  <c r="N322" i="1"/>
  <c r="H322" i="1" s="1"/>
  <c r="N323" i="1"/>
  <c r="H323" i="1" s="1"/>
  <c r="Q184" i="1" l="1"/>
  <c r="O185" i="1"/>
  <c r="P185" i="1"/>
  <c r="J330" i="1"/>
  <c r="J331" i="1"/>
  <c r="J332" i="1"/>
  <c r="N330" i="1"/>
  <c r="H330" i="1" s="1"/>
  <c r="N331" i="1"/>
  <c r="H331" i="1" s="1"/>
  <c r="N332" i="1"/>
  <c r="H332" i="1" s="1"/>
  <c r="Q185" i="1" l="1"/>
  <c r="O186" i="1"/>
  <c r="P186" i="1"/>
  <c r="J326" i="1"/>
  <c r="N326" i="1"/>
  <c r="H326" i="1" s="1"/>
  <c r="J324" i="1"/>
  <c r="J325" i="1"/>
  <c r="J327" i="1"/>
  <c r="J328" i="1"/>
  <c r="J329" i="1"/>
  <c r="J333" i="1"/>
  <c r="N324" i="1"/>
  <c r="H324" i="1" s="1"/>
  <c r="N325" i="1"/>
  <c r="H325" i="1" s="1"/>
  <c r="N327" i="1"/>
  <c r="H327" i="1" s="1"/>
  <c r="N328" i="1"/>
  <c r="H328" i="1" s="1"/>
  <c r="N329" i="1"/>
  <c r="H329" i="1" s="1"/>
  <c r="N333" i="1"/>
  <c r="H333" i="1" s="1"/>
  <c r="Q186" i="1" l="1"/>
  <c r="P187" i="1"/>
  <c r="O187" i="1"/>
  <c r="J342" i="1"/>
  <c r="N342" i="1"/>
  <c r="H342" i="1" s="1"/>
  <c r="J341" i="1"/>
  <c r="N341" i="1"/>
  <c r="H341" i="1" s="1"/>
  <c r="J340" i="1"/>
  <c r="N340" i="1"/>
  <c r="H340" i="1" s="1"/>
  <c r="Q187" i="1" l="1"/>
  <c r="P188" i="1"/>
  <c r="O188" i="1"/>
  <c r="J336" i="1"/>
  <c r="N336" i="1"/>
  <c r="H336" i="1" s="1"/>
  <c r="J334" i="1"/>
  <c r="J335" i="1"/>
  <c r="J337" i="1"/>
  <c r="J338" i="1"/>
  <c r="J339" i="1"/>
  <c r="N334" i="1"/>
  <c r="H334" i="1" s="1"/>
  <c r="N335" i="1"/>
  <c r="H335" i="1" s="1"/>
  <c r="N337" i="1"/>
  <c r="H337" i="1" s="1"/>
  <c r="N338" i="1"/>
  <c r="H338" i="1" s="1"/>
  <c r="N339" i="1"/>
  <c r="H339" i="1" s="1"/>
  <c r="Q188" i="1" l="1"/>
  <c r="O189" i="1"/>
  <c r="P189" i="1"/>
  <c r="J343" i="1"/>
  <c r="J344" i="1"/>
  <c r="J345" i="1"/>
  <c r="J346" i="1"/>
  <c r="J347" i="1"/>
  <c r="J348" i="1"/>
  <c r="J349" i="1"/>
  <c r="N343" i="1"/>
  <c r="H343" i="1" s="1"/>
  <c r="N344" i="1"/>
  <c r="H344" i="1" s="1"/>
  <c r="N345" i="1"/>
  <c r="H345" i="1" s="1"/>
  <c r="N346" i="1"/>
  <c r="H346" i="1" s="1"/>
  <c r="N347" i="1"/>
  <c r="H347" i="1" s="1"/>
  <c r="N348" i="1"/>
  <c r="H348" i="1" s="1"/>
  <c r="N349" i="1"/>
  <c r="H349" i="1" s="1"/>
  <c r="J350" i="1"/>
  <c r="J351" i="1"/>
  <c r="J352" i="1"/>
  <c r="J353" i="1"/>
  <c r="J354" i="1"/>
  <c r="J355" i="1"/>
  <c r="J356" i="1"/>
  <c r="J357" i="1"/>
  <c r="J358" i="1"/>
  <c r="J359" i="1"/>
  <c r="J360" i="1"/>
  <c r="J361" i="1"/>
  <c r="J362" i="1"/>
  <c r="N350" i="1"/>
  <c r="H350" i="1" s="1"/>
  <c r="N351" i="1"/>
  <c r="H351" i="1" s="1"/>
  <c r="N352" i="1"/>
  <c r="H352" i="1" s="1"/>
  <c r="N353" i="1"/>
  <c r="H353" i="1" s="1"/>
  <c r="N354" i="1"/>
  <c r="H354" i="1" s="1"/>
  <c r="N355" i="1"/>
  <c r="H355" i="1" s="1"/>
  <c r="N356" i="1"/>
  <c r="H356" i="1" s="1"/>
  <c r="N357" i="1"/>
  <c r="H357" i="1" s="1"/>
  <c r="N358" i="1"/>
  <c r="H358" i="1" s="1"/>
  <c r="N359" i="1"/>
  <c r="H359" i="1" s="1"/>
  <c r="N360" i="1"/>
  <c r="H360" i="1" s="1"/>
  <c r="N361" i="1"/>
  <c r="H361" i="1" s="1"/>
  <c r="N362" i="1"/>
  <c r="H362" i="1" s="1"/>
  <c r="Q189" i="1" l="1"/>
  <c r="O190" i="1"/>
  <c r="P190" i="1"/>
  <c r="Q190" i="1" s="1"/>
  <c r="J366" i="1"/>
  <c r="N366" i="1"/>
  <c r="H366" i="1" s="1"/>
  <c r="O191" i="1" l="1"/>
  <c r="P191" i="1"/>
  <c r="J365" i="1"/>
  <c r="N365" i="1"/>
  <c r="H365" i="1" s="1"/>
  <c r="J368" i="1"/>
  <c r="N368" i="1"/>
  <c r="H368" i="1" s="1"/>
  <c r="J363" i="1"/>
  <c r="J364" i="1"/>
  <c r="J367" i="1"/>
  <c r="J369" i="1"/>
  <c r="N363" i="1"/>
  <c r="H363" i="1" s="1"/>
  <c r="N364" i="1"/>
  <c r="H364" i="1" s="1"/>
  <c r="N367" i="1"/>
  <c r="H367" i="1" s="1"/>
  <c r="N369" i="1"/>
  <c r="H369" i="1" s="1"/>
  <c r="P192" i="1" l="1"/>
  <c r="O192" i="1"/>
  <c r="Q191" i="1"/>
  <c r="J375" i="1"/>
  <c r="J376" i="1"/>
  <c r="N375" i="1"/>
  <c r="H375" i="1" s="1"/>
  <c r="N376" i="1"/>
  <c r="H376" i="1" s="1"/>
  <c r="Q192" i="1" l="1"/>
  <c r="P193" i="1"/>
  <c r="O193" i="1"/>
  <c r="J371" i="1"/>
  <c r="N371" i="1"/>
  <c r="H371" i="1" s="1"/>
  <c r="J370" i="1"/>
  <c r="J372" i="1"/>
  <c r="J373" i="1"/>
  <c r="J374" i="1"/>
  <c r="J377" i="1"/>
  <c r="N370" i="1"/>
  <c r="H370" i="1" s="1"/>
  <c r="N372" i="1"/>
  <c r="H372" i="1" s="1"/>
  <c r="N373" i="1"/>
  <c r="H373" i="1" s="1"/>
  <c r="N374" i="1"/>
  <c r="H374" i="1" s="1"/>
  <c r="N377" i="1"/>
  <c r="H377" i="1" s="1"/>
  <c r="Q193" i="1" l="1"/>
  <c r="O194" i="1"/>
  <c r="P194" i="1"/>
  <c r="J378" i="1"/>
  <c r="J379" i="1"/>
  <c r="J380" i="1"/>
  <c r="J381" i="1"/>
  <c r="J382" i="1"/>
  <c r="N378" i="1"/>
  <c r="H378" i="1" s="1"/>
  <c r="N379" i="1"/>
  <c r="H379" i="1" s="1"/>
  <c r="N380" i="1"/>
  <c r="H380" i="1" s="1"/>
  <c r="N381" i="1"/>
  <c r="H381" i="1" s="1"/>
  <c r="N382" i="1"/>
  <c r="H382" i="1" s="1"/>
  <c r="Q194" i="1" l="1"/>
  <c r="O195" i="1"/>
  <c r="P195" i="1"/>
  <c r="Q195" i="1" l="1"/>
  <c r="P196" i="1"/>
  <c r="O196" i="1"/>
  <c r="J383" i="1"/>
  <c r="J384" i="1"/>
  <c r="J385" i="1"/>
  <c r="J386" i="1"/>
  <c r="J387" i="1"/>
  <c r="N383" i="1"/>
  <c r="H383" i="1" s="1"/>
  <c r="N384" i="1"/>
  <c r="H384" i="1" s="1"/>
  <c r="N385" i="1"/>
  <c r="H385" i="1" s="1"/>
  <c r="N386" i="1"/>
  <c r="H386" i="1" s="1"/>
  <c r="N387" i="1"/>
  <c r="H387" i="1" s="1"/>
  <c r="Q196" i="1" l="1"/>
  <c r="O197" i="1"/>
  <c r="P197" i="1"/>
  <c r="J395" i="1"/>
  <c r="N395" i="1"/>
  <c r="H395" i="1" s="1"/>
  <c r="O198" i="1" l="1"/>
  <c r="P198" i="1"/>
  <c r="Q197" i="1"/>
  <c r="J388" i="1"/>
  <c r="J389" i="1"/>
  <c r="J390" i="1"/>
  <c r="J391" i="1"/>
  <c r="J392" i="1"/>
  <c r="J393" i="1"/>
  <c r="N388" i="1"/>
  <c r="H388" i="1" s="1"/>
  <c r="N389" i="1"/>
  <c r="H389" i="1" s="1"/>
  <c r="N390" i="1"/>
  <c r="H390" i="1" s="1"/>
  <c r="N391" i="1"/>
  <c r="H391" i="1" s="1"/>
  <c r="N392" i="1"/>
  <c r="H392" i="1" s="1"/>
  <c r="N393" i="1"/>
  <c r="H393" i="1" s="1"/>
  <c r="J397" i="1"/>
  <c r="N397" i="1"/>
  <c r="H397" i="1" s="1"/>
  <c r="J394" i="1"/>
  <c r="J396" i="1"/>
  <c r="J398" i="1"/>
  <c r="J399" i="1"/>
  <c r="J400" i="1"/>
  <c r="J401" i="1"/>
  <c r="J402" i="1"/>
  <c r="J403" i="1"/>
  <c r="N394" i="1"/>
  <c r="H394" i="1" s="1"/>
  <c r="N396" i="1"/>
  <c r="H396" i="1" s="1"/>
  <c r="N398" i="1"/>
  <c r="H398" i="1" s="1"/>
  <c r="N399" i="1"/>
  <c r="H399" i="1" s="1"/>
  <c r="N400" i="1"/>
  <c r="H400" i="1" s="1"/>
  <c r="N401" i="1"/>
  <c r="H401" i="1" s="1"/>
  <c r="N402" i="1"/>
  <c r="H402" i="1" s="1"/>
  <c r="N403" i="1"/>
  <c r="H403" i="1" s="1"/>
  <c r="Q198" i="1" l="1"/>
  <c r="O199" i="1"/>
  <c r="P199" i="1"/>
  <c r="J408" i="1"/>
  <c r="N408" i="1"/>
  <c r="H408" i="1" s="1"/>
  <c r="Q199" i="1" l="1"/>
  <c r="P200" i="1"/>
  <c r="O200" i="1"/>
  <c r="J409" i="1"/>
  <c r="J410" i="1"/>
  <c r="N409" i="1"/>
  <c r="H409" i="1" s="1"/>
  <c r="N410" i="1"/>
  <c r="H410" i="1" s="1"/>
  <c r="Q200" i="1" l="1"/>
  <c r="P201" i="1"/>
  <c r="O201" i="1"/>
  <c r="J407" i="1"/>
  <c r="N407" i="1"/>
  <c r="H407" i="1" s="1"/>
  <c r="Q201" i="1" l="1"/>
  <c r="P202" i="1"/>
  <c r="O202" i="1"/>
  <c r="J428" i="1"/>
  <c r="N428" i="1"/>
  <c r="H428" i="1" s="1"/>
  <c r="J419" i="1"/>
  <c r="N419" i="1"/>
  <c r="H419" i="1" s="1"/>
  <c r="J420" i="1"/>
  <c r="N420" i="1"/>
  <c r="H420" i="1" s="1"/>
  <c r="J422" i="1"/>
  <c r="N422" i="1"/>
  <c r="H422" i="1" s="1"/>
  <c r="J414" i="1"/>
  <c r="N414" i="1"/>
  <c r="H414" i="1" s="1"/>
  <c r="J416" i="1"/>
  <c r="N416" i="1"/>
  <c r="H416" i="1" s="1"/>
  <c r="J404" i="1"/>
  <c r="J405" i="1"/>
  <c r="J406" i="1"/>
  <c r="J411" i="1"/>
  <c r="J412" i="1"/>
  <c r="N404" i="1"/>
  <c r="H404" i="1" s="1"/>
  <c r="N405" i="1"/>
  <c r="H405" i="1" s="1"/>
  <c r="N406" i="1"/>
  <c r="H406" i="1" s="1"/>
  <c r="N411" i="1"/>
  <c r="H411" i="1" s="1"/>
  <c r="N412" i="1"/>
  <c r="H412" i="1" s="1"/>
  <c r="J413" i="1"/>
  <c r="J415" i="1"/>
  <c r="J417" i="1"/>
  <c r="J418" i="1"/>
  <c r="J421" i="1"/>
  <c r="N413" i="1"/>
  <c r="H413" i="1" s="1"/>
  <c r="N415" i="1"/>
  <c r="H415" i="1" s="1"/>
  <c r="N417" i="1"/>
  <c r="H417" i="1" s="1"/>
  <c r="N418" i="1"/>
  <c r="H418" i="1" s="1"/>
  <c r="N421" i="1"/>
  <c r="H421" i="1" s="1"/>
  <c r="Q202" i="1" l="1"/>
  <c r="P203" i="1"/>
  <c r="O203" i="1"/>
  <c r="J425" i="1"/>
  <c r="N425" i="1"/>
  <c r="H425" i="1" s="1"/>
  <c r="J423" i="1"/>
  <c r="N423" i="1"/>
  <c r="H423" i="1" s="1"/>
  <c r="J424" i="1"/>
  <c r="J426" i="1"/>
  <c r="J427" i="1"/>
  <c r="J429" i="1"/>
  <c r="N424" i="1"/>
  <c r="H424" i="1" s="1"/>
  <c r="N426" i="1"/>
  <c r="H426" i="1" s="1"/>
  <c r="N427" i="1"/>
  <c r="H427" i="1" s="1"/>
  <c r="N429" i="1"/>
  <c r="H429" i="1" s="1"/>
  <c r="J434" i="1"/>
  <c r="N434" i="1"/>
  <c r="H434" i="1" s="1"/>
  <c r="Q203" i="1" l="1"/>
  <c r="P204" i="1"/>
  <c r="O204" i="1"/>
  <c r="J432" i="1"/>
  <c r="N432" i="1"/>
  <c r="H432" i="1" s="1"/>
  <c r="J430" i="1"/>
  <c r="J431" i="1"/>
  <c r="J433" i="1"/>
  <c r="J435" i="1"/>
  <c r="J436" i="1"/>
  <c r="J437" i="1"/>
  <c r="N430" i="1"/>
  <c r="H430" i="1" s="1"/>
  <c r="N431" i="1"/>
  <c r="H431" i="1" s="1"/>
  <c r="N433" i="1"/>
  <c r="H433" i="1" s="1"/>
  <c r="N435" i="1"/>
  <c r="H435" i="1" s="1"/>
  <c r="N436" i="1"/>
  <c r="H436" i="1" s="1"/>
  <c r="N437" i="1"/>
  <c r="H437" i="1" s="1"/>
  <c r="Q204" i="1" l="1"/>
  <c r="P205" i="1"/>
  <c r="O205" i="1"/>
  <c r="J438" i="1"/>
  <c r="J439" i="1"/>
  <c r="J440" i="1"/>
  <c r="J441" i="1"/>
  <c r="J442" i="1"/>
  <c r="N438" i="1"/>
  <c r="H438" i="1" s="1"/>
  <c r="N439" i="1"/>
  <c r="H439" i="1" s="1"/>
  <c r="N440" i="1"/>
  <c r="H440" i="1" s="1"/>
  <c r="N441" i="1"/>
  <c r="H441" i="1" s="1"/>
  <c r="N442" i="1"/>
  <c r="H442" i="1" s="1"/>
  <c r="Q205" i="1" l="1"/>
  <c r="O206" i="1"/>
  <c r="P206" i="1"/>
  <c r="Q206" i="1" l="1"/>
  <c r="O207" i="1"/>
  <c r="P207" i="1"/>
  <c r="J447" i="1"/>
  <c r="N447" i="1"/>
  <c r="H447" i="1" s="1"/>
  <c r="J453" i="1"/>
  <c r="N453" i="1"/>
  <c r="H453" i="1" s="1"/>
  <c r="Q207" i="1" l="1"/>
  <c r="O208" i="1"/>
  <c r="P208" i="1"/>
  <c r="J443" i="1"/>
  <c r="J444" i="1"/>
  <c r="J445" i="1"/>
  <c r="J446" i="1"/>
  <c r="J448" i="1"/>
  <c r="J449" i="1"/>
  <c r="N443" i="1"/>
  <c r="H443" i="1" s="1"/>
  <c r="N444" i="1"/>
  <c r="H444" i="1" s="1"/>
  <c r="N445" i="1"/>
  <c r="H445" i="1" s="1"/>
  <c r="N446" i="1"/>
  <c r="H446" i="1" s="1"/>
  <c r="N448" i="1"/>
  <c r="H448" i="1" s="1"/>
  <c r="N449" i="1"/>
  <c r="H449" i="1" s="1"/>
  <c r="J450" i="1"/>
  <c r="J451" i="1"/>
  <c r="J452" i="1"/>
  <c r="J454" i="1"/>
  <c r="J455" i="1"/>
  <c r="N450" i="1"/>
  <c r="H450" i="1" s="1"/>
  <c r="N451" i="1"/>
  <c r="H451" i="1" s="1"/>
  <c r="N452" i="1"/>
  <c r="H452" i="1" s="1"/>
  <c r="N454" i="1"/>
  <c r="H454" i="1" s="1"/>
  <c r="N455" i="1"/>
  <c r="H455" i="1" s="1"/>
  <c r="O209" i="1" l="1"/>
  <c r="P209" i="1"/>
  <c r="Q208" i="1"/>
  <c r="J467" i="1"/>
  <c r="N467" i="1"/>
  <c r="H467" i="1" s="1"/>
  <c r="Q209" i="1" l="1"/>
  <c r="P210" i="1"/>
  <c r="O210" i="1"/>
  <c r="J463" i="1"/>
  <c r="N463" i="1"/>
  <c r="H463" i="1" s="1"/>
  <c r="J456" i="1"/>
  <c r="J457" i="1"/>
  <c r="J458" i="1"/>
  <c r="J459" i="1"/>
  <c r="J460" i="1"/>
  <c r="J461" i="1"/>
  <c r="N456" i="1"/>
  <c r="H456" i="1" s="1"/>
  <c r="N457" i="1"/>
  <c r="H457" i="1" s="1"/>
  <c r="N458" i="1"/>
  <c r="H458" i="1" s="1"/>
  <c r="N459" i="1"/>
  <c r="H459" i="1" s="1"/>
  <c r="N460" i="1"/>
  <c r="H460" i="1" s="1"/>
  <c r="N461" i="1"/>
  <c r="H461" i="1" s="1"/>
  <c r="J462" i="1"/>
  <c r="J464" i="1"/>
  <c r="J465" i="1"/>
  <c r="J466" i="1"/>
  <c r="J468" i="1"/>
  <c r="J469" i="1"/>
  <c r="N462" i="1"/>
  <c r="H462" i="1" s="1"/>
  <c r="N464" i="1"/>
  <c r="H464" i="1" s="1"/>
  <c r="N465" i="1"/>
  <c r="H465" i="1" s="1"/>
  <c r="N466" i="1"/>
  <c r="H466" i="1" s="1"/>
  <c r="N468" i="1"/>
  <c r="H468" i="1" s="1"/>
  <c r="N469" i="1"/>
  <c r="H469" i="1" s="1"/>
  <c r="Q210" i="1" l="1"/>
  <c r="O211" i="1"/>
  <c r="P211" i="1"/>
  <c r="J470" i="1"/>
  <c r="J471" i="1"/>
  <c r="J472" i="1"/>
  <c r="J473" i="1"/>
  <c r="J474" i="1"/>
  <c r="N470" i="1"/>
  <c r="H470" i="1" s="1"/>
  <c r="N471" i="1"/>
  <c r="H471" i="1" s="1"/>
  <c r="N472" i="1"/>
  <c r="H472" i="1" s="1"/>
  <c r="N473" i="1"/>
  <c r="H473" i="1" s="1"/>
  <c r="N474" i="1"/>
  <c r="H474" i="1" s="1"/>
  <c r="J478" i="1"/>
  <c r="N478" i="1"/>
  <c r="H478" i="1" s="1"/>
  <c r="Q211" i="1" l="1"/>
  <c r="P212" i="1"/>
  <c r="O212" i="1"/>
  <c r="J489" i="1"/>
  <c r="N489" i="1"/>
  <c r="J490" i="1"/>
  <c r="N490" i="1"/>
  <c r="J486" i="1"/>
  <c r="N486" i="1"/>
  <c r="H486" i="1" s="1"/>
  <c r="J475" i="1"/>
  <c r="J476" i="1"/>
  <c r="J477" i="1"/>
  <c r="J479" i="1"/>
  <c r="J480" i="1"/>
  <c r="J481" i="1"/>
  <c r="N475" i="1"/>
  <c r="H475" i="1" s="1"/>
  <c r="N476" i="1"/>
  <c r="H476" i="1" s="1"/>
  <c r="N477" i="1"/>
  <c r="H477" i="1" s="1"/>
  <c r="N479" i="1"/>
  <c r="H479" i="1" s="1"/>
  <c r="N480" i="1"/>
  <c r="H480" i="1" s="1"/>
  <c r="N481" i="1"/>
  <c r="H481" i="1" s="1"/>
  <c r="J482" i="1"/>
  <c r="J483" i="1"/>
  <c r="J484" i="1"/>
  <c r="J485" i="1"/>
  <c r="J487" i="1"/>
  <c r="J488" i="1"/>
  <c r="N482" i="1"/>
  <c r="H482" i="1" s="1"/>
  <c r="N483" i="1"/>
  <c r="H483" i="1" s="1"/>
  <c r="N484" i="1"/>
  <c r="H484" i="1" s="1"/>
  <c r="N485" i="1"/>
  <c r="H485" i="1" s="1"/>
  <c r="N487" i="1"/>
  <c r="H487" i="1" s="1"/>
  <c r="N488" i="1"/>
  <c r="H488" i="1" s="1"/>
  <c r="H489" i="1" s="1"/>
  <c r="H490" i="1" s="1"/>
  <c r="Q212" i="1" l="1"/>
  <c r="O213" i="1"/>
  <c r="P213" i="1"/>
  <c r="J496" i="1"/>
  <c r="N496" i="1"/>
  <c r="H496" i="1" s="1"/>
  <c r="Q213" i="1" l="1"/>
  <c r="O214" i="1"/>
  <c r="P214" i="1"/>
  <c r="J504" i="1"/>
  <c r="N504" i="1"/>
  <c r="H504" i="1" s="1"/>
  <c r="J491" i="1"/>
  <c r="J492" i="1"/>
  <c r="J493" i="1"/>
  <c r="J494" i="1"/>
  <c r="J495" i="1"/>
  <c r="J497" i="1"/>
  <c r="J498" i="1"/>
  <c r="N491" i="1"/>
  <c r="H491" i="1" s="1"/>
  <c r="N492" i="1"/>
  <c r="H492" i="1" s="1"/>
  <c r="N493" i="1"/>
  <c r="H493" i="1" s="1"/>
  <c r="N494" i="1"/>
  <c r="H494" i="1" s="1"/>
  <c r="N495" i="1"/>
  <c r="H495" i="1" s="1"/>
  <c r="N497" i="1"/>
  <c r="H497" i="1" s="1"/>
  <c r="N498" i="1"/>
  <c r="H498" i="1" s="1"/>
  <c r="Q214" i="1" l="1"/>
  <c r="P215" i="1"/>
  <c r="O215" i="1"/>
  <c r="J509" i="1"/>
  <c r="N509" i="1"/>
  <c r="H509" i="1" s="1"/>
  <c r="J501" i="1"/>
  <c r="N501" i="1"/>
  <c r="H501" i="1" s="1"/>
  <c r="J499" i="1"/>
  <c r="J500" i="1"/>
  <c r="J502" i="1"/>
  <c r="J503" i="1"/>
  <c r="J505" i="1"/>
  <c r="J506" i="1"/>
  <c r="N499" i="1"/>
  <c r="H499" i="1" s="1"/>
  <c r="N500" i="1"/>
  <c r="H500" i="1" s="1"/>
  <c r="N502" i="1"/>
  <c r="H502" i="1" s="1"/>
  <c r="N503" i="1"/>
  <c r="H503" i="1" s="1"/>
  <c r="N505" i="1"/>
  <c r="H505" i="1" s="1"/>
  <c r="N506" i="1"/>
  <c r="H506" i="1" s="1"/>
  <c r="Q215" i="1" l="1"/>
  <c r="P216" i="1"/>
  <c r="O216" i="1"/>
  <c r="J507" i="1"/>
  <c r="J508" i="1"/>
  <c r="J510" i="1"/>
  <c r="J511" i="1"/>
  <c r="J512" i="1"/>
  <c r="J513" i="1"/>
  <c r="N507" i="1"/>
  <c r="H507" i="1" s="1"/>
  <c r="N508" i="1"/>
  <c r="H508" i="1" s="1"/>
  <c r="N510" i="1"/>
  <c r="H510" i="1" s="1"/>
  <c r="N511" i="1"/>
  <c r="H511" i="1" s="1"/>
  <c r="N512" i="1"/>
  <c r="H512" i="1" s="1"/>
  <c r="N513" i="1"/>
  <c r="H513" i="1" s="1"/>
  <c r="Q216" i="1" l="1"/>
  <c r="O217" i="1"/>
  <c r="P217" i="1"/>
  <c r="J521" i="1"/>
  <c r="N521" i="1"/>
  <c r="H521" i="1" s="1"/>
  <c r="Q217" i="1" l="1"/>
  <c r="O218" i="1"/>
  <c r="P218" i="1"/>
  <c r="J516" i="1"/>
  <c r="N516" i="1"/>
  <c r="H516" i="1" s="1"/>
  <c r="J515" i="1"/>
  <c r="N515" i="1"/>
  <c r="H515" i="1" s="1"/>
  <c r="J519" i="1"/>
  <c r="N519" i="1"/>
  <c r="H519" i="1" s="1"/>
  <c r="J514" i="1"/>
  <c r="J517" i="1"/>
  <c r="J518" i="1"/>
  <c r="J520" i="1"/>
  <c r="J522" i="1"/>
  <c r="N514" i="1"/>
  <c r="H514" i="1" s="1"/>
  <c r="N517" i="1"/>
  <c r="H517" i="1" s="1"/>
  <c r="N518" i="1"/>
  <c r="H518" i="1" s="1"/>
  <c r="N520" i="1"/>
  <c r="H520" i="1" s="1"/>
  <c r="N522" i="1"/>
  <c r="H522" i="1" s="1"/>
  <c r="Q218" i="1" l="1"/>
  <c r="P219" i="1"/>
  <c r="O219" i="1"/>
  <c r="J523" i="1"/>
  <c r="J524" i="1"/>
  <c r="J525" i="1"/>
  <c r="J526" i="1"/>
  <c r="J527" i="1"/>
  <c r="N523" i="1"/>
  <c r="H523" i="1" s="1"/>
  <c r="N524" i="1"/>
  <c r="H524" i="1" s="1"/>
  <c r="N525" i="1"/>
  <c r="H525" i="1" s="1"/>
  <c r="N526" i="1"/>
  <c r="H526" i="1" s="1"/>
  <c r="N527" i="1"/>
  <c r="H527" i="1" s="1"/>
  <c r="Q219" i="1" l="1"/>
  <c r="O220" i="1"/>
  <c r="P220" i="1"/>
  <c r="Q220" i="1" l="1"/>
  <c r="O221" i="1"/>
  <c r="P221" i="1"/>
  <c r="J553" i="1"/>
  <c r="N553" i="1"/>
  <c r="H553" i="1" s="1"/>
  <c r="J535" i="1"/>
  <c r="N535" i="1"/>
  <c r="H535" i="1" s="1"/>
  <c r="J552" i="1"/>
  <c r="N552" i="1"/>
  <c r="H552" i="1" s="1"/>
  <c r="J529" i="1"/>
  <c r="N529" i="1"/>
  <c r="H529" i="1" s="1"/>
  <c r="J528" i="1"/>
  <c r="J530" i="1"/>
  <c r="J531" i="1"/>
  <c r="J532" i="1"/>
  <c r="J533" i="1"/>
  <c r="N528" i="1"/>
  <c r="H528" i="1" s="1"/>
  <c r="N530" i="1"/>
  <c r="H530" i="1" s="1"/>
  <c r="N531" i="1"/>
  <c r="H531" i="1" s="1"/>
  <c r="N532" i="1"/>
  <c r="H532" i="1" s="1"/>
  <c r="N533" i="1"/>
  <c r="H533" i="1" s="1"/>
  <c r="Q221" i="1" l="1"/>
  <c r="P222" i="1"/>
  <c r="O222" i="1"/>
  <c r="J537" i="1"/>
  <c r="N537" i="1"/>
  <c r="H537" i="1" s="1"/>
  <c r="J534" i="1"/>
  <c r="J536" i="1"/>
  <c r="J538" i="1"/>
  <c r="J539" i="1"/>
  <c r="J540" i="1"/>
  <c r="J541" i="1"/>
  <c r="N534" i="1"/>
  <c r="H534" i="1" s="1"/>
  <c r="N536" i="1"/>
  <c r="H536" i="1" s="1"/>
  <c r="N538" i="1"/>
  <c r="H538" i="1" s="1"/>
  <c r="N539" i="1"/>
  <c r="H539" i="1" s="1"/>
  <c r="N540" i="1"/>
  <c r="H540" i="1" s="1"/>
  <c r="N541" i="1"/>
  <c r="H541" i="1" s="1"/>
  <c r="Q222" i="1" l="1"/>
  <c r="P223" i="1"/>
  <c r="O223" i="1"/>
  <c r="Q223" i="1" l="1"/>
  <c r="O224" i="1"/>
  <c r="P224" i="1"/>
  <c r="J560" i="1"/>
  <c r="N560" i="1"/>
  <c r="H560" i="1" s="1"/>
  <c r="J559" i="1"/>
  <c r="N559" i="1"/>
  <c r="H559" i="1" s="1"/>
  <c r="J562" i="1"/>
  <c r="N562" i="1"/>
  <c r="H562" i="1" s="1"/>
  <c r="J545" i="1"/>
  <c r="N545" i="1"/>
  <c r="H545" i="1" s="1"/>
  <c r="J544" i="1"/>
  <c r="N544" i="1"/>
  <c r="H544" i="1" s="1"/>
  <c r="J546" i="1"/>
  <c r="N546" i="1"/>
  <c r="H546" i="1" s="1"/>
  <c r="J550" i="1"/>
  <c r="N550" i="1"/>
  <c r="H550" i="1" s="1"/>
  <c r="J543" i="1"/>
  <c r="N543" i="1"/>
  <c r="H543" i="1" s="1"/>
  <c r="J548" i="1"/>
  <c r="N548" i="1"/>
  <c r="H548" i="1" s="1"/>
  <c r="J557" i="1"/>
  <c r="N557" i="1"/>
  <c r="H557" i="1" s="1"/>
  <c r="J542" i="1"/>
  <c r="J547" i="1"/>
  <c r="J549" i="1"/>
  <c r="J551" i="1"/>
  <c r="J554" i="1"/>
  <c r="N542" i="1"/>
  <c r="H542" i="1" s="1"/>
  <c r="N547" i="1"/>
  <c r="H547" i="1" s="1"/>
  <c r="N549" i="1"/>
  <c r="H549" i="1" s="1"/>
  <c r="N551" i="1"/>
  <c r="H551" i="1" s="1"/>
  <c r="N554" i="1"/>
  <c r="H554" i="1" s="1"/>
  <c r="J555" i="1"/>
  <c r="J556" i="1"/>
  <c r="J558" i="1"/>
  <c r="J561" i="1"/>
  <c r="J563" i="1"/>
  <c r="J564" i="1"/>
  <c r="N555" i="1"/>
  <c r="H555" i="1" s="1"/>
  <c r="N556" i="1"/>
  <c r="H556" i="1" s="1"/>
  <c r="N558" i="1"/>
  <c r="H558" i="1" s="1"/>
  <c r="N561" i="1"/>
  <c r="H561" i="1" s="1"/>
  <c r="N563" i="1"/>
  <c r="H563" i="1" s="1"/>
  <c r="N564" i="1"/>
  <c r="H564" i="1" s="1"/>
  <c r="J565" i="1"/>
  <c r="J566" i="1"/>
  <c r="J567" i="1"/>
  <c r="J568" i="1"/>
  <c r="N565" i="1"/>
  <c r="H565" i="1" s="1"/>
  <c r="N566" i="1"/>
  <c r="H566" i="1" s="1"/>
  <c r="N567" i="1"/>
  <c r="H567" i="1" s="1"/>
  <c r="N568" i="1"/>
  <c r="H568" i="1" s="1"/>
  <c r="Q224" i="1" l="1"/>
  <c r="P225" i="1"/>
  <c r="O225" i="1"/>
  <c r="J576" i="1"/>
  <c r="J577" i="1"/>
  <c r="N576" i="1"/>
  <c r="H576" i="1" s="1"/>
  <c r="N577" i="1"/>
  <c r="H577" i="1" s="1"/>
  <c r="J575" i="1"/>
  <c r="N575" i="1"/>
  <c r="H575" i="1" s="1"/>
  <c r="J570" i="1"/>
  <c r="N570" i="1"/>
  <c r="H570" i="1" s="1"/>
  <c r="Q225" i="1" l="1"/>
  <c r="P226" i="1"/>
  <c r="O226" i="1"/>
  <c r="J569" i="1"/>
  <c r="J571" i="1"/>
  <c r="J572" i="1"/>
  <c r="J573" i="1"/>
  <c r="J574" i="1"/>
  <c r="N569" i="1"/>
  <c r="H569" i="1" s="1"/>
  <c r="N571" i="1"/>
  <c r="H571" i="1" s="1"/>
  <c r="N572" i="1"/>
  <c r="H572" i="1" s="1"/>
  <c r="N573" i="1"/>
  <c r="H573" i="1" s="1"/>
  <c r="N574" i="1"/>
  <c r="H574" i="1" s="1"/>
  <c r="Q226" i="1" l="1"/>
  <c r="P227" i="1"/>
  <c r="O227" i="1"/>
  <c r="J585" i="1"/>
  <c r="N585" i="1"/>
  <c r="H585" i="1" s="1"/>
  <c r="Q227" i="1" l="1"/>
  <c r="P228" i="1"/>
  <c r="O228" i="1"/>
  <c r="J580" i="1"/>
  <c r="N580" i="1"/>
  <c r="H580" i="1" s="1"/>
  <c r="J578" i="1"/>
  <c r="J579" i="1"/>
  <c r="J581" i="1"/>
  <c r="J582" i="1"/>
  <c r="J583" i="1"/>
  <c r="J584" i="1"/>
  <c r="J586" i="1"/>
  <c r="N578" i="1"/>
  <c r="H578" i="1" s="1"/>
  <c r="N579" i="1"/>
  <c r="H579" i="1" s="1"/>
  <c r="N581" i="1"/>
  <c r="H581" i="1" s="1"/>
  <c r="N582" i="1"/>
  <c r="H582" i="1" s="1"/>
  <c r="N583" i="1"/>
  <c r="H583" i="1" s="1"/>
  <c r="N584" i="1"/>
  <c r="H584" i="1" s="1"/>
  <c r="N586" i="1"/>
  <c r="H586" i="1" s="1"/>
  <c r="Q228" i="1" l="1"/>
  <c r="P229" i="1"/>
  <c r="O229" i="1"/>
  <c r="J593" i="1"/>
  <c r="N593" i="1"/>
  <c r="H593" i="1" s="1"/>
  <c r="Q229" i="1" l="1"/>
  <c r="P230" i="1"/>
  <c r="O230" i="1"/>
  <c r="J590" i="1"/>
  <c r="N590" i="1"/>
  <c r="H590" i="1" s="1"/>
  <c r="J587" i="1"/>
  <c r="J588" i="1"/>
  <c r="J589" i="1"/>
  <c r="J591" i="1"/>
  <c r="J592" i="1"/>
  <c r="N587" i="1"/>
  <c r="H587" i="1" s="1"/>
  <c r="N588" i="1"/>
  <c r="H588" i="1" s="1"/>
  <c r="N589" i="1"/>
  <c r="H589" i="1" s="1"/>
  <c r="N591" i="1"/>
  <c r="H591" i="1" s="1"/>
  <c r="N592" i="1"/>
  <c r="H592" i="1" s="1"/>
  <c r="Q230" i="1" l="1"/>
  <c r="P231" i="1"/>
  <c r="O231" i="1"/>
  <c r="Q231" i="1" l="1"/>
  <c r="P232" i="1"/>
  <c r="O232" i="1"/>
  <c r="J606" i="1"/>
  <c r="N606" i="1"/>
  <c r="H606" i="1" s="1"/>
  <c r="J605" i="1"/>
  <c r="N605" i="1"/>
  <c r="H605" i="1" s="1"/>
  <c r="Q232" i="1" l="1"/>
  <c r="P233" i="1"/>
  <c r="O233" i="1"/>
  <c r="J604" i="1"/>
  <c r="N604" i="1"/>
  <c r="H604" i="1" s="1"/>
  <c r="Q233" i="1" l="1"/>
  <c r="P234" i="1"/>
  <c r="O234" i="1"/>
  <c r="J594" i="1"/>
  <c r="J595" i="1"/>
  <c r="J596" i="1"/>
  <c r="J597" i="1"/>
  <c r="J598" i="1"/>
  <c r="N594" i="1"/>
  <c r="H594" i="1" s="1"/>
  <c r="N595" i="1"/>
  <c r="H595" i="1" s="1"/>
  <c r="N596" i="1"/>
  <c r="H596" i="1" s="1"/>
  <c r="N597" i="1"/>
  <c r="H597" i="1" s="1"/>
  <c r="N598" i="1"/>
  <c r="H598" i="1" s="1"/>
  <c r="J601" i="1"/>
  <c r="N601" i="1"/>
  <c r="H601" i="1" s="1"/>
  <c r="J613" i="1"/>
  <c r="J614" i="1"/>
  <c r="N613" i="1"/>
  <c r="H613" i="1" s="1"/>
  <c r="N614" i="1"/>
  <c r="H614" i="1" s="1"/>
  <c r="J599" i="1"/>
  <c r="J600" i="1"/>
  <c r="J602" i="1"/>
  <c r="N599" i="1"/>
  <c r="H599" i="1" s="1"/>
  <c r="N600" i="1"/>
  <c r="H600" i="1" s="1"/>
  <c r="N602" i="1"/>
  <c r="H602" i="1" s="1"/>
  <c r="J603" i="1"/>
  <c r="J607" i="1"/>
  <c r="J608" i="1"/>
  <c r="J609" i="1"/>
  <c r="J610" i="1"/>
  <c r="J611" i="1"/>
  <c r="J612" i="1"/>
  <c r="J615" i="1"/>
  <c r="J616" i="1"/>
  <c r="J617" i="1"/>
  <c r="N603" i="1"/>
  <c r="H603" i="1" s="1"/>
  <c r="N607" i="1"/>
  <c r="H607" i="1" s="1"/>
  <c r="N608" i="1"/>
  <c r="H608" i="1" s="1"/>
  <c r="N609" i="1"/>
  <c r="H609" i="1" s="1"/>
  <c r="N610" i="1"/>
  <c r="H610" i="1" s="1"/>
  <c r="N611" i="1"/>
  <c r="H611" i="1" s="1"/>
  <c r="N612" i="1"/>
  <c r="H612" i="1" s="1"/>
  <c r="N615" i="1"/>
  <c r="H615" i="1" s="1"/>
  <c r="N616" i="1"/>
  <c r="H616" i="1" s="1"/>
  <c r="N617" i="1"/>
  <c r="H617" i="1" s="1"/>
  <c r="J618" i="1"/>
  <c r="J619" i="1"/>
  <c r="N618" i="1"/>
  <c r="H618" i="1" s="1"/>
  <c r="N619" i="1"/>
  <c r="H619" i="1" s="1"/>
  <c r="Q234" i="1" l="1"/>
  <c r="P235" i="1"/>
  <c r="O235" i="1"/>
  <c r="J624" i="1"/>
  <c r="J625" i="1"/>
  <c r="N624" i="1"/>
  <c r="H624" i="1" s="1"/>
  <c r="N625" i="1"/>
  <c r="H625" i="1" s="1"/>
  <c r="J627" i="1"/>
  <c r="N627" i="1"/>
  <c r="H627" i="1" s="1"/>
  <c r="P236" i="1" l="1"/>
  <c r="O236" i="1"/>
  <c r="Q235" i="1"/>
  <c r="Q236" i="1" l="1"/>
  <c r="P237" i="1"/>
  <c r="O237" i="1"/>
  <c r="N647" i="1"/>
  <c r="H647" i="1" s="1"/>
  <c r="J621" i="1"/>
  <c r="N621" i="1"/>
  <c r="H621" i="1" s="1"/>
  <c r="N620" i="1"/>
  <c r="H620" i="1" s="1"/>
  <c r="N622" i="1"/>
  <c r="H622" i="1" s="1"/>
  <c r="N623" i="1"/>
  <c r="H623" i="1" s="1"/>
  <c r="N626" i="1"/>
  <c r="H626" i="1" s="1"/>
  <c r="N628" i="1"/>
  <c r="H628" i="1" s="1"/>
  <c r="N629" i="1"/>
  <c r="H629" i="1" s="1"/>
  <c r="N630" i="1"/>
  <c r="H630" i="1" s="1"/>
  <c r="N631" i="1"/>
  <c r="H631" i="1" s="1"/>
  <c r="N632" i="1"/>
  <c r="H632" i="1" s="1"/>
  <c r="N633" i="1"/>
  <c r="H633" i="1" s="1"/>
  <c r="N634" i="1"/>
  <c r="H634" i="1" s="1"/>
  <c r="N635" i="1"/>
  <c r="H635" i="1" s="1"/>
  <c r="N636" i="1"/>
  <c r="H636" i="1" s="1"/>
  <c r="N637" i="1"/>
  <c r="H637" i="1" s="1"/>
  <c r="N638" i="1"/>
  <c r="H638" i="1" s="1"/>
  <c r="N639" i="1"/>
  <c r="H639" i="1" s="1"/>
  <c r="N640" i="1"/>
  <c r="H640" i="1" s="1"/>
  <c r="N641" i="1"/>
  <c r="H641" i="1" s="1"/>
  <c r="N642" i="1"/>
  <c r="H642" i="1" s="1"/>
  <c r="N643" i="1"/>
  <c r="H643" i="1" s="1"/>
  <c r="N644" i="1"/>
  <c r="H644" i="1" s="1"/>
  <c r="N645" i="1"/>
  <c r="H645" i="1" s="1"/>
  <c r="N646" i="1"/>
  <c r="H646" i="1" s="1"/>
  <c r="N648" i="1"/>
  <c r="H648" i="1" s="1"/>
  <c r="N649" i="1"/>
  <c r="H649" i="1" s="1"/>
  <c r="N650" i="1"/>
  <c r="H650" i="1" s="1"/>
  <c r="N651" i="1"/>
  <c r="H651" i="1" s="1"/>
  <c r="N652" i="1"/>
  <c r="H652" i="1" s="1"/>
  <c r="N653" i="1"/>
  <c r="H653" i="1" s="1"/>
  <c r="N654" i="1"/>
  <c r="H654" i="1" s="1"/>
  <c r="N655" i="1"/>
  <c r="H655" i="1" s="1"/>
  <c r="N656" i="1"/>
  <c r="H656" i="1" s="1"/>
  <c r="N657" i="1"/>
  <c r="H657" i="1" s="1"/>
  <c r="N658" i="1"/>
  <c r="H658" i="1" s="1"/>
  <c r="N659" i="1"/>
  <c r="H659" i="1" s="1"/>
  <c r="N660" i="1"/>
  <c r="H660" i="1" s="1"/>
  <c r="N661" i="1"/>
  <c r="H661" i="1" s="1"/>
  <c r="N662" i="1"/>
  <c r="H662" i="1" s="1"/>
  <c r="N663" i="1"/>
  <c r="H663" i="1" s="1"/>
  <c r="N664" i="1"/>
  <c r="H664" i="1" s="1"/>
  <c r="N665" i="1"/>
  <c r="H665" i="1" s="1"/>
  <c r="N666" i="1"/>
  <c r="H666" i="1" s="1"/>
  <c r="N667" i="1"/>
  <c r="H667" i="1" s="1"/>
  <c r="N668" i="1"/>
  <c r="H668" i="1" s="1"/>
  <c r="N669" i="1"/>
  <c r="H669" i="1" s="1"/>
  <c r="N670" i="1"/>
  <c r="H670" i="1" s="1"/>
  <c r="N671" i="1"/>
  <c r="H671" i="1" s="1"/>
  <c r="N672" i="1"/>
  <c r="H672" i="1" s="1"/>
  <c r="N673" i="1"/>
  <c r="H673" i="1" s="1"/>
  <c r="N674" i="1"/>
  <c r="H674" i="1" s="1"/>
  <c r="N675" i="1"/>
  <c r="H675" i="1" s="1"/>
  <c r="N676" i="1"/>
  <c r="H676" i="1" s="1"/>
  <c r="N677" i="1"/>
  <c r="H677" i="1" s="1"/>
  <c r="N678" i="1"/>
  <c r="H678" i="1" s="1"/>
  <c r="N679" i="1"/>
  <c r="H679" i="1" s="1"/>
  <c r="N680" i="1"/>
  <c r="H680" i="1" s="1"/>
  <c r="N681" i="1"/>
  <c r="H681" i="1" s="1"/>
  <c r="N682" i="1"/>
  <c r="H682" i="1" s="1"/>
  <c r="N683" i="1"/>
  <c r="H683" i="1" s="1"/>
  <c r="N684" i="1"/>
  <c r="H684" i="1" s="1"/>
  <c r="N685" i="1"/>
  <c r="H685" i="1" s="1"/>
  <c r="N686" i="1"/>
  <c r="H686" i="1" s="1"/>
  <c r="N687" i="1"/>
  <c r="H687" i="1" s="1"/>
  <c r="N688" i="1"/>
  <c r="H688" i="1" s="1"/>
  <c r="N689" i="1"/>
  <c r="H689" i="1" s="1"/>
  <c r="N690" i="1"/>
  <c r="H690" i="1" s="1"/>
  <c r="N691" i="1"/>
  <c r="H691" i="1" s="1"/>
  <c r="N692" i="1"/>
  <c r="H692" i="1" s="1"/>
  <c r="N693" i="1"/>
  <c r="H693" i="1" s="1"/>
  <c r="N694" i="1"/>
  <c r="H694" i="1" s="1"/>
  <c r="N695" i="1"/>
  <c r="H695" i="1" s="1"/>
  <c r="N696" i="1"/>
  <c r="H696" i="1" s="1"/>
  <c r="N697" i="1"/>
  <c r="H697" i="1" s="1"/>
  <c r="N698" i="1"/>
  <c r="H698" i="1" s="1"/>
  <c r="J620" i="1"/>
  <c r="J622" i="1"/>
  <c r="J623" i="1"/>
  <c r="J626"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Q237" i="1" l="1"/>
  <c r="P238" i="1"/>
  <c r="O238" i="1"/>
  <c r="Q238" i="1" l="1"/>
  <c r="P239" i="1"/>
  <c r="O239" i="1"/>
  <c r="Q239" i="1" l="1"/>
  <c r="O240" i="1"/>
  <c r="P240" i="1"/>
  <c r="Q240" i="1" l="1"/>
  <c r="O241" i="1"/>
  <c r="P241" i="1"/>
  <c r="Q241" i="1" l="1"/>
  <c r="P242" i="1"/>
  <c r="O242" i="1"/>
  <c r="Q242" i="1" l="1"/>
  <c r="O243" i="1"/>
  <c r="P243" i="1"/>
  <c r="Q243" i="1" l="1"/>
  <c r="P244" i="1"/>
  <c r="O244" i="1"/>
  <c r="Q244" i="1" l="1"/>
  <c r="O245" i="1"/>
  <c r="P245" i="1"/>
  <c r="P246" i="1" l="1"/>
  <c r="O246" i="1"/>
  <c r="Q245" i="1"/>
  <c r="Q246" i="1" l="1"/>
  <c r="O247" i="1"/>
  <c r="P247" i="1"/>
  <c r="Q247" i="1" l="1"/>
  <c r="O248" i="1"/>
  <c r="P248" i="1"/>
  <c r="Q248" i="1" l="1"/>
  <c r="O249" i="1"/>
  <c r="P249" i="1"/>
  <c r="Q249" i="1" l="1"/>
  <c r="O250" i="1"/>
  <c r="P250" i="1"/>
  <c r="Q250" i="1" l="1"/>
  <c r="O251" i="1"/>
  <c r="P251" i="1"/>
  <c r="Q251" i="1" l="1"/>
  <c r="O252" i="1"/>
  <c r="P252" i="1"/>
  <c r="Q252" i="1" l="1"/>
  <c r="O253" i="1"/>
  <c r="P253" i="1"/>
  <c r="Q253" i="1" l="1"/>
  <c r="O254" i="1"/>
  <c r="P254" i="1"/>
  <c r="Q254" i="1" l="1"/>
  <c r="P255" i="1"/>
  <c r="O255" i="1"/>
  <c r="Q255" i="1" l="1"/>
  <c r="O256" i="1"/>
  <c r="P256" i="1"/>
  <c r="Q256" i="1" l="1"/>
  <c r="O257" i="1"/>
  <c r="P257" i="1"/>
  <c r="P258" i="1" l="1"/>
  <c r="O258" i="1"/>
  <c r="Q257" i="1"/>
  <c r="Q258" i="1" l="1"/>
  <c r="P259" i="1"/>
  <c r="O259" i="1"/>
  <c r="Q259" i="1" l="1"/>
  <c r="O260" i="1"/>
  <c r="P260" i="1"/>
  <c r="Q260" i="1" l="1"/>
  <c r="O261" i="1"/>
  <c r="P261" i="1"/>
  <c r="Q261" i="1" l="1"/>
  <c r="O262" i="1"/>
  <c r="P262" i="1"/>
  <c r="P263" i="1" l="1"/>
  <c r="O263" i="1"/>
  <c r="Q262" i="1"/>
  <c r="Q263" i="1" l="1"/>
  <c r="O264" i="1"/>
  <c r="P264" i="1"/>
  <c r="Q264" i="1" l="1"/>
  <c r="O265" i="1"/>
  <c r="P265" i="1"/>
  <c r="Q265" i="1" l="1"/>
  <c r="P266" i="1"/>
  <c r="O266" i="1"/>
  <c r="Q266" i="1" l="1"/>
  <c r="O267" i="1"/>
  <c r="P267" i="1"/>
  <c r="Q267" i="1" l="1"/>
  <c r="P268" i="1"/>
  <c r="O268" i="1"/>
  <c r="Q268" i="1" l="1"/>
  <c r="O269" i="1"/>
  <c r="P269" i="1"/>
  <c r="Q269" i="1" l="1"/>
  <c r="O270" i="1"/>
  <c r="P270" i="1"/>
  <c r="Q270" i="1" l="1"/>
  <c r="P271" i="1"/>
  <c r="O271" i="1"/>
  <c r="Q271" i="1" l="1"/>
  <c r="P272" i="1"/>
  <c r="O272" i="1"/>
  <c r="Q272" i="1" l="1"/>
  <c r="O273" i="1"/>
  <c r="P273" i="1"/>
  <c r="Q273" i="1" l="1"/>
  <c r="O274" i="1"/>
  <c r="P274" i="1"/>
  <c r="Q274" i="1" l="1"/>
  <c r="P275" i="1"/>
  <c r="O275" i="1"/>
  <c r="Q275" i="1" l="1"/>
  <c r="P276" i="1"/>
  <c r="O276" i="1"/>
  <c r="Q276" i="1" l="1"/>
  <c r="O277" i="1"/>
  <c r="P277" i="1"/>
  <c r="Q277" i="1" l="1"/>
  <c r="O278" i="1"/>
  <c r="P278" i="1"/>
  <c r="Q278" i="1" l="1"/>
  <c r="P279" i="1"/>
  <c r="O279" i="1"/>
  <c r="Q279" i="1" l="1"/>
  <c r="P280" i="1"/>
  <c r="O280" i="1"/>
  <c r="Q280" i="1" l="1"/>
  <c r="O281" i="1"/>
  <c r="P281" i="1"/>
  <c r="Q281" i="1" l="1"/>
  <c r="P282" i="1"/>
  <c r="O282" i="1"/>
  <c r="Q282" i="1" l="1"/>
  <c r="O283" i="1"/>
  <c r="P283" i="1"/>
  <c r="Q283" i="1" l="1"/>
  <c r="P284" i="1"/>
  <c r="O284" i="1"/>
  <c r="O285" i="1" l="1"/>
  <c r="P285" i="1"/>
  <c r="Q284" i="1"/>
  <c r="O286" i="1" l="1"/>
  <c r="P286" i="1"/>
  <c r="Q285" i="1"/>
  <c r="Q286" i="1" l="1"/>
  <c r="O287" i="1"/>
  <c r="P287" i="1"/>
  <c r="Q287" i="1" l="1"/>
  <c r="O288" i="1"/>
  <c r="P288" i="1"/>
  <c r="P289" i="1" l="1"/>
  <c r="O289" i="1"/>
  <c r="Q288" i="1"/>
  <c r="Q289" i="1" l="1"/>
  <c r="O290" i="1"/>
  <c r="P290" i="1"/>
  <c r="Q290" i="1" l="1"/>
  <c r="P291" i="1"/>
  <c r="O291" i="1"/>
  <c r="O292" i="1" l="1"/>
  <c r="P292" i="1"/>
  <c r="Q291" i="1"/>
  <c r="Q292" i="1" l="1"/>
  <c r="O293" i="1"/>
  <c r="P293" i="1"/>
  <c r="P294" i="1" l="1"/>
  <c r="O294" i="1"/>
  <c r="Q293" i="1"/>
  <c r="Q294" i="1" l="1"/>
  <c r="O295" i="1"/>
  <c r="P295" i="1"/>
  <c r="O296" i="1" l="1"/>
  <c r="P296" i="1"/>
  <c r="Q295" i="1"/>
  <c r="Q296" i="1" l="1"/>
  <c r="P297" i="1"/>
  <c r="O297" i="1"/>
  <c r="Q297" i="1" l="1"/>
  <c r="O298" i="1"/>
  <c r="P298" i="1"/>
  <c r="Q298" i="1" l="1"/>
  <c r="O299" i="1"/>
  <c r="P299" i="1"/>
  <c r="P300" i="1" l="1"/>
  <c r="O300" i="1"/>
  <c r="Q299" i="1"/>
  <c r="Q300" i="1" l="1"/>
  <c r="O301" i="1"/>
  <c r="P301" i="1"/>
  <c r="Q301" i="1" l="1"/>
  <c r="P302" i="1"/>
  <c r="O302" i="1"/>
  <c r="Q302" i="1" l="1"/>
  <c r="O303" i="1"/>
  <c r="P303" i="1"/>
  <c r="P304" i="1" l="1"/>
  <c r="O304" i="1"/>
  <c r="Q303" i="1"/>
  <c r="Q304" i="1" l="1"/>
  <c r="O305" i="1"/>
  <c r="P305" i="1"/>
  <c r="Q305" i="1" l="1"/>
  <c r="O306" i="1"/>
  <c r="P306" i="1"/>
  <c r="O307" i="1" l="1"/>
  <c r="P307" i="1"/>
  <c r="Q306" i="1"/>
  <c r="O308" i="1" l="1"/>
  <c r="P308" i="1"/>
  <c r="Q307" i="1"/>
  <c r="Q308" i="1" l="1"/>
  <c r="O309" i="1"/>
  <c r="P309" i="1"/>
  <c r="O310" i="1" l="1"/>
  <c r="P310" i="1"/>
  <c r="Q309" i="1"/>
  <c r="Q310" i="1" l="1"/>
  <c r="O311" i="1"/>
  <c r="P311" i="1"/>
  <c r="Q311" i="1" l="1"/>
  <c r="O312" i="1"/>
  <c r="P312" i="1"/>
  <c r="Q312" i="1" l="1"/>
  <c r="O313" i="1"/>
  <c r="P313" i="1"/>
  <c r="Q313" i="1" l="1"/>
  <c r="P314" i="1"/>
  <c r="O314" i="1"/>
  <c r="Q314" i="1" l="1"/>
  <c r="O315" i="1"/>
  <c r="P315" i="1"/>
  <c r="Q315" i="1" l="1"/>
  <c r="O316" i="1"/>
  <c r="P316" i="1"/>
  <c r="Q316" i="1" l="1"/>
  <c r="O317" i="1"/>
  <c r="P317" i="1"/>
  <c r="Q317" i="1" l="1"/>
  <c r="P318" i="1"/>
  <c r="O318" i="1"/>
  <c r="Q318" i="1" l="1"/>
  <c r="O319" i="1"/>
  <c r="P319" i="1"/>
  <c r="Q319" i="1" l="1"/>
  <c r="P320" i="1"/>
  <c r="O320" i="1"/>
  <c r="Q320" i="1" l="1"/>
  <c r="O321" i="1"/>
  <c r="P321" i="1"/>
  <c r="Q321" i="1" l="1"/>
  <c r="O322" i="1"/>
  <c r="P322" i="1"/>
  <c r="Q322" i="1" l="1"/>
  <c r="O323" i="1"/>
  <c r="P323" i="1"/>
  <c r="Q323" i="1" l="1"/>
  <c r="O324" i="1"/>
  <c r="P324" i="1"/>
  <c r="Q324" i="1" l="1"/>
  <c r="P325" i="1"/>
  <c r="O325" i="1"/>
  <c r="Q325" i="1" l="1"/>
  <c r="O326" i="1"/>
  <c r="P326" i="1"/>
  <c r="Q326" i="1" l="1"/>
  <c r="O327" i="1"/>
  <c r="P327" i="1"/>
  <c r="Q327" i="1" l="1"/>
  <c r="O328" i="1"/>
  <c r="P328" i="1"/>
  <c r="Q328" i="1" l="1"/>
  <c r="P329" i="1"/>
  <c r="O329" i="1"/>
  <c r="Q329" i="1" l="1"/>
  <c r="P330" i="1"/>
  <c r="O330" i="1"/>
  <c r="Q330" i="1" l="1"/>
  <c r="O331" i="1"/>
  <c r="P331" i="1"/>
  <c r="Q331" i="1" l="1"/>
  <c r="O332" i="1"/>
  <c r="P332" i="1"/>
  <c r="Q332" i="1" l="1"/>
  <c r="P333" i="1"/>
  <c r="O333" i="1"/>
  <c r="Q333" i="1" l="1"/>
  <c r="P334" i="1"/>
  <c r="O334" i="1"/>
  <c r="Q334" i="1" l="1"/>
  <c r="P335" i="1"/>
  <c r="O335" i="1"/>
  <c r="Q335" i="1" l="1"/>
  <c r="P336" i="1"/>
  <c r="O336" i="1"/>
  <c r="Q336" i="1" l="1"/>
  <c r="P337" i="1"/>
  <c r="O337" i="1"/>
  <c r="Q337" i="1" l="1"/>
  <c r="O338" i="1"/>
  <c r="P338" i="1"/>
  <c r="Q338" i="1" l="1"/>
  <c r="P339" i="1"/>
  <c r="O339" i="1"/>
  <c r="P340" i="1" l="1"/>
  <c r="O340" i="1"/>
  <c r="Q339" i="1"/>
  <c r="Q340" i="1" l="1"/>
  <c r="O341" i="1"/>
  <c r="P341" i="1"/>
  <c r="P342" i="1" l="1"/>
  <c r="O342" i="1"/>
  <c r="Q341" i="1"/>
  <c r="Q342" i="1" l="1"/>
  <c r="P343" i="1"/>
  <c r="O343" i="1"/>
  <c r="Q343" i="1" l="1"/>
  <c r="O344" i="1"/>
  <c r="P344" i="1"/>
  <c r="Q344" i="1" l="1"/>
  <c r="O345" i="1"/>
  <c r="P345" i="1"/>
  <c r="P346" i="1" l="1"/>
  <c r="O346" i="1"/>
  <c r="Q345" i="1"/>
  <c r="Q346" i="1" l="1"/>
  <c r="O347" i="1"/>
  <c r="P347" i="1"/>
  <c r="O348" i="1" l="1"/>
  <c r="P348" i="1"/>
  <c r="Q347" i="1"/>
  <c r="Q348" i="1" l="1"/>
  <c r="O349" i="1"/>
  <c r="P349" i="1"/>
  <c r="O350" i="1" l="1"/>
  <c r="P350" i="1"/>
  <c r="Q349" i="1"/>
  <c r="P351" i="1" l="1"/>
  <c r="O351" i="1"/>
  <c r="Q350" i="1"/>
  <c r="Q351" i="1" l="1"/>
  <c r="O352" i="1"/>
  <c r="P352" i="1"/>
  <c r="Q352" i="1" l="1"/>
  <c r="O353" i="1"/>
  <c r="P353" i="1"/>
  <c r="Q353" i="1" l="1"/>
  <c r="P354" i="1"/>
  <c r="O354" i="1"/>
  <c r="Q354" i="1" l="1"/>
  <c r="O355" i="1"/>
  <c r="P355" i="1"/>
  <c r="Q355" i="1" l="1"/>
  <c r="O356" i="1"/>
  <c r="P356" i="1"/>
  <c r="Q356" i="1" l="1"/>
  <c r="O357" i="1"/>
  <c r="P357" i="1"/>
  <c r="P358" i="1" l="1"/>
  <c r="O358" i="1"/>
  <c r="Q357" i="1"/>
  <c r="Q358" i="1" l="1"/>
  <c r="P359" i="1"/>
  <c r="O359" i="1"/>
  <c r="Q359" i="1" l="1"/>
  <c r="P360" i="1"/>
  <c r="O360" i="1"/>
  <c r="Q360" i="1" l="1"/>
  <c r="O361" i="1"/>
  <c r="P361" i="1"/>
  <c r="O362" i="1" l="1"/>
  <c r="P362" i="1"/>
  <c r="Q361" i="1"/>
  <c r="Q362" i="1" l="1"/>
  <c r="O363" i="1"/>
  <c r="P363" i="1"/>
  <c r="Q363" i="1" l="1"/>
  <c r="P364" i="1"/>
  <c r="O364" i="1"/>
  <c r="Q364" i="1" l="1"/>
  <c r="P365" i="1"/>
  <c r="O365" i="1"/>
  <c r="Q365" i="1" l="1"/>
  <c r="O366" i="1"/>
  <c r="P366" i="1"/>
  <c r="Q366" i="1" l="1"/>
  <c r="O367" i="1"/>
  <c r="P367" i="1"/>
  <c r="P368" i="1" l="1"/>
  <c r="O368" i="1"/>
  <c r="Q367" i="1"/>
  <c r="Q368" i="1" l="1"/>
  <c r="P369" i="1"/>
  <c r="O369" i="1"/>
  <c r="Q369" i="1" l="1"/>
  <c r="O370" i="1"/>
  <c r="P370" i="1"/>
  <c r="Q370" i="1" l="1"/>
  <c r="P371" i="1"/>
  <c r="O371" i="1"/>
  <c r="Q371" i="1" l="1"/>
  <c r="O372" i="1"/>
  <c r="P372" i="1"/>
  <c r="Q372" i="1" l="1"/>
  <c r="P373" i="1"/>
  <c r="O373" i="1"/>
  <c r="Q373" i="1" l="1"/>
  <c r="P374" i="1"/>
  <c r="O374" i="1"/>
  <c r="Q374" i="1" l="1"/>
  <c r="O375" i="1"/>
  <c r="P375" i="1"/>
  <c r="Q375" i="1" l="1"/>
  <c r="P376" i="1"/>
  <c r="O376" i="1"/>
  <c r="Q376" i="1" l="1"/>
  <c r="P377" i="1"/>
  <c r="O377" i="1"/>
  <c r="Q377" i="1" l="1"/>
  <c r="O378" i="1"/>
  <c r="P378" i="1"/>
  <c r="Q378" i="1" l="1"/>
  <c r="O379" i="1"/>
  <c r="P379" i="1"/>
  <c r="Q379" i="1" l="1"/>
  <c r="O380" i="1"/>
  <c r="P380" i="1"/>
  <c r="Q380" i="1" l="1"/>
  <c r="O381" i="1"/>
  <c r="P381" i="1"/>
  <c r="Q381" i="1" l="1"/>
  <c r="P382" i="1"/>
  <c r="O382" i="1"/>
  <c r="Q382" i="1" l="1"/>
  <c r="P383" i="1"/>
  <c r="O383" i="1"/>
  <c r="Q383" i="1" l="1"/>
  <c r="P384" i="1"/>
  <c r="O384" i="1"/>
  <c r="Q384" i="1" l="1"/>
  <c r="O385" i="1"/>
  <c r="P385" i="1"/>
  <c r="Q385" i="1" l="1"/>
  <c r="P386" i="1"/>
  <c r="O386" i="1"/>
  <c r="P387" i="1" l="1"/>
  <c r="O387" i="1"/>
  <c r="Q386" i="1"/>
  <c r="Q387" i="1" l="1"/>
  <c r="P388" i="1"/>
  <c r="O388" i="1"/>
  <c r="Q388" i="1" l="1"/>
  <c r="P389" i="1"/>
  <c r="O389" i="1"/>
  <c r="Q389" i="1" l="1"/>
  <c r="O390" i="1"/>
  <c r="P390" i="1"/>
  <c r="Q390" i="1" l="1"/>
  <c r="P391" i="1"/>
  <c r="O391" i="1"/>
  <c r="Q391" i="1" l="1"/>
  <c r="O392" i="1"/>
  <c r="P392" i="1"/>
  <c r="Q392" i="1" l="1"/>
  <c r="P393" i="1"/>
  <c r="O393" i="1"/>
  <c r="Q393" i="1" l="1"/>
  <c r="P394" i="1"/>
  <c r="O394" i="1"/>
  <c r="Q394" i="1" l="1"/>
  <c r="O395" i="1"/>
  <c r="P395" i="1"/>
  <c r="Q395" i="1" l="1"/>
  <c r="P396" i="1"/>
  <c r="O396" i="1"/>
  <c r="Q396" i="1" l="1"/>
  <c r="P397" i="1"/>
  <c r="O397" i="1"/>
  <c r="P398" i="1" l="1"/>
  <c r="O398" i="1"/>
  <c r="Q397" i="1"/>
  <c r="Q398" i="1" l="1"/>
  <c r="O399" i="1"/>
  <c r="P399" i="1"/>
  <c r="Q399" i="1" l="1"/>
  <c r="O400" i="1"/>
  <c r="P400" i="1"/>
  <c r="Q400" i="1" l="1"/>
  <c r="O401" i="1"/>
  <c r="P401" i="1"/>
  <c r="Q401" i="1" l="1"/>
  <c r="O402" i="1"/>
  <c r="P402" i="1"/>
  <c r="Q402" i="1" l="1"/>
  <c r="O403" i="1"/>
  <c r="P403" i="1"/>
  <c r="Q403" i="1" l="1"/>
  <c r="O404" i="1"/>
  <c r="P404" i="1"/>
  <c r="O405" i="1" l="1"/>
  <c r="P405" i="1"/>
  <c r="Q404" i="1"/>
  <c r="Q405" i="1" l="1"/>
  <c r="P406" i="1"/>
  <c r="O406" i="1"/>
  <c r="Q406" i="1" l="1"/>
  <c r="O407" i="1"/>
  <c r="P407" i="1"/>
  <c r="P408" i="1" l="1"/>
  <c r="O408" i="1"/>
  <c r="Q407" i="1"/>
  <c r="Q408" i="1" l="1"/>
  <c r="P409" i="1"/>
  <c r="O409" i="1"/>
  <c r="Q409" i="1" l="1"/>
  <c r="O410" i="1"/>
  <c r="P410" i="1"/>
  <c r="Q410" i="1" l="1"/>
  <c r="P411" i="1"/>
  <c r="O411" i="1"/>
  <c r="Q411" i="1" l="1"/>
  <c r="O412" i="1"/>
  <c r="P412" i="1"/>
  <c r="Q412" i="1" l="1"/>
  <c r="O413" i="1"/>
  <c r="P413" i="1"/>
  <c r="Q413" i="1" l="1"/>
  <c r="P414" i="1"/>
  <c r="O414" i="1"/>
  <c r="Q414" i="1" l="1"/>
  <c r="P415" i="1"/>
  <c r="O415" i="1"/>
  <c r="Q415" i="1" l="1"/>
  <c r="O416" i="1"/>
  <c r="P416" i="1"/>
  <c r="Q416" i="1" l="1"/>
  <c r="O417" i="1"/>
  <c r="P417" i="1"/>
  <c r="Q417" i="1" l="1"/>
  <c r="O418" i="1"/>
  <c r="P418" i="1"/>
  <c r="Q418" i="1" l="1"/>
  <c r="O419" i="1"/>
  <c r="P419" i="1"/>
  <c r="Q419" i="1" l="1"/>
  <c r="O420" i="1"/>
  <c r="P420" i="1"/>
  <c r="Q420" i="1" l="1"/>
  <c r="O421" i="1"/>
  <c r="P421" i="1"/>
  <c r="O422" i="1" l="1"/>
  <c r="P422" i="1"/>
  <c r="Q421" i="1"/>
  <c r="Q422" i="1" l="1"/>
  <c r="O423" i="1"/>
  <c r="P423" i="1"/>
  <c r="Q423" i="1" l="1"/>
  <c r="P424" i="1"/>
  <c r="O424" i="1"/>
  <c r="Q424" i="1" l="1"/>
  <c r="P425" i="1"/>
  <c r="O425" i="1"/>
  <c r="Q425" i="1" l="1"/>
  <c r="P426" i="1"/>
  <c r="O426" i="1"/>
  <c r="Q426" i="1" l="1"/>
  <c r="O427" i="1"/>
  <c r="P427" i="1"/>
  <c r="P428" i="1" l="1"/>
  <c r="O428" i="1"/>
  <c r="Q427" i="1"/>
  <c r="Q428" i="1" l="1"/>
  <c r="O429" i="1"/>
  <c r="P429" i="1"/>
  <c r="Q429" i="1" l="1"/>
  <c r="P430" i="1"/>
  <c r="O430" i="1"/>
  <c r="Q430" i="1" l="1"/>
  <c r="P431" i="1"/>
  <c r="O431" i="1"/>
  <c r="Q431" i="1" l="1"/>
  <c r="O432" i="1"/>
  <c r="P432" i="1"/>
  <c r="P433" i="1" l="1"/>
  <c r="O433" i="1"/>
  <c r="Q432" i="1"/>
  <c r="Q433" i="1" l="1"/>
  <c r="O434" i="1"/>
  <c r="P434" i="1"/>
  <c r="Q434" i="1" l="1"/>
  <c r="O435" i="1"/>
  <c r="P435" i="1"/>
  <c r="Q435" i="1" l="1"/>
  <c r="O436" i="1"/>
  <c r="P436" i="1"/>
  <c r="P437" i="1" l="1"/>
  <c r="O437" i="1"/>
  <c r="Q436" i="1"/>
  <c r="Q437" i="1" l="1"/>
  <c r="O438" i="1"/>
  <c r="P438" i="1"/>
  <c r="O439" i="1" l="1"/>
  <c r="P439" i="1"/>
  <c r="Q438" i="1"/>
  <c r="Q439" i="1" l="1"/>
  <c r="O440" i="1"/>
  <c r="P440" i="1"/>
  <c r="Q440" i="1" l="1"/>
  <c r="O441" i="1"/>
  <c r="P441" i="1"/>
  <c r="Q441" i="1" l="1"/>
  <c r="O442" i="1"/>
  <c r="P442" i="1"/>
  <c r="P443" i="1" l="1"/>
  <c r="O443" i="1"/>
  <c r="Q442" i="1"/>
  <c r="Q443" i="1" l="1"/>
  <c r="O444" i="1"/>
  <c r="P444" i="1"/>
  <c r="Q444" i="1" l="1"/>
  <c r="O445" i="1"/>
  <c r="P445" i="1"/>
  <c r="Q445" i="1" l="1"/>
  <c r="O446" i="1"/>
  <c r="P446" i="1"/>
  <c r="Q446" i="1" l="1"/>
  <c r="O447" i="1"/>
  <c r="P447" i="1"/>
  <c r="O448" i="1" l="1"/>
  <c r="P448" i="1"/>
  <c r="Q447" i="1"/>
  <c r="Q448" i="1" l="1"/>
  <c r="O449" i="1"/>
  <c r="P449" i="1"/>
  <c r="Q449" i="1" l="1"/>
  <c r="P450" i="1"/>
  <c r="O450" i="1"/>
  <c r="Q450" i="1" l="1"/>
  <c r="O451" i="1"/>
  <c r="P451" i="1"/>
  <c r="Q451" i="1" l="1"/>
  <c r="P452" i="1"/>
  <c r="O452" i="1"/>
  <c r="Q452" i="1" l="1"/>
  <c r="O453" i="1"/>
  <c r="P453" i="1"/>
  <c r="Q453" i="1" l="1"/>
  <c r="P454" i="1"/>
  <c r="O454" i="1"/>
  <c r="Q454" i="1" l="1"/>
  <c r="O455" i="1"/>
  <c r="P455" i="1"/>
  <c r="Q455" i="1" l="1"/>
  <c r="O456" i="1"/>
  <c r="P456" i="1"/>
  <c r="O457" i="1" l="1"/>
  <c r="P457" i="1"/>
  <c r="Q456" i="1"/>
  <c r="Q457" i="1" l="1"/>
  <c r="P458" i="1"/>
  <c r="O458" i="1"/>
  <c r="Q458" i="1" l="1"/>
  <c r="O459" i="1"/>
  <c r="P459" i="1"/>
  <c r="P460" i="1" l="1"/>
  <c r="O460" i="1"/>
  <c r="Q459" i="1"/>
  <c r="Q460" i="1" l="1"/>
  <c r="P461" i="1"/>
  <c r="O461" i="1"/>
  <c r="Q461" i="1" l="1"/>
  <c r="P462" i="1"/>
  <c r="O462" i="1"/>
  <c r="O463" i="1" l="1"/>
  <c r="P463" i="1"/>
  <c r="Q462" i="1"/>
  <c r="P464" i="1" l="1"/>
  <c r="O464" i="1"/>
  <c r="Q463" i="1"/>
  <c r="Q464" i="1" l="1"/>
  <c r="P465" i="1"/>
  <c r="O465" i="1"/>
  <c r="Q465" i="1" l="1"/>
  <c r="P466" i="1"/>
  <c r="O466" i="1"/>
  <c r="Q466" i="1" l="1"/>
  <c r="P467" i="1"/>
  <c r="O467" i="1"/>
  <c r="Q467" i="1" l="1"/>
  <c r="O468" i="1"/>
  <c r="P468" i="1"/>
  <c r="P469" i="1" l="1"/>
  <c r="O469" i="1"/>
  <c r="Q468" i="1"/>
  <c r="Q469" i="1" l="1"/>
  <c r="O470" i="1"/>
  <c r="P470" i="1"/>
  <c r="P471" i="1" l="1"/>
  <c r="O471" i="1"/>
  <c r="Q470" i="1"/>
  <c r="Q471" i="1" l="1"/>
  <c r="P472" i="1"/>
  <c r="O472" i="1"/>
  <c r="Q472" i="1" l="1"/>
  <c r="O473" i="1"/>
  <c r="P473" i="1"/>
  <c r="Q473" i="1" l="1"/>
  <c r="O474" i="1"/>
  <c r="P474" i="1"/>
  <c r="O475" i="1" l="1"/>
  <c r="P475" i="1"/>
  <c r="Q474" i="1"/>
  <c r="Q475" i="1" l="1"/>
  <c r="O476" i="1"/>
  <c r="P476" i="1"/>
  <c r="P477" i="1" l="1"/>
  <c r="O477" i="1"/>
  <c r="Q476" i="1"/>
  <c r="Q477" i="1" l="1"/>
  <c r="P478" i="1"/>
  <c r="O478" i="1"/>
  <c r="Q478" i="1" l="1"/>
  <c r="P479" i="1"/>
  <c r="O479" i="1"/>
  <c r="Q479" i="1" l="1"/>
  <c r="O480" i="1"/>
  <c r="P480" i="1"/>
  <c r="Q480" i="1" l="1"/>
  <c r="O481" i="1"/>
  <c r="P481" i="1"/>
  <c r="P482" i="1" l="1"/>
  <c r="O482" i="1"/>
  <c r="Q481" i="1"/>
  <c r="Q482" i="1" l="1"/>
  <c r="O483" i="1"/>
  <c r="P483" i="1"/>
  <c r="Q483" i="1" l="1"/>
  <c r="P484" i="1"/>
  <c r="O484" i="1"/>
  <c r="Q484" i="1" l="1"/>
  <c r="O485" i="1"/>
  <c r="P485" i="1"/>
  <c r="Q485" i="1" l="1"/>
  <c r="O486" i="1"/>
  <c r="P486" i="1"/>
  <c r="Q486" i="1" l="1"/>
  <c r="O487" i="1"/>
  <c r="P487" i="1"/>
  <c r="Q487" i="1" l="1"/>
  <c r="O488" i="1"/>
  <c r="P488" i="1"/>
  <c r="Q488" i="1" l="1"/>
  <c r="P489" i="1"/>
  <c r="O489" i="1"/>
  <c r="Q489" i="1" l="1"/>
  <c r="P490" i="1"/>
  <c r="O490" i="1"/>
  <c r="Q490" i="1" l="1"/>
  <c r="P491" i="1"/>
  <c r="O491" i="1"/>
  <c r="Q491" i="1" l="1"/>
  <c r="P492" i="1"/>
  <c r="O492" i="1"/>
  <c r="Q492" i="1" l="1"/>
  <c r="O493" i="1"/>
  <c r="P493" i="1"/>
  <c r="Q493" i="1" l="1"/>
  <c r="O494" i="1"/>
  <c r="P494" i="1"/>
  <c r="Q494" i="1" l="1"/>
  <c r="O495" i="1"/>
  <c r="P495" i="1"/>
  <c r="Q495" i="1" l="1"/>
  <c r="O496" i="1"/>
  <c r="P496" i="1"/>
  <c r="Q496" i="1" l="1"/>
  <c r="O497" i="1"/>
  <c r="P497" i="1"/>
  <c r="Q497" i="1" l="1"/>
  <c r="P498" i="1"/>
  <c r="O498" i="1"/>
  <c r="Q498" i="1" l="1"/>
  <c r="O499" i="1"/>
  <c r="P499" i="1"/>
  <c r="Q499" i="1" l="1"/>
  <c r="P500" i="1"/>
  <c r="O500" i="1"/>
  <c r="Q500" i="1" l="1"/>
  <c r="P501" i="1"/>
  <c r="O501" i="1"/>
  <c r="O502" i="1" l="1"/>
  <c r="P502" i="1"/>
  <c r="Q501" i="1"/>
  <c r="Q502" i="1" l="1"/>
  <c r="O503" i="1"/>
  <c r="P503" i="1"/>
  <c r="Q503" i="1" l="1"/>
  <c r="O504" i="1"/>
  <c r="P504" i="1"/>
  <c r="Q504" i="1" l="1"/>
  <c r="O505" i="1"/>
  <c r="P505" i="1"/>
  <c r="O506" i="1" l="1"/>
  <c r="P506" i="1"/>
  <c r="Q505" i="1"/>
  <c r="Q506" i="1" l="1"/>
  <c r="P507" i="1"/>
  <c r="O507" i="1"/>
  <c r="Q507" i="1" l="1"/>
  <c r="O508" i="1"/>
  <c r="P508" i="1"/>
  <c r="Q508" i="1" l="1"/>
  <c r="O509" i="1"/>
  <c r="P509" i="1"/>
  <c r="O510" i="1" l="1"/>
  <c r="P510" i="1"/>
  <c r="Q509" i="1"/>
  <c r="Q510" i="1" l="1"/>
  <c r="P511" i="1"/>
  <c r="O511" i="1"/>
  <c r="Q511" i="1" l="1"/>
  <c r="O512" i="1"/>
  <c r="P512" i="1"/>
  <c r="O513" i="1" l="1"/>
  <c r="P513" i="1"/>
  <c r="Q512" i="1"/>
  <c r="Q513" i="1" l="1"/>
  <c r="P514" i="1"/>
  <c r="O514" i="1"/>
  <c r="Q514" i="1" l="1"/>
  <c r="O515" i="1"/>
  <c r="P515" i="1"/>
  <c r="Q515" i="1" l="1"/>
  <c r="O516" i="1"/>
  <c r="P516" i="1"/>
  <c r="P517" i="1" l="1"/>
  <c r="O517" i="1"/>
  <c r="Q516" i="1"/>
  <c r="Q517" i="1" l="1"/>
  <c r="P518" i="1"/>
  <c r="O518" i="1"/>
  <c r="O519" i="1" l="1"/>
  <c r="P519" i="1"/>
  <c r="Q518" i="1"/>
  <c r="Q519" i="1" l="1"/>
  <c r="O520" i="1"/>
  <c r="P520" i="1"/>
  <c r="Q520" i="1" l="1"/>
  <c r="O521" i="1"/>
  <c r="P521" i="1"/>
  <c r="O522" i="1" l="1"/>
  <c r="P522" i="1"/>
  <c r="Q521" i="1"/>
  <c r="Q522" i="1" l="1"/>
  <c r="P523" i="1"/>
  <c r="O523" i="1"/>
  <c r="Q523" i="1" l="1"/>
  <c r="O524" i="1"/>
  <c r="P524" i="1"/>
  <c r="Q524" i="1" l="1"/>
  <c r="P525" i="1"/>
  <c r="O525" i="1"/>
  <c r="Q525" i="1" l="1"/>
  <c r="P526" i="1"/>
  <c r="O526" i="1"/>
  <c r="Q526" i="1" l="1"/>
  <c r="O527" i="1"/>
  <c r="P527" i="1"/>
  <c r="Q527" i="1" l="1"/>
  <c r="O528" i="1"/>
  <c r="P528" i="1"/>
  <c r="O529" i="1" l="1"/>
  <c r="P529" i="1"/>
  <c r="Q528" i="1"/>
  <c r="Q529" i="1" l="1"/>
  <c r="O530" i="1"/>
  <c r="P530" i="1"/>
  <c r="Q530" i="1" l="1"/>
  <c r="P531" i="1"/>
  <c r="O531" i="1"/>
  <c r="Q531" i="1" l="1"/>
  <c r="P532" i="1"/>
  <c r="O532" i="1"/>
  <c r="P533" i="1" l="1"/>
  <c r="O533" i="1"/>
  <c r="Q532" i="1"/>
  <c r="Q533" i="1" l="1"/>
  <c r="P534" i="1"/>
  <c r="O534" i="1"/>
  <c r="Q534" i="1" l="1"/>
  <c r="O535" i="1"/>
  <c r="P535" i="1"/>
  <c r="Q535" i="1" l="1"/>
  <c r="O536" i="1"/>
  <c r="P536" i="1"/>
  <c r="Q536" i="1" l="1"/>
  <c r="O537" i="1"/>
  <c r="P537" i="1"/>
  <c r="O538" i="1" l="1"/>
  <c r="P538" i="1"/>
  <c r="Q537" i="1"/>
  <c r="Q538" i="1" l="1"/>
  <c r="O539" i="1"/>
  <c r="P539" i="1"/>
  <c r="Q539" i="1" l="1"/>
  <c r="O540" i="1"/>
  <c r="P540" i="1"/>
  <c r="Q540" i="1" l="1"/>
  <c r="O541" i="1"/>
  <c r="P541" i="1"/>
  <c r="Q541" i="1" l="1"/>
  <c r="O542" i="1"/>
  <c r="P542" i="1"/>
  <c r="Q542" i="1" l="1"/>
  <c r="O543" i="1"/>
  <c r="P543" i="1"/>
  <c r="Q543" i="1" l="1"/>
  <c r="O544" i="1"/>
  <c r="P544" i="1"/>
  <c r="Q544" i="1" l="1"/>
  <c r="P545" i="1"/>
  <c r="O545" i="1"/>
  <c r="Q545" i="1" l="1"/>
  <c r="O546" i="1"/>
  <c r="P546" i="1"/>
  <c r="Q546" i="1" l="1"/>
  <c r="P547" i="1"/>
  <c r="O547" i="1"/>
  <c r="Q547" i="1" l="1"/>
  <c r="O548" i="1"/>
  <c r="P548" i="1"/>
  <c r="Q548" i="1" l="1"/>
  <c r="O549" i="1"/>
  <c r="P549" i="1"/>
  <c r="Q549" i="1" l="1"/>
  <c r="P550" i="1"/>
  <c r="O550" i="1"/>
  <c r="Q550" i="1" l="1"/>
  <c r="P551" i="1"/>
  <c r="O551" i="1"/>
  <c r="Q551" i="1" l="1"/>
  <c r="O552" i="1"/>
  <c r="P552" i="1"/>
  <c r="Q552" i="1" l="1"/>
  <c r="P553" i="1"/>
  <c r="O553" i="1"/>
  <c r="P554" i="1" l="1"/>
  <c r="O554" i="1"/>
  <c r="Q553" i="1"/>
  <c r="Q554" i="1" l="1"/>
  <c r="O555" i="1"/>
  <c r="P555" i="1"/>
  <c r="Q555" i="1" l="1"/>
  <c r="P556" i="1"/>
  <c r="O556" i="1"/>
  <c r="Q556" i="1" l="1"/>
  <c r="O557" i="1"/>
  <c r="P557" i="1"/>
  <c r="Q557" i="1" l="1"/>
  <c r="O558" i="1"/>
  <c r="P558" i="1"/>
  <c r="Q558" i="1" l="1"/>
  <c r="P559" i="1"/>
  <c r="O559" i="1"/>
  <c r="Q559" i="1" l="1"/>
  <c r="P560" i="1"/>
  <c r="O560" i="1"/>
  <c r="Q560" i="1" l="1"/>
  <c r="O561" i="1"/>
  <c r="P561" i="1"/>
  <c r="Q561" i="1" l="1"/>
  <c r="O562" i="1"/>
  <c r="P562" i="1"/>
  <c r="P563" i="1" l="1"/>
  <c r="O563" i="1"/>
  <c r="Q562" i="1"/>
  <c r="Q563" i="1" l="1"/>
  <c r="P564" i="1"/>
  <c r="O564" i="1"/>
  <c r="Q564" i="1" l="1"/>
  <c r="P565" i="1"/>
  <c r="O565" i="1"/>
  <c r="Q565" i="1" l="1"/>
  <c r="P566" i="1"/>
  <c r="O566" i="1"/>
  <c r="Q566" i="1" l="1"/>
  <c r="P567" i="1"/>
  <c r="O567" i="1"/>
  <c r="Q567" i="1" l="1"/>
  <c r="O568" i="1"/>
  <c r="P568" i="1"/>
  <c r="P569" i="1" l="1"/>
  <c r="O569" i="1"/>
  <c r="Q568" i="1"/>
  <c r="Q569" i="1" l="1"/>
  <c r="P570" i="1"/>
  <c r="O570" i="1"/>
  <c r="Q570" i="1" l="1"/>
  <c r="P571" i="1"/>
  <c r="O571" i="1"/>
  <c r="Q571" i="1" l="1"/>
  <c r="P572" i="1"/>
  <c r="O572" i="1"/>
  <c r="Q572" i="1" l="1"/>
  <c r="O573" i="1"/>
  <c r="P573" i="1"/>
  <c r="Q573" i="1" l="1"/>
  <c r="P574" i="1"/>
  <c r="O574" i="1"/>
  <c r="Q574" i="1" l="1"/>
  <c r="P575" i="1"/>
  <c r="O575" i="1"/>
  <c r="Q575" i="1" l="1"/>
  <c r="O576" i="1"/>
  <c r="P576" i="1"/>
  <c r="Q576" i="1" l="1"/>
  <c r="P577" i="1"/>
  <c r="O577" i="1"/>
  <c r="O578" i="1" l="1"/>
  <c r="P578" i="1"/>
  <c r="Q577" i="1"/>
  <c r="O579" i="1" l="1"/>
  <c r="P579" i="1"/>
  <c r="Q578" i="1"/>
  <c r="P580" i="1" l="1"/>
  <c r="O580" i="1"/>
  <c r="Q579" i="1"/>
  <c r="Q580" i="1" l="1"/>
  <c r="O581" i="1"/>
  <c r="P581" i="1"/>
  <c r="Q581" i="1" l="1"/>
  <c r="O582" i="1"/>
  <c r="P582" i="1"/>
  <c r="P583" i="1" l="1"/>
  <c r="O583" i="1"/>
  <c r="Q582" i="1"/>
  <c r="Q583" i="1" l="1"/>
  <c r="O584" i="1"/>
  <c r="P584" i="1"/>
  <c r="P585" i="1" l="1"/>
  <c r="O585" i="1"/>
  <c r="Q584" i="1"/>
  <c r="Q585" i="1" l="1"/>
  <c r="P586" i="1"/>
  <c r="O586" i="1"/>
  <c r="Q586" i="1" l="1"/>
  <c r="O587" i="1"/>
  <c r="P587" i="1"/>
  <c r="Q587" i="1" l="1"/>
  <c r="P588" i="1"/>
  <c r="O588" i="1"/>
  <c r="Q588" i="1" l="1"/>
  <c r="O589" i="1"/>
  <c r="P589" i="1"/>
  <c r="Q589" i="1" l="1"/>
  <c r="P590" i="1"/>
  <c r="O590" i="1"/>
  <c r="Q590" i="1" l="1"/>
  <c r="O591" i="1"/>
  <c r="P591" i="1"/>
  <c r="Q591" i="1" l="1"/>
  <c r="O592" i="1"/>
  <c r="P592" i="1"/>
  <c r="Q592" i="1" l="1"/>
  <c r="O593" i="1"/>
  <c r="P593" i="1"/>
  <c r="O594" i="1" l="1"/>
  <c r="P594" i="1"/>
  <c r="Q593" i="1"/>
  <c r="O595" i="1" l="1"/>
  <c r="P595" i="1"/>
  <c r="Q594" i="1"/>
  <c r="Q595" i="1" l="1"/>
  <c r="O596" i="1"/>
  <c r="P596" i="1"/>
  <c r="Q596" i="1" l="1"/>
  <c r="P597" i="1"/>
  <c r="O597" i="1"/>
  <c r="Q597" i="1" l="1"/>
  <c r="O598" i="1"/>
  <c r="P598" i="1"/>
  <c r="Q598" i="1" l="1"/>
  <c r="O599" i="1"/>
  <c r="P599" i="1"/>
  <c r="Q599" i="1" l="1"/>
  <c r="O600" i="1"/>
  <c r="P600" i="1"/>
  <c r="Q600" i="1" l="1"/>
  <c r="P601" i="1"/>
  <c r="O601" i="1"/>
  <c r="P602" i="1" l="1"/>
  <c r="O602" i="1"/>
  <c r="Q601" i="1"/>
  <c r="Q602" i="1" l="1"/>
  <c r="P603" i="1"/>
  <c r="O603" i="1"/>
  <c r="O604" i="1" l="1"/>
  <c r="P604" i="1"/>
  <c r="Q603" i="1"/>
  <c r="Q604" i="1" l="1"/>
  <c r="O605" i="1"/>
  <c r="P605" i="1"/>
  <c r="Q605" i="1" l="1"/>
  <c r="P606" i="1"/>
  <c r="O606" i="1"/>
  <c r="Q606" i="1" l="1"/>
  <c r="P607" i="1"/>
  <c r="O607" i="1"/>
  <c r="Q607" i="1" l="1"/>
  <c r="P608" i="1"/>
  <c r="O608" i="1"/>
  <c r="Q608" i="1" l="1"/>
  <c r="O609" i="1"/>
  <c r="P609" i="1"/>
  <c r="Q609" i="1" l="1"/>
  <c r="P610" i="1"/>
  <c r="O610" i="1"/>
  <c r="Q610" i="1" l="1"/>
  <c r="O611" i="1"/>
  <c r="P611" i="1"/>
  <c r="Q611" i="1" l="1"/>
  <c r="P612" i="1"/>
  <c r="O612" i="1"/>
  <c r="Q612" i="1" l="1"/>
  <c r="P613" i="1"/>
  <c r="O613" i="1"/>
  <c r="Q613" i="1" l="1"/>
  <c r="P614" i="1"/>
  <c r="O614" i="1"/>
  <c r="Q614" i="1" l="1"/>
  <c r="O615" i="1"/>
  <c r="P615" i="1"/>
  <c r="Q615" i="1" l="1"/>
  <c r="P616" i="1"/>
  <c r="O616" i="1"/>
  <c r="Q616" i="1" l="1"/>
  <c r="P617" i="1"/>
  <c r="O617" i="1"/>
  <c r="Q617" i="1" l="1"/>
  <c r="P618" i="1"/>
  <c r="O618" i="1"/>
  <c r="Q618" i="1" l="1"/>
  <c r="O619" i="1"/>
  <c r="P619" i="1"/>
  <c r="Q619" i="1" l="1"/>
  <c r="O620" i="1"/>
  <c r="P620" i="1"/>
  <c r="Q620" i="1" l="1"/>
  <c r="P621" i="1"/>
  <c r="O621" i="1"/>
  <c r="Q621" i="1" l="1"/>
  <c r="P622" i="1"/>
  <c r="O622" i="1"/>
  <c r="Q622" i="1" l="1"/>
  <c r="O623" i="1"/>
  <c r="P623" i="1"/>
  <c r="Q623" i="1" l="1"/>
  <c r="O624" i="1"/>
  <c r="P624" i="1"/>
  <c r="Q624" i="1" l="1"/>
  <c r="P625" i="1"/>
  <c r="O625" i="1"/>
  <c r="Q625" i="1" l="1"/>
  <c r="P626" i="1"/>
  <c r="O626" i="1"/>
  <c r="Q626" i="1" l="1"/>
  <c r="O627" i="1"/>
  <c r="P627" i="1"/>
  <c r="Q627" i="1" l="1"/>
  <c r="P628" i="1"/>
  <c r="O628" i="1"/>
  <c r="O629" i="1" l="1"/>
  <c r="P629" i="1"/>
  <c r="Q628" i="1"/>
  <c r="Q629" i="1" l="1"/>
  <c r="O630" i="1"/>
  <c r="P630" i="1"/>
  <c r="Q630" i="1" l="1"/>
  <c r="O631" i="1"/>
  <c r="P631" i="1"/>
  <c r="O632" i="1" l="1"/>
  <c r="P632" i="1"/>
  <c r="Q631" i="1"/>
  <c r="Q632" i="1" l="1"/>
  <c r="O633" i="1"/>
  <c r="P633" i="1"/>
  <c r="O634" i="1" l="1"/>
  <c r="P634" i="1"/>
  <c r="Q633" i="1"/>
  <c r="O635" i="1" l="1"/>
  <c r="P635" i="1"/>
  <c r="Q634" i="1"/>
  <c r="Q635" i="1" l="1"/>
  <c r="O636" i="1"/>
  <c r="P636" i="1"/>
  <c r="Q636" i="1" l="1"/>
  <c r="O637" i="1"/>
  <c r="P637" i="1"/>
  <c r="Q637" i="1" l="1"/>
  <c r="O638" i="1"/>
  <c r="P638" i="1"/>
  <c r="Q638" i="1" l="1"/>
  <c r="P639" i="1"/>
  <c r="O639" i="1"/>
  <c r="Q639" i="1" l="1"/>
  <c r="P640" i="1"/>
  <c r="O640" i="1"/>
  <c r="Q640" i="1" l="1"/>
  <c r="P641" i="1"/>
  <c r="O641" i="1"/>
  <c r="P642" i="1" l="1"/>
  <c r="O642" i="1"/>
  <c r="Q641" i="1"/>
  <c r="Q642" i="1" l="1"/>
  <c r="O643" i="1"/>
  <c r="P643" i="1"/>
  <c r="Q643" i="1" l="1"/>
  <c r="O644" i="1"/>
  <c r="P644" i="1"/>
  <c r="Q644" i="1" l="1"/>
  <c r="P645" i="1"/>
  <c r="O645" i="1"/>
  <c r="Q645" i="1" l="1"/>
  <c r="P646" i="1"/>
  <c r="O646" i="1"/>
  <c r="Q646" i="1" l="1"/>
  <c r="P647" i="1"/>
  <c r="O647" i="1"/>
  <c r="O648" i="1" l="1"/>
  <c r="P648" i="1"/>
  <c r="Q647" i="1"/>
  <c r="Q648" i="1" l="1"/>
  <c r="O649" i="1"/>
  <c r="P649" i="1"/>
  <c r="Q649" i="1" l="1"/>
  <c r="P650" i="1"/>
  <c r="O650" i="1"/>
  <c r="Q650" i="1" l="1"/>
  <c r="O651" i="1"/>
  <c r="P651" i="1"/>
  <c r="Q651" i="1" l="1"/>
  <c r="O652" i="1"/>
  <c r="P652" i="1"/>
  <c r="Q652" i="1" l="1"/>
  <c r="O653" i="1"/>
  <c r="P653" i="1"/>
  <c r="Q653" i="1" l="1"/>
  <c r="O654" i="1"/>
  <c r="P654" i="1"/>
  <c r="Q654" i="1" l="1"/>
  <c r="O655" i="1"/>
  <c r="P655" i="1"/>
  <c r="O656" i="1" l="1"/>
  <c r="P656" i="1"/>
  <c r="Q655" i="1"/>
  <c r="Q656" i="1" l="1"/>
  <c r="P657" i="1"/>
  <c r="O657" i="1"/>
  <c r="Q657" i="1" l="1"/>
  <c r="O658" i="1"/>
  <c r="P658" i="1"/>
  <c r="Q658" i="1" l="1"/>
  <c r="O659" i="1"/>
  <c r="P659" i="1"/>
  <c r="O660" i="1" l="1"/>
  <c r="P660" i="1"/>
  <c r="Q659" i="1"/>
  <c r="Q660" i="1" l="1"/>
  <c r="P661" i="1"/>
  <c r="O661" i="1"/>
  <c r="Q661" i="1" l="1"/>
  <c r="P662" i="1"/>
  <c r="O662" i="1"/>
  <c r="Q662" i="1" l="1"/>
  <c r="P663" i="1"/>
  <c r="O663" i="1"/>
  <c r="Q663" i="1" l="1"/>
  <c r="P664" i="1"/>
  <c r="O664" i="1"/>
  <c r="Q664" i="1" l="1"/>
  <c r="O665" i="1"/>
  <c r="P665" i="1"/>
  <c r="Q665" i="1" l="1"/>
  <c r="O666" i="1"/>
  <c r="P666" i="1"/>
  <c r="Q666" i="1" l="1"/>
  <c r="O667" i="1"/>
  <c r="P667" i="1"/>
  <c r="Q667" i="1" l="1"/>
  <c r="P668" i="1"/>
  <c r="O668" i="1"/>
  <c r="Q668" i="1" l="1"/>
  <c r="P669" i="1"/>
  <c r="O669" i="1"/>
  <c r="Q669" i="1" l="1"/>
  <c r="P670" i="1"/>
  <c r="O670" i="1"/>
  <c r="Q670" i="1" l="1"/>
  <c r="P671" i="1"/>
  <c r="O671" i="1"/>
  <c r="Q671" i="1" l="1"/>
  <c r="P672" i="1"/>
  <c r="O672" i="1"/>
  <c r="Q672" i="1" l="1"/>
  <c r="O673" i="1"/>
  <c r="P673" i="1"/>
  <c r="P674" i="1" l="1"/>
  <c r="O674" i="1"/>
  <c r="Q673" i="1"/>
  <c r="Q674" i="1" l="1"/>
  <c r="O675" i="1"/>
  <c r="P675" i="1"/>
  <c r="P676" i="1" l="1"/>
  <c r="O676" i="1"/>
  <c r="Q675" i="1"/>
  <c r="Q676" i="1" l="1"/>
  <c r="P677" i="1"/>
  <c r="O677" i="1"/>
  <c r="Q677" i="1" l="1"/>
  <c r="P678" i="1"/>
  <c r="O678" i="1"/>
  <c r="O679" i="1" l="1"/>
  <c r="P679" i="1"/>
  <c r="Q678" i="1"/>
  <c r="Q679" i="1" l="1"/>
  <c r="O680" i="1"/>
  <c r="P680" i="1"/>
  <c r="Q680" i="1" l="1"/>
  <c r="O681" i="1"/>
  <c r="P681" i="1"/>
  <c r="Q681" i="1" l="1"/>
  <c r="O682" i="1"/>
  <c r="P682" i="1"/>
  <c r="Q682" i="1" l="1"/>
  <c r="P683" i="1"/>
  <c r="O683" i="1"/>
  <c r="Q683" i="1" l="1"/>
  <c r="P684" i="1"/>
  <c r="O684" i="1"/>
  <c r="Q684" i="1" l="1"/>
  <c r="O685" i="1"/>
  <c r="P685" i="1"/>
  <c r="O686" i="1" l="1"/>
  <c r="P686" i="1"/>
  <c r="Q685" i="1"/>
  <c r="Q686" i="1" l="1"/>
  <c r="O687" i="1"/>
  <c r="P687" i="1"/>
  <c r="P688" i="1" l="1"/>
  <c r="O688" i="1"/>
  <c r="Q687" i="1"/>
  <c r="Q688" i="1" l="1"/>
  <c r="P689" i="1"/>
  <c r="O689" i="1"/>
  <c r="Q689" i="1" l="1"/>
  <c r="O690" i="1"/>
  <c r="P690" i="1"/>
  <c r="Q690" i="1" l="1"/>
  <c r="O691" i="1"/>
  <c r="P691" i="1"/>
  <c r="O692" i="1" l="1"/>
  <c r="P692" i="1"/>
  <c r="Q691" i="1"/>
  <c r="Q692" i="1" l="1"/>
  <c r="O693" i="1"/>
  <c r="P693" i="1"/>
  <c r="Q693" i="1" l="1"/>
  <c r="O694" i="1"/>
  <c r="P694" i="1"/>
  <c r="P695" i="1" l="1"/>
  <c r="O695" i="1"/>
  <c r="Q694" i="1"/>
  <c r="Q695" i="1" l="1"/>
  <c r="P696" i="1"/>
  <c r="O696" i="1"/>
  <c r="Q696" i="1" l="1"/>
  <c r="P697" i="1"/>
  <c r="O697" i="1"/>
  <c r="Q697" i="1" l="1"/>
  <c r="P698" i="1"/>
  <c r="O698" i="1"/>
  <c r="Q698" i="1" l="1"/>
  <c r="Q699" i="1" s="1"/>
  <c r="A437" i="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11" i="1"/>
  <c r="A12" i="1" l="1"/>
  <c r="A13" i="1" s="1"/>
  <c r="A14" i="1" s="1"/>
  <c r="A15" i="1" s="1"/>
  <c r="A16" i="1" s="1"/>
  <c r="A17" i="1" s="1"/>
  <c r="A18" i="1" l="1"/>
  <c r="A19" i="1" s="1"/>
  <c r="A20" i="1" s="1"/>
  <c r="A21" i="1" s="1"/>
  <c r="A22" i="1" s="1"/>
  <c r="A23" i="1" s="1"/>
  <c r="A24" i="1" s="1"/>
  <c r="A25" i="1" s="1"/>
  <c r="A26" i="1" s="1"/>
  <c r="A27" i="1" s="1"/>
  <c r="A28" i="1" s="1"/>
  <c r="A29" i="1" s="1"/>
  <c r="A30" i="1" s="1"/>
  <c r="A31" i="1" l="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timesheet.xlsx!Table2" type="102" refreshedVersion="6" minRefreshableVersion="5">
    <extLst>
      <ext xmlns:x15="http://schemas.microsoft.com/office/spreadsheetml/2010/11/main" uri="{DE250136-89BD-433C-8126-D09CA5730AF9}">
        <x15:connection id="Table2">
          <x15:rangePr sourceName="_xlcn.WorksheetConnection_timesheet.xlsxTable2"/>
        </x15:connection>
      </ext>
    </extLst>
  </connection>
</connections>
</file>

<file path=xl/sharedStrings.xml><?xml version="1.0" encoding="utf-8"?>
<sst xmlns="http://schemas.openxmlformats.org/spreadsheetml/2006/main" count="5988" uniqueCount="824">
  <si>
    <t>job</t>
  </si>
  <si>
    <t>job number</t>
  </si>
  <si>
    <t>narrative</t>
  </si>
  <si>
    <t>Status</t>
  </si>
  <si>
    <t>A465</t>
  </si>
  <si>
    <t>266122-21</t>
  </si>
  <si>
    <t>Open</t>
  </si>
  <si>
    <t>A465 updates</t>
  </si>
  <si>
    <t>266122-24</t>
  </si>
  <si>
    <t>updates</t>
  </si>
  <si>
    <t>Appraisal</t>
  </si>
  <si>
    <t>074097-29</t>
  </si>
  <si>
    <t>Bank Holiday</t>
  </si>
  <si>
    <t>BANK HOLIDAY</t>
  </si>
  <si>
    <t>BCS - promotional</t>
  </si>
  <si>
    <t>071945-07</t>
  </si>
  <si>
    <t>BCS - resource 2019</t>
  </si>
  <si>
    <t>074097-30</t>
  </si>
  <si>
    <t>Brisa</t>
  </si>
  <si>
    <t>268268-00</t>
  </si>
  <si>
    <t>CAFA Span 31</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</si>
  <si>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</si>
  <si>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</si>
  <si>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</si>
  <si>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</si>
  <si>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</si>
  <si>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</si>
  <si>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</si>
  <si>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</si>
  <si>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</si>
  <si>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</si>
  <si>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</si>
  <si>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</si>
  <si>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</si>
  <si>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</si>
  <si>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</si>
  <si>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</si>
  <si>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</si>
  <si>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</si>
  <si>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</si>
  <si>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</si>
  <si>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</si>
  <si>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</si>
  <si>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</si>
  <si>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</si>
  <si>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</si>
  <si>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</si>
  <si>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</si>
  <si>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</si>
  <si>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</si>
  <si>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</si>
  <si>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</si>
  <si>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</si>
  <si>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</si>
  <si>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</si>
  <si>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</si>
  <si>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</si>
  <si>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</si>
  <si>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</si>
  <si>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</si>
  <si>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</si>
  <si>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</si>
  <si>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</si>
  <si>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</si>
  <si>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</si>
  <si>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</si>
  <si>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</si>
  <si>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</si>
  <si>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</si>
  <si>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</si>
  <si>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</si>
  <si>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</si>
  <si>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</si>
  <si>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</si>
  <si>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</si>
  <si>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</si>
  <si>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</si>
  <si>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</si>
  <si>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</si>
  <si>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</si>
  <si>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Training</t>
  </si>
  <si>
    <t>TRAINING</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</si>
  <si>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</si>
  <si>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</si>
  <si>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</si>
  <si>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</si>
  <si>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</si>
  <si>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</si>
  <si>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</si>
  <si>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</si>
  <si>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</si>
  <si>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</si>
  <si>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</si>
  <si>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</si>
  <si>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</si>
  <si>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</si>
  <si>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</si>
  <si>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</si>
  <si>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</si>
  <si>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</si>
  <si>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</si>
  <si>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</si>
  <si>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</si>
  <si>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springing point design</t>
  </si>
  <si>
    <t>Fran in campus</t>
  </si>
  <si>
    <t>VO report</t>
  </si>
  <si>
    <t>VO report / safety meeting</t>
  </si>
  <si>
    <t>hand over with Daan</t>
  </si>
  <si>
    <t>model set-up and buckling</t>
  </si>
  <si>
    <t>arch sprining / drawings / model updates</t>
  </si>
  <si>
    <t>Intro to bridges - detailed design</t>
  </si>
  <si>
    <t>briefing with heather</t>
  </si>
  <si>
    <t>coordination meetings / report / model update</t>
  </si>
  <si>
    <t>discussion with fran</t>
  </si>
  <si>
    <t>exec summary and quants</t>
  </si>
  <si>
    <t>fire study</t>
  </si>
  <si>
    <t>review of updated gsa model</t>
  </si>
  <si>
    <t>spring point model</t>
  </si>
  <si>
    <t>Construction report</t>
  </si>
  <si>
    <t>FE model and drawings</t>
  </si>
  <si>
    <t>design report and drawings</t>
  </si>
  <si>
    <t>catch-up and planning wp1 team</t>
  </si>
  <si>
    <t>review of drawings and comments</t>
  </si>
  <si>
    <t>alignment and  analysis</t>
  </si>
  <si>
    <t>alignments</t>
  </si>
  <si>
    <t>SFT and FI team meeting and prep</t>
  </si>
  <si>
    <t>DB report update</t>
  </si>
  <si>
    <t>loading and alignments</t>
  </si>
  <si>
    <t>AIP update and response to SOR comments</t>
  </si>
  <si>
    <t>tether and mooring models</t>
  </si>
  <si>
    <t>London workshop</t>
  </si>
  <si>
    <t>Alignments</t>
  </si>
  <si>
    <t>functional cross section memo</t>
  </si>
  <si>
    <t>rws DB comments / discussions</t>
  </si>
  <si>
    <t>global results</t>
  </si>
  <si>
    <t>utilities memo</t>
  </si>
  <si>
    <t>wp1/wp2 hangers discusion</t>
  </si>
  <si>
    <t>presentations for NEOM workshop</t>
  </si>
  <si>
    <t>rws comments</t>
  </si>
  <si>
    <t>Alastair Woodland</t>
  </si>
  <si>
    <t>islands meeting</t>
  </si>
  <si>
    <t>rws comments / discussions</t>
  </si>
  <si>
    <t>design basis</t>
  </si>
  <si>
    <t>planning meeting</t>
  </si>
  <si>
    <t>joints</t>
  </si>
  <si>
    <t>meeting with RWS</t>
  </si>
  <si>
    <t>modelling</t>
  </si>
  <si>
    <t>vertical stability</t>
  </si>
  <si>
    <t>package coordination, hangers</t>
  </si>
  <si>
    <t>section checks</t>
  </si>
  <si>
    <t xml:space="preserve">joints </t>
  </si>
  <si>
    <t>cross sections</t>
  </si>
  <si>
    <t>load combinations</t>
  </si>
  <si>
    <t>VO design note and issues</t>
  </si>
  <si>
    <t>SFT-FI owrkshop</t>
  </si>
  <si>
    <t>C/S models</t>
  </si>
  <si>
    <t>TRAINING - PM &amp; PD Commercial Training - Pricing Strategy (module 8)</t>
  </si>
  <si>
    <t>cross section</t>
  </si>
  <si>
    <t>joints workshop</t>
  </si>
  <si>
    <t>SFT wrokshop</t>
  </si>
  <si>
    <t>access meeting</t>
  </si>
  <si>
    <t>arch springing FE model</t>
  </si>
  <si>
    <t>cross section development</t>
  </si>
  <si>
    <t>coordination meeting and day</t>
  </si>
  <si>
    <t>PW / Project site set-up</t>
  </si>
  <si>
    <t>technical meeting and follow-up</t>
  </si>
  <si>
    <t>inception report RtC and BEP</t>
  </si>
  <si>
    <t>review of buckling and bearing replacement</t>
  </si>
  <si>
    <t>coordination meeting</t>
  </si>
  <si>
    <t>planning</t>
  </si>
  <si>
    <t>Design basis</t>
  </si>
  <si>
    <t>MCA report -technical</t>
  </si>
  <si>
    <t>WP2 Design basis</t>
  </si>
  <si>
    <t>MCA report -techincal</t>
  </si>
  <si>
    <t>meetings at MC office</t>
  </si>
  <si>
    <t>review of WP1 design basis</t>
  </si>
  <si>
    <t>PW set up and Project Site</t>
  </si>
  <si>
    <t>inception report RtC</t>
  </si>
  <si>
    <t>hydraulic design mtg</t>
  </si>
  <si>
    <t>design basis and analysis</t>
  </si>
  <si>
    <t>Access note</t>
  </si>
  <si>
    <t>PW setup</t>
  </si>
  <si>
    <t>transfer beam note</t>
  </si>
  <si>
    <t>access note and WP meeting</t>
  </si>
  <si>
    <t>design basis comments and annexes</t>
  </si>
  <si>
    <t>Inception review report and BEP</t>
  </si>
  <si>
    <t>review of WP2 design basis</t>
  </si>
  <si>
    <t>meeting and discussion on next steps</t>
  </si>
  <si>
    <t>technical coordination meeting</t>
  </si>
  <si>
    <t>design basis - access document</t>
  </si>
  <si>
    <t>de-brief with team and planning</t>
  </si>
  <si>
    <t>tunnel - preparation for workshop</t>
  </si>
  <si>
    <t>tunnel - workshop</t>
  </si>
  <si>
    <t>tunnel - restart</t>
  </si>
  <si>
    <t>assessment report</t>
  </si>
  <si>
    <t>preparation for rws DB meeting</t>
  </si>
  <si>
    <t xml:space="preserve">Design basis </t>
  </si>
  <si>
    <t xml:space="preserve">Review with Richard and Daan </t>
  </si>
  <si>
    <t>DB comments with Roel</t>
  </si>
  <si>
    <t>session with Roel for model / verifications methods</t>
  </si>
  <si>
    <t>Rotterdam office</t>
  </si>
  <si>
    <t>assessment report ch 1-5, 8, 10, 11</t>
  </si>
  <si>
    <t>design basis - text update</t>
  </si>
  <si>
    <t>catch-up meeting - internal</t>
  </si>
  <si>
    <t>results for 1st pass</t>
  </si>
  <si>
    <t>assessment report - rws db comments</t>
  </si>
  <si>
    <t>design basis - combinations</t>
  </si>
  <si>
    <t>design basis - widening</t>
  </si>
  <si>
    <t>design basis - steel grade</t>
  </si>
  <si>
    <t>assessment report - inspection results</t>
  </si>
  <si>
    <t>team update - materials / cross section</t>
  </si>
  <si>
    <t>design basis comments into assessment report</t>
  </si>
  <si>
    <t>cross section  - transfer structure</t>
  </si>
  <si>
    <t>staff development mtg</t>
  </si>
  <si>
    <t>mtg local fatigue meeting with RWS</t>
  </si>
  <si>
    <t>visit to Brisa  /AEA</t>
  </si>
  <si>
    <t xml:space="preserve">Review of documents </t>
  </si>
  <si>
    <t>assessment post processing results</t>
  </si>
  <si>
    <t>Planning - OneNote</t>
  </si>
  <si>
    <t>KSC - meeting with TEC and prep</t>
  </si>
  <si>
    <t>Design Basis meeting with Felix</t>
  </si>
  <si>
    <t>cross section discussion</t>
  </si>
  <si>
    <t>construction sequence</t>
  </si>
  <si>
    <t>first results</t>
  </si>
  <si>
    <t>start up meeting</t>
  </si>
  <si>
    <t>mtg about Fran's buckling model</t>
  </si>
  <si>
    <t>phase 2 report - local fatigue</t>
  </si>
  <si>
    <t>planning - review of existing information</t>
  </si>
  <si>
    <t>review of load test results - comparison with model</t>
  </si>
  <si>
    <t>planning - review of existing information, mtg with AA</t>
  </si>
  <si>
    <t>phase 2 report meeting - contents</t>
  </si>
  <si>
    <t>invoicing / contract</t>
  </si>
  <si>
    <t>review of Fran's buckling model</t>
  </si>
  <si>
    <t>Preparation for meeting</t>
  </si>
  <si>
    <t>KSC TEC scope - meeting w/ DJ/GJ</t>
  </si>
  <si>
    <t>RWS technical meeting</t>
  </si>
  <si>
    <t>local fatigue</t>
  </si>
  <si>
    <t>catch-up and de-brief</t>
  </si>
  <si>
    <t>Kick off visit - Daan/Marijke</t>
  </si>
  <si>
    <t>meeting to discuss RWS comments on local fatigue</t>
  </si>
  <si>
    <t>design basis update - final draft with RtC</t>
  </si>
  <si>
    <t>verification sheets</t>
  </si>
  <si>
    <t>discussion with Fran</t>
  </si>
  <si>
    <t>certificates updaate</t>
  </si>
  <si>
    <t>local fatigue comments</t>
  </si>
  <si>
    <t>review of bridges and tunnels PCQ</t>
  </si>
  <si>
    <t xml:space="preserve">3e </t>
  </si>
  <si>
    <t>KSB fee update</t>
  </si>
  <si>
    <t>meeting at RWS</t>
  </si>
  <si>
    <t>design basis update</t>
  </si>
  <si>
    <t>response to comments on design basis</t>
  </si>
  <si>
    <t>contract review and response</t>
  </si>
  <si>
    <t>review of scope</t>
  </si>
  <si>
    <t>review construction model</t>
  </si>
  <si>
    <t>initial review of docs and briefing meeting</t>
  </si>
  <si>
    <t>review of design basis comments</t>
  </si>
  <si>
    <t>WMRE lot 6 stations input</t>
  </si>
  <si>
    <t>preparation for model tech mtg</t>
  </si>
  <si>
    <t>model tech mtg</t>
  </si>
  <si>
    <t>initial review of note by RWS and prep of response</t>
  </si>
  <si>
    <t>ph2 st1 reporting</t>
  </si>
  <si>
    <t>kirstin presentation</t>
  </si>
  <si>
    <t>Report plan - copy from 2VBB and update</t>
  </si>
  <si>
    <t>Report update discussion and plan</t>
  </si>
  <si>
    <t>RWS meeting - fatigue / modelling meeting</t>
  </si>
  <si>
    <t>RtC from Daan, Kate and RWS</t>
  </si>
  <si>
    <t>submittal preparation</t>
  </si>
  <si>
    <t>Design basis - final draft text</t>
  </si>
  <si>
    <t>Assessment plan</t>
  </si>
  <si>
    <t>fatigue tool</t>
  </si>
  <si>
    <t>spring point sensitivity</t>
  </si>
  <si>
    <t>design basis - loading / NEN 8700 8701 RBK1.1</t>
  </si>
  <si>
    <t>2e inspection section 4 - details to be inspected</t>
  </si>
  <si>
    <t>Design basis - loads (wind, temp, etc)</t>
  </si>
  <si>
    <t>Design basis - analysis section</t>
  </si>
  <si>
    <t>Design basis  - final draft text</t>
  </si>
  <si>
    <t>Inspection note</t>
  </si>
  <si>
    <t>RtC for local and global fatigue</t>
  </si>
  <si>
    <t>technical meeting</t>
  </si>
  <si>
    <t>design basis - requirements</t>
  </si>
  <si>
    <t>BMAT update</t>
  </si>
  <si>
    <t>BMAT workflow</t>
  </si>
  <si>
    <t>design basis - inspection summary</t>
  </si>
  <si>
    <t>inspection - visit to site</t>
  </si>
  <si>
    <t>Monitoring plan of approach</t>
  </si>
  <si>
    <t>review prep</t>
  </si>
  <si>
    <t>review w/ Peter Burnton</t>
  </si>
  <si>
    <t>GSA model review</t>
  </si>
  <si>
    <t>review of TNO monitoring note</t>
  </si>
  <si>
    <t>BMAT prep, session and debrief</t>
  </si>
  <si>
    <t>design basis, reference to 2ndVBB</t>
  </si>
  <si>
    <t>preparation for review and DB</t>
  </si>
  <si>
    <t>pw/reviews/workflows</t>
  </si>
  <si>
    <t>programme / planning</t>
  </si>
  <si>
    <t>design basis / inspections / monitoring</t>
  </si>
  <si>
    <t>local fatigue/global model/checks - gianmarco / ronan / roel</t>
  </si>
  <si>
    <t>Billing notes</t>
  </si>
  <si>
    <t>internal review</t>
  </si>
  <si>
    <t>drawings and standard details</t>
  </si>
  <si>
    <t>Inspection specifications</t>
  </si>
  <si>
    <t>Hand-over with Kate</t>
  </si>
  <si>
    <t>issue of billing note and drgs</t>
  </si>
  <si>
    <t>structures catch-up</t>
  </si>
  <si>
    <t>Taf Fawr / Nant Ffwrd</t>
  </si>
  <si>
    <t>Nant Ffwrd Off-Slip</t>
  </si>
  <si>
    <t>report text - structures</t>
  </si>
  <si>
    <t>bolt investigation note</t>
  </si>
  <si>
    <t>RWS meeting - fatigue details</t>
  </si>
  <si>
    <t>drawings issue for war room rview</t>
  </si>
  <si>
    <t xml:space="preserve">meeting to review of report </t>
  </si>
  <si>
    <t>AMS support</t>
  </si>
  <si>
    <t>VBB meeting</t>
  </si>
  <si>
    <t>splice connection analysis and monitoring</t>
  </si>
  <si>
    <t>launching concept</t>
  </si>
  <si>
    <t>checking of stringer jacking calculations</t>
  </si>
  <si>
    <t>preparation for design meeting</t>
  </si>
  <si>
    <t>Nant Ffwrd Off slip</t>
  </si>
  <si>
    <t>VDR feedback and modelr review</t>
  </si>
  <si>
    <t>model review - arch buckling</t>
  </si>
  <si>
    <t>Planning</t>
  </si>
  <si>
    <t>final report  preparation for issue</t>
  </si>
  <si>
    <t>buckling check discussion woth fran</t>
  </si>
  <si>
    <t>review of drawings</t>
  </si>
  <si>
    <t>VDR approval</t>
  </si>
  <si>
    <t>graduate interviews and group exercise</t>
  </si>
  <si>
    <t>calculation plan</t>
  </si>
  <si>
    <t>billing note</t>
  </si>
  <si>
    <t>check of bearing stiffener calcs (6.4)</t>
  </si>
  <si>
    <t>update report following Toms comments</t>
  </si>
  <si>
    <t>preparation for meeting for structures meeting on nant ffrwd and taf fawr</t>
  </si>
  <si>
    <t>review of bearing and joints report</t>
  </si>
  <si>
    <t>EU BIM working group – Amsterdam</t>
  </si>
  <si>
    <t>follow up from structures meeting</t>
  </si>
  <si>
    <t>discussion with Pat/tom in response to comments</t>
  </si>
  <si>
    <t>update report and discussion with Rachel</t>
  </si>
  <si>
    <t>check of ballast wall design, nazeing bridge</t>
  </si>
  <si>
    <t>issue of report to Keith</t>
  </si>
  <si>
    <t>geo discussion</t>
  </si>
  <si>
    <t>preparation for structures meeting in Swindon</t>
  </si>
  <si>
    <t>concept freeze structural meeting</t>
  </si>
  <si>
    <t>review of structures option report</t>
  </si>
  <si>
    <t>update report following checker review</t>
  </si>
  <si>
    <t>development of options. Review of requirements</t>
  </si>
  <si>
    <t>development of options for on/off slip structures</t>
  </si>
  <si>
    <t>development of options for Nant Ffrwd</t>
  </si>
  <si>
    <t>meeting with CJV</t>
  </si>
  <si>
    <t>review</t>
  </si>
  <si>
    <t>check of calcs by Harris</t>
  </si>
  <si>
    <t>Review of report and issue</t>
  </si>
  <si>
    <t>Nant frwd and taf fawr options</t>
  </si>
  <si>
    <t>structural verificationof jacking auxiliary structure</t>
  </si>
  <si>
    <t>Hot House</t>
  </si>
  <si>
    <t>Meeting with HE in Guildford rgd Bridge TA</t>
  </si>
  <si>
    <t>review of revised mathcad and check form</t>
  </si>
  <si>
    <t>Discussion with Fran</t>
  </si>
  <si>
    <t>review with rachel</t>
  </si>
  <si>
    <t>Review of KH comments with Denis</t>
  </si>
  <si>
    <t>start of check of auxiliary structure connection</t>
  </si>
  <si>
    <t>discussion with Keith</t>
  </si>
  <si>
    <t>TAF report update</t>
  </si>
  <si>
    <t>review of CG stiffener weld design</t>
  </si>
  <si>
    <t>Preparation for meeting with HE, update of report and drgs</t>
  </si>
  <si>
    <t>Review of KH comments</t>
  </si>
  <si>
    <t>structural safety cross girder</t>
  </si>
  <si>
    <t>GSSB</t>
  </si>
  <si>
    <t>review of calcs with Josh</t>
  </si>
  <si>
    <t>discussion with Rachel and review of work to date</t>
  </si>
  <si>
    <t>discussion with Atkins/CPS regardingresults</t>
  </si>
  <si>
    <t>TAF update</t>
  </si>
  <si>
    <t>structural safety bearing support system</t>
  </si>
  <si>
    <t>programme</t>
  </si>
  <si>
    <t>text</t>
  </si>
  <si>
    <t>bearing shelf technical note</t>
  </si>
  <si>
    <t>archirodon comments</t>
  </si>
  <si>
    <t>final review and modifications to text/prgramme</t>
  </si>
  <si>
    <t>2018 staff appraisal - Kirstin</t>
  </si>
  <si>
    <t>70050943-10L  Paul Cully proposal and brief</t>
  </si>
  <si>
    <t xml:space="preserve">Hand Over SHB project to the next phase, End event SHB Rotterdam. </t>
  </si>
  <si>
    <t>2018 staff appraisal - Ryan</t>
  </si>
  <si>
    <t>Catch-up / hot topics</t>
  </si>
  <si>
    <t>Structural monitoring discussion</t>
  </si>
  <si>
    <t>meeting at alpha tower</t>
  </si>
  <si>
    <t>contract extension</t>
  </si>
  <si>
    <t>70050041-20R scheme update</t>
  </si>
  <si>
    <t>catch up on schemes</t>
  </si>
  <si>
    <t>70050943-10L Scheme update</t>
  </si>
  <si>
    <t>Review of documents and discussion with Keith</t>
  </si>
  <si>
    <t>70050041-20R proposal and brief</t>
  </si>
  <si>
    <t xml:space="preserve">SMP VDR </t>
  </si>
  <si>
    <t>bridge input for bid</t>
  </si>
  <si>
    <t>2018 staff appraisal - Heather</t>
  </si>
  <si>
    <t>70050943-10L initial review of documents</t>
  </si>
  <si>
    <t>SMP VDR first pass lessons learnt</t>
  </si>
  <si>
    <t>Staveley depot retaining walls</t>
  </si>
  <si>
    <t>preparation for meeting</t>
  </si>
  <si>
    <t>ICE presentation - Kirstin</t>
  </si>
  <si>
    <t>70050041-20R -Nursery culvert</t>
  </si>
  <si>
    <t>2018 staff appraisal</t>
  </si>
  <si>
    <t>summary of focus group results</t>
  </si>
  <si>
    <t>D&amp;T</t>
  </si>
  <si>
    <t>Strategy meeting</t>
  </si>
  <si>
    <t>AIP update</t>
  </si>
  <si>
    <t>focus group feedback</t>
  </si>
  <si>
    <t>preparration for meeting in AMS</t>
  </si>
  <si>
    <t>VDR first pass</t>
  </si>
  <si>
    <t>Commercial training - D&amp;B</t>
  </si>
  <si>
    <t>WLW - review</t>
  </si>
  <si>
    <t>WLW- dynamic</t>
  </si>
  <si>
    <t>Staff development</t>
  </si>
  <si>
    <t>briefed liana</t>
  </si>
  <si>
    <t>contacted all discipline leads</t>
  </si>
  <si>
    <t>leave</t>
  </si>
  <si>
    <t>set up VDR, federation of models</t>
  </si>
  <si>
    <t>WLW - discussion with FAB</t>
  </si>
  <si>
    <t>CAFA</t>
  </si>
  <si>
    <t xml:space="preserve">-CIV - MVM6 span 31 assessment discussion with Laurie Barbour </t>
  </si>
  <si>
    <t>-CIV - MVM6 span 31 assessment brief Juan Carlos</t>
  </si>
  <si>
    <t>BCS-materials joint rpesentation</t>
  </si>
  <si>
    <t>Professional qualifications update</t>
  </si>
  <si>
    <t>weekly update meeting</t>
  </si>
  <si>
    <t>WLW - plan with Edwin</t>
  </si>
  <si>
    <t>-CIV - MVM6 span 31 assessment review of assessment</t>
  </si>
  <si>
    <t>-CIV - MVM6 span 31 assessment set up new assessment</t>
  </si>
  <si>
    <t>review opf BEP amd related documents</t>
  </si>
  <si>
    <t>discussions w/ FAB, review of starting points</t>
  </si>
  <si>
    <t>Eng Coh - focus group</t>
  </si>
  <si>
    <t>Total</t>
  </si>
  <si>
    <t>Sum of time</t>
  </si>
  <si>
    <t>Wed</t>
  </si>
  <si>
    <t>Tue</t>
  </si>
  <si>
    <t>Thu</t>
  </si>
  <si>
    <t>VBB 3rd - new bridge Total</t>
  </si>
  <si>
    <t>268017-25</t>
  </si>
  <si>
    <t>Mon</t>
  </si>
  <si>
    <t>KSC - Tunnel Total</t>
  </si>
  <si>
    <t>08/12/2019 Total</t>
  </si>
  <si>
    <t>Appraisal Total</t>
  </si>
  <si>
    <t>Fri</t>
  </si>
  <si>
    <t>01/12/2019 Total</t>
  </si>
  <si>
    <t>(blank)</t>
  </si>
  <si>
    <t>210035-58</t>
  </si>
  <si>
    <t>VBB Afkeurmemo Oostbrug Total</t>
  </si>
  <si>
    <t>24/11/2019 Total</t>
  </si>
  <si>
    <t>17/11/2019 Total</t>
  </si>
  <si>
    <t>Training Total</t>
  </si>
  <si>
    <t>10/11/2019 Total</t>
  </si>
  <si>
    <t>03/11/2019 Total</t>
  </si>
  <si>
    <t>VBB - Assessment Total</t>
  </si>
  <si>
    <t>KSC - PM Total</t>
  </si>
  <si>
    <t>27/10/2019 Total</t>
  </si>
  <si>
    <t>HCC - Nazeing Total</t>
  </si>
  <si>
    <t>20/10/2019 Total</t>
  </si>
  <si>
    <t>13/10/2019 Total</t>
  </si>
  <si>
    <t>06/10/2019 Total</t>
  </si>
  <si>
    <t>29/09/2019 Total</t>
  </si>
  <si>
    <t>22/09/2019 Total</t>
  </si>
  <si>
    <t>15/09/2019 Total</t>
  </si>
  <si>
    <t>Leave Total</t>
  </si>
  <si>
    <t>08/09/2019 Total</t>
  </si>
  <si>
    <t>Bank Holiday Total</t>
  </si>
  <si>
    <t>01/09/2019 Total</t>
  </si>
  <si>
    <t>25/08/2019 Total</t>
  </si>
  <si>
    <t>18/08/2019 Total</t>
  </si>
  <si>
    <t>04/08/2019 Total</t>
  </si>
  <si>
    <t>BCS - resource 2019 Total</t>
  </si>
  <si>
    <t>Brisa Total</t>
  </si>
  <si>
    <t>28/07/2019 Total</t>
  </si>
  <si>
    <t>BCS - promotional Total</t>
  </si>
  <si>
    <t>21/07/2019 Total</t>
  </si>
  <si>
    <t>HCC - Lower Kings Rd Total</t>
  </si>
  <si>
    <t>14/07/2019 Total</t>
  </si>
  <si>
    <t>CP - Assessment Total</t>
  </si>
  <si>
    <t>07/07/2019 Total</t>
  </si>
  <si>
    <t>VBB - Design Basis Total</t>
  </si>
  <si>
    <t>30/06/2019 Total</t>
  </si>
  <si>
    <t>23/06/2019 Total</t>
  </si>
  <si>
    <t>16/06/2019 Total</t>
  </si>
  <si>
    <t>09/06/2019 Total</t>
  </si>
  <si>
    <t>CAFA Span 31 Total</t>
  </si>
  <si>
    <t>A465 updates Total</t>
  </si>
  <si>
    <t>02/06/2019 Total</t>
  </si>
  <si>
    <t>26/05/2019 Total</t>
  </si>
  <si>
    <t>VBB -  extra fatgiue work Total</t>
  </si>
  <si>
    <t>WMRE lot 6 Total</t>
  </si>
  <si>
    <t>19/05/2019 Total</t>
  </si>
  <si>
    <t>M25 West MSA Total</t>
  </si>
  <si>
    <t>12/05/2019 Total</t>
  </si>
  <si>
    <t>05/05/2019 Total</t>
  </si>
  <si>
    <t>28/04/2019 Total</t>
  </si>
  <si>
    <t>21/04/2019 Total</t>
  </si>
  <si>
    <t>SMP Total</t>
  </si>
  <si>
    <t>14/04/2019 Total</t>
  </si>
  <si>
    <t>07/04/2019 Total</t>
  </si>
  <si>
    <t>31/03/2019 Total</t>
  </si>
  <si>
    <t>A465 Total</t>
  </si>
  <si>
    <t>24/03/2019 Total</t>
  </si>
  <si>
    <t>17/03/2019 Total</t>
  </si>
  <si>
    <t>SHB - Existing Total</t>
  </si>
  <si>
    <t>Gatwick Total</t>
  </si>
  <si>
    <t>10/03/2019 Total</t>
  </si>
  <si>
    <t>#N/A</t>
  </si>
  <si>
    <t>AMS support Total</t>
  </si>
  <si>
    <t>HCC - Paul Cully Total</t>
  </si>
  <si>
    <t>Waalbrug Total</t>
  </si>
  <si>
    <t>WLW Total</t>
  </si>
  <si>
    <t>03/03/2019 Total</t>
  </si>
  <si>
    <t>0</t>
  </si>
  <si>
    <t>Interview Total</t>
  </si>
  <si>
    <t>24/02/2019 Total</t>
  </si>
  <si>
    <t>17/02/2019 Total</t>
  </si>
  <si>
    <t>Infra BIM Total</t>
  </si>
  <si>
    <t>Galecopper - joints and bearings Total</t>
  </si>
  <si>
    <t>10/02/2019 Total</t>
  </si>
  <si>
    <t>03/02/2019 Total</t>
  </si>
  <si>
    <t>de Locht Total</t>
  </si>
  <si>
    <t>27/01/2019 Total</t>
  </si>
  <si>
    <t>20/01/2019 Total</t>
  </si>
  <si>
    <t>HCC - Weston Hills Tunnel Total</t>
  </si>
  <si>
    <t>Galecopper Total</t>
  </si>
  <si>
    <t>13/01/2019 Total</t>
  </si>
  <si>
    <t>06/01/2019 Total</t>
  </si>
  <si>
    <t>30/12/2018 Total</t>
  </si>
  <si>
    <t>HCC - Nursery Ln Total</t>
  </si>
  <si>
    <t>23/12/2018 Total</t>
  </si>
  <si>
    <t>swindon d&amp;b Total</t>
  </si>
  <si>
    <t>Hatta Total</t>
  </si>
  <si>
    <t>16/12/2018 Total</t>
  </si>
  <si>
    <t>Suurhoffbrug Total</t>
  </si>
  <si>
    <t>09/12/2018 Total</t>
  </si>
  <si>
    <t>Engagement cohort Total</t>
  </si>
  <si>
    <t>HCC - Asset management Total</t>
  </si>
  <si>
    <t>02/12/2018 Total</t>
  </si>
  <si>
    <t>HS2 Ph2b Total</t>
  </si>
  <si>
    <t>25/11/2018 Total</t>
  </si>
  <si>
    <t>18/11/2018 Total</t>
  </si>
  <si>
    <t>CAFA Total</t>
  </si>
  <si>
    <t>Intro to bridges Total</t>
  </si>
  <si>
    <t>11/11/2018 Total</t>
  </si>
  <si>
    <t>04/11/2018 Total</t>
  </si>
  <si>
    <t>Grand Total</t>
  </si>
  <si>
    <t>date (Year)</t>
  </si>
  <si>
    <t>date (Month)</t>
  </si>
  <si>
    <t>2019</t>
  </si>
  <si>
    <t>Jan</t>
  </si>
  <si>
    <t>Feb</t>
  </si>
  <si>
    <t>Mar</t>
  </si>
  <si>
    <t>266122-21 Total</t>
  </si>
  <si>
    <t>May</t>
  </si>
  <si>
    <t>266122-24 Total</t>
  </si>
  <si>
    <t>2018</t>
  </si>
  <si>
    <t>Dec</t>
  </si>
  <si>
    <t>#N/A Total</t>
  </si>
  <si>
    <t>Nov</t>
  </si>
  <si>
    <t>074097-29 Total</t>
  </si>
  <si>
    <t>Apr</t>
  </si>
  <si>
    <t>Aug</t>
  </si>
  <si>
    <t>BANK HOLIDAY Total</t>
  </si>
  <si>
    <t>Jun</t>
  </si>
  <si>
    <t>Jul</t>
  </si>
  <si>
    <t>071945-07 Total</t>
  </si>
  <si>
    <t>074097-30 Total</t>
  </si>
  <si>
    <t>268268-00 Total</t>
  </si>
  <si>
    <t>Oct</t>
  </si>
  <si>
    <t>262218-08 Total</t>
  </si>
  <si>
    <t>215526-27 Total</t>
  </si>
  <si>
    <t>265675-00 Total</t>
  </si>
  <si>
    <t>074103-30 Total</t>
  </si>
  <si>
    <t>260258-47 Total</t>
  </si>
  <si>
    <t>260258-41 Total</t>
  </si>
  <si>
    <t>264520-00 Total</t>
  </si>
  <si>
    <t>77616-41 Total</t>
  </si>
  <si>
    <t>254304-44 Total</t>
  </si>
  <si>
    <t>255670-17 Total</t>
  </si>
  <si>
    <t>236808-69 Total</t>
  </si>
  <si>
    <t>254304-79 Total</t>
  </si>
  <si>
    <t>254304-96 Total</t>
  </si>
  <si>
    <t>246233-56 Total</t>
  </si>
  <si>
    <t>254841-07 Total</t>
  </si>
  <si>
    <t>077616-63 Total</t>
  </si>
  <si>
    <t>0 Total</t>
  </si>
  <si>
    <t>252076-05 Total</t>
  </si>
  <si>
    <t>268017-10 Total</t>
  </si>
  <si>
    <t>Sep</t>
  </si>
  <si>
    <t>268017-25 Total</t>
  </si>
  <si>
    <t>LEAVE Total</t>
  </si>
  <si>
    <t>255375-00 Total</t>
  </si>
  <si>
    <t>239230-42 Total</t>
  </si>
  <si>
    <t>261723-02 Total</t>
  </si>
  <si>
    <t>239230-40 Total</t>
  </si>
  <si>
    <t>601701-23 Total</t>
  </si>
  <si>
    <t>TRAINING Total</t>
  </si>
  <si>
    <t>265720-01 Total</t>
  </si>
  <si>
    <t>265720-20 Total</t>
  </si>
  <si>
    <t>265720-10 Total</t>
  </si>
  <si>
    <t>210035-51 Total</t>
  </si>
  <si>
    <t>210035-58 Total</t>
  </si>
  <si>
    <t>259933-00 Total</t>
  </si>
  <si>
    <t>264744-00 Total</t>
  </si>
  <si>
    <t>601593-72 Total</t>
  </si>
  <si>
    <t>buckling checks</t>
  </si>
  <si>
    <t>VO report and sketches</t>
  </si>
  <si>
    <t>review - prep and outcomes</t>
  </si>
  <si>
    <t>lower kings brainstorm strengthening</t>
  </si>
  <si>
    <t>discussions with Fran</t>
  </si>
  <si>
    <t>review of results and implications</t>
  </si>
  <si>
    <t>drawings / reporting and arch springing</t>
  </si>
  <si>
    <t>VBB 3rd - new bridge VO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</si>
  <si>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</si>
  <si>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</si>
  <si>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</si>
  <si>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</si>
  <si>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</si>
  <si>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</si>
  <si>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</si>
  <si>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</si>
  <si>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</si>
  <si>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</si>
  <si>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</si>
  <si>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</si>
  <si>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</si>
  <si>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</si>
  <si>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</si>
  <si>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2020</t>
  </si>
  <si>
    <t>210035-64 Total</t>
  </si>
  <si>
    <t>drawings / reporting</t>
  </si>
  <si>
    <t>BIM 360 feedback</t>
  </si>
  <si>
    <t>WBBn VO conclusions and works for DO</t>
  </si>
  <si>
    <t>WBBn VO conclusions and preparations for DO</t>
  </si>
  <si>
    <t>presentation and updates VO-DO</t>
  </si>
  <si>
    <t>210035-65</t>
  </si>
  <si>
    <t>VBB 3rd - new bridge DO</t>
  </si>
  <si>
    <t>DO next steps - review of fatigue detail and design items</t>
  </si>
  <si>
    <t>presentation</t>
  </si>
  <si>
    <t>presentation to RWS</t>
  </si>
  <si>
    <t>responses to comments / construction seq / fire</t>
  </si>
  <si>
    <t>bearing position</t>
  </si>
  <si>
    <t>bridge weights</t>
  </si>
  <si>
    <t>Melbourne Metro - Latrobe</t>
  </si>
  <si>
    <t>model review - comparison / call with Neil</t>
  </si>
  <si>
    <t xml:space="preserve">257677-59 </t>
  </si>
  <si>
    <t>P74 check</t>
  </si>
  <si>
    <t>JobNo</t>
  </si>
  <si>
    <t>Project</t>
  </si>
  <si>
    <t>Timesheet entry&gt;&gt;&gt;&gt;&gt;&gt;&gt;&gt;&gt;&gt;&gt;&gt;&gt;&gt;&gt;&gt;&gt;&gt;&gt;&gt;&gt;&gt;&gt;</t>
  </si>
  <si>
    <t>assessment check</t>
  </si>
  <si>
    <t>WkDay</t>
  </si>
  <si>
    <t>DayNo</t>
  </si>
  <si>
    <t>Year</t>
  </si>
  <si>
    <t>WkNo</t>
  </si>
  <si>
    <t>WkRef</t>
  </si>
  <si>
    <t>Diary</t>
  </si>
  <si>
    <t>WkEnd</t>
  </si>
  <si>
    <t>Date</t>
  </si>
  <si>
    <t>Project Journal &gt;&gt;&gt;&gt;&gt;&gt;&gt;&gt;&gt;&gt;&gt;&gt;&gt;&gt;&gt;&gt;&gt;&gt;&gt;&gt;&gt;</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</si>
  <si>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</si>
  <si>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</si>
  <si>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</si>
  <si>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</si>
  <si>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check of neil and dax models</t>
  </si>
  <si>
    <t>developing expansion joints note with liana</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</si>
  <si>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</si>
  <si>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</si>
  <si>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arch design with andrea</t>
  </si>
  <si>
    <t>connection check and discussion with Keith</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</si>
  <si>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</si>
  <si>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</si>
  <si>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</si>
  <si>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</si>
  <si>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</si>
  <si>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</si>
  <si>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</si>
  <si>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</si>
  <si>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</si>
  <si>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model convergence checks</t>
  </si>
  <si>
    <t>meeting and discussion with alex</t>
  </si>
  <si>
    <t>comments, CoG and Construction Sequence</t>
  </si>
  <si>
    <t>meeting with Andrew and Elena</t>
  </si>
  <si>
    <t>bearing stiffening design update</t>
  </si>
  <si>
    <t>Update to further investigation report</t>
  </si>
  <si>
    <t/>
  </si>
  <si>
    <t>Sum of Time</t>
  </si>
  <si>
    <t xml:space="preserve"> Total</t>
  </si>
  <si>
    <t>#REF!</t>
  </si>
  <si>
    <t>268017-25  Total</t>
  </si>
  <si>
    <t>210035-65 Total</t>
  </si>
  <si>
    <t>257677-59  Total</t>
  </si>
  <si>
    <t>210035-58  Total</t>
  </si>
  <si>
    <t>11/08/2019 Total</t>
  </si>
  <si>
    <t>29/03/2020 Total</t>
  </si>
  <si>
    <t>05/04/2020 Total</t>
  </si>
  <si>
    <t>12/04/2020 Total</t>
  </si>
  <si>
    <t>19/04/2020 Total</t>
  </si>
  <si>
    <t>26/04/2020 Total</t>
  </si>
  <si>
    <t>03/05/2020 Total</t>
  </si>
  <si>
    <t>10/05/2020 Total</t>
  </si>
  <si>
    <t>17/05/2020 Total</t>
  </si>
  <si>
    <t>24/05/2020 Total</t>
  </si>
  <si>
    <t>31/05/2020 Total</t>
  </si>
  <si>
    <t>update progress</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</si>
  <si>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</si>
  <si>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</si>
  <si>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</si>
  <si>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</si>
  <si>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</si>
  <si>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</si>
  <si>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</si>
  <si>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</si>
  <si>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</si>
  <si>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</si>
  <si>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</si>
  <si>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</si>
  <si>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</si>
  <si>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(blank) Total</t>
  </si>
  <si>
    <t>14/06/2020 Total</t>
  </si>
  <si>
    <t>07/06/2020 Total</t>
  </si>
  <si>
    <t>management meeting</t>
  </si>
  <si>
    <t>Review of springing  point note by Andrea</t>
  </si>
  <si>
    <t>springing point notes. Hanger loss discussion with ying</t>
  </si>
  <si>
    <t>expansion joint note. Wp1 update, review of vo-do tasks.</t>
  </si>
  <si>
    <t>fire note, briefing of experts</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</si>
  <si>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</si>
  <si>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</si>
  <si>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fe non linear model</t>
  </si>
  <si>
    <t>stiffener meeting</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</si>
  <si>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</si>
  <si>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</si>
  <si>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</si>
  <si>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</si>
  <si>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</si>
  <si>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</si>
  <si>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main girder design w/ andrea | drawings list | hanger discussion with Kevin | DB discussion with Felix</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</si>
  <si>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</si>
  <si>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</si>
  <si>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</si>
  <si>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</si>
  <si>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</si>
  <si>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</si>
  <si>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</si>
  <si>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time</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</si>
  <si>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</si>
  <si>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</si>
  <si>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hours</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</si>
  <si>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</si>
  <si>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</si>
  <si>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VBB modelling list update | staging discussion with AV | review of fire note</t>
  </si>
  <si>
    <t>VBB task list update | progress and planning with WP1 team | hanger loss note</t>
  </si>
  <si>
    <t xml:space="preserve">VBB task list meeting | arch geometry with AV </t>
  </si>
  <si>
    <t>construction sequence meeting with richard and follow up with team| fire note discussion with claire and graham</t>
  </si>
  <si>
    <t>bridge nomenclature | main girder note | modelling strategy</t>
  </si>
  <si>
    <t>WP1/WP2 meeting | weekly WP1 meeting | modelling strategy and discussions with team</t>
  </si>
  <si>
    <t>fatigue of bearing deck connection studs</t>
  </si>
  <si>
    <t>VBB RWS weekly design meeting | hanger loss note</t>
  </si>
  <si>
    <t>VBB review of wind loads</t>
  </si>
  <si>
    <t>review information and briefing meeting</t>
  </si>
  <si>
    <t>BCST management meeting</t>
  </si>
  <si>
    <t>VBB Hanger loads, speak to kevin</t>
  </si>
  <si>
    <t>VBB Hanger loads, speak to kevin, modelling update</t>
  </si>
  <si>
    <t>VBB wp1 update meeting | discussion about incorporating architects arch geometry into model and construction stage.</t>
  </si>
  <si>
    <t>IM Digital | bi-weekly catch-up</t>
  </si>
  <si>
    <t>hanger loss results | arch geometry | construction staging</t>
  </si>
  <si>
    <t>VBB wp1/wp2 meeting | arch geometry | construction staging | fire note</t>
  </si>
  <si>
    <t xml:space="preserve">
MM | north adits redesign briefing</t>
  </si>
  <si>
    <t>VBB Hanger connection | staging models and note</t>
  </si>
  <si>
    <t>12/07/2020 Total</t>
  </si>
  <si>
    <t>05/07/2020 Total</t>
  </si>
  <si>
    <t>28/06/2020 Total</t>
  </si>
  <si>
    <t>21/06/2020 Total</t>
  </si>
  <si>
    <t>249980-13 Total</t>
  </si>
  <si>
    <t>Sum of hours</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</si>
  <si>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</si>
  <si>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</si>
  <si>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</si>
  <si>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</si>
  <si>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</si>
  <si>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</si>
  <si>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</si>
  <si>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</si>
  <si>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latrobe redesign briefing</t>
  </si>
  <si>
    <t>VBB RWS design basis comments - meeting and agreed actions with rws for wp1</t>
  </si>
  <si>
    <t>VBB architecture meeting | started revewing staging note
BCS Management meeting | architecture meeting - decided to consider option with a straigth into a single curve at the portal locations</t>
  </si>
  <si>
    <t xml:space="preserve">VBB architecture meeting | started revewing staging note </t>
  </si>
  <si>
    <t>Personal development plan</t>
  </si>
  <si>
    <t>VBB RWS Comments | work an staging and arch geometry | wind loads</t>
  </si>
  <si>
    <t xml:space="preserve">VBB Design basis | Completed hanger loss note and sent for review </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</si>
  <si>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</si>
  <si>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</si>
  <si>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</si>
  <si>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</si>
  <si>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</si>
  <si>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</si>
  <si>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</si>
  <si>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</si>
  <si>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</si>
  <si>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t>
  </si>
  <si>
    <t>VBB Design basis update | review of fire section</t>
  </si>
  <si>
    <t xml:space="preserve">VBB fire and corrosion protection meeting. </t>
  </si>
  <si>
    <t xml:space="preserve">VBB fire pre-meeting with graham and claire | Design basis updates | construction stagging </t>
  </si>
  <si>
    <t>ICE Annual Review with Kirstin</t>
  </si>
  <si>
    <t>VBB DEsign Basis update | Fire section updated to remove design suggestions and focus on design basis assumptions - decided with Daan not to include numbers</t>
  </si>
  <si>
    <t>VBB arch comparison with architect | stagging</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</si>
  <si>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</si>
  <si>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</si>
  <si>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</si>
  <si>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</si>
  <si>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</si>
  <si>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</si>
  <si>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 xml:space="preserve">VBB WP1/WP2 progress meeting | WP1 meeting focussing on tasks for the week, particularly design bssis changes and construction staging.
</t>
  </si>
  <si>
    <t>HS2 S1/S2 Assistance with analysis effects of settlement due to HS2 tunnel on existing structures.</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</si>
  <si>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</si>
  <si>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</si>
  <si>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</si>
  <si>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</si>
  <si>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</si>
  <si>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</si>
  <si>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</si>
  <si>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</si>
  <si>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</si>
  <si>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</si>
  <si>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</si>
  <si>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</si>
  <si>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Column1</t>
  </si>
  <si>
    <t>VBB meeting with architect | Weekly design update meeting with RWS| Meetingto discuss shape of bridge to model</t>
  </si>
  <si>
    <t>09/08/2020 Total</t>
  </si>
  <si>
    <t xml:space="preserve">VBB wp1/wp2 meetings | internal review documents | base model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</si>
</sst>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hh:mm:ss\ "/>
  </numFmts>
  <fonts count="6" x14ac:knownFonts="1">
    <font>
      <sz val="11"/>
      <color theme="1"/>
      <name val="Calibri"/>
      <family val="2"/>
      <scheme val="minor"/>
    </font>
    <font>
      <sz val="11"/>
      <color rgb="FF1F497D"/>
      <name val="Calibri"/>
      <family val="2"/>
      <scheme val="minor"/>
    </font>
    <font>
      <b/>
      <sz val="11"/>
      <color theme="0"/>
      <name val="Calibri"/>
      <family val="2"/>
      <scheme val="minor"/>
    </font>
    <font>
      <sz val="11"/>
      <color theme="0"/>
      <name val="Calibri"/>
      <family val="2"/>
      <scheme val="minor"/>
    </font>
    <font>
      <sz val="10"/>
      <color rgb="FF000000"/>
      <name val="Segoe UI"/>
      <family val="2"/>
    </font>
    <font>
      <sz val="8"/>
      <name val="Calibri"/>
      <family val="2"/>
      <scheme val="minor"/>
    </font>
  </fonts>
  <fills count="5">
    <fill>
      <patternFill patternType="none"/>
    </fill>
    <fill>
      <patternFill patternType="gray125"/>
    </fill>
    <fill>
      <patternFill patternType="solid">
        <fgColor theme="9"/>
      </patternFill>
    </fill>
    <fill>
      <patternFill patternType="solid">
        <fgColor theme="4"/>
        <bgColor indexed="64"/>
      </patternFill>
    </fill>
    <fill>
      <patternFill patternType="solid">
        <fgColor theme="1"/>
        <bgColor indexed="64"/>
      </patternFill>
    </fill>
  </fills>
  <borders count="1">
    <border>
      <left/>
      <right/>
      <top/>
      <bottom/>
      <diagonal/>
    </border>
  </borders>
  <cellStyleXfs count="2">
    <xf numFmtId="0" fontId="0" fillId="0" borderId="0"/>
    <xf numFmtId="0" fontId="3" fillId="2" borderId="0" applyNumberFormat="0" applyBorder="0" applyAlignment="0" applyProtection="0"/>
  </cellStyleXfs>
  <cellXfs count="30">
    <xf numFmtId="0" fontId="0" fillId="0" borderId="0" xfId="0"/>
    <xf numFmtId="0" fontId="0" fillId="0" borderId="0" xfId="0" pivotButton="1"/>
    <xf numFmtId="0" fontId="0" fillId="0" borderId="0" xfId="0" applyNumberFormat="1"/>
    <xf numFmtId="14" fontId="0" fillId="0" borderId="0" xfId="0" applyNumberFormat="1"/>
    <xf numFmtId="0" fontId="4" fillId="0" borderId="0" xfId="0" applyFont="1" applyAlignment="1">
      <alignment vertical="center"/>
    </xf>
    <xf numFmtId="0" fontId="0" fillId="0" borderId="0" xfId="0" applyAlignment="1">
      <alignment horizontal="left" vertical="top"/>
    </xf>
    <xf numFmtId="0" fontId="0" fillId="0" borderId="0" xfId="0" applyAlignment="1">
      <alignment horizontal="left" vertical="top" wrapText="1"/>
    </xf>
    <xf numFmtId="15" fontId="0" fillId="0" borderId="0" xfId="0" applyNumberFormat="1" applyAlignment="1">
      <alignment horizontal="left" vertical="top" wrapText="1"/>
    </xf>
    <xf numFmtId="0" fontId="4" fillId="0" borderId="0" xfId="0" applyFont="1" applyAlignment="1">
      <alignment horizontal="left" vertical="top"/>
    </xf>
    <xf numFmtId="0" fontId="0" fillId="0" borderId="0" xfId="0" applyNumberFormat="1" applyAlignment="1">
      <alignment horizontal="left" vertical="top" wrapText="1"/>
    </xf>
    <xf numFmtId="1" fontId="0" fillId="0" borderId="0" xfId="0" applyNumberFormat="1" applyAlignment="1">
      <alignment horizontal="left" vertical="top" wrapText="1"/>
    </xf>
    <xf numFmtId="15" fontId="0" fillId="0" borderId="0" xfId="0" quotePrefix="1" applyNumberFormat="1" applyAlignment="1">
      <alignment horizontal="left" vertical="top" wrapText="1"/>
    </xf>
    <xf numFmtId="15" fontId="1" fillId="0" borderId="0" xfId="0" applyNumberFormat="1" applyFont="1" applyAlignment="1">
      <alignment horizontal="left" vertical="top" wrapText="1"/>
    </xf>
    <xf numFmtId="0" fontId="0" fillId="4" borderId="0" xfId="0" applyFill="1"/>
    <xf numFmtId="164" fontId="0" fillId="0" borderId="0" xfId="0" applyNumberFormat="1" applyAlignment="1">
      <alignment horizontal="left" vertical="top" wrapText="1"/>
    </xf>
    <xf numFmtId="164" fontId="0" fillId="0" borderId="0" xfId="0" quotePrefix="1" applyNumberFormat="1" applyAlignment="1">
      <alignment horizontal="left" vertical="top" wrapText="1"/>
    </xf>
    <xf numFmtId="164" fontId="1" fillId="0" borderId="0" xfId="0" applyNumberFormat="1" applyFont="1" applyAlignment="1">
      <alignment horizontal="left" vertical="top" wrapText="1"/>
    </xf>
    <xf numFmtId="20" fontId="0" fillId="0" borderId="0" xfId="0" applyNumberFormat="1" applyAlignment="1">
      <alignment horizontal="left" vertical="top" wrapText="1"/>
    </xf>
    <xf numFmtId="0" fontId="0" fillId="0" borderId="0" xfId="0" pivotButton="1" applyAlignment="1">
      <alignment wrapText="1"/>
    </xf>
    <xf numFmtId="0" fontId="0" fillId="0" borderId="0" xfId="0" applyAlignment="1">
      <alignment wrapText="1"/>
    </xf>
    <xf numFmtId="14" fontId="0" fillId="0" borderId="0" xfId="0" applyNumberFormat="1" applyAlignment="1">
      <alignment wrapText="1"/>
    </xf>
    <xf numFmtId="0" fontId="0" fillId="0" borderId="0" xfId="0" applyNumberFormat="1" applyAlignment="1">
      <alignment wrapText="1"/>
    </xf>
    <xf numFmtId="1" fontId="0" fillId="0" borderId="0" xfId="0" applyNumberFormat="1" applyAlignment="1">
      <alignment wrapText="1"/>
    </xf>
    <xf numFmtId="0" fontId="0" fillId="0" borderId="0" xfId="0" applyFill="1" applyAlignment="1"/>
    <xf numFmtId="1" fontId="2" fillId="0" borderId="0" xfId="1" applyNumberFormat="1" applyFont="1" applyFill="1" applyAlignment="1"/>
    <xf numFmtId="0" fontId="2" fillId="0" borderId="0" xfId="1" applyFont="1" applyFill="1" applyAlignment="1"/>
    <xf numFmtId="0" fontId="0" fillId="0" borderId="0" xfId="0" applyAlignment="1"/>
    <xf numFmtId="0" fontId="0" fillId="4" borderId="0" xfId="0" applyFill="1" applyAlignment="1"/>
    <xf numFmtId="0" fontId="0" fillId="3" borderId="0" xfId="0" applyFill="1" applyAlignment="1"/>
    <xf numFmtId="1" fontId="0" fillId="3" borderId="0" xfId="0" applyNumberFormat="1" applyFill="1" applyAlignment="1"/>
  </cellXfs>
  <cellStyles count="2">
    <cellStyle name="Accent6" xfId="1" builtinId="49"/>
    <cellStyle name="Normal" xfId="0" builtinId="0"/>
  </cellStyles>
  <dxfs count="66">
    <dxf>
      <alignment wrapText="1"/>
    </dxf>
    <dxf>
      <alignment horizontal="general" vertical="bottom"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numFmt numFmtId="1" formatCode="0"/>
      <alignment horizontal="left" vertical="top" textRotation="0" wrapText="1" indent="0" justifyLastLine="0" shrinkToFit="0" readingOrder="0"/>
    </dxf>
    <dxf>
      <alignment horizontal="general" vertical="bottom" textRotation="0" wrapText="1" indent="0" justifyLastLine="0" shrinkToFit="0" readingOrder="0"/>
    </dxf>
    <dxf>
      <numFmt numFmtId="1" formatCode="0"/>
      <alignment horizontal="left" vertical="top" textRotation="0" wrapText="1" indent="0" justifyLastLine="0" shrinkToFit="0" readingOrder="0"/>
    </dxf>
    <dxf>
      <alignment horizontal="general" vertical="bottom" textRotation="0" wrapText="1" indent="0" justifyLastLine="0" shrinkToFit="0" readingOrder="0"/>
    </dxf>
    <dxf>
      <numFmt numFmtId="1" formatCode="0"/>
      <alignment horizontal="left" vertical="top" textRotation="0" wrapText="1" indent="0" justifyLastLine="0" shrinkToFit="0" readingOrder="0"/>
    </dxf>
    <dxf>
      <alignment horizontal="general" vertical="bottom" textRotation="0" wrapText="1" indent="0" justifyLastLine="0" shrinkToFit="0" readingOrder="0"/>
    </dxf>
    <dxf>
      <numFmt numFmtId="0" formatCode="General"/>
      <alignment horizontal="left" vertical="top" textRotation="0" wrapText="1" indent="0" justifyLastLine="0" shrinkToFit="0" readingOrder="0"/>
    </dxf>
    <dxf>
      <alignment horizontal="general" vertical="bottom" textRotation="0" wrapText="1" indent="0" justifyLastLine="0" shrinkToFit="0" readingOrder="0"/>
    </dxf>
    <dxf>
      <numFmt numFmtId="0" formatCode="General"/>
      <alignment horizontal="left" vertical="top" textRotation="0" wrapText="1" indent="0" justifyLastLine="0" shrinkToFit="0" readingOrder="0"/>
    </dxf>
    <dxf>
      <alignment horizontal="general" vertical="bottom" textRotation="0" wrapText="1" indent="0" justifyLastLine="0" shrinkToFit="0" readingOrder="0"/>
    </dxf>
    <dxf>
      <numFmt numFmtId="0" formatCode="General"/>
      <alignment horizontal="left" vertical="top" textRotation="0" wrapText="1" indent="0" justifyLastLine="0" shrinkToFit="0" readingOrder="0"/>
    </dxf>
    <dxf>
      <alignment horizontal="general" vertical="bottom" textRotation="0" wrapText="1" indent="0" justifyLastLine="0" shrinkToFit="0" readingOrder="0"/>
    </dxf>
    <dxf>
      <numFmt numFmtId="0" formatCode="General"/>
      <alignment horizontal="left" vertical="top" textRotation="0" wrapText="1" indent="0" justifyLastLine="0" shrinkToFit="0" readingOrder="0"/>
    </dxf>
    <dxf>
      <alignment horizontal="general" vertical="bottom" textRotation="0" wrapText="1" indent="0" justifyLastLine="0" shrinkToFit="0" readingOrder="0"/>
    </dxf>
    <dxf>
      <numFmt numFmtId="1" formatCode="0"/>
      <alignment horizontal="left" vertical="top" textRotation="0" wrapText="1" indent="0" justifyLastLine="0" shrinkToFit="0" readingOrder="0"/>
    </dxf>
    <dxf>
      <alignment horizontal="general" vertical="bottom" textRotation="0" wrapText="1" indent="0" justifyLastLine="0" shrinkToFit="0" readingOrder="0"/>
    </dxf>
    <dxf>
      <numFmt numFmtId="20" formatCode="dd\-mmm\-yy"/>
      <alignment horizontal="left" vertical="top" textRotation="0" wrapText="1" indent="0" justifyLastLine="0" shrinkToFit="0" readingOrder="0"/>
    </dxf>
    <dxf>
      <alignment horizontal="general" vertical="bottom" textRotation="0" wrapText="1" indent="0" justifyLastLine="0" shrinkToFit="0" readingOrder="0"/>
    </dxf>
    <dxf>
      <numFmt numFmtId="20" formatCode="dd\-mmm\-yy"/>
      <alignment horizontal="left" vertical="top" textRotation="0" wrapText="1" indent="0" justifyLastLine="0" shrinkToFit="0" readingOrder="0"/>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1" indent="0" justifyLastLine="0" shrinkToFit="0" readingOrder="0"/>
    </dxf>
    <dxf>
      <numFmt numFmtId="20" formatCode="dd\-mmm\-yy"/>
      <alignment horizontal="left" vertical="top" textRotation="0" wrapText="1" indent="0" justifyLastLine="0" shrinkToFit="0" readingOrder="0"/>
    </dxf>
    <dxf>
      <alignment horizontal="general" vertical="bottom" textRotation="0" wrapText="1" indent="0" justifyLastLine="0" shrinkToFit="0" readingOrder="0"/>
    </dxf>
    <dxf>
      <numFmt numFmtId="20" formatCode="dd\-mmm\-yy"/>
      <alignment horizontal="left" vertical="top" textRotation="0" wrapText="1" indent="0" justifyLastLine="0" shrinkToFit="0" readingOrder="0"/>
    </dxf>
    <dxf>
      <alignment horizontal="general" vertical="bottom" textRotation="0" wrapText="1" indent="0" justifyLastLine="0" shrinkToFit="0" readingOrder="0"/>
    </dxf>
    <dxf>
      <numFmt numFmtId="20" formatCode="dd\-mmm\-yy"/>
      <alignment horizontal="left" vertical="top" textRotation="0" wrapText="1" indent="0" justifyLastLine="0" shrinkToFit="0" readingOrder="0"/>
    </dxf>
    <dxf>
      <alignment horizontal="general" vertical="bottom" textRotation="0" wrapText="1" indent="0" justifyLastLine="0" shrinkToFit="0" readingOrder="0"/>
    </dxf>
    <dxf>
      <numFmt numFmtId="164" formatCode="yyyy\-mm\-dd\ hh:mm:ss\ "/>
      <alignment horizontal="left" vertical="top" textRotation="0" wrapText="1" indent="0" justifyLastLine="0" shrinkToFit="0" readingOrder="0"/>
    </dxf>
    <dxf>
      <alignment horizontal="general" vertical="bottom" textRotation="0" wrapText="1" indent="0" justifyLastLine="0" shrinkToFit="0" readingOrder="0"/>
    </dxf>
    <dxf>
      <numFmt numFmtId="0" formatCode="General"/>
      <alignment horizontal="left"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4.9989318521683403E-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65"/>
      <tableStyleElement type="headerRow"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3.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3" Type="http://schemas.openxmlformats.org/officeDocument/2006/relationships/worksheet" Target="worksheets/sheet3.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pivotCacheDefinition" Target="pivotCache/pivotCacheDefinition2.xml"/><Relationship Id="rId12" Type="http://schemas.microsoft.com/office/2007/relationships/slicerCache" Target="slicerCaches/slicerCache2.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5.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19050</xdr:rowOff>
    </xdr:from>
    <xdr:to>
      <xdr:col>11</xdr:col>
      <xdr:colOff>270012</xdr:colOff>
      <xdr:row>7</xdr:row>
      <xdr:rowOff>161925</xdr:rowOff>
    </xdr:to>
    <mc:AlternateContent xmlns:mc="http://schemas.openxmlformats.org/markup-compatibility/2006" xmlns:sle15="http://schemas.microsoft.com/office/drawing/2012/slicer">
      <mc:Choice Requires="sle15">
        <xdr:graphicFrame macro="">
          <xdr:nvGraphicFramePr>
            <xdr:cNvPr id="2" name="job">
              <a:extLst>
                <a:ext uri="{FF2B5EF4-FFF2-40B4-BE49-F238E27FC236}">
                  <a16:creationId xmlns:a16="http://schemas.microsoft.com/office/drawing/2014/main" id="{A1FC4F9D-B0C6-4F54-B5EF-DACBB4FD04CB}"/>
                </a:ext>
              </a:extLst>
            </xdr:cNvPr>
            <xdr:cNvGraphicFramePr/>
          </xdr:nvGraphicFramePr>
          <xdr:xfrm>
            <a:off x="0" y="0"/>
            <a:ext cx="0" cy="0"/>
          </xdr:xfrm>
          <a:graphic>
            <a:graphicData uri="http://schemas.microsoft.com/office/drawing/2010/slicer">
              <sle:slicer xmlns:sle="http://schemas.microsoft.com/office/drawing/2010/slicer" name="job"/>
            </a:graphicData>
          </a:graphic>
        </xdr:graphicFrame>
      </mc:Choice>
      <mc:Fallback xmlns="">
        <xdr:sp macro="" textlink="">
          <xdr:nvSpPr>
            <xdr:cNvPr id="0" name=""/>
            <xdr:cNvSpPr>
              <a:spLocks noTextEdit="1"/>
            </xdr:cNvSpPr>
          </xdr:nvSpPr>
          <xdr:spPr>
            <a:xfrm>
              <a:off x="9525" y="19050"/>
              <a:ext cx="8745750" cy="153352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209550</xdr:colOff>
      <xdr:row>0</xdr:row>
      <xdr:rowOff>95250</xdr:rowOff>
    </xdr:from>
    <xdr:to>
      <xdr:col>14</xdr:col>
      <xdr:colOff>28575</xdr:colOff>
      <xdr:row>37</xdr:row>
      <xdr:rowOff>57150</xdr:rowOff>
    </xdr:to>
    <mc:AlternateContent xmlns:mc="http://schemas.openxmlformats.org/markup-compatibility/2006" xmlns:a14="http://schemas.microsoft.com/office/drawing/2010/main">
      <mc:Choice Requires="a14">
        <xdr:graphicFrame macro="">
          <xdr:nvGraphicFramePr>
            <xdr:cNvPr id="2" name="job 1">
              <a:extLst>
                <a:ext uri="{FF2B5EF4-FFF2-40B4-BE49-F238E27FC236}">
                  <a16:creationId xmlns:a16="http://schemas.microsoft.com/office/drawing/2014/main" id="{29876EF6-DB33-4792-8062-A4C120D1A9FF}"/>
                </a:ext>
              </a:extLst>
            </xdr:cNvPr>
            <xdr:cNvGraphicFramePr/>
          </xdr:nvGraphicFramePr>
          <xdr:xfrm>
            <a:off x="0" y="0"/>
            <a:ext cx="0" cy="0"/>
          </xdr:xfrm>
          <a:graphic>
            <a:graphicData uri="http://schemas.microsoft.com/office/drawing/2010/slicer">
              <sle:slicer xmlns:sle="http://schemas.microsoft.com/office/drawing/2010/slicer" name="job 1"/>
            </a:graphicData>
          </a:graphic>
        </xdr:graphicFrame>
      </mc:Choice>
      <mc:Fallback xmlns="">
        <xdr:sp macro="" textlink="">
          <xdr:nvSpPr>
            <xdr:cNvPr id="0" name=""/>
            <xdr:cNvSpPr>
              <a:spLocks noTextEdit="1"/>
            </xdr:cNvSpPr>
          </xdr:nvSpPr>
          <xdr:spPr>
            <a:xfrm>
              <a:off x="6705600" y="95250"/>
              <a:ext cx="4600575" cy="7010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209550</xdr:colOff>
      <xdr:row>0</xdr:row>
      <xdr:rowOff>95250</xdr:rowOff>
    </xdr:from>
    <xdr:to>
      <xdr:col>14</xdr:col>
      <xdr:colOff>28575</xdr:colOff>
      <xdr:row>37</xdr:row>
      <xdr:rowOff>57150</xdr:rowOff>
    </xdr:to>
    <mc:AlternateContent xmlns:mc="http://schemas.openxmlformats.org/markup-compatibility/2006" xmlns:a14="http://schemas.microsoft.com/office/drawing/2010/main">
      <mc:Choice Requires="a14">
        <xdr:graphicFrame macro="">
          <xdr:nvGraphicFramePr>
            <xdr:cNvPr id="2" name="job 2">
              <a:extLst>
                <a:ext uri="{FF2B5EF4-FFF2-40B4-BE49-F238E27FC236}">
                  <a16:creationId xmlns:a16="http://schemas.microsoft.com/office/drawing/2014/main" id="{5B3217BA-1FAA-462F-B8B7-15CB765B3A2A}"/>
                </a:ext>
              </a:extLst>
            </xdr:cNvPr>
            <xdr:cNvGraphicFramePr/>
          </xdr:nvGraphicFramePr>
          <xdr:xfrm>
            <a:off x="0" y="0"/>
            <a:ext cx="0" cy="0"/>
          </xdr:xfrm>
          <a:graphic>
            <a:graphicData uri="http://schemas.microsoft.com/office/drawing/2010/slicer">
              <sle:slicer xmlns:sle="http://schemas.microsoft.com/office/drawing/2010/slicer" name="job 2"/>
            </a:graphicData>
          </a:graphic>
        </xdr:graphicFrame>
      </mc:Choice>
      <mc:Fallback xmlns="">
        <xdr:sp macro="" textlink="">
          <xdr:nvSpPr>
            <xdr:cNvPr id="0" name=""/>
            <xdr:cNvSpPr>
              <a:spLocks noTextEdit="1"/>
            </xdr:cNvSpPr>
          </xdr:nvSpPr>
          <xdr:spPr>
            <a:xfrm>
              <a:off x="6248400" y="95250"/>
              <a:ext cx="4600575" cy="7010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De-Melo" refreshedDate="43913.538696643518" createdVersion="5" refreshedVersion="6" minRefreshableVersion="3" recordCount="0" supportSubquery="1" supportAdvancedDrill="1" xr:uid="{58E4F8D0-8554-4574-AE47-CE35F58DF752}">
  <cacheSource type="external" connectionId="1"/>
  <cacheFields count="5">
    <cacheField name="[Table2].[job].[job]" caption="job" numFmtId="0" hierarchy="6" level="1">
      <sharedItems count="45">
        <s v="A465"/>
        <s v="A465 updates"/>
        <s v="AMS support"/>
        <s v="Appraisal"/>
        <s v="Bank Holiday"/>
        <s v="BCS - promotional"/>
        <s v="BCS - resource 2019"/>
        <s v="Brisa"/>
        <s v="CAFA"/>
        <s v="CAFA Span 31"/>
        <s v="CP - Assessment"/>
        <s v="de Locht"/>
        <s v="Engagement cohort"/>
        <s v="Galecopper"/>
        <s v="Galecopper - joints and bearings"/>
        <s v="Gatwick"/>
        <s v="Hatta"/>
        <s v="HCC - Asset management"/>
        <s v="HCC - Lower Kings Rd"/>
        <s v="HCC - Nazeing"/>
        <s v="HCC - Nursery Ln"/>
        <s v="HCC - Paul Cully"/>
        <s v="HCC - Weston Hills Tunnel"/>
        <s v="HS2 Ph2b"/>
        <s v="Infra BIM"/>
        <s v="Interview"/>
        <s v="Intro to bridges"/>
        <s v="KSC - PM"/>
        <s v="KSC - Tunnel"/>
        <s v="Leave"/>
        <s v="M25 West MSA"/>
        <s v="SHB - Existing"/>
        <s v="SMP"/>
        <s v="Suurhoffbrug"/>
        <s v="swindon d&amp;b"/>
        <s v="Training"/>
        <s v="VBB -  extra fatgiue work"/>
        <s v="VBB - Assessment"/>
        <s v="VBB - Design Basis"/>
        <s v="VBB 3rd - new bridge"/>
        <s v="VBB 3rd - new bridge VO"/>
        <s v="VBB Afkeurmemo Oostbrug"/>
        <s v="Waalbrug"/>
        <s v="WLW"/>
        <s v="WMRE lot 6"/>
      </sharedItems>
    </cacheField>
    <cacheField name="[Table2].[date (Year)].[date (Year)]" caption="date (Year)" numFmtId="0" hierarchy="3" level="1">
      <sharedItems count="3">
        <s v="2019"/>
        <s v="2018"/>
        <s v="2020"/>
      </sharedItems>
    </cacheField>
    <cacheField name="[Measures].[Sum of time]" caption="Sum of time" numFmtId="0" hierarchy="18" level="32767"/>
    <cacheField name="[Table2].[date (Month)].[date (Month)]" caption="date (Month)" numFmtId="0" hierarchy="1" level="1">
      <sharedItems count="12">
        <s v="Jan"/>
        <s v="Feb"/>
        <s v="Mar"/>
        <s v="May"/>
        <s v="Dec"/>
        <s v="Nov"/>
        <s v="Apr"/>
        <s v="Aug"/>
        <s v="Jun"/>
        <s v="Jul"/>
        <s v="Oct"/>
        <s v="Sep"/>
      </sharedItems>
    </cacheField>
    <cacheField name="[Table2].[job number].[job number]" caption="job number" numFmtId="0" hierarchy="7" level="1">
      <sharedItems count="44">
        <s v="266122-21"/>
        <s v="266122-24"/>
        <s v="#N/A"/>
        <s v="074097-29"/>
        <s v="BANK HOLIDAY"/>
        <s v="071945-07"/>
        <s v="074097-30"/>
        <s v="268268-00"/>
        <s v="262218-08"/>
        <s v="215526-27"/>
        <s v="265675-00"/>
        <s v="074103-30"/>
        <s v="260258-47"/>
        <s v="260258-41"/>
        <s v="264520-00"/>
        <s v="77616-41"/>
        <s v="254304-44"/>
        <s v="255670-17"/>
        <s v="236808-69"/>
        <s v="254304-79"/>
        <s v="254304-96"/>
        <s v="246233-56"/>
        <s v="254841-07"/>
        <s v="077616-63"/>
        <s v="0"/>
        <s v="252076-05"/>
        <s v="268017-10"/>
        <s v="268017-25"/>
        <s v="LEAVE"/>
        <s v="255375-00"/>
        <s v="239230-42"/>
        <s v="261723-02"/>
        <s v="239230-40"/>
        <s v="601701-23"/>
        <s v="TRAINING"/>
        <s v="265720-01"/>
        <s v="265720-20"/>
        <s v="265720-10"/>
        <s v="210035-51"/>
        <s v="210035-64"/>
        <s v="210035-58"/>
        <s v="259933-00"/>
        <s v="264744-00"/>
        <s v="601593-72"/>
      </sharedItems>
    </cacheField>
  </cacheFields>
  <cacheHierarchies count="21">
    <cacheHierarchy uniqueName="[Table2].[date]" caption="date" attribute="1" time="1" defaultMemberUniqueName="[Table2].[date].[All]" allUniqueName="[Table2].[date].[All]" dimensionUniqueName="[Table2]" displayFolder="" count="0" memberValueDatatype="7" unbalanced="0"/>
    <cacheHierarchy uniqueName="[Table2].[date (Month)]" caption="date (Month)" attribute="1" defaultMemberUniqueName="[Table2].[date (Month)].[All]" allUniqueName="[Table2].[date (Month)].[All]" dimensionUniqueName="[Table2]" displayFolder="" count="2" memberValueDatatype="130" unbalanced="0">
      <fieldsUsage count="2">
        <fieldUsage x="-1"/>
        <fieldUsage x="3"/>
      </fieldsUsage>
    </cacheHierarchy>
    <cacheHierarchy uniqueName="[Table2].[date (Quarter)]" caption="date (Quarter)" attribute="1" defaultMemberUniqueName="[Table2].[date (Quarter)].[All]" allUniqueName="[Table2].[date (Quarter)].[All]" dimensionUniqueName="[Table2]" displayFolder="" count="0" memberValueDatatype="130" unbalanced="0"/>
    <cacheHierarchy uniqueName="[Table2].[date (Year)]" caption="date (Year)" attribute="1" defaultMemberUniqueName="[Table2].[date (Year)].[All]" allUniqueName="[Table2].[date (Year)].[All]" dimensionUniqueName="[Table2]" displayFolder="" count="2" memberValueDatatype="130" unbalanced="0">
      <fieldsUsage count="2">
        <fieldUsage x="-1"/>
        <fieldUsage x="1"/>
      </fieldsUsage>
    </cacheHierarchy>
    <cacheHierarchy uniqueName="[Table2].[day_ref]" caption="day_ref" attribute="1" defaultMemberUniqueName="[Table2].[day_ref].[All]" allUniqueName="[Table2].[day_ref].[All]" dimensionUniqueName="[Table2]" displayFolder="" count="0" memberValueDatatype="130" unbalanced="0"/>
    <cacheHierarchy uniqueName="[Table2].[format]" caption="format" attribute="1" defaultMemberUniqueName="[Table2].[format].[All]" allUniqueName="[Table2].[format].[All]" dimensionUniqueName="[Table2]" displayFolder="" count="0" memberValueDatatype="130" unbalanced="0"/>
    <cacheHierarchy uniqueName="[Table2].[job]" caption="job" attribute="1" defaultMemberUniqueName="[Table2].[job].[All]" allUniqueName="[Table2].[job].[All]" dimensionUniqueName="[Table2]" displayFolder="" count="2" memberValueDatatype="130" unbalanced="0">
      <fieldsUsage count="2">
        <fieldUsage x="-1"/>
        <fieldUsage x="0"/>
      </fieldsUsage>
    </cacheHierarchy>
    <cacheHierarchy uniqueName="[Table2].[job number]" caption="job number" attribute="1" defaultMemberUniqueName="[Table2].[job number].[All]" allUniqueName="[Table2].[job number].[All]" dimensionUniqueName="[Table2]" displayFolder="" count="2" memberValueDatatype="130" unbalanced="0">
      <fieldsUsage count="2">
        <fieldUsage x="-1"/>
        <fieldUsage x="4"/>
      </fieldsUsage>
    </cacheHierarchy>
    <cacheHierarchy uniqueName="[Table2].[Narrative]" caption="Narrative" attribute="1" defaultMemberUniqueName="[Table2].[Narrative].[All]" allUniqueName="[Table2].[Narrative].[All]" dimensionUniqueName="[Table2]" displayFolder="" count="0" memberValueDatatype="130" unbalanced="0"/>
    <cacheHierarchy uniqueName="[Table2].[ref_wk]" caption="ref_wk" attribute="1" defaultMemberUniqueName="[Table2].[ref_wk].[All]" allUniqueName="[Table2].[ref_wk].[All]" dimensionUniqueName="[Table2]" displayFolder="" count="0" memberValueDatatype="130" unbalanced="0"/>
    <cacheHierarchy uniqueName="[Table2].[time]" caption="time" attribute="1" defaultMemberUniqueName="[Table2].[time].[All]" allUniqueName="[Table2].[time].[All]" dimensionUniqueName="[Table2]" displayFolder="" count="0" memberValueDatatype="5" unbalanced="0"/>
    <cacheHierarchy uniqueName="[Table2].[week_end]" caption="week_end" attribute="1" time="1" defaultMemberUniqueName="[Table2].[week_end].[All]" allUniqueName="[Table2].[week_end].[All]" dimensionUniqueName="[Table2]" displayFolder="" count="0" memberValueDatatype="7" unbalanced="0"/>
    <cacheHierarchy uniqueName="[Table2].[wk_day]" caption="wk_day" attribute="1" defaultMemberUniqueName="[Table2].[wk_day].[All]" allUniqueName="[Table2].[wk_day].[All]" dimensionUniqueName="[Table2]" displayFolder="" count="0" memberValueDatatype="130" unbalanced="0"/>
    <cacheHierarchy uniqueName="[Table2].[wk_no]" caption="wk_no" attribute="1" defaultMemberUniqueName="[Table2].[wk_no].[All]" allUniqueName="[Table2].[wk_no].[All]" dimensionUniqueName="[Table2]" displayFolder="" count="0" memberValueDatatype="20" unbalanced="0"/>
    <cacheHierarchy uniqueName="[Table2].[year]" caption="year" attribute="1" defaultMemberUniqueName="[Table2].[year].[All]" allUniqueName="[Table2].[year].[All]" dimensionUniqueName="[Table2]" displayFolder="" count="0" memberValueDatatype="2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ime]" caption="Sum of time" measure="1" displayFolder="" measureGroup="Table2"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wk_no]" caption="Sum of wk_no" measure="1" displayFolder="" measureGroup="Table2" count="0" hidden="1">
      <extLst>
        <ext xmlns:x15="http://schemas.microsoft.com/office/spreadsheetml/2010/11/main" uri="{B97F6D7D-B522-45F9-BDA1-12C45D357490}">
          <x15:cacheHierarchy aggregatedColumn="13"/>
        </ext>
      </extLst>
    </cacheHierarchy>
    <cacheHierarchy uniqueName="[Measures].[Count of date (Year)]" caption="Count of date (Year)" measure="1" displayFolder="" measureGroup="Table2"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De-Melo" refreshedDate="43913.538699074074" createdVersion="5" refreshedVersion="6" minRefreshableVersion="3" recordCount="0" supportSubquery="1" supportAdvancedDrill="1" xr:uid="{88B8EE01-6FD3-40D4-94F8-C3266DCCDAA0}">
  <cacheSource type="external" connectionId="1"/>
  <cacheFields count="3">
    <cacheField name="[Table2].[job].[job]" caption="job" numFmtId="0" hierarchy="6" level="1">
      <sharedItems count="45">
        <s v="A465"/>
        <s v="A465 updates"/>
        <s v="AMS support"/>
        <s v="Appraisal"/>
        <s v="Bank Holiday"/>
        <s v="BCS - promotional"/>
        <s v="BCS - resource 2019"/>
        <s v="Brisa"/>
        <s v="CAFA"/>
        <s v="CAFA Span 31"/>
        <s v="CP - Assessment"/>
        <s v="de Locht"/>
        <s v="Engagement cohort"/>
        <s v="Galecopper"/>
        <s v="Galecopper - joints and bearings"/>
        <s v="Gatwick"/>
        <s v="Hatta"/>
        <s v="HCC - Asset management"/>
        <s v="HCC - Lower Kings Rd"/>
        <s v="HCC - Nazeing"/>
        <s v="HCC - Nursery Ln"/>
        <s v="HCC - Paul Cully"/>
        <s v="HCC - Weston Hills Tunnel"/>
        <s v="HS2 Ph2b"/>
        <s v="Infra BIM"/>
        <s v="Interview"/>
        <s v="Intro to bridges"/>
        <s v="KSC - PM"/>
        <s v="KSC - Tunnel"/>
        <s v="Leave"/>
        <s v="M25 West MSA"/>
        <s v="SHB - Existing"/>
        <s v="SMP"/>
        <s v="Suurhoffbrug"/>
        <s v="swindon d&amp;b"/>
        <s v="Training"/>
        <s v="VBB -  extra fatgiue work"/>
        <s v="VBB - Assessment"/>
        <s v="VBB - Design Basis"/>
        <s v="VBB 3rd - new bridge"/>
        <s v="VBB 3rd - new bridge VO"/>
        <s v="VBB Afkeurmemo Oostbrug"/>
        <s v="Waalbrug"/>
        <s v="WLW"/>
        <s v="WMRE lot 6"/>
      </sharedItems>
    </cacheField>
    <cacheField name="[Measures].[Sum of time]" caption="Sum of time" numFmtId="0" hierarchy="18" level="32767"/>
    <cacheField name="[Table2].[job number].[job number]" caption="job number" numFmtId="0" hierarchy="7" level="1">
      <sharedItems count="44">
        <s v="266122-21"/>
        <s v="266122-24"/>
        <s v="#N/A"/>
        <s v="074097-29"/>
        <s v="BANK HOLIDAY"/>
        <s v="071945-07"/>
        <s v="074097-30"/>
        <s v="268268-00"/>
        <s v="262218-08"/>
        <s v="215526-27"/>
        <s v="265675-00"/>
        <s v="074103-30"/>
        <s v="260258-47"/>
        <s v="260258-41"/>
        <s v="264520-00"/>
        <s v="77616-41"/>
        <s v="254304-44"/>
        <s v="255670-17"/>
        <s v="236808-69"/>
        <s v="254304-79"/>
        <s v="254304-96"/>
        <s v="246233-56"/>
        <s v="254841-07"/>
        <s v="077616-63"/>
        <s v="0"/>
        <s v="252076-05"/>
        <s v="268017-10"/>
        <s v="268017-25"/>
        <s v="LEAVE"/>
        <s v="255375-00"/>
        <s v="239230-42"/>
        <s v="261723-02"/>
        <s v="239230-40"/>
        <s v="601701-23"/>
        <s v="TRAINING"/>
        <s v="265720-01"/>
        <s v="265720-20"/>
        <s v="265720-10"/>
        <s v="210035-51"/>
        <s v="210035-64"/>
        <s v="210035-58"/>
        <s v="259933-00"/>
        <s v="264744-00"/>
        <s v="601593-72"/>
      </sharedItems>
    </cacheField>
  </cacheFields>
  <cacheHierarchies count="21">
    <cacheHierarchy uniqueName="[Table2].[date]" caption="date" attribute="1" time="1" defaultMemberUniqueName="[Table2].[date].[All]" allUniqueName="[Table2].[date].[All]" dimensionUniqueName="[Table2]" displayFolder="" count="0" memberValueDatatype="7" unbalanced="0"/>
    <cacheHierarchy uniqueName="[Table2].[date (Month)]" caption="date (Month)" attribute="1" defaultMemberUniqueName="[Table2].[date (Month)].[All]" allUniqueName="[Table2].[date (Month)].[All]" dimensionUniqueName="[Table2]" displayFolder="" count="0" memberValueDatatype="130" unbalanced="0"/>
    <cacheHierarchy uniqueName="[Table2].[date (Quarter)]" caption="date (Quarter)" attribute="1" defaultMemberUniqueName="[Table2].[date (Quarter)].[All]" allUniqueName="[Table2].[date (Quarter)].[All]" dimensionUniqueName="[Table2]" displayFolder="" count="0" memberValueDatatype="130" unbalanced="0"/>
    <cacheHierarchy uniqueName="[Table2].[date (Year)]" caption="date (Year)" attribute="1" defaultMemberUniqueName="[Table2].[date (Year)].[All]" allUniqueName="[Table2].[date (Year)].[All]" dimensionUniqueName="[Table2]" displayFolder="" count="0" memberValueDatatype="130" unbalanced="0"/>
    <cacheHierarchy uniqueName="[Table2].[day_ref]" caption="day_ref" attribute="1" defaultMemberUniqueName="[Table2].[day_ref].[All]" allUniqueName="[Table2].[day_ref].[All]" dimensionUniqueName="[Table2]" displayFolder="" count="0" memberValueDatatype="130" unbalanced="0"/>
    <cacheHierarchy uniqueName="[Table2].[format]" caption="format" attribute="1" defaultMemberUniqueName="[Table2].[format].[All]" allUniqueName="[Table2].[format].[All]" dimensionUniqueName="[Table2]" displayFolder="" count="0" memberValueDatatype="130" unbalanced="0"/>
    <cacheHierarchy uniqueName="[Table2].[job]" caption="job" attribute="1" defaultMemberUniqueName="[Table2].[job].[All]" allUniqueName="[Table2].[job].[All]" dimensionUniqueName="[Table2]" displayFolder="" count="2" memberValueDatatype="130" unbalanced="0">
      <fieldsUsage count="2">
        <fieldUsage x="-1"/>
        <fieldUsage x="0"/>
      </fieldsUsage>
    </cacheHierarchy>
    <cacheHierarchy uniqueName="[Table2].[job number]" caption="job number" attribute="1" defaultMemberUniqueName="[Table2].[job number].[All]" allUniqueName="[Table2].[job number].[All]" dimensionUniqueName="[Table2]" displayFolder="" count="2" memberValueDatatype="130" unbalanced="0">
      <fieldsUsage count="2">
        <fieldUsage x="-1"/>
        <fieldUsage x="2"/>
      </fieldsUsage>
    </cacheHierarchy>
    <cacheHierarchy uniqueName="[Table2].[Narrative]" caption="Narrative" attribute="1" defaultMemberUniqueName="[Table2].[Narrative].[All]" allUniqueName="[Table2].[Narrative].[All]" dimensionUniqueName="[Table2]" displayFolder="" count="0" memberValueDatatype="130" unbalanced="0"/>
    <cacheHierarchy uniqueName="[Table2].[ref_wk]" caption="ref_wk" attribute="1" defaultMemberUniqueName="[Table2].[ref_wk].[All]" allUniqueName="[Table2].[ref_wk].[All]" dimensionUniqueName="[Table2]" displayFolder="" count="0" memberValueDatatype="130" unbalanced="0"/>
    <cacheHierarchy uniqueName="[Table2].[time]" caption="time" attribute="1" defaultMemberUniqueName="[Table2].[time].[All]" allUniqueName="[Table2].[time].[All]" dimensionUniqueName="[Table2]" displayFolder="" count="0" memberValueDatatype="5" unbalanced="0"/>
    <cacheHierarchy uniqueName="[Table2].[week_end]" caption="week_end" attribute="1" time="1" defaultMemberUniqueName="[Table2].[week_end].[All]" allUniqueName="[Table2].[week_end].[All]" dimensionUniqueName="[Table2]" displayFolder="" count="0" memberValueDatatype="7" unbalanced="0"/>
    <cacheHierarchy uniqueName="[Table2].[wk_day]" caption="wk_day" attribute="1" defaultMemberUniqueName="[Table2].[wk_day].[All]" allUniqueName="[Table2].[wk_day].[All]" dimensionUniqueName="[Table2]" displayFolder="" count="0" memberValueDatatype="130" unbalanced="0"/>
    <cacheHierarchy uniqueName="[Table2].[wk_no]" caption="wk_no" attribute="1" defaultMemberUniqueName="[Table2].[wk_no].[All]" allUniqueName="[Table2].[wk_no].[All]" dimensionUniqueName="[Table2]" displayFolder="" count="0" memberValueDatatype="20" unbalanced="0"/>
    <cacheHierarchy uniqueName="[Table2].[year]" caption="year" attribute="1" defaultMemberUniqueName="[Table2].[year].[All]" allUniqueName="[Table2].[year].[All]" dimensionUniqueName="[Table2]" displayFolder="" count="0" memberValueDatatype="2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ime]" caption="Sum of time" measure="1" displayFolder="" measureGroup="Table2"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wk_no]" caption="Sum of wk_no" measure="1" displayFolder="" measureGroup="Table2" count="0" hidden="1">
      <extLst>
        <ext xmlns:x15="http://schemas.microsoft.com/office/spreadsheetml/2010/11/main" uri="{B97F6D7D-B522-45F9-BDA1-12C45D357490}">
          <x15:cacheHierarchy aggregatedColumn="13"/>
        </ext>
      </extLst>
    </cacheHierarchy>
    <cacheHierarchy uniqueName="[Measures].[Count of date (Year)]" caption="Count of date (Year)" measure="1" displayFolder="" measureGroup="Table2"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050.540912847224" createdVersion="6" refreshedVersion="6" minRefreshableVersion="3" recordCount="687" xr:uid="{4EABE524-B3CF-4F07-84DD-C52F095303AF}">
  <cacheSource type="worksheet">
    <worksheetSource name="TimeEntry"/>
  </cacheSource>
  <cacheFields count="17">
    <cacheField name="format" numFmtId="0">
      <sharedItems containsMixedTypes="1" containsNumber="1" minValue="0.1" maxValue="1.1000000000000001"/>
    </cacheField>
    <cacheField name="Timestamp" numFmtId="164">
      <sharedItems containsNonDate="0" containsDate="1" containsString="0" containsBlank="1" minDate="2020-07-02T13:31:31" maxDate="2020-08-07T12:00:44"/>
    </cacheField>
    <cacheField name="Date" numFmtId="15">
      <sharedItems containsNonDate="0" containsDate="1" containsString="0" containsBlank="1" minDate="2018-10-29T00:00:00" maxDate="2020-08-08T00:00:00"/>
    </cacheField>
    <cacheField name="Day" numFmtId="15">
      <sharedItems containsBlank="1"/>
    </cacheField>
    <cacheField name="time" numFmtId="0">
      <sharedItems containsNonDate="0" containsDate="1" containsString="0" containsBlank="1" minDate="1899-12-30T00:00:00" maxDate="1899-12-30T20:21:00"/>
    </cacheField>
    <cacheField name="Project" numFmtId="0">
      <sharedItems containsBlank="1" count="50">
        <m/>
        <s v="Leave"/>
        <s v="VBB 3rd - new bridge DO"/>
        <s v="Melbourne Metro - Latrobe"/>
        <s v="BCS - management"/>
        <s v="Edmonton "/>
        <s v="HCC - Lower Kings Rd"/>
        <s v="HCC - Weston Hills Tunnel"/>
        <s v="Bank Holiday"/>
        <s v="HCC - Paul Cully"/>
        <s v="VBB 3rd - new bridge VO"/>
        <s v="Intro to bridges"/>
        <s v="KSC - Tunnel"/>
        <s v="VBB 3rd - new bridge"/>
        <s v="M25 West MSA"/>
        <s v="Appraisal"/>
        <s v="VBB Afkeurmemo Oostbrug"/>
        <s v="Training"/>
        <s v="KSC - PM"/>
        <s v="VBB - Assessment"/>
        <s v="HCC - Nazeing"/>
        <s v="BCS - resource 2019"/>
        <s v="Brisa"/>
        <s v="BCS - promotional"/>
        <s v="CP - Assessment"/>
        <s v="VBB - Design Basis"/>
        <s v="CAFA Span 31"/>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s v="CAFA"/>
      </sharedItems>
    </cacheField>
    <cacheField name="Diary" numFmtId="0">
      <sharedItems containsBlank="1" longText="1"/>
    </cacheField>
    <cacheField name="WkEnd" numFmtId="15">
      <sharedItems containsNonDate="0" containsDate="1" containsString="0" containsBlank="1" minDate="1899-12-30T00:00:00" maxDate="2020-08-10T00:00:00" count="95">
        <m/>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olumn1" numFmtId="15">
      <sharedItems containsSemiMixedTypes="0" containsNonDate="0" containsDate="1" containsString="0" minDate="1899-12-30T00:00:00" maxDate="2020-08-08T00:00:00"/>
    </cacheField>
    <cacheField name="WkDay" numFmtId="1">
      <sharedItems containsBlank="1" count="7">
        <m/>
        <s v="Fri"/>
        <s v="Thu"/>
        <s v="Wed"/>
        <s v="Tue"/>
        <s v="Mon"/>
        <s v=""/>
      </sharedItems>
    </cacheField>
    <cacheField name="JobNo" numFmtId="0">
      <sharedItems containsMixedTypes="1" containsNumber="1" containsInteger="1" minValue="0" maxValue="0" count="47">
        <s v=""/>
        <s v="LEAVE"/>
        <s v="210035-65"/>
        <s v="257677-59 "/>
        <n v="0"/>
        <s v="249980-13"/>
        <s v="255670-17"/>
        <s v="246233-56"/>
        <s v="BANK HOLIDAY"/>
        <s v="254304-96"/>
        <s v="210035-64"/>
        <s v="252076-05"/>
        <s v="268017-25 "/>
        <s v="210035-51"/>
        <s v="255375-00"/>
        <s v="074097-29"/>
        <s v="210035-58 "/>
        <s v="TRAINING"/>
        <s v="268017-10"/>
        <s v="265720-20"/>
        <s v="236808-69"/>
        <s v="074097-30"/>
        <s v="268268-00"/>
        <s v="071945-07"/>
        <e v="#N/A"/>
        <s v="265720-10"/>
        <s v="262218-08"/>
        <s v="266122-24"/>
        <s v="601593-72"/>
        <s v="265720-01"/>
        <s v="261723-02"/>
        <s v="266122-21"/>
        <s v="264520-00"/>
        <s v="239230-42"/>
        <s v="264744-00"/>
        <s v="259933-00"/>
        <s v="260258-41"/>
        <s v="077616-63"/>
        <s v="265675-00"/>
        <s v="260258-47"/>
        <s v="254304-79"/>
        <s v="601701-23"/>
        <s v="77616-41"/>
        <s v="239230-40"/>
        <s v="074103-30"/>
        <s v="254304-44"/>
        <s v="254841-07"/>
      </sharedItems>
    </cacheField>
    <cacheField name="Narrative" numFmtId="0">
      <sharedItems containsBlank="1" count="413">
        <m/>
        <s v="Leave"/>
        <s v="VBB p-d analysis | Influence effetcs"/>
        <s v="VBB construction staging | buckling models methodology"/>
        <s v="VBB model checks | geometry update"/>
        <s v="VBB meeting with architect | Weekly design update meeting with RWS| Meetingto discuss shape of bridge to model"/>
        <s v="Melbourne review of seismic loads cases with alastair"/>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_x000a_"/>
        <s v="VBB Design basis update | review of fire section"/>
        <s v="BCST management meeting"/>
        <s v="VBB fire and corrosion protection meeting. "/>
        <s v="VBB Design basis update, synchronising with WP2 changes and updates"/>
        <s v="VBB fire pre-meeting with graham and claire | Design basis updates | construction stagging "/>
        <s v="VBB DEsign Basis update"/>
        <s v="VBB arch comparison with architect | stagging"/>
        <s v="VBB VO report update"/>
        <s v="MM Latrobe: Download of files sent by Nick"/>
        <s v="VBB: WP1/2 update | Design Basis review"/>
        <s v="VBB architecture meeting | started revewing staging note "/>
        <s v="VBB RWS design basis comments - meeting and agreed actions with rws for wp1"/>
        <s v="latrobe redesign briefing"/>
        <s v="VBB RWS responses and preparation for the meeting"/>
        <s v="VBB RWS Comments | work an staging and arch geometry | wind loads"/>
        <s v="VBB RWS comments | catch-up meeting with WP1 - decision to review cross girder diaphragms. Likely remove on Type A"/>
        <s v="VBB Design basis | Completed hanger loss note and sent for review "/>
        <s v="WBBn hanger loss note | architects meeting - decision to modify connections, remove first hor. cross bracing"/>
        <s v="VBB WP1/WP2 progress meeting"/>
        <s v="VBB review of wind loads"/>
        <s v="VBB Hanger loads, speak to kevin"/>
        <s v="VBB Hanger connection | staging models and note"/>
        <s v="review information and briefing meeting"/>
        <s v="WBBn rws weekly design meeting | construction staging | hanger loss note"/>
        <s v="hanger loss results | arch geometry | construction staging"/>
        <s v="VBB wp1/wp2 meeting | arch geometry | construction staging | fire note"/>
        <s v="VBB modelling list update | staging discussion with AV | review of fire note"/>
        <s v="VBB task list update | progress and planning with WP1 team | hanger loss note"/>
        <s v="VBB task list meeting | arch geometry with AV "/>
        <s v="construction sequence meeting with richard and follow up with team| fire note discussion with claire and graham"/>
        <s v="bridge nomenclature | main girder note | modelling strategy"/>
        <s v="WP1/WP2 meeting | weekly WP1 meeting | modelling strategy and discussions with team"/>
        <s v="CJVRFI-03821"/>
        <s v="design basis | Modelling meeting"/>
        <s v="main girder design w/ andrea | drawings list | hanger discussion with Kevin | DB discussion with Felix"/>
        <s v="update and review of models | correction of alpha factors for live load | fire discussion with graham and claire"/>
        <s v="wp1/wp2 meeting | update of Liana's expansion joint note and calcs"/>
        <s v="springing point notes. Hanger loss discussion with ying"/>
        <s v="expansion joint note. Wp1 update, review of vo-do tasks."/>
        <s v="fire note, briefing of experts"/>
        <s v="arch model review with andrea. "/>
        <s v="rws comments - fire wp2. wp1 team updates"/>
        <s v="fe non linear model"/>
        <s v="stiffener meeting"/>
        <s v="Update to further investigation report"/>
        <s v="update progress"/>
        <s v="Responding to RWS Commnets  on VO Report"/>
        <s v="bearing stiffening design update"/>
        <s v="meeting and discussion with alex"/>
        <s v="comments, CoG and Construction Sequence"/>
        <s v="meeting with Andrew and Elena"/>
        <s v="model convergence checks"/>
        <s v="check of neil and dax models"/>
        <s v="developing expansion joints note with liana"/>
        <s v="arch design with andrea"/>
        <s v="connection check and discussion with Keith"/>
        <s v="bearing position"/>
        <s v="model review - comparison / call with Neil"/>
        <s v="bridge weights"/>
        <s v="responses to comments / construction seq / fire"/>
        <s v="presentation to RWS"/>
        <s v="presentation"/>
        <s v="DO next steps - review of fatigue detail and design items"/>
        <s v="presentation and updates VO-DO"/>
        <s v="WBBn VO conclusions and preparations for DO"/>
        <s v="BIM 360 feedback"/>
        <s v="WBBn VO conclusions and works for DO"/>
        <s v="drawings / reporting"/>
        <s v="drawings / reporting and arch springing"/>
        <s v="lower kings brainstorm strengthening"/>
        <s v="discussions with Fran"/>
        <s v="review of results and implications"/>
        <s v="review - prep and outcomes"/>
        <s v="VO report and sketches"/>
        <s v="buckling checks"/>
        <s v="VO report"/>
        <s v="springing point design"/>
        <s v="Fran in campus"/>
        <s v="VO report / safety meeting"/>
        <s v="hand over with Daan"/>
        <s v="model set-up and buckling"/>
        <s v="arch sprining / drawings / model updates"/>
        <s v="Intro to bridges - detailed design"/>
        <s v="briefing with heather"/>
        <s v="coordination meetings / report / model update"/>
        <s v="discussion with fran"/>
        <s v="exec summary and quants"/>
        <s v="fire study"/>
        <s v="review of updated gsa model"/>
        <s v="spring point model"/>
        <s v="Construction report"/>
        <s v="FE model and drawings"/>
        <s v="design report and drawings"/>
        <s v="catch-up and planning wp1 team"/>
        <s v="review of drawings and comments"/>
        <e v="#REF!"/>
        <s v="alignment and  analysis"/>
        <s v="alignments"/>
        <s v="SFT and FI team meeting and prep"/>
        <s v="DB report update"/>
        <s v="loading and alignments"/>
        <s v="AIP update and response to SOR comments"/>
        <s v="tether and mooring models"/>
        <s v="London workshop"/>
        <s v="functional cross section memo"/>
        <s v="rws DB comments / discussions"/>
        <s v="global results"/>
        <s v="utilities memo"/>
        <s v="wp1/wp2 hangers discusion"/>
        <s v="presentations for NEOM workshop"/>
        <s v="rws comments"/>
        <s v="Alastair Woodland"/>
        <s v="islands meeting"/>
        <s v="rws comments / discussions"/>
        <s v="design basis"/>
        <s v="planning meeting"/>
        <s v="joints"/>
        <s v="meeting with RWS"/>
        <s v="modelling"/>
        <s v="vertical stability"/>
        <s v="package coordination, hangers"/>
        <s v="section checks"/>
        <s v="joints "/>
        <s v="cross sections"/>
        <s v="load combinations"/>
        <s v="VO design note and issues"/>
        <s v="SFT-FI owrkshop"/>
        <s v="C/S models"/>
        <s v="TRAINING - PM &amp; PD Commercial Training - Pricing Strategy (module 8)"/>
        <s v="cross section"/>
        <s v="joints workshop"/>
        <s v="SFT wrokshop"/>
        <s v="access meeting"/>
        <s v="arch springing FE model"/>
        <s v="cross section development"/>
        <s v="coordination meeting and day"/>
        <s v="PW / Project site set-up"/>
        <s v="technical meeting and follow-up"/>
        <s v="inception report RtC and BEP"/>
        <s v="review of buckling and bearing replacement"/>
        <s v="coordination meeting"/>
        <s v="planning"/>
        <s v="MCA report -technical"/>
        <s v="WP2 Design basis"/>
        <s v="MCA report -techincal"/>
        <s v="meetings at MC office"/>
        <s v="review of WP1 design basis"/>
        <s v="PW set up and Project Site"/>
        <s v="inception report RtC"/>
        <s v="hydraulic design mtg"/>
        <s v="design basis and analysis"/>
        <s v="Access note"/>
        <s v="PW setup"/>
        <s v="transfer beam note"/>
        <s v="access note and WP meeting"/>
        <s v="design basis comments and annexes"/>
        <s v="Inception review report and BEP"/>
        <s v="review of WP2 design basis"/>
        <s v="meeting and discussion on next steps"/>
        <s v="technical coordination meeting"/>
        <s v="design basis - access document"/>
        <s v="de-brief with team and planning"/>
        <s v="tunnel - preparation for workshop"/>
        <s v="tunnel - workshop"/>
        <s v="tunnel - restart"/>
        <s v="assessment report"/>
        <s v="preparation for rws DB meeting"/>
        <s v="Design basis "/>
        <s v="Review with Richard and Daan "/>
        <s v="DB comments with Roel"/>
        <s v="session with Roel for model / verifications methods"/>
        <s v="Rotterdam office"/>
        <s v="assessment report ch 1-5, 8, 10, 11"/>
        <s v="design basis - text update"/>
        <s v="catch-up meeting - internal"/>
        <s v="results for 1st pass"/>
        <s v="assessment report - rws db comments"/>
        <s v="design basis - combinations"/>
        <s v="design basis - widening"/>
        <s v="design basis - steel grade"/>
        <s v="assessment report - inspection results"/>
        <s v="team update - materials / cross section"/>
        <s v="design basis comments into assessment report"/>
        <s v="cross section  - transfer structure"/>
        <s v="staff development mtg"/>
        <s v="mtg local fatigue meeting with RWS"/>
        <s v="visit to Brisa  /AEA"/>
        <s v="Review of documents "/>
        <s v="assessment post processing results"/>
        <s v="Planning - OneNote"/>
        <s v="KSC - meeting with TEC and prep"/>
        <s v="Design Basis meeting with Felix"/>
        <s v="cross section discussion"/>
        <s v="construction sequence"/>
        <s v="first results"/>
        <s v="start up meeting"/>
        <s v="mtg about Fran's buckling model"/>
        <s v="phase 2 report - local fatigue"/>
        <s v="planning - review of existing information"/>
        <s v="review of load test results - comparison with model"/>
        <s v="planning - review of existing information, mtg with AA"/>
        <s v="phase 2 report meeting - contents"/>
        <s v="invoicing / contract"/>
        <s v="review of Fran's buckling model"/>
        <s v="Preparation for meeting"/>
        <s v="KSC TEC scope - meeting w/ DJ/GJ"/>
        <s v="RWS technical meeting"/>
        <s v="local fatigue"/>
        <s v="catch-up and de-brief"/>
        <s v="Kick off visit - Daan/Marijke"/>
        <s v="meeting to discuss RWS comments on local fatigue"/>
        <s v="design basis update - final draft with RtC"/>
        <s v="verification sheets"/>
        <s v="certificates updaate"/>
        <s v="local fatigue comments"/>
        <s v="review of bridges and tunnels PCQ"/>
        <s v="KSB fee update"/>
        <s v="meeting at RWS"/>
        <s v="design basis update"/>
        <s v="response to comments on design basis"/>
        <s v="contract review and response"/>
        <s v="review of scope"/>
        <s v="CIV Span 31 Level 2 assessment quote."/>
        <s v="review construction model"/>
        <s v="initial review of docs and briefing meeting"/>
        <s v="review of design basis comments"/>
        <s v="WMRE lot 6 stations input"/>
        <s v="preparation for model tech mtg"/>
        <s v="model tech mtg"/>
        <s v="initial review of note by RWS and prep of response"/>
        <s v="ph2 st1 reporting"/>
        <s v="kirstin presentation"/>
        <s v="Report plan - copy from 2VBB and update"/>
        <s v="Report update discussion and plan"/>
        <s v="RWS meeting - fatigue / modelling meeting"/>
        <s v="RtC from Daan, Kate and RWS"/>
        <s v="submittal preparation"/>
        <s v="Design basis - final draft text"/>
        <s v="Assessment plan"/>
        <s v="fatigue tool"/>
        <s v="spring point sensitivity"/>
        <s v="design basis - loading / NEN 8700 8701 RBK1.1"/>
        <s v="2e inspection section 4 - details to be inspected"/>
        <s v="Design basis - loads (wind, temp, etc)"/>
        <s v="Design basis - analysis section"/>
        <s v="Design basis  - final draft text"/>
        <s v="Inspection note"/>
        <s v="RtC for local and global fatigue"/>
        <s v="technical meeting"/>
        <s v="design basis - requirements"/>
        <s v="BMAT update"/>
        <s v="BMAT workflow"/>
        <s v="design basis - inspection summary"/>
        <s v="inspection - visit to site"/>
        <s v="Monitoring plan of approach"/>
        <s v="review prep"/>
        <s v="review w/ Peter Burnton"/>
        <s v="GSA model review"/>
        <s v="review of TNO monitoring note"/>
        <s v="BMAT prep, session and debrief"/>
        <s v="design basis, reference to 2ndVBB"/>
        <s v="preparation for review and DB"/>
        <s v="pw/reviews/workflows"/>
        <s v="programme / planning"/>
        <s v="design basis / inspections / monitoring"/>
        <s v="local fatigue/global model/checks - gianmarco / ronan / roel"/>
        <s v="Billing notes"/>
        <s v="internal review"/>
        <s v="drawings and standard details"/>
        <s v="Inspection specifications"/>
        <s v="Hand-over with Kate"/>
        <s v="issue of billing note and drgs"/>
        <s v="structures catch-up"/>
        <s v="Taf Fawr / Nant Ffwrd"/>
        <s v="Nant Ffwrd Off-Slip"/>
        <s v="report text - structures"/>
        <s v="bolt investigation note"/>
        <s v="RWS meeting - fatigue details"/>
        <s v="drawings issue for war room rview"/>
        <s v="meeting to review of report "/>
        <s v="technical support"/>
        <s v="VBB meeting"/>
        <s v="splice connection analysis and monitoring"/>
        <s v="launching concept"/>
        <s v="checking of stringer jacking calculations"/>
        <s v="preparation for design meeting"/>
        <s v="Nant Ffwrd Off slip"/>
        <s v="VDR feedback and modelr review"/>
        <s v="model review - arch buckling"/>
        <s v="final report  preparation for issue"/>
        <s v="buckling check discussion woth fran"/>
        <s v="review of drawings"/>
        <s v="VDR approval"/>
        <s v="graduate interviews and group exercise"/>
        <s v="calculation plan"/>
        <s v="billing note"/>
        <s v="check of bearing stiffener calcs (6.4)"/>
        <s v="update report following Toms comments"/>
        <s v="preparation for meeting for structures meeting on nant ffrwd and taf fawr"/>
        <s v="review of bearing and joints report"/>
        <s v="EU BIM working group – Amsterdam"/>
        <s v="follow up from structures meeting"/>
        <s v="discussion with Pat/tom in response to comments"/>
        <s v="update report and discussion with Rachel"/>
        <s v="check of ballast wall design, nazeing bridge"/>
        <s v="issue of report to Keith"/>
        <s v="geo discussion"/>
        <s v="preparation for structures meeting in Swindon"/>
        <s v="concept freeze structural meeting"/>
        <s v="review of structures option report"/>
        <s v="update report following checker review"/>
        <s v="development of options. Review of requirements"/>
        <s v="development of options for on/off slip structures"/>
        <s v="development of options for Nant Ffrwd"/>
        <s v="meeting with CJV"/>
        <s v="review"/>
        <s v="check of calcs by Harris"/>
        <s v="Review of report and issue"/>
        <s v="Nant frwd and taf fawr options"/>
        <s v="structural verificationof jacking auxiliary structure"/>
        <s v="Hot House"/>
        <s v="Meeting with HE in Guildford rgd Bridge TA"/>
        <s v="review of revised mathcad and check form"/>
        <s v="review with rachel"/>
        <s v="Review of KH comments with Denis"/>
        <s v="start of check of auxiliary structure connection"/>
        <s v="discussion with Keith"/>
        <s v="BANK HOLIDAY"/>
        <s v="TAF report update"/>
        <s v="review of CG stiffener weld design"/>
        <s v="Preparation for meeting with HE, update of report and drgs"/>
        <s v="Review of KH comments"/>
        <s v="structural safety cross girder"/>
        <s v="GSSB"/>
        <s v="review of calcs with Josh"/>
        <s v="discussion with Rachel and review of work to date"/>
        <s v="discussion with Atkins/CPS regardingresults"/>
        <s v="TAF update"/>
        <s v="structural safety bearing support system"/>
        <s v="programme"/>
        <s v="text"/>
        <s v="bearing shelf technical note"/>
        <s v="archirodon comments"/>
        <s v="final review and modifications to text/prgramme"/>
        <s v="2018 staff appraisal - Kirstin"/>
        <s v="70050943-10L  Paul Cully proposal and brief"/>
        <s v="Hand Over SHB project to the next phase, End event SHB Rotterdam. "/>
        <s v="2018 staff appraisal - Ryan"/>
        <s v="Catch-up / hot topics"/>
        <s v="Structural monitoring discussion"/>
        <s v="meeting at alpha tower"/>
        <s v="contract extension"/>
        <s v="70050041-20R scheme update"/>
        <s v="catch up on schemes"/>
        <s v="70050943-10L Scheme update"/>
        <s v="Review of documents and discussion with Keith"/>
        <s v="70050041-20R proposal and brief"/>
        <s v="SMP VDR "/>
        <s v="bridge input for bid"/>
        <s v="2018 staff appraisal - Heather"/>
        <s v="70050943-10L initial review of documents"/>
        <s v="SMP VDR first pass lessons learnt"/>
        <s v="Staveley depot retaining walls"/>
        <s v="ICE presentation - Kirstin"/>
        <s v="70050041-20R -Nursery culvert"/>
        <s v="2018 staff appraisal"/>
        <s v="summary of focus group results"/>
        <s v="D&amp;T"/>
        <s v="Strategy meeting"/>
        <s v="AIP update"/>
        <s v="focus group feedback"/>
        <s v="preparration for meeting in AMS"/>
        <s v="VDR first pass"/>
        <s v="Commercial training - D&amp;B"/>
        <s v="WLW - review"/>
        <s v="WLW- dynamic"/>
        <s v="Staff development"/>
        <s v="briefed liana"/>
        <s v="contacted all discipline leads"/>
        <s v="set up VDR, federation of models"/>
        <s v="WLW - discussion with FAB"/>
        <s v="-CIV - MVM6 span 31 assessment discussion with Laurie Barbour "/>
        <s v="-CIV - MVM6 span 31 assessment brief Juan Carlos"/>
        <s v="BCS-materials joint rpesentation"/>
        <s v="Professional qualifications update"/>
        <s v="Intro to bridges"/>
        <s v="weekly update meeting"/>
        <s v="WLW - plan with Edwin"/>
        <s v="-CIV - MVM6 span 31 assessment review of assessment"/>
        <s v="-CIV - MVM6 span 31 assessment set up new assessment"/>
        <s v="review opf BEP amd related documents"/>
        <s v="discussions w/ FAB, review of starting points"/>
        <s v="Eng Coh - focus group"/>
        <s v="VBB arch comparison with architect | design basis updates" u="1"/>
      </sharedItems>
    </cacheField>
    <cacheField name="hours" numFmtId="0">
      <sharedItems containsString="0" containsBlank="1" containsNumber="1" minValue="0" maxValue="7.5"/>
    </cacheField>
    <cacheField name="DayNo" numFmtId="0">
      <sharedItems containsBlank="1" containsMixedTypes="1" containsNumber="1" containsInteger="1" minValue="1" maxValue="5"/>
    </cacheField>
    <cacheField name="Year" numFmtId="1">
      <sharedItems containsString="0" containsBlank="1" containsNumber="1" containsInteger="1" minValue="2018" maxValue="2020"/>
    </cacheField>
    <cacheField name="WkNo" numFmtId="1">
      <sharedItems containsString="0" containsBlank="1" containsNumber="1" containsInteger="1" minValue="2" maxValue="53"/>
    </cacheField>
    <cacheField name="WkRef" numFmtId="1">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De-Melo" refreshedDate="43913.538695254632" createdVersion="3" refreshedVersion="6" minRefreshableVersion="3" recordCount="0" supportSubquery="1" supportAdvancedDrill="1" xr:uid="{B11EDC82-4ACB-474F-9383-FE6B31E4CB19}">
  <cacheSource type="external" connectionId="1">
    <extLst>
      <ext xmlns:x14="http://schemas.microsoft.com/office/spreadsheetml/2009/9/main" uri="{F057638F-6D5F-4e77-A914-E7F072B9BCA8}">
        <x14:sourceConnection name="ThisWorkbookDataModel"/>
      </ext>
    </extLst>
  </cacheSource>
  <cacheFields count="0"/>
  <cacheHierarchies count="21">
    <cacheHierarchy uniqueName="[Table2].[date]" caption="date" attribute="1" time="1" defaultMemberUniqueName="[Table2].[date].[All]" allUniqueName="[Table2].[date].[All]" dimensionUniqueName="[Table2]" displayFolder="" count="0" memberValueDatatype="7" unbalanced="0"/>
    <cacheHierarchy uniqueName="[Table2].[date (Month)]" caption="date (Month)" attribute="1" defaultMemberUniqueName="[Table2].[date (Month)].[All]" allUniqueName="[Table2].[date (Month)].[All]" dimensionUniqueName="[Table2]" displayFolder="" count="0" memberValueDatatype="130" unbalanced="0"/>
    <cacheHierarchy uniqueName="[Table2].[date (Quarter)]" caption="date (Quarter)" attribute="1" defaultMemberUniqueName="[Table2].[date (Quarter)].[All]" allUniqueName="[Table2].[date (Quarter)].[All]" dimensionUniqueName="[Table2]" displayFolder="" count="0" memberValueDatatype="130" unbalanced="0"/>
    <cacheHierarchy uniqueName="[Table2].[date (Year)]" caption="date (Year)" attribute="1" defaultMemberUniqueName="[Table2].[date (Year)].[All]" allUniqueName="[Table2].[date (Year)].[All]" dimensionUniqueName="[Table2]" displayFolder="" count="0" memberValueDatatype="130" unbalanced="0"/>
    <cacheHierarchy uniqueName="[Table2].[day_ref]" caption="day_ref" attribute="1" defaultMemberUniqueName="[Table2].[day_ref].[All]" allUniqueName="[Table2].[day_ref].[All]" dimensionUniqueName="[Table2]" displayFolder="" count="0" memberValueDatatype="130" unbalanced="0"/>
    <cacheHierarchy uniqueName="[Table2].[format]" caption="format" attribute="1" defaultMemberUniqueName="[Table2].[format].[All]" allUniqueName="[Table2].[format].[All]" dimensionUniqueName="[Table2]" displayFolder="" count="0" memberValueDatatype="130" unbalanced="0"/>
    <cacheHierarchy uniqueName="[Table2].[job]" caption="job" attribute="1" defaultMemberUniqueName="[Table2].[job].[All]" allUniqueName="[Table2].[job].[All]" dimensionUniqueName="[Table2]" displayFolder="" count="2" memberValueDatatype="130" unbalanced="0"/>
    <cacheHierarchy uniqueName="[Table2].[job number]" caption="job number" attribute="1" defaultMemberUniqueName="[Table2].[job number].[All]" allUniqueName="[Table2].[job number].[All]" dimensionUniqueName="[Table2]" displayFolder="" count="0" memberValueDatatype="130" unbalanced="0"/>
    <cacheHierarchy uniqueName="[Table2].[Narrative]" caption="Narrative" attribute="1" defaultMemberUniqueName="[Table2].[Narrative].[All]" allUniqueName="[Table2].[Narrative].[All]" dimensionUniqueName="[Table2]" displayFolder="" count="0" memberValueDatatype="130" unbalanced="0"/>
    <cacheHierarchy uniqueName="[Table2].[ref_wk]" caption="ref_wk" attribute="1" defaultMemberUniqueName="[Table2].[ref_wk].[All]" allUniqueName="[Table2].[ref_wk].[All]" dimensionUniqueName="[Table2]" displayFolder="" count="0" memberValueDatatype="130" unbalanced="0"/>
    <cacheHierarchy uniqueName="[Table2].[time]" caption="time" attribute="1" defaultMemberUniqueName="[Table2].[time].[All]" allUniqueName="[Table2].[time].[All]" dimensionUniqueName="[Table2]" displayFolder="" count="0" memberValueDatatype="5" unbalanced="0"/>
    <cacheHierarchy uniqueName="[Table2].[week_end]" caption="week_end" attribute="1" time="1" defaultMemberUniqueName="[Table2].[week_end].[All]" allUniqueName="[Table2].[week_end].[All]" dimensionUniqueName="[Table2]" displayFolder="" count="0" memberValueDatatype="7" unbalanced="0"/>
    <cacheHierarchy uniqueName="[Table2].[wk_day]" caption="wk_day" attribute="1" defaultMemberUniqueName="[Table2].[wk_day].[All]" allUniqueName="[Table2].[wk_day].[All]" dimensionUniqueName="[Table2]" displayFolder="" count="0" memberValueDatatype="130" unbalanced="0"/>
    <cacheHierarchy uniqueName="[Table2].[wk_no]" caption="wk_no" attribute="1" defaultMemberUniqueName="[Table2].[wk_no].[All]" allUniqueName="[Table2].[wk_no].[All]" dimensionUniqueName="[Table2]" displayFolder="" count="0" memberValueDatatype="20" unbalanced="0"/>
    <cacheHierarchy uniqueName="[Table2].[year]" caption="year" attribute="1" defaultMemberUniqueName="[Table2].[year].[All]" allUniqueName="[Table2].[year].[All]" dimensionUniqueName="[Table2]" displayFolder="" count="0" memberValueDatatype="2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ime]" caption="Sum of time" measure="1" displayFolder="" measureGroup="Table2" count="0" hidden="1">
      <extLst>
        <ext xmlns:x15="http://schemas.microsoft.com/office/spreadsheetml/2010/11/main" uri="{B97F6D7D-B522-45F9-BDA1-12C45D357490}">
          <x15:cacheHierarchy aggregatedColumn="10"/>
        </ext>
      </extLst>
    </cacheHierarchy>
    <cacheHierarchy uniqueName="[Measures].[Sum of wk_no]" caption="Sum of wk_no" measure="1" displayFolder="" measureGroup="Table2" count="0" hidden="1">
      <extLst>
        <ext xmlns:x15="http://schemas.microsoft.com/office/spreadsheetml/2010/11/main" uri="{B97F6D7D-B522-45F9-BDA1-12C45D357490}">
          <x15:cacheHierarchy aggregatedColumn="13"/>
        </ext>
      </extLst>
    </cacheHierarchy>
    <cacheHierarchy uniqueName="[Measures].[Count of date (Year)]" caption="Count of date (Year)" measure="1" displayFolder="" measureGroup="Table2"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406580103"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De-Melo" refreshedDate="43913.538698263888" createdVersion="3" refreshedVersion="6" minRefreshableVersion="3" recordCount="0" supportSubquery="1" supportAdvancedDrill="1" xr:uid="{1B41496D-DE27-467B-B6FF-BA17E5F8DD89}">
  <cacheSource type="external" connectionId="1">
    <extLst>
      <ext xmlns:x14="http://schemas.microsoft.com/office/spreadsheetml/2009/9/main" uri="{F057638F-6D5F-4e77-A914-E7F072B9BCA8}">
        <x14:sourceConnection name="ThisWorkbookDataModel"/>
      </ext>
    </extLst>
  </cacheSource>
  <cacheFields count="0"/>
  <cacheHierarchies count="21">
    <cacheHierarchy uniqueName="[Table2].[date]" caption="date" attribute="1" time="1" defaultMemberUniqueName="[Table2].[date].[All]" allUniqueName="[Table2].[date].[All]" dimensionUniqueName="[Table2]" displayFolder="" count="0" memberValueDatatype="7" unbalanced="0"/>
    <cacheHierarchy uniqueName="[Table2].[date (Month)]" caption="date (Month)" attribute="1" defaultMemberUniqueName="[Table2].[date (Month)].[All]" allUniqueName="[Table2].[date (Month)].[All]" dimensionUniqueName="[Table2]" displayFolder="" count="0" memberValueDatatype="130" unbalanced="0"/>
    <cacheHierarchy uniqueName="[Table2].[date (Quarter)]" caption="date (Quarter)" attribute="1" defaultMemberUniqueName="[Table2].[date (Quarter)].[All]" allUniqueName="[Table2].[date (Quarter)].[All]" dimensionUniqueName="[Table2]" displayFolder="" count="0" memberValueDatatype="130" unbalanced="0"/>
    <cacheHierarchy uniqueName="[Table2].[date (Year)]" caption="date (Year)" attribute="1" defaultMemberUniqueName="[Table2].[date (Year)].[All]" allUniqueName="[Table2].[date (Year)].[All]" dimensionUniqueName="[Table2]" displayFolder="" count="0" memberValueDatatype="130" unbalanced="0"/>
    <cacheHierarchy uniqueName="[Table2].[day_ref]" caption="day_ref" attribute="1" defaultMemberUniqueName="[Table2].[day_ref].[All]" allUniqueName="[Table2].[day_ref].[All]" dimensionUniqueName="[Table2]" displayFolder="" count="0" memberValueDatatype="130" unbalanced="0"/>
    <cacheHierarchy uniqueName="[Table2].[format]" caption="format" attribute="1" defaultMemberUniqueName="[Table2].[format].[All]" allUniqueName="[Table2].[format].[All]" dimensionUniqueName="[Table2]" displayFolder="" count="0" memberValueDatatype="130" unbalanced="0"/>
    <cacheHierarchy uniqueName="[Table2].[job]" caption="job" attribute="1" defaultMemberUniqueName="[Table2].[job].[All]" allUniqueName="[Table2].[job].[All]" dimensionUniqueName="[Table2]" displayFolder="" count="2" memberValueDatatype="130" unbalanced="0"/>
    <cacheHierarchy uniqueName="[Table2].[job number]" caption="job number" attribute="1" defaultMemberUniqueName="[Table2].[job number].[All]" allUniqueName="[Table2].[job number].[All]" dimensionUniqueName="[Table2]" displayFolder="" count="0" memberValueDatatype="130" unbalanced="0"/>
    <cacheHierarchy uniqueName="[Table2].[Narrative]" caption="Narrative" attribute="1" defaultMemberUniqueName="[Table2].[Narrative].[All]" allUniqueName="[Table2].[Narrative].[All]" dimensionUniqueName="[Table2]" displayFolder="" count="0" memberValueDatatype="130" unbalanced="0"/>
    <cacheHierarchy uniqueName="[Table2].[ref_wk]" caption="ref_wk" attribute="1" defaultMemberUniqueName="[Table2].[ref_wk].[All]" allUniqueName="[Table2].[ref_wk].[All]" dimensionUniqueName="[Table2]" displayFolder="" count="0" memberValueDatatype="130" unbalanced="0"/>
    <cacheHierarchy uniqueName="[Table2].[time]" caption="time" attribute="1" defaultMemberUniqueName="[Table2].[time].[All]" allUniqueName="[Table2].[time].[All]" dimensionUniqueName="[Table2]" displayFolder="" count="0" memberValueDatatype="5" unbalanced="0"/>
    <cacheHierarchy uniqueName="[Table2].[week_end]" caption="week_end" attribute="1" time="1" defaultMemberUniqueName="[Table2].[week_end].[All]" allUniqueName="[Table2].[week_end].[All]" dimensionUniqueName="[Table2]" displayFolder="" count="0" memberValueDatatype="7" unbalanced="0"/>
    <cacheHierarchy uniqueName="[Table2].[wk_day]" caption="wk_day" attribute="1" defaultMemberUniqueName="[Table2].[wk_day].[All]" allUniqueName="[Table2].[wk_day].[All]" dimensionUniqueName="[Table2]" displayFolder="" count="0" memberValueDatatype="130" unbalanced="0"/>
    <cacheHierarchy uniqueName="[Table2].[wk_no]" caption="wk_no" attribute="1" defaultMemberUniqueName="[Table2].[wk_no].[All]" allUniqueName="[Table2].[wk_no].[All]" dimensionUniqueName="[Table2]" displayFolder="" count="0" memberValueDatatype="20" unbalanced="0"/>
    <cacheHierarchy uniqueName="[Table2].[year]" caption="year" attribute="1" defaultMemberUniqueName="[Table2].[year].[All]" allUniqueName="[Table2].[year].[All]" dimensionUniqueName="[Table2]" displayFolder="" count="0" memberValueDatatype="2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ime]" caption="Sum of time" measure="1" displayFolder="" measureGroup="Table2" count="0" hidden="1">
      <extLst>
        <ext xmlns:x15="http://schemas.microsoft.com/office/spreadsheetml/2010/11/main" uri="{B97F6D7D-B522-45F9-BDA1-12C45D357490}">
          <x15:cacheHierarchy aggregatedColumn="10"/>
        </ext>
      </extLst>
    </cacheHierarchy>
    <cacheHierarchy uniqueName="[Measures].[Sum of wk_no]" caption="Sum of wk_no" measure="1" displayFolder="" measureGroup="Table2" count="0" hidden="1">
      <extLst>
        <ext xmlns:x15="http://schemas.microsoft.com/office/spreadsheetml/2010/11/main" uri="{B97F6D7D-B522-45F9-BDA1-12C45D357490}">
          <x15:cacheHierarchy aggregatedColumn="13"/>
        </ext>
      </extLst>
    </cacheHierarchy>
    <cacheHierarchy uniqueName="[Measures].[Count of date (Year)]" caption="Count of date (Year)" measure="1" displayFolder="" measureGroup="Table2"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124903500"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7">
  <r>
    <n v="0.1"/>
    <m/>
    <m/>
    <m/>
    <m/>
    <x v="0"/>
    <m/>
    <x v="0"/>
    <d v="1899-12-30T00:00:00"/>
    <x v="0"/>
    <x v="0"/>
    <x v="0"/>
    <m/>
    <m/>
    <m/>
    <m/>
    <m/>
  </r>
  <r>
    <n v="1.1000000000000001"/>
    <d v="2020-08-07T12:00:44"/>
    <d v="2020-08-07T00:00:00"/>
    <s v="Fri"/>
    <d v="1899-12-30T12:00:00"/>
    <x v="1"/>
    <s v="Leave"/>
    <x v="1"/>
    <d v="2020-08-07T00:00:00"/>
    <x v="1"/>
    <x v="1"/>
    <x v="1"/>
    <n v="3.75"/>
    <n v="5"/>
    <n v="2020"/>
    <n v="33"/>
    <s v="2020-33"/>
  </r>
  <r>
    <n v="1.1000000000000001"/>
    <d v="2020-08-07T12:00:44"/>
    <d v="2020-08-07T00:00:00"/>
    <s v="Fri"/>
    <d v="1899-12-30T12:00:00"/>
    <x v="2"/>
    <s v="VBB p-d analysis | Influence effetcs"/>
    <x v="1"/>
    <d v="2020-08-07T00:00:00"/>
    <x v="1"/>
    <x v="2"/>
    <x v="2"/>
    <n v="3.75"/>
    <n v="5"/>
    <n v="2020"/>
    <n v="33"/>
    <s v="2020-33"/>
  </r>
  <r>
    <n v="1.1000000000000001"/>
    <d v="2020-08-06T16:04:14"/>
    <d v="2020-08-06T00:00:00"/>
    <s v="Thu"/>
    <d v="1899-12-30T16:04:00"/>
    <x v="2"/>
    <s v="VBB construction staging | buckling models methodology"/>
    <x v="1"/>
    <d v="2020-08-06T00:00:00"/>
    <x v="2"/>
    <x v="2"/>
    <x v="3"/>
    <n v="3.75"/>
    <n v="4"/>
    <n v="2020"/>
    <n v="33"/>
    <s v="2020-33"/>
  </r>
  <r>
    <n v="1.1000000000000001"/>
    <d v="2020-08-06T12:25:45"/>
    <d v="2020-08-06T00:00:00"/>
    <s v="Thu"/>
    <d v="1899-12-30T12:25:00"/>
    <x v="2"/>
    <s v="VBB model checks | geometry update"/>
    <x v="1"/>
    <d v="2020-08-06T00:00:00"/>
    <x v="2"/>
    <x v="2"/>
    <x v="4"/>
    <n v="3.75"/>
    <n v="4"/>
    <n v="2020"/>
    <n v="33"/>
    <s v="2020-33"/>
  </r>
  <r>
    <n v="1.1000000000000001"/>
    <d v="2020-08-05T16:05:40"/>
    <d v="2020-08-05T00:00:00"/>
    <s v="Wed"/>
    <d v="1899-12-30T16:05:00"/>
    <x v="2"/>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x v="1"/>
    <d v="2020-08-05T00:00:00"/>
    <x v="3"/>
    <x v="2"/>
    <x v="5"/>
    <n v="3"/>
    <n v="3"/>
    <n v="2020"/>
    <n v="33"/>
    <s v="2020-33"/>
  </r>
  <r>
    <n v="1.1000000000000001"/>
    <d v="2020-08-05T13:40:56"/>
    <d v="2020-08-05T00:00:00"/>
    <s v="Wed"/>
    <d v="1899-12-30T13:40:00"/>
    <x v="3"/>
    <s v="Melbourne review of seismic loads cases with alastair"/>
    <x v="1"/>
    <d v="2020-08-05T00:00:00"/>
    <x v="3"/>
    <x v="3"/>
    <x v="6"/>
    <n v="2.5"/>
    <n v="3"/>
    <n v="2020"/>
    <n v="33"/>
    <s v="2020-33"/>
  </r>
  <r>
    <n v="1.1000000000000001"/>
    <d v="2020-08-05T13:40:56"/>
    <d v="2020-08-05T00:00:00"/>
    <s v="Wed"/>
    <d v="1899-12-30T13:40:00"/>
    <x v="2"/>
    <s v="VBB Model of staging | combinations"/>
    <x v="1"/>
    <d v="2020-08-05T00:00:00"/>
    <x v="3"/>
    <x v="2"/>
    <x v="7"/>
    <n v="2"/>
    <n v="3"/>
    <n v="2020"/>
    <n v="33"/>
    <s v="2020-33"/>
  </r>
  <r>
    <n v="1.1000000000000001"/>
    <d v="2020-08-04T16:00:50"/>
    <d v="2020-08-04T00:00:00"/>
    <s v="Tue"/>
    <d v="1899-12-30T16:00:00"/>
    <x v="3"/>
    <s v="load combinations and model runs"/>
    <x v="1"/>
    <d v="2020-08-04T00:00:00"/>
    <x v="4"/>
    <x v="3"/>
    <x v="8"/>
    <n v="2.5"/>
    <n v="2"/>
    <n v="2020"/>
    <n v="33"/>
    <s v="2020-33"/>
  </r>
  <r>
    <n v="1.1000000000000001"/>
    <d v="2020-08-04T16:00:50"/>
    <d v="2020-08-04T00:00:00"/>
    <s v="Tue"/>
    <d v="1899-12-30T16:00:00"/>
    <x v="2"/>
    <s v="VBB effects comparison"/>
    <x v="1"/>
    <d v="2020-08-04T00:00:00"/>
    <x v="4"/>
    <x v="2"/>
    <x v="9"/>
    <n v="2"/>
    <n v="2"/>
    <n v="2020"/>
    <n v="33"/>
    <s v="2020-33"/>
  </r>
  <r>
    <n v="1.1000000000000001"/>
    <d v="2020-08-04T12:02:09"/>
    <d v="2020-08-04T00:00:00"/>
    <s v="Tue"/>
    <d v="1899-12-30T12:02:00"/>
    <x v="2"/>
    <s v="VBB WP1/WP2 meeting | comparison of effects for ach, MG, CG"/>
    <x v="1"/>
    <d v="2020-08-04T00:00:00"/>
    <x v="4"/>
    <x v="2"/>
    <x v="10"/>
    <n v="3"/>
    <n v="2"/>
    <n v="2020"/>
    <n v="33"/>
    <s v="2020-33"/>
  </r>
  <r>
    <n v="1.1000000000000001"/>
    <d v="2020-08-03T16:28:48"/>
    <d v="2020-08-03T00:00:00"/>
    <s v="Mon"/>
    <d v="1899-12-30T16:28:00"/>
    <x v="2"/>
    <s v="VBB model results review prior to ox run"/>
    <x v="1"/>
    <d v="2020-08-03T00:00:00"/>
    <x v="5"/>
    <x v="2"/>
    <x v="11"/>
    <n v="3.75"/>
    <n v="1"/>
    <n v="2020"/>
    <n v="33"/>
    <s v="2020-33"/>
  </r>
  <r>
    <n v="1.1000000000000001"/>
    <d v="2020-08-03T12:00:27"/>
    <d v="2020-08-03T00:00:00"/>
    <s v="Mon"/>
    <d v="1899-12-30T12:00:00"/>
    <x v="2"/>
    <s v="VBB model comparison with vo"/>
    <x v="1"/>
    <d v="2020-08-03T00:00:00"/>
    <x v="5"/>
    <x v="2"/>
    <x v="12"/>
    <n v="3.75"/>
    <n v="1"/>
    <n v="2020"/>
    <n v="33"/>
    <s v="2020-33"/>
  </r>
  <r>
    <n v="0.10000000000000009"/>
    <d v="2020-07-31T00:00:00"/>
    <d v="2020-07-31T00:00:00"/>
    <s v="Fri"/>
    <d v="1899-12-30T00:00:00"/>
    <x v="1"/>
    <m/>
    <x v="2"/>
    <d v="2020-07-31T00:00:00"/>
    <x v="1"/>
    <x v="1"/>
    <x v="0"/>
    <n v="7.5"/>
    <n v="5"/>
    <n v="2020"/>
    <n v="32"/>
    <s v="2020-32"/>
  </r>
  <r>
    <n v="0.10000000000000009"/>
    <d v="2020-07-30T16:19:56"/>
    <d v="2020-07-30T00:00:00"/>
    <s v="Thu"/>
    <d v="1899-12-30T16:19:00"/>
    <x v="2"/>
    <s v="vbb  modeling checklist | review of model "/>
    <x v="2"/>
    <d v="2020-07-30T00:00:00"/>
    <x v="2"/>
    <x v="2"/>
    <x v="13"/>
    <n v="3.75"/>
    <n v="4"/>
    <n v="2020"/>
    <n v="32"/>
    <s v="2020-32"/>
  </r>
  <r>
    <n v="0.10000000000000009"/>
    <d v="2020-07-30T16:08:02"/>
    <d v="2020-07-30T00:00:00"/>
    <s v="Thu"/>
    <d v="1899-12-30T16:08:00"/>
    <x v="3"/>
    <s v="MM verification of fe model loading"/>
    <x v="2"/>
    <d v="2020-07-30T00:00:00"/>
    <x v="2"/>
    <x v="3"/>
    <x v="14"/>
    <n v="3.75"/>
    <n v="4"/>
    <n v="2020"/>
    <n v="32"/>
    <s v="2020-32"/>
  </r>
  <r>
    <n v="0.10000000000000009"/>
    <d v="2020-07-29T16:13:22"/>
    <d v="2020-07-29T00:00:00"/>
    <s v="Wed"/>
    <d v="1899-12-30T16:13:00"/>
    <x v="3"/>
    <s v="Melbourne metro model initial review of loads"/>
    <x v="2"/>
    <d v="2020-07-29T00:00:00"/>
    <x v="3"/>
    <x v="3"/>
    <x v="15"/>
    <n v="3.75"/>
    <n v="3"/>
    <n v="2020"/>
    <n v="32"/>
    <s v="2020-32"/>
  </r>
  <r>
    <n v="0.10000000000000009"/>
    <d v="2020-07-29T16:13:22"/>
    <d v="2020-07-29T00:00:00"/>
    <s v="Wed"/>
    <d v="1899-12-30T16:13:00"/>
    <x v="2"/>
    <s v="VBB modelling| construction staging"/>
    <x v="2"/>
    <d v="2020-07-29T00:00:00"/>
    <x v="3"/>
    <x v="2"/>
    <x v="16"/>
    <n v="3.75"/>
    <n v="3"/>
    <n v="2020"/>
    <n v="32"/>
    <s v="2020-32"/>
  </r>
  <r>
    <n v="0.10000000000000009"/>
    <d v="2020-07-28T12:04:10"/>
    <d v="2020-07-28T00:00:00"/>
    <s v="Tue"/>
    <d v="1899-12-30T12:04:00"/>
    <x v="2"/>
    <s v="VBB construction staging | added revised DB to DO report"/>
    <x v="2"/>
    <d v="2020-07-28T00:00:00"/>
    <x v="4"/>
    <x v="2"/>
    <x v="17"/>
    <n v="7.5"/>
    <n v="2"/>
    <n v="2020"/>
    <n v="32"/>
    <s v="2020-32"/>
  </r>
  <r>
    <n v="0.10000000000000009"/>
    <d v="2020-07-27T12:07:51"/>
    <d v="2020-07-27T00:00:00"/>
    <s v="Mon"/>
    <d v="1899-12-30T12:07:00"/>
    <x v="2"/>
    <s v="VBB WP1/WP2 progress meeting | WP1 meeting focussing on tasks for the week, particularly design bssis changes and construction staging."/>
    <x v="2"/>
    <d v="2020-07-27T00:00:00"/>
    <x v="5"/>
    <x v="2"/>
    <x v="18"/>
    <n v="7.5"/>
    <n v="1"/>
    <n v="2020"/>
    <n v="32"/>
    <s v="2020-32"/>
  </r>
  <r>
    <n v="0.10000000000000009"/>
    <d v="2020-07-27T12:07:51"/>
    <d v="2020-07-27T00:00:00"/>
    <s v="Mon"/>
    <d v="1899-12-30T12:07:00"/>
    <x v="0"/>
    <s v="HS2 S1/S2 Assistance with analysis effects of settlement due to HS2 tunnel on existing structures."/>
    <x v="2"/>
    <d v="2020-07-27T00:00:00"/>
    <x v="5"/>
    <x v="0"/>
    <x v="0"/>
    <m/>
    <n v="1"/>
    <n v="2020"/>
    <n v="32"/>
    <s v="2020-32"/>
  </r>
  <r>
    <n v="1.1000000000000001"/>
    <d v="2020-07-24T16:01:59"/>
    <d v="2020-07-24T00:00:00"/>
    <s v="Fri"/>
    <d v="1899-12-30T16:01:00"/>
    <x v="2"/>
    <s v="VBB Design basis update | review of fire section"/>
    <x v="3"/>
    <d v="2020-07-24T00:00:00"/>
    <x v="1"/>
    <x v="2"/>
    <x v="19"/>
    <n v="7.5"/>
    <n v="5"/>
    <n v="2020"/>
    <n v="31"/>
    <s v="2020-31"/>
  </r>
  <r>
    <n v="1.1000000000000001"/>
    <d v="2020-07-24T16:01:59"/>
    <d v="2020-07-24T00:00:00"/>
    <s v="Fri"/>
    <d v="1899-12-30T16:01:00"/>
    <x v="4"/>
    <s v="BCST management meeting"/>
    <x v="3"/>
    <d v="2020-07-24T00:00:00"/>
    <x v="1"/>
    <x v="4"/>
    <x v="20"/>
    <m/>
    <n v="5"/>
    <n v="2020"/>
    <n v="31"/>
    <s v="2020-31"/>
  </r>
  <r>
    <n v="1.1000000000000001"/>
    <d v="2020-07-23T16:02:38"/>
    <d v="2020-07-23T00:00:00"/>
    <s v="Thu"/>
    <d v="1899-12-30T16:02:00"/>
    <x v="2"/>
    <s v="VBB fire and corrosion protection meeting. RWS Agreed with proceeding with intermuscent coatings as an option as long as durability and performance equivalent to thermal sprayed mettallic paints"/>
    <x v="3"/>
    <d v="2020-07-23T00:00:00"/>
    <x v="2"/>
    <x v="2"/>
    <x v="21"/>
    <n v="3.75"/>
    <n v="4"/>
    <n v="2020"/>
    <n v="31"/>
    <s v="2020-31"/>
  </r>
  <r>
    <n v="1.1000000000000001"/>
    <d v="2020-07-23T12:00:42"/>
    <d v="2020-07-23T00:00:00"/>
    <s v="Thu"/>
    <d v="1899-12-30T12:00:00"/>
    <x v="2"/>
    <s v="VBB Design basis update, synchronising with WP2 changes and updates"/>
    <x v="3"/>
    <d v="2020-07-23T00:00:00"/>
    <x v="2"/>
    <x v="2"/>
    <x v="22"/>
    <n v="3.75"/>
    <n v="4"/>
    <n v="2020"/>
    <n v="31"/>
    <s v="2020-31"/>
  </r>
  <r>
    <n v="1.1000000000000001"/>
    <d v="2020-07-22T16:00:52"/>
    <d v="2020-07-22T00:00:00"/>
    <s v="Wed"/>
    <d v="1899-12-30T16:00:00"/>
    <x v="2"/>
    <s v="VBB fire pre-meeting with graham and claire | Design basis updates | construction stagging models with ying"/>
    <x v="3"/>
    <d v="2020-07-22T00:00:00"/>
    <x v="3"/>
    <x v="2"/>
    <x v="23"/>
    <n v="2"/>
    <n v="3"/>
    <n v="2020"/>
    <n v="31"/>
    <s v="2020-31"/>
  </r>
  <r>
    <n v="1.1000000000000001"/>
    <d v="2020-07-22T12:01:19"/>
    <d v="2020-07-22T00:00:00"/>
    <s v="Wed"/>
    <d v="1899-12-30T12:01:00"/>
    <x v="2"/>
    <s v="VBB DEsign Basis update | Fire section updated to remove design suggestions and focus on design basis assumptions - decided with Daan not to include numbers"/>
    <x v="3"/>
    <d v="2020-07-22T00:00:00"/>
    <x v="3"/>
    <x v="2"/>
    <x v="24"/>
    <n v="5.5"/>
    <n v="3"/>
    <n v="2020"/>
    <n v="31"/>
    <s v="2020-31"/>
  </r>
  <r>
    <n v="1.1000000000000001"/>
    <d v="2020-07-22T12:01:19"/>
    <d v="2020-07-22T00:00:00"/>
    <s v="Wed"/>
    <d v="1899-12-30T12:01:00"/>
    <x v="4"/>
    <s v="ICE Annual Review with Kirstin"/>
    <x v="3"/>
    <d v="2020-07-22T00:00:00"/>
    <x v="3"/>
    <x v="4"/>
    <x v="0"/>
    <m/>
    <n v="3"/>
    <n v="2020"/>
    <n v="31"/>
    <s v="2020-31"/>
  </r>
  <r>
    <n v="1.1000000000000001"/>
    <d v="2020-07-21T16:17:08"/>
    <d v="2020-07-21T00:00:00"/>
    <s v="Tue"/>
    <d v="1899-12-30T16:17:00"/>
    <x v="2"/>
    <s v="VBB arch comparison with architect | design basis updates"/>
    <x v="3"/>
    <d v="2020-07-21T00:00:00"/>
    <x v="4"/>
    <x v="2"/>
    <x v="25"/>
    <n v="2.5"/>
    <n v="2"/>
    <n v="2020"/>
    <n v="31"/>
    <s v="2020-31"/>
  </r>
  <r>
    <n v="1.1000000000000001"/>
    <d v="2020-07-21T12:00:31"/>
    <d v="2020-07-21T00:00:00"/>
    <s v="Tue"/>
    <d v="1899-12-30T12:00:00"/>
    <x v="2"/>
    <s v="VBB VO report update"/>
    <x v="3"/>
    <d v="2020-07-21T00:00:00"/>
    <x v="4"/>
    <x v="2"/>
    <x v="26"/>
    <n v="5"/>
    <n v="2"/>
    <n v="2020"/>
    <n v="31"/>
    <s v="2020-31"/>
  </r>
  <r>
    <n v="1.1000000000000001"/>
    <d v="2020-07-20T12:01:32"/>
    <d v="2020-07-20T00:00:00"/>
    <s v="Mon"/>
    <d v="1899-12-30T12:01:00"/>
    <x v="3"/>
    <s v="MM Latrobe: Download of files sent by Nick"/>
    <x v="3"/>
    <d v="2020-07-20T00:00:00"/>
    <x v="5"/>
    <x v="3"/>
    <x v="27"/>
    <n v="3.75"/>
    <n v="1"/>
    <n v="2020"/>
    <n v="31"/>
    <s v="2020-31"/>
  </r>
  <r>
    <n v="1.1000000000000001"/>
    <d v="2020-07-20T12:01:32"/>
    <d v="2020-07-20T00:00:00"/>
    <s v="Mon"/>
    <d v="1899-12-30T12:01:00"/>
    <x v="2"/>
    <s v="VBB: WP1/2 update | Design Basis review"/>
    <x v="3"/>
    <d v="2020-07-20T00:00:00"/>
    <x v="5"/>
    <x v="2"/>
    <x v="28"/>
    <n v="3.75"/>
    <n v="1"/>
    <n v="2020"/>
    <n v="31"/>
    <s v="2020-31"/>
  </r>
  <r>
    <n v="0.10000000000000009"/>
    <d v="2020-07-17T12:00:56"/>
    <d v="2020-07-17T00:00:00"/>
    <s v="Fri"/>
    <d v="1899-12-30T12:00:00"/>
    <x v="1"/>
    <m/>
    <x v="4"/>
    <d v="2020-07-17T00:00:00"/>
    <x v="1"/>
    <x v="1"/>
    <x v="0"/>
    <n v="3.75"/>
    <n v="5"/>
    <n v="2020"/>
    <n v="30"/>
    <s v="2020-30"/>
  </r>
  <r>
    <n v="0.10000000000000009"/>
    <d v="2020-07-17T12:00:56"/>
    <d v="2020-07-17T00:00:00"/>
    <s v="Fri"/>
    <d v="1899-12-30T12:00:00"/>
    <x v="2"/>
    <s v="VBB architecture meeting | started revewing staging note_x000a_BCS Management meeting | architecture meeting - decided to consider option with a straigth into a single curve at the portal locations"/>
    <x v="4"/>
    <d v="2020-07-17T00:00:00"/>
    <x v="1"/>
    <x v="2"/>
    <x v="29"/>
    <n v="3.75"/>
    <n v="5"/>
    <n v="2020"/>
    <n v="30"/>
    <s v="2020-30"/>
  </r>
  <r>
    <n v="0.10000000000000009"/>
    <d v="2020-07-16T16:34:58"/>
    <d v="2020-07-16T00:00:00"/>
    <s v="Thu"/>
    <d v="1899-12-30T16:34:00"/>
    <x v="2"/>
    <s v="VBB RWS design basis comments - agreed actions with Frank. Design basis to be updated next week"/>
    <x v="4"/>
    <d v="2020-07-16T00:00:00"/>
    <x v="2"/>
    <x v="2"/>
    <x v="30"/>
    <n v="5.5"/>
    <n v="4"/>
    <n v="2020"/>
    <n v="30"/>
    <s v="2020-30"/>
  </r>
  <r>
    <n v="0.10000000000000009"/>
    <d v="2020-07-16T16:34:58"/>
    <d v="2020-07-16T00:00:00"/>
    <s v="Thu"/>
    <d v="1899-12-30T16:34:00"/>
    <x v="3"/>
    <s v="mm latrobe briefing"/>
    <x v="4"/>
    <d v="2020-07-16T00:00:00"/>
    <x v="2"/>
    <x v="3"/>
    <x v="31"/>
    <n v="2"/>
    <n v="4"/>
    <n v="2020"/>
    <n v="30"/>
    <s v="2020-30"/>
  </r>
  <r>
    <n v="0.10000000000000009"/>
    <d v="2020-07-16T12:00:36"/>
    <d v="2020-07-16T00:00:00"/>
    <s v="Thu"/>
    <d v="1899-12-30T12:00:00"/>
    <x v="2"/>
    <s v="VBB RWS responses and preparation for the meeting"/>
    <x v="4"/>
    <d v="2020-07-16T00:00:00"/>
    <x v="2"/>
    <x v="2"/>
    <x v="32"/>
    <m/>
    <n v="4"/>
    <n v="2020"/>
    <n v="30"/>
    <s v="2020-30"/>
  </r>
  <r>
    <n v="0.10000000000000009"/>
    <d v="2020-07-15T12:00:32"/>
    <d v="2020-07-15T00:00:00"/>
    <s v="Wed"/>
    <d v="1899-12-30T12:00:00"/>
    <x v="4"/>
    <s v="Personal development plan"/>
    <x v="4"/>
    <d v="2020-07-15T00:00:00"/>
    <x v="3"/>
    <x v="4"/>
    <x v="0"/>
    <m/>
    <n v="3"/>
    <n v="2020"/>
    <n v="30"/>
    <s v="2020-30"/>
  </r>
  <r>
    <n v="0.10000000000000009"/>
    <d v="2020-07-15T12:00:32"/>
    <d v="2020-07-15T00:00:00"/>
    <s v="Wed"/>
    <d v="1899-12-30T12:00:00"/>
    <x v="2"/>
    <s v="VBB RWS Comments | work an staging and arch geometry | wind loads"/>
    <x v="4"/>
    <d v="2020-07-15T00:00:00"/>
    <x v="3"/>
    <x v="2"/>
    <x v="33"/>
    <n v="7.5"/>
    <n v="3"/>
    <n v="2020"/>
    <n v="30"/>
    <s v="2020-30"/>
  </r>
  <r>
    <n v="0.10000000000000009"/>
    <d v="2020-07-14T16:50:52"/>
    <d v="2020-07-14T00:00:00"/>
    <s v="Tue"/>
    <d v="1899-12-30T16:50:00"/>
    <x v="2"/>
    <s v="VBB RWS comments | catch-up meeting with WP1 - decision to review cross girder diaphragms. Likely remove on Type A"/>
    <x v="4"/>
    <d v="2020-07-14T00:00:00"/>
    <x v="4"/>
    <x v="2"/>
    <x v="34"/>
    <n v="3.5"/>
    <n v="2"/>
    <n v="2020"/>
    <n v="30"/>
    <s v="2020-30"/>
  </r>
  <r>
    <n v="0.10000000000000009"/>
    <d v="2020-07-14T12:03:23"/>
    <d v="2020-07-14T00:00:00"/>
    <s v="Tue"/>
    <d v="1899-12-30T12:03:00"/>
    <x v="2"/>
    <s v="VBB Design basis | Completed hanger loss note and sent for review - conclusion that arch can be designed for accidental situations assuming afkeur and 6 lanes with reductions."/>
    <x v="4"/>
    <d v="2020-07-14T00:00:00"/>
    <x v="4"/>
    <x v="2"/>
    <x v="35"/>
    <n v="4"/>
    <n v="2"/>
    <n v="2020"/>
    <n v="30"/>
    <s v="2020-30"/>
  </r>
  <r>
    <n v="0.10000000000000009"/>
    <d v="2020-07-13T16:03:37"/>
    <d v="2020-07-13T00:00:00"/>
    <s v="Mon"/>
    <d v="1899-12-30T16:03:00"/>
    <x v="2"/>
    <s v="WBBn hanger loss note | architects meeting - decision to modify connections, remove first hor. cross bracing"/>
    <x v="4"/>
    <d v="2020-07-13T00:00:00"/>
    <x v="5"/>
    <x v="2"/>
    <x v="36"/>
    <n v="5.5"/>
    <n v="1"/>
    <n v="2020"/>
    <n v="30"/>
    <s v="2020-30"/>
  </r>
  <r>
    <n v="0.10000000000000009"/>
    <d v="2020-07-13T12:00:37"/>
    <d v="2020-07-13T00:00:00"/>
    <s v="Mon"/>
    <d v="1899-12-30T12:00:00"/>
    <x v="2"/>
    <s v="VBB WP1/WP2 progress meeting"/>
    <x v="4"/>
    <d v="2020-07-13T00:00:00"/>
    <x v="5"/>
    <x v="2"/>
    <x v="37"/>
    <n v="2"/>
    <n v="1"/>
    <n v="2020"/>
    <n v="30"/>
    <s v="2020-30"/>
  </r>
  <r>
    <n v="1.1000000000000001"/>
    <d v="2020-07-10T16:03:28"/>
    <d v="2020-07-10T00:00:00"/>
    <s v="Fri"/>
    <d v="1899-12-30T16:03:00"/>
    <x v="2"/>
    <s v="VBB review of wind loads"/>
    <x v="5"/>
    <d v="2020-07-10T00:00:00"/>
    <x v="1"/>
    <x v="2"/>
    <x v="38"/>
    <n v="3.75"/>
    <n v="5"/>
    <n v="2020"/>
    <n v="29"/>
    <s v="2020-29"/>
  </r>
  <r>
    <n v="1.1000000000000001"/>
    <d v="2020-07-10T12:03:28"/>
    <d v="2020-07-10T00:00:00"/>
    <s v="Fri"/>
    <d v="1899-12-30T12:03:00"/>
    <x v="2"/>
    <s v="VBB Hanger loads, speak to kevin, modelling update"/>
    <x v="5"/>
    <d v="2020-07-10T00:00:00"/>
    <x v="1"/>
    <x v="2"/>
    <x v="39"/>
    <n v="3.75"/>
    <n v="5"/>
    <n v="2020"/>
    <n v="29"/>
    <s v="2020-29"/>
  </r>
  <r>
    <n v="1.1000000000000001"/>
    <d v="2020-07-10T12:03:28"/>
    <d v="2020-07-10T00:00:00"/>
    <s v="Fri"/>
    <d v="1899-12-30T12:03:00"/>
    <x v="4"/>
    <s v="BCST management meeting"/>
    <x v="5"/>
    <d v="2020-07-10T00:00:00"/>
    <x v="1"/>
    <x v="4"/>
    <x v="0"/>
    <m/>
    <n v="5"/>
    <n v="2020"/>
    <n v="29"/>
    <s v="2020-29"/>
  </r>
  <r>
    <n v="1.1000000000000001"/>
    <d v="2020-07-09T14:03:36"/>
    <d v="2020-07-09T00:00:00"/>
    <s v="Thu"/>
    <d v="1899-12-30T14:03:00"/>
    <x v="2"/>
    <s v="VBB Hanger connection | staging models and note"/>
    <x v="5"/>
    <d v="2020-07-09T00:00:00"/>
    <x v="2"/>
    <x v="2"/>
    <x v="40"/>
    <n v="5.5"/>
    <n v="4"/>
    <n v="2020"/>
    <n v="29"/>
    <s v="2020-29"/>
  </r>
  <r>
    <n v="1.1000000000000001"/>
    <d v="2020-07-09T12:30:25"/>
    <d v="2020-07-09T00:00:00"/>
    <s v="Thu"/>
    <d v="1899-12-30T12:30:00"/>
    <x v="3"/>
    <s v="_x000a_MM | north adits redesign briefing"/>
    <x v="5"/>
    <d v="2020-07-09T00:00:00"/>
    <x v="2"/>
    <x v="3"/>
    <x v="41"/>
    <n v="2"/>
    <n v="4"/>
    <n v="2020"/>
    <n v="29"/>
    <s v="2020-29"/>
  </r>
  <r>
    <n v="1.1000000000000001"/>
    <d v="2020-07-08T19:28:44"/>
    <d v="2020-07-08T00:00:00"/>
    <s v="Wed"/>
    <d v="1899-12-30T19:28:00"/>
    <x v="2"/>
    <s v="WBBn rws weekly design meeting | construction staging | hanger loss note"/>
    <x v="5"/>
    <d v="2020-07-08T00:00:00"/>
    <x v="3"/>
    <x v="2"/>
    <x v="42"/>
    <n v="7.5"/>
    <n v="3"/>
    <n v="2020"/>
    <n v="29"/>
    <s v="2020-29"/>
  </r>
  <r>
    <n v="1.1000000000000001"/>
    <d v="2020-07-07T16:30:30"/>
    <d v="2020-07-07T00:00:00"/>
    <s v="Wed"/>
    <d v="1899-12-30T16:30:00"/>
    <x v="2"/>
    <s v="VBB RWS weekly design meeting | hanger loss note"/>
    <x v="5"/>
    <d v="2020-07-07T00:00:00"/>
    <x v="4"/>
    <x v="2"/>
    <x v="43"/>
    <n v="7.5"/>
    <n v="2"/>
    <n v="2020"/>
    <n v="29"/>
    <s v="2020-29"/>
  </r>
  <r>
    <n v="1.1000000000000001"/>
    <d v="2020-07-06T10:33:23"/>
    <d v="2020-07-06T00:00:00"/>
    <s v="Mon"/>
    <d v="1899-12-30T10:33:00"/>
    <x v="2"/>
    <s v="VBB wp1 update meeting | discussion about incorporating architects arch geometry into model and construction stage."/>
    <x v="5"/>
    <d v="2020-07-06T00:00:00"/>
    <x v="5"/>
    <x v="2"/>
    <x v="44"/>
    <n v="7.5"/>
    <n v="1"/>
    <n v="2020"/>
    <n v="29"/>
    <s v="2020-29"/>
  </r>
  <r>
    <n v="1.1000000000000001"/>
    <d v="2020-07-06T10:33:23"/>
    <d v="2020-07-06T00:00:00"/>
    <s v="Mon"/>
    <d v="1899-12-30T10:33:00"/>
    <x v="4"/>
    <s v="IM Digital | bi-weekly catch-up"/>
    <x v="5"/>
    <d v="2020-07-06T00:00:00"/>
    <x v="5"/>
    <x v="4"/>
    <x v="0"/>
    <m/>
    <n v="1"/>
    <n v="2020"/>
    <n v="29"/>
    <s v="2020-29"/>
  </r>
  <r>
    <n v="0.10000000000000009"/>
    <d v="2020-07-03T10:32:53"/>
    <d v="2020-07-03T00:00:00"/>
    <s v="Fri"/>
    <d v="1899-12-30T10:32:00"/>
    <x v="2"/>
    <s v="VBB modelling changes list update | Discussion with Andrea regaring construction staging and how to simplify following meeting with Richard| VBB Fire note review - file updated by graham to include both fire and corrosion protection. Next step to discuss with RWS"/>
    <x v="6"/>
    <d v="2020-07-03T00:00:00"/>
    <x v="1"/>
    <x v="2"/>
    <x v="45"/>
    <n v="7.5"/>
    <n v="5"/>
    <n v="2020"/>
    <n v="28"/>
    <s v="2020-28"/>
  </r>
  <r>
    <n v="0.10000000000000009"/>
    <d v="2020-07-02T20:21:23"/>
    <d v="2020-07-02T00:00:00"/>
    <s v="Thu"/>
    <d v="1899-12-30T20:21:00"/>
    <x v="4"/>
    <s v="BCS - management"/>
    <x v="6"/>
    <d v="2020-07-02T00:00:00"/>
    <x v="2"/>
    <x v="4"/>
    <x v="0"/>
    <m/>
    <n v="4"/>
    <n v="2020"/>
    <n v="28"/>
    <s v="2020-28"/>
  </r>
  <r>
    <n v="0.10000000000000009"/>
    <d v="2020-07-02T16:30:12"/>
    <d v="2020-07-02T00:00:00"/>
    <s v="Thu"/>
    <d v="1899-12-30T16:30:00"/>
    <x v="2"/>
    <s v="VBB planning spreadsheet update | meeting with team to discuss current tasks and next prioities | next steps to develop stagig, write up hanger loss study and conclude cross stiffness check"/>
    <x v="6"/>
    <d v="2020-07-02T00:00:00"/>
    <x v="2"/>
    <x v="2"/>
    <x v="46"/>
    <n v="5"/>
    <n v="4"/>
    <n v="2020"/>
    <n v="28"/>
    <s v="2020-28"/>
  </r>
  <r>
    <n v="0.10000000000000009"/>
    <d v="2020-07-02T13:31:31"/>
    <d v="2020-07-02T00:00:00"/>
    <s v="Thu"/>
    <d v="1899-12-30T13:31:00"/>
    <x v="2"/>
    <s v="VBB Task list | Arch geometry - discussed with Andrea changing to a catenary or parabola, instead of a series of segments with different radii"/>
    <x v="6"/>
    <d v="2020-07-02T00:00:00"/>
    <x v="2"/>
    <x v="2"/>
    <x v="47"/>
    <n v="2.5"/>
    <n v="4"/>
    <n v="2020"/>
    <n v="28"/>
    <s v="2020-28"/>
  </r>
  <r>
    <n v="0.10000000000000009"/>
    <m/>
    <d v="2020-07-01T00:00:00"/>
    <m/>
    <m/>
    <x v="2"/>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x v="6"/>
    <d v="2020-07-01T00:00:00"/>
    <x v="3"/>
    <x v="2"/>
    <x v="48"/>
    <n v="7.5"/>
    <n v="3"/>
    <n v="2020"/>
    <n v="28"/>
    <s v="2020-28"/>
  </r>
  <r>
    <n v="0.10000000000000009"/>
    <m/>
    <d v="2020-06-30T00:00:00"/>
    <m/>
    <m/>
    <x v="2"/>
    <s v="Defined nomenclature for elements too be used in Master_Sheet of inputs and outputs. Andrea to develop naming of connections. Then need to communicate with Daan and Joost,. | Main Girder Note - Review of draft prepared by Andrea | Initial review of updated comments from RWS"/>
    <x v="6"/>
    <d v="2020-06-30T00:00:00"/>
    <x v="4"/>
    <x v="2"/>
    <x v="49"/>
    <n v="7.5"/>
    <n v="2"/>
    <n v="2020"/>
    <n v="28"/>
    <s v="2020-28"/>
  </r>
  <r>
    <n v="0.10000000000000009"/>
    <m/>
    <d v="2020-06-29T00:00:00"/>
    <m/>
    <m/>
    <x v="2"/>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x v="6"/>
    <d v="2020-06-29T00:00:00"/>
    <x v="5"/>
    <x v="2"/>
    <x v="50"/>
    <n v="5"/>
    <n v="1"/>
    <n v="2020"/>
    <n v="28"/>
    <s v="2020-28"/>
  </r>
  <r>
    <n v="0.10000000000000009"/>
    <m/>
    <d v="2020-06-29T00:00:00"/>
    <m/>
    <m/>
    <x v="5"/>
    <s v="fatigue of bearing deck connection studs"/>
    <x v="6"/>
    <d v="2020-06-29T00:00:00"/>
    <x v="5"/>
    <x v="5"/>
    <x v="51"/>
    <n v="2.5"/>
    <n v="1"/>
    <n v="2020"/>
    <n v="28"/>
    <s v="2020-28"/>
  </r>
  <r>
    <n v="1.1000000000000001"/>
    <m/>
    <d v="2020-06-26T00:00:00"/>
    <m/>
    <m/>
    <x v="1"/>
    <m/>
    <x v="7"/>
    <d v="2020-06-26T00:00:00"/>
    <x v="1"/>
    <x v="1"/>
    <x v="0"/>
    <n v="7.5"/>
    <n v="5"/>
    <n v="2020"/>
    <n v="27"/>
    <s v="2020-27"/>
  </r>
  <r>
    <n v="1.1000000000000001"/>
    <m/>
    <d v="2020-06-25T00:00:00"/>
    <m/>
    <m/>
    <x v="2"/>
    <s v="design basis | Modelling meeting"/>
    <x v="7"/>
    <d v="2020-06-25T00:00:00"/>
    <x v="2"/>
    <x v="2"/>
    <x v="52"/>
    <m/>
    <n v="4"/>
    <n v="2020"/>
    <n v="27"/>
    <s v="2020-27"/>
  </r>
  <r>
    <n v="1.1000000000000001"/>
    <m/>
    <d v="2020-06-24T00:00:00"/>
    <m/>
    <m/>
    <x v="2"/>
    <s v="main girder design w/ andrea | drawings list"/>
    <x v="7"/>
    <d v="2020-06-24T00:00:00"/>
    <x v="3"/>
    <x v="2"/>
    <x v="53"/>
    <m/>
    <n v="3"/>
    <n v="2020"/>
    <n v="27"/>
    <s v="2020-27"/>
  </r>
  <r>
    <n v="1.1000000000000001"/>
    <m/>
    <d v="2020-06-23T00:00:00"/>
    <m/>
    <m/>
    <x v="2"/>
    <s v="update and review of models | correction of alpha factors for live load | fire discussion with graham and claire"/>
    <x v="7"/>
    <d v="2020-06-23T00:00:00"/>
    <x v="4"/>
    <x v="2"/>
    <x v="54"/>
    <m/>
    <n v="2"/>
    <n v="2020"/>
    <n v="27"/>
    <s v="2020-27"/>
  </r>
  <r>
    <n v="1.1000000000000001"/>
    <m/>
    <d v="2020-06-22T00:00:00"/>
    <m/>
    <m/>
    <x v="2"/>
    <s v="wp1/wp2 meeting | update of Liana's expansion joint note and calcs"/>
    <x v="7"/>
    <d v="2020-06-22T00:00:00"/>
    <x v="5"/>
    <x v="2"/>
    <x v="55"/>
    <m/>
    <n v="1"/>
    <n v="2020"/>
    <n v="27"/>
    <s v="2020-27"/>
  </r>
  <r>
    <n v="0.10000000000000009"/>
    <m/>
    <d v="2020-06-15T00:00:00"/>
    <m/>
    <m/>
    <x v="2"/>
    <s v="drawing list | review of models and model reviewing tool"/>
    <x v="8"/>
    <d v="2020-06-15T00:00:00"/>
    <x v="5"/>
    <x v="2"/>
    <x v="0"/>
    <m/>
    <n v="1"/>
    <n v="2020"/>
    <n v="26"/>
    <s v="2020-26"/>
  </r>
  <r>
    <n v="1.1000000000000001"/>
    <m/>
    <d v="2020-06-12T00:00:00"/>
    <m/>
    <m/>
    <x v="2"/>
    <s v="Review of springing  point note by Andrea"/>
    <x v="9"/>
    <d v="2020-06-12T00:00:00"/>
    <x v="1"/>
    <x v="2"/>
    <x v="56"/>
    <n v="7.5"/>
    <n v="5"/>
    <n v="2020"/>
    <n v="25"/>
    <s v="2020-25"/>
  </r>
  <r>
    <n v="1.1000000000000001"/>
    <m/>
    <d v="2020-06-12T00:00:00"/>
    <m/>
    <m/>
    <x v="4"/>
    <s v="management meeting"/>
    <x v="9"/>
    <d v="2020-06-12T00:00:00"/>
    <x v="1"/>
    <x v="4"/>
    <x v="0"/>
    <n v="0"/>
    <n v="5"/>
    <n v="2020"/>
    <n v="25"/>
    <s v="2020-25"/>
  </r>
  <r>
    <n v="1.1000000000000001"/>
    <m/>
    <d v="2020-06-11T00:00:00"/>
    <m/>
    <m/>
    <x v="2"/>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x v="9"/>
    <d v="2020-06-11T00:00:00"/>
    <x v="2"/>
    <x v="2"/>
    <x v="57"/>
    <n v="7.5"/>
    <n v="4"/>
    <n v="2020"/>
    <n v="25"/>
    <s v="2020-25"/>
  </r>
  <r>
    <n v="1.1000000000000001"/>
    <m/>
    <d v="2020-06-10T00:00:00"/>
    <m/>
    <m/>
    <x v="2"/>
    <s v="Fire Note - Discussed scope with Clare. Agreed that the note should be ready in two weeks. Agreed to provide her with a table to show section geometry"/>
    <x v="9"/>
    <d v="2020-06-10T00:00:00"/>
    <x v="3"/>
    <x v="2"/>
    <x v="58"/>
    <n v="2.5"/>
    <n v="3"/>
    <n v="2020"/>
    <n v="25"/>
    <s v="2020-25"/>
  </r>
  <r>
    <n v="1.1000000000000001"/>
    <m/>
    <d v="2020-06-10T00:00:00"/>
    <m/>
    <m/>
    <x v="2"/>
    <s v="arch model review with andrea. "/>
    <x v="9"/>
    <d v="2020-06-10T00:00:00"/>
    <x v="3"/>
    <x v="2"/>
    <x v="59"/>
    <n v="5"/>
    <n v="3"/>
    <n v="2020"/>
    <n v="25"/>
    <s v="2020-25"/>
  </r>
  <r>
    <n v="1.1000000000000001"/>
    <m/>
    <d v="2020-06-09T00:00:00"/>
    <m/>
    <m/>
    <x v="2"/>
    <s v="rws comments - fire wp2. wp1 team updates"/>
    <x v="9"/>
    <d v="2020-06-09T00:00:00"/>
    <x v="4"/>
    <x v="2"/>
    <x v="60"/>
    <n v="4.5"/>
    <n v="2"/>
    <n v="2020"/>
    <n v="25"/>
    <s v="2020-25"/>
  </r>
  <r>
    <n v="1.1000000000000001"/>
    <m/>
    <d v="2020-06-09T00:00:00"/>
    <m/>
    <m/>
    <x v="6"/>
    <s v="FE Non linear Model - Imported GSA model into Strand 7, geometry and restraints checked. Loads next."/>
    <x v="9"/>
    <d v="2020-06-09T00:00:00"/>
    <x v="4"/>
    <x v="6"/>
    <x v="61"/>
    <n v="3"/>
    <n v="2"/>
    <n v="2020"/>
    <n v="25"/>
    <s v="2020-25"/>
  </r>
  <r>
    <n v="1.1000000000000001"/>
    <m/>
    <d v="2020-06-09T00:00:00"/>
    <m/>
    <m/>
    <x v="4"/>
    <s v="BCST Digial skills matrix draft   |   Digital Learning links"/>
    <x v="9"/>
    <d v="2020-06-09T00:00:00"/>
    <x v="4"/>
    <x v="4"/>
    <x v="0"/>
    <n v="0"/>
    <n v="2"/>
    <n v="2020"/>
    <n v="25"/>
    <s v="2020-25"/>
  </r>
  <r>
    <n v="1.1000000000000001"/>
    <m/>
    <d v="2020-06-08T00:00:00"/>
    <m/>
    <m/>
    <x v="6"/>
    <s v="Discusion with Fran, Keith and Andy on options for adding a stiffener. Concern raised by Keith on how the new stiffener would be connected to the bottom flange. | Agree to run a 2d non linear material model to try to better understand flow of forces from the abutment."/>
    <x v="9"/>
    <d v="2020-06-08T00:00:00"/>
    <x v="5"/>
    <x v="6"/>
    <x v="62"/>
    <n v="1"/>
    <n v="1"/>
    <n v="2020"/>
    <n v="25"/>
    <s v="2020-25"/>
  </r>
  <r>
    <n v="1.1000000000000001"/>
    <m/>
    <d v="2020-06-08T00:00:00"/>
    <m/>
    <m/>
    <x v="2"/>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x v="9"/>
    <d v="2020-06-08T00:00:00"/>
    <x v="5"/>
    <x v="2"/>
    <x v="57"/>
    <n v="6.5"/>
    <n v="1"/>
    <n v="2020"/>
    <n v="25"/>
    <s v="2020-25"/>
  </r>
  <r>
    <n v="0.10000000000000009"/>
    <m/>
    <d v="2020-06-05T00:00:00"/>
    <m/>
    <m/>
    <x v="4"/>
    <s v="weekly catch-up"/>
    <x v="10"/>
    <d v="2020-06-05T00:00:00"/>
    <x v="1"/>
    <x v="4"/>
    <x v="0"/>
    <n v="2"/>
    <n v="5"/>
    <n v="2020"/>
    <n v="24"/>
    <s v="2020-24"/>
  </r>
  <r>
    <n v="0.10000000000000009"/>
    <m/>
    <d v="2020-06-05T00:00:00"/>
    <m/>
    <m/>
    <x v="2"/>
    <s v="Expansion Joint note | Hanger scenarios | RWS Comments with Daan | Fire email to graham asking for note"/>
    <x v="10"/>
    <d v="2020-06-05T00:00:00"/>
    <x v="1"/>
    <x v="2"/>
    <x v="0"/>
    <n v="7.5"/>
    <n v="5"/>
    <n v="2020"/>
    <n v="24"/>
    <s v="2020-24"/>
  </r>
  <r>
    <n v="0.10000000000000009"/>
    <m/>
    <d v="2020-06-04T00:00:00"/>
    <m/>
    <m/>
    <x v="6"/>
    <s v="meeting with fran to agree stiffener sketch "/>
    <x v="10"/>
    <d v="2020-06-04T00:00:00"/>
    <x v="2"/>
    <x v="6"/>
    <x v="0"/>
    <n v="1"/>
    <n v="4"/>
    <n v="2020"/>
    <n v="24"/>
    <s v="2020-24"/>
  </r>
  <r>
    <n v="0.10000000000000009"/>
    <m/>
    <d v="2020-06-04T00:00:00"/>
    <m/>
    <m/>
    <x v="2"/>
    <s v="Systems engineering meeting | Hanger scenarios with Ying | Discussed with Felix possibility of presenting results using a database, supplementing OX "/>
    <x v="10"/>
    <d v="2020-06-04T00:00:00"/>
    <x v="2"/>
    <x v="2"/>
    <x v="0"/>
    <n v="6.5"/>
    <n v="4"/>
    <n v="2020"/>
    <n v="24"/>
    <s v="2020-24"/>
  </r>
  <r>
    <n v="0.10000000000000009"/>
    <m/>
    <d v="2020-06-03T00:00:00"/>
    <m/>
    <m/>
    <x v="2"/>
    <s v="response to RWS Comments - comments impacting Andreas work | worked thorugh arch checks with Andrea | Geometry"/>
    <x v="10"/>
    <d v="2020-06-03T00:00:00"/>
    <x v="3"/>
    <x v="2"/>
    <x v="0"/>
    <n v="7.5"/>
    <n v="3"/>
    <n v="2020"/>
    <n v="24"/>
    <s v="2020-24"/>
  </r>
  <r>
    <n v="0.10000000000000009"/>
    <m/>
    <d v="2020-06-02T00:00:00"/>
    <m/>
    <m/>
    <x v="2"/>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x v="10"/>
    <d v="2020-06-02T00:00:00"/>
    <x v="4"/>
    <x v="2"/>
    <x v="0"/>
    <n v="7.5"/>
    <n v="2"/>
    <n v="2020"/>
    <n v="24"/>
    <s v="2020-24"/>
  </r>
  <r>
    <n v="0.10000000000000009"/>
    <m/>
    <d v="2020-06-01T00:00:00"/>
    <m/>
    <m/>
    <x v="7"/>
    <s v="update further investigation report - review of structural and geotechnical parametrs and further analysis"/>
    <x v="10"/>
    <d v="2020-06-01T00:00:00"/>
    <x v="5"/>
    <x v="7"/>
    <x v="63"/>
    <n v="7.5"/>
    <n v="1"/>
    <n v="2020"/>
    <n v="24"/>
    <s v="2020-24"/>
  </r>
  <r>
    <n v="1.1000000000000001"/>
    <m/>
    <d v="2020-05-29T00:00:00"/>
    <m/>
    <m/>
    <x v="3"/>
    <s v="preparation of updated progress report addressing comments from meeting earlier in the week | Meeting with Heather to finilise"/>
    <x v="11"/>
    <d v="2020-05-29T00:00:00"/>
    <x v="1"/>
    <x v="3"/>
    <x v="64"/>
    <n v="2"/>
    <n v="5"/>
    <n v="2020"/>
    <n v="23"/>
    <s v="2020-23"/>
  </r>
  <r>
    <n v="1.1000000000000001"/>
    <m/>
    <d v="2020-05-29T00:00:00"/>
    <m/>
    <m/>
    <x v="2"/>
    <s v="reponse to comments by RWS | Progress meeting - Liana working with EJ note, Andrea completed arch verification, Ying working construction sequence note"/>
    <x v="11"/>
    <d v="2020-05-29T00:00:00"/>
    <x v="1"/>
    <x v="2"/>
    <x v="65"/>
    <n v="5.5"/>
    <n v="5"/>
    <n v="2020"/>
    <n v="23"/>
    <s v="2020-23"/>
  </r>
  <r>
    <n v="1.1000000000000001"/>
    <m/>
    <d v="2020-05-29T00:00:00"/>
    <m/>
    <m/>
    <x v="7"/>
    <s v="update further investigation report"/>
    <x v="11"/>
    <d v="2020-05-29T00:00:00"/>
    <x v="1"/>
    <x v="7"/>
    <x v="63"/>
    <n v="0"/>
    <n v="5"/>
    <n v="2020"/>
    <n v="23"/>
    <s v="2020-23"/>
  </r>
  <r>
    <n v="1.1000000000000001"/>
    <m/>
    <d v="2020-05-29T00:00:00"/>
    <m/>
    <m/>
    <x v="4"/>
    <s v="leadership meeting |  digital survey resent | technical "/>
    <x v="11"/>
    <d v="2020-05-29T00:00:00"/>
    <x v="1"/>
    <x v="4"/>
    <x v="0"/>
    <m/>
    <n v="5"/>
    <n v="2020"/>
    <n v="23"/>
    <s v="2020-23"/>
  </r>
  <r>
    <n v="1.1000000000000001"/>
    <m/>
    <d v="2020-05-28T00:00:00"/>
    <m/>
    <m/>
    <x v="6"/>
    <s v="meeting with Fran to discuss method for stiffening the bearings at the end of the girders | Space not sufficient in two corners. Discussed excavating fill locally, but will need to consider restraint to girder. Fran to prepare sketch and set up meetingt to confirm appoach."/>
    <x v="11"/>
    <d v="2020-05-28T00:00:00"/>
    <x v="2"/>
    <x v="6"/>
    <x v="66"/>
    <n v="2"/>
    <n v="4"/>
    <n v="2020"/>
    <n v="23"/>
    <s v="2020-23"/>
  </r>
  <r>
    <n v="1.1000000000000001"/>
    <m/>
    <d v="2020-05-28T00:00:00"/>
    <m/>
    <m/>
    <x v="2"/>
    <s v="Responding to RWS Commnets  on VO Report"/>
    <x v="11"/>
    <d v="2020-05-28T00:00:00"/>
    <x v="2"/>
    <x v="2"/>
    <x v="65"/>
    <n v="4.5"/>
    <n v="4"/>
    <n v="2020"/>
    <n v="23"/>
    <s v="2020-23"/>
  </r>
  <r>
    <n v="1.1000000000000001"/>
    <m/>
    <d v="2020-05-28T00:00:00"/>
    <m/>
    <m/>
    <x v="3"/>
    <s v="Meeting with Hether and Alex to discuss finding and compare notes - generally agreed and Alex found similar issues. Concern with how sensitive the model seems to be and that boundary condition checks aren’t being carried out"/>
    <x v="11"/>
    <d v="2020-05-28T00:00:00"/>
    <x v="2"/>
    <x v="3"/>
    <x v="67"/>
    <n v="1"/>
    <n v="4"/>
    <n v="2020"/>
    <n v="23"/>
    <s v="2020-23"/>
  </r>
  <r>
    <n v="1.1000000000000001"/>
    <m/>
    <d v="2020-05-27T00:00:00"/>
    <m/>
    <m/>
    <x v="2"/>
    <s v="CoG Checks, discussion with Daan and Andrea. Found that hanger anchorages had not been added to WBBn model. Once added results comparable to WBBbO | Reviewed comments"/>
    <x v="11"/>
    <d v="2020-05-27T00:00:00"/>
    <x v="3"/>
    <x v="2"/>
    <x v="68"/>
    <n v="5.5"/>
    <n v="3"/>
    <n v="2020"/>
    <n v="23"/>
    <s v="2020-23"/>
  </r>
  <r>
    <n v="1.1000000000000001"/>
    <m/>
    <d v="2020-05-27T00:00:00"/>
    <m/>
    <m/>
    <x v="3"/>
    <s v="presentation to management team (Andrew and Elena) - discussed possible impacts of findings and noted additional actions to complete by end of week | Meeting with Heather and Alastair to discuss how to complete actions identified during the meeting"/>
    <x v="11"/>
    <d v="2020-05-27T00:00:00"/>
    <x v="3"/>
    <x v="3"/>
    <x v="69"/>
    <n v="2"/>
    <n v="3"/>
    <n v="2020"/>
    <n v="23"/>
    <s v="2020-23"/>
  </r>
  <r>
    <n v="1.1000000000000001"/>
    <m/>
    <d v="2020-05-26T00:00:00"/>
    <m/>
    <m/>
    <x v="3"/>
    <s v="modelling checks - comparison between Neil and Dax | Convergence checks - added sub steps and modified non-linear curves to improve convergence, all load cases converged | Prepared presentation to management team (Andrew and Elena)"/>
    <x v="11"/>
    <d v="2020-05-26T00:00:00"/>
    <x v="4"/>
    <x v="3"/>
    <x v="70"/>
    <n v="7.5"/>
    <n v="2"/>
    <n v="2020"/>
    <n v="23"/>
    <s v="2020-23"/>
  </r>
  <r>
    <n v="1.1000000000000001"/>
    <m/>
    <d v="2020-05-25T00:00:00"/>
    <m/>
    <m/>
    <x v="8"/>
    <m/>
    <x v="11"/>
    <d v="2020-05-25T00:00:00"/>
    <x v="5"/>
    <x v="8"/>
    <x v="0"/>
    <n v="7.5"/>
    <n v="1"/>
    <n v="2020"/>
    <n v="23"/>
    <s v="2020-23"/>
  </r>
  <r>
    <n v="0.10000000000000009"/>
    <m/>
    <d v="2020-05-22T00:00:00"/>
    <m/>
    <m/>
    <x v="3"/>
    <s v="modified Neil's models to recreate what Dax did, then compared results   //  Models seem to all have small differences which would explain the differences in results. Differences in no. of adit supports, LC55, invert properties"/>
    <x v="12"/>
    <d v="2020-05-22T00:00:00"/>
    <x v="1"/>
    <x v="3"/>
    <x v="71"/>
    <n v="5"/>
    <n v="5"/>
    <n v="2020"/>
    <n v="22"/>
    <s v="2020-22"/>
  </r>
  <r>
    <n v="0.10000000000000009"/>
    <m/>
    <d v="2020-05-22T00:00:00"/>
    <m/>
    <m/>
    <x v="2"/>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x v="12"/>
    <d v="2020-05-22T00:00:00"/>
    <x v="1"/>
    <x v="2"/>
    <x v="72"/>
    <n v="2.5"/>
    <n v="5"/>
    <n v="2020"/>
    <n v="22"/>
    <s v="2020-22"/>
  </r>
  <r>
    <n v="0.10000000000000009"/>
    <m/>
    <d v="2020-05-21T00:00:00"/>
    <m/>
    <m/>
    <x v="2"/>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x v="12"/>
    <d v="2020-05-21T00:00:00"/>
    <x v="2"/>
    <x v="2"/>
    <x v="73"/>
    <n v="2"/>
    <n v="4"/>
    <n v="2020"/>
    <n v="22"/>
    <s v="2020-22"/>
  </r>
  <r>
    <n v="0.10000000000000009"/>
    <m/>
    <d v="2020-05-21T00:00:00"/>
    <m/>
    <m/>
    <x v="3"/>
    <s v="meeting with Heather to agree models to review and next steps // problem definition, reviewed emails and communitcations. // added to technical note summary of previous correspondance. // Ran Dax and Neil's models to compare with results provided"/>
    <x v="12"/>
    <d v="2020-05-21T00:00:00"/>
    <x v="2"/>
    <x v="3"/>
    <x v="71"/>
    <n v="2.5"/>
    <n v="4"/>
    <n v="2020"/>
    <n v="22"/>
    <s v="2020-22"/>
  </r>
  <r>
    <n v="0.10000000000000009"/>
    <m/>
    <d v="2020-05-21T00:00:00"/>
    <m/>
    <m/>
    <x v="9"/>
    <s v="Discussion with Keith regarding requirements for posts if use changed to a bridleway. Concluded that difficult to strenghten due to lack of space restrictions. Also not easy to connect to existing structure which is made with hollow setions, Welding not considered an option."/>
    <x v="12"/>
    <d v="2020-05-21T00:00:00"/>
    <x v="2"/>
    <x v="9"/>
    <x v="74"/>
    <n v="3"/>
    <n v="4"/>
    <n v="2020"/>
    <n v="22"/>
    <s v="2020-22"/>
  </r>
  <r>
    <n v="0.10000000000000009"/>
    <m/>
    <d v="2020-05-20T00:00:00"/>
    <m/>
    <m/>
    <x v="2"/>
    <s v="Responding to RWS Commnets  on VO Report"/>
    <x v="12"/>
    <d v="2020-05-20T00:00:00"/>
    <x v="3"/>
    <x v="2"/>
    <x v="65"/>
    <n v="7.5"/>
    <n v="3"/>
    <n v="2020"/>
    <n v="22"/>
    <s v="2020-22"/>
  </r>
  <r>
    <n v="0.10000000000000009"/>
    <m/>
    <d v="2020-05-19T00:00:00"/>
    <m/>
    <m/>
    <x v="2"/>
    <s v="Responding to RWS Commnets  on VO Report"/>
    <x v="12"/>
    <d v="2020-05-19T00:00:00"/>
    <x v="4"/>
    <x v="2"/>
    <x v="65"/>
    <n v="7.5"/>
    <n v="2"/>
    <n v="2020"/>
    <n v="22"/>
    <s v="2020-22"/>
  </r>
  <r>
    <n v="0.10000000000000009"/>
    <m/>
    <d v="2020-05-18T00:00:00"/>
    <m/>
    <m/>
    <x v="1"/>
    <m/>
    <x v="12"/>
    <d v="2020-05-18T00:00:00"/>
    <x v="5"/>
    <x v="1"/>
    <x v="0"/>
    <n v="7.5"/>
    <n v="1"/>
    <n v="2020"/>
    <n v="22"/>
    <s v="2020-22"/>
  </r>
  <r>
    <n v="1.1000000000000001"/>
    <m/>
    <d v="2020-05-15T00:00:00"/>
    <m/>
    <m/>
    <x v="2"/>
    <m/>
    <x v="13"/>
    <d v="2020-05-15T00:00:00"/>
    <x v="1"/>
    <x v="2"/>
    <x v="75"/>
    <n v="5"/>
    <n v="5"/>
    <n v="2020"/>
    <n v="21"/>
    <s v="2020-21"/>
  </r>
  <r>
    <n v="1.1000000000000001"/>
    <m/>
    <d v="2020-05-15T00:00:00"/>
    <m/>
    <m/>
    <x v="3"/>
    <m/>
    <x v="13"/>
    <d v="2020-05-15T00:00:00"/>
    <x v="1"/>
    <x v="3"/>
    <x v="76"/>
    <n v="2.5"/>
    <n v="5"/>
    <n v="2020"/>
    <n v="21"/>
    <s v="2020-21"/>
  </r>
  <r>
    <n v="1.1000000000000001"/>
    <m/>
    <d v="2020-05-14T00:00:00"/>
    <m/>
    <m/>
    <x v="2"/>
    <m/>
    <x v="13"/>
    <d v="2020-05-14T00:00:00"/>
    <x v="2"/>
    <x v="2"/>
    <x v="77"/>
    <n v="2.5"/>
    <n v="4"/>
    <n v="2020"/>
    <n v="21"/>
    <s v="2020-21"/>
  </r>
  <r>
    <n v="1.1000000000000001"/>
    <m/>
    <d v="2020-05-14T00:00:00"/>
    <m/>
    <m/>
    <x v="3"/>
    <m/>
    <x v="13"/>
    <d v="2020-05-14T00:00:00"/>
    <x v="2"/>
    <x v="3"/>
    <x v="76"/>
    <n v="5"/>
    <n v="4"/>
    <n v="2020"/>
    <n v="21"/>
    <s v="2020-21"/>
  </r>
  <r>
    <n v="1.1000000000000001"/>
    <m/>
    <d v="2020-05-13T00:00:00"/>
    <m/>
    <m/>
    <x v="2"/>
    <m/>
    <x v="13"/>
    <d v="2020-05-13T00:00:00"/>
    <x v="3"/>
    <x v="2"/>
    <x v="78"/>
    <n v="7.5"/>
    <n v="3"/>
    <n v="2020"/>
    <n v="21"/>
    <s v="2020-21"/>
  </r>
  <r>
    <n v="1.1000000000000001"/>
    <m/>
    <d v="2020-05-12T00:00:00"/>
    <m/>
    <m/>
    <x v="2"/>
    <m/>
    <x v="13"/>
    <d v="2020-05-12T00:00:00"/>
    <x v="4"/>
    <x v="2"/>
    <x v="78"/>
    <n v="7.5"/>
    <n v="2"/>
    <n v="2020"/>
    <n v="21"/>
    <s v="2020-21"/>
  </r>
  <r>
    <n v="1.1000000000000001"/>
    <m/>
    <d v="2020-05-11T00:00:00"/>
    <m/>
    <m/>
    <x v="2"/>
    <m/>
    <x v="13"/>
    <d v="2020-05-11T00:00:00"/>
    <x v="5"/>
    <x v="2"/>
    <x v="78"/>
    <n v="7.5"/>
    <n v="1"/>
    <n v="2020"/>
    <n v="21"/>
    <s v="2020-21"/>
  </r>
  <r>
    <n v="0.10000000000000009"/>
    <m/>
    <d v="2020-05-08T00:00:00"/>
    <m/>
    <m/>
    <x v="8"/>
    <m/>
    <x v="14"/>
    <d v="2020-05-08T00:00:00"/>
    <x v="1"/>
    <x v="8"/>
    <x v="0"/>
    <n v="7.5"/>
    <n v="5"/>
    <n v="2020"/>
    <n v="20"/>
    <s v="2020-20"/>
  </r>
  <r>
    <n v="0.10000000000000009"/>
    <m/>
    <d v="2020-05-07T00:00:00"/>
    <m/>
    <m/>
    <x v="2"/>
    <m/>
    <x v="14"/>
    <d v="2020-05-07T00:00:00"/>
    <x v="2"/>
    <x v="2"/>
    <x v="78"/>
    <n v="7.5"/>
    <n v="4"/>
    <n v="2020"/>
    <n v="20"/>
    <s v="2020-20"/>
  </r>
  <r>
    <n v="0.10000000000000009"/>
    <m/>
    <d v="2020-05-06T00:00:00"/>
    <m/>
    <m/>
    <x v="2"/>
    <m/>
    <x v="14"/>
    <d v="2020-05-06T00:00:00"/>
    <x v="3"/>
    <x v="2"/>
    <x v="78"/>
    <n v="7.5"/>
    <n v="3"/>
    <n v="2020"/>
    <n v="20"/>
    <s v="2020-20"/>
  </r>
  <r>
    <n v="0.10000000000000009"/>
    <m/>
    <d v="2020-05-05T00:00:00"/>
    <m/>
    <m/>
    <x v="2"/>
    <m/>
    <x v="14"/>
    <d v="2020-05-05T00:00:00"/>
    <x v="4"/>
    <x v="2"/>
    <x v="78"/>
    <n v="7.5"/>
    <n v="2"/>
    <n v="2020"/>
    <n v="20"/>
    <s v="2020-20"/>
  </r>
  <r>
    <n v="0.10000000000000009"/>
    <m/>
    <d v="2020-05-04T00:00:00"/>
    <m/>
    <m/>
    <x v="10"/>
    <m/>
    <x v="14"/>
    <d v="2020-05-04T00:00:00"/>
    <x v="5"/>
    <x v="10"/>
    <x v="79"/>
    <n v="7.5"/>
    <n v="1"/>
    <n v="2020"/>
    <n v="20"/>
    <s v="2020-20"/>
  </r>
  <r>
    <n v="1.1000000000000001"/>
    <m/>
    <d v="2020-05-01T00:00:00"/>
    <m/>
    <m/>
    <x v="2"/>
    <m/>
    <x v="15"/>
    <d v="2020-05-01T00:00:00"/>
    <x v="1"/>
    <x v="2"/>
    <x v="80"/>
    <n v="7.5"/>
    <n v="5"/>
    <n v="2020"/>
    <n v="19"/>
    <s v="2020-19"/>
  </r>
  <r>
    <n v="1.1000000000000001"/>
    <m/>
    <d v="2020-04-30T00:00:00"/>
    <m/>
    <m/>
    <x v="2"/>
    <m/>
    <x v="15"/>
    <d v="2020-04-30T00:00:00"/>
    <x v="2"/>
    <x v="2"/>
    <x v="80"/>
    <n v="7.5"/>
    <n v="4"/>
    <n v="2020"/>
    <n v="19"/>
    <s v="2020-19"/>
  </r>
  <r>
    <n v="1.1000000000000001"/>
    <m/>
    <d v="2020-04-29T00:00:00"/>
    <m/>
    <m/>
    <x v="2"/>
    <m/>
    <x v="15"/>
    <d v="2020-04-29T00:00:00"/>
    <x v="3"/>
    <x v="2"/>
    <x v="81"/>
    <n v="7.5"/>
    <n v="3"/>
    <n v="2020"/>
    <n v="19"/>
    <s v="2020-19"/>
  </r>
  <r>
    <n v="1.1000000000000001"/>
    <m/>
    <d v="2020-04-28T00:00:00"/>
    <m/>
    <m/>
    <x v="2"/>
    <m/>
    <x v="15"/>
    <d v="2020-04-28T00:00:00"/>
    <x v="4"/>
    <x v="2"/>
    <x v="81"/>
    <n v="7.5"/>
    <n v="2"/>
    <n v="2020"/>
    <n v="19"/>
    <s v="2020-19"/>
  </r>
  <r>
    <n v="1.1000000000000001"/>
    <m/>
    <d v="2020-04-27T00:00:00"/>
    <m/>
    <m/>
    <x v="2"/>
    <m/>
    <x v="15"/>
    <d v="2020-04-27T00:00:00"/>
    <x v="5"/>
    <x v="2"/>
    <x v="82"/>
    <n v="7.5"/>
    <n v="1"/>
    <n v="2020"/>
    <n v="19"/>
    <s v="2020-19"/>
  </r>
  <r>
    <n v="0.10000000000000009"/>
    <m/>
    <d v="2020-04-24T00:00:00"/>
    <m/>
    <m/>
    <x v="10"/>
    <m/>
    <x v="16"/>
    <d v="2020-04-24T00:00:00"/>
    <x v="1"/>
    <x v="10"/>
    <x v="83"/>
    <n v="7.5"/>
    <n v="5"/>
    <n v="2020"/>
    <n v="18"/>
    <s v="2020-18"/>
  </r>
  <r>
    <n v="0.10000000000000009"/>
    <m/>
    <d v="2020-04-23T00:00:00"/>
    <m/>
    <m/>
    <x v="1"/>
    <m/>
    <x v="16"/>
    <d v="2020-04-23T00:00:00"/>
    <x v="2"/>
    <x v="1"/>
    <x v="83"/>
    <n v="3.75"/>
    <n v="4"/>
    <n v="2020"/>
    <n v="18"/>
    <s v="2020-18"/>
  </r>
  <r>
    <n v="0.10000000000000009"/>
    <m/>
    <d v="2020-04-23T00:00:00"/>
    <m/>
    <m/>
    <x v="10"/>
    <m/>
    <x v="16"/>
    <d v="2020-04-23T00:00:00"/>
    <x v="2"/>
    <x v="10"/>
    <x v="83"/>
    <n v="3.75"/>
    <n v="4"/>
    <n v="2020"/>
    <n v="18"/>
    <s v="2020-18"/>
  </r>
  <r>
    <n v="0.10000000000000009"/>
    <m/>
    <d v="2020-04-22T00:00:00"/>
    <m/>
    <m/>
    <x v="10"/>
    <m/>
    <x v="16"/>
    <d v="2020-04-22T00:00:00"/>
    <x v="3"/>
    <x v="10"/>
    <x v="84"/>
    <n v="1"/>
    <n v="3"/>
    <n v="2020"/>
    <n v="18"/>
    <s v="2020-18"/>
  </r>
  <r>
    <n v="0.10000000000000009"/>
    <m/>
    <d v="2020-04-22T00:00:00"/>
    <m/>
    <m/>
    <x v="10"/>
    <m/>
    <x v="16"/>
    <d v="2020-04-22T00:00:00"/>
    <x v="3"/>
    <x v="10"/>
    <x v="83"/>
    <n v="6.5"/>
    <n v="3"/>
    <n v="2020"/>
    <n v="18"/>
    <s v="2020-18"/>
  </r>
  <r>
    <n v="0.10000000000000009"/>
    <m/>
    <d v="2020-04-21T00:00:00"/>
    <m/>
    <m/>
    <x v="10"/>
    <m/>
    <x v="16"/>
    <d v="2020-04-21T00:00:00"/>
    <x v="4"/>
    <x v="10"/>
    <x v="83"/>
    <n v="7.5"/>
    <n v="2"/>
    <n v="2020"/>
    <n v="18"/>
    <s v="2020-18"/>
  </r>
  <r>
    <n v="0.10000000000000009"/>
    <m/>
    <d v="2020-04-20T00:00:00"/>
    <m/>
    <m/>
    <x v="10"/>
    <m/>
    <x v="16"/>
    <d v="2020-04-20T00:00:00"/>
    <x v="5"/>
    <x v="10"/>
    <x v="85"/>
    <n v="7.5"/>
    <n v="1"/>
    <n v="2020"/>
    <n v="18"/>
    <s v="2020-18"/>
  </r>
  <r>
    <n v="1.1000000000000001"/>
    <m/>
    <d v="2020-04-17T00:00:00"/>
    <m/>
    <m/>
    <x v="10"/>
    <m/>
    <x v="17"/>
    <d v="2020-04-17T00:00:00"/>
    <x v="1"/>
    <x v="10"/>
    <x v="86"/>
    <n v="7.5"/>
    <n v="5"/>
    <n v="2020"/>
    <n v="17"/>
    <s v="2020-17"/>
  </r>
  <r>
    <n v="1.1000000000000001"/>
    <m/>
    <d v="2020-04-16T00:00:00"/>
    <m/>
    <m/>
    <x v="10"/>
    <m/>
    <x v="17"/>
    <d v="2020-04-16T00:00:00"/>
    <x v="2"/>
    <x v="10"/>
    <x v="86"/>
    <n v="7.5"/>
    <n v="4"/>
    <n v="2020"/>
    <n v="17"/>
    <s v="2020-17"/>
  </r>
  <r>
    <n v="1.1000000000000001"/>
    <m/>
    <d v="2020-04-15T00:00:00"/>
    <m/>
    <m/>
    <x v="10"/>
    <m/>
    <x v="17"/>
    <d v="2020-04-15T00:00:00"/>
    <x v="3"/>
    <x v="10"/>
    <x v="86"/>
    <n v="7.5"/>
    <n v="3"/>
    <n v="2020"/>
    <n v="17"/>
    <s v="2020-17"/>
  </r>
  <r>
    <n v="1.1000000000000001"/>
    <m/>
    <d v="2020-04-14T00:00:00"/>
    <m/>
    <m/>
    <x v="10"/>
    <m/>
    <x v="17"/>
    <d v="2020-04-14T00:00:00"/>
    <x v="4"/>
    <x v="10"/>
    <x v="86"/>
    <n v="7.5"/>
    <n v="2"/>
    <n v="2020"/>
    <n v="17"/>
    <s v="2020-17"/>
  </r>
  <r>
    <n v="1.1000000000000001"/>
    <m/>
    <d v="2020-04-13T00:00:00"/>
    <m/>
    <m/>
    <x v="8"/>
    <m/>
    <x v="17"/>
    <d v="2020-04-13T00:00:00"/>
    <x v="5"/>
    <x v="8"/>
    <x v="0"/>
    <n v="7.5"/>
    <n v="1"/>
    <n v="2020"/>
    <n v="17"/>
    <s v="2020-17"/>
  </r>
  <r>
    <n v="0.10000000000000009"/>
    <m/>
    <d v="2020-04-10T00:00:00"/>
    <m/>
    <m/>
    <x v="8"/>
    <m/>
    <x v="18"/>
    <d v="2020-04-10T00:00:00"/>
    <x v="1"/>
    <x v="8"/>
    <x v="0"/>
    <n v="7.5"/>
    <n v="5"/>
    <n v="2020"/>
    <n v="16"/>
    <s v="2020-16"/>
  </r>
  <r>
    <n v="0.10000000000000009"/>
    <m/>
    <d v="2020-04-09T00:00:00"/>
    <m/>
    <m/>
    <x v="10"/>
    <m/>
    <x v="18"/>
    <d v="2020-04-09T00:00:00"/>
    <x v="2"/>
    <x v="10"/>
    <x v="86"/>
    <n v="7.5"/>
    <n v="4"/>
    <n v="2020"/>
    <n v="16"/>
    <s v="2020-16"/>
  </r>
  <r>
    <n v="0.10000000000000009"/>
    <m/>
    <d v="2020-04-08T00:00:00"/>
    <m/>
    <m/>
    <x v="10"/>
    <m/>
    <x v="18"/>
    <d v="2020-04-08T00:00:00"/>
    <x v="3"/>
    <x v="10"/>
    <x v="86"/>
    <n v="7.5"/>
    <n v="3"/>
    <n v="2020"/>
    <n v="16"/>
    <s v="2020-16"/>
  </r>
  <r>
    <n v="0.10000000000000009"/>
    <m/>
    <d v="2020-04-07T00:00:00"/>
    <m/>
    <m/>
    <x v="10"/>
    <m/>
    <x v="18"/>
    <d v="2020-04-07T00:00:00"/>
    <x v="4"/>
    <x v="10"/>
    <x v="86"/>
    <n v="7.5"/>
    <n v="2"/>
    <n v="2020"/>
    <n v="16"/>
    <s v="2020-16"/>
  </r>
  <r>
    <n v="0.10000000000000009"/>
    <m/>
    <d v="2020-04-06T00:00:00"/>
    <m/>
    <m/>
    <x v="10"/>
    <m/>
    <x v="18"/>
    <d v="2020-04-06T00:00:00"/>
    <x v="5"/>
    <x v="10"/>
    <x v="86"/>
    <n v="7.5"/>
    <n v="1"/>
    <n v="2020"/>
    <n v="16"/>
    <s v="2020-16"/>
  </r>
  <r>
    <n v="1.1000000000000001"/>
    <m/>
    <d v="2020-04-03T00:00:00"/>
    <m/>
    <m/>
    <x v="10"/>
    <m/>
    <x v="19"/>
    <d v="2020-04-03T00:00:00"/>
    <x v="1"/>
    <x v="10"/>
    <x v="87"/>
    <n v="7.5"/>
    <n v="5"/>
    <n v="2020"/>
    <n v="15"/>
    <s v="2020-15"/>
  </r>
  <r>
    <n v="1.1000000000000001"/>
    <m/>
    <d v="2020-04-02T00:00:00"/>
    <m/>
    <m/>
    <x v="10"/>
    <m/>
    <x v="19"/>
    <d v="2020-04-02T00:00:00"/>
    <x v="2"/>
    <x v="10"/>
    <x v="87"/>
    <n v="7.5"/>
    <n v="4"/>
    <n v="2020"/>
    <n v="15"/>
    <s v="2020-15"/>
  </r>
  <r>
    <n v="1.1000000000000001"/>
    <m/>
    <d v="2020-04-01T00:00:00"/>
    <m/>
    <m/>
    <x v="10"/>
    <m/>
    <x v="19"/>
    <d v="2020-04-01T00:00:00"/>
    <x v="3"/>
    <x v="10"/>
    <x v="87"/>
    <n v="7.5"/>
    <n v="3"/>
    <n v="2020"/>
    <n v="15"/>
    <s v="2020-15"/>
  </r>
  <r>
    <n v="1.1000000000000001"/>
    <m/>
    <d v="2020-03-31T00:00:00"/>
    <m/>
    <m/>
    <x v="10"/>
    <m/>
    <x v="19"/>
    <d v="2020-03-31T00:00:00"/>
    <x v="4"/>
    <x v="10"/>
    <x v="87"/>
    <n v="7.5"/>
    <n v="2"/>
    <n v="2020"/>
    <n v="15"/>
    <s v="2020-15"/>
  </r>
  <r>
    <n v="1.1000000000000001"/>
    <m/>
    <d v="2020-03-30T00:00:00"/>
    <m/>
    <m/>
    <x v="10"/>
    <m/>
    <x v="19"/>
    <d v="2020-03-30T00:00:00"/>
    <x v="5"/>
    <x v="10"/>
    <x v="87"/>
    <n v="7.5"/>
    <n v="1"/>
    <n v="2020"/>
    <n v="15"/>
    <s v="2020-15"/>
  </r>
  <r>
    <n v="0.10000000000000009"/>
    <m/>
    <d v="2020-03-23T00:00:00"/>
    <m/>
    <m/>
    <x v="10"/>
    <m/>
    <x v="20"/>
    <d v="2020-03-23T00:00:00"/>
    <x v="5"/>
    <x v="10"/>
    <x v="87"/>
    <n v="7.5"/>
    <n v="1"/>
    <n v="2020"/>
    <n v="14"/>
    <s v="2020-14"/>
  </r>
  <r>
    <n v="0.10000000000000009"/>
    <m/>
    <d v="2020-03-24T00:00:00"/>
    <m/>
    <m/>
    <x v="10"/>
    <m/>
    <x v="20"/>
    <d v="2020-03-24T00:00:00"/>
    <x v="4"/>
    <x v="10"/>
    <x v="87"/>
    <n v="7.5"/>
    <n v="2"/>
    <n v="2020"/>
    <n v="14"/>
    <s v="2020-14"/>
  </r>
  <r>
    <n v="0.10000000000000009"/>
    <m/>
    <d v="2020-03-25T00:00:00"/>
    <m/>
    <m/>
    <x v="10"/>
    <m/>
    <x v="20"/>
    <d v="2020-03-25T00:00:00"/>
    <x v="3"/>
    <x v="10"/>
    <x v="87"/>
    <n v="7.5"/>
    <n v="3"/>
    <n v="2020"/>
    <n v="14"/>
    <s v="2020-14"/>
  </r>
  <r>
    <n v="0.10000000000000009"/>
    <m/>
    <d v="2020-03-26T00:00:00"/>
    <m/>
    <m/>
    <x v="10"/>
    <m/>
    <x v="20"/>
    <d v="2020-03-26T00:00:00"/>
    <x v="2"/>
    <x v="10"/>
    <x v="87"/>
    <n v="7.5"/>
    <n v="4"/>
    <n v="2020"/>
    <n v="14"/>
    <s v="2020-14"/>
  </r>
  <r>
    <n v="0.10000000000000009"/>
    <m/>
    <d v="2020-03-27T00:00:00"/>
    <m/>
    <m/>
    <x v="10"/>
    <m/>
    <x v="20"/>
    <d v="2020-03-27T00:00:00"/>
    <x v="1"/>
    <x v="10"/>
    <x v="87"/>
    <n v="7.5"/>
    <n v="5"/>
    <n v="2020"/>
    <n v="14"/>
    <s v="2020-14"/>
  </r>
  <r>
    <n v="1.1000000000000001"/>
    <m/>
    <d v="2020-03-20T00:00:00"/>
    <m/>
    <m/>
    <x v="6"/>
    <m/>
    <x v="21"/>
    <d v="2020-03-20T00:00:00"/>
    <x v="1"/>
    <x v="6"/>
    <x v="88"/>
    <n v="2.5"/>
    <n v="5"/>
    <n v="2020"/>
    <n v="13"/>
    <s v="2020-13"/>
  </r>
  <r>
    <n v="1.1000000000000001"/>
    <m/>
    <d v="2020-03-20T00:00:00"/>
    <m/>
    <m/>
    <x v="10"/>
    <m/>
    <x v="21"/>
    <d v="2020-03-20T00:00:00"/>
    <x v="1"/>
    <x v="10"/>
    <x v="87"/>
    <n v="5"/>
    <n v="5"/>
    <n v="2020"/>
    <n v="13"/>
    <s v="2020-13"/>
  </r>
  <r>
    <n v="1.1000000000000001"/>
    <m/>
    <d v="2020-03-19T00:00:00"/>
    <m/>
    <m/>
    <x v="10"/>
    <m/>
    <x v="21"/>
    <d v="2020-03-19T00:00:00"/>
    <x v="2"/>
    <x v="10"/>
    <x v="87"/>
    <n v="7.5"/>
    <n v="4"/>
    <n v="2020"/>
    <n v="13"/>
    <s v="2020-13"/>
  </r>
  <r>
    <n v="1.1000000000000001"/>
    <m/>
    <d v="2020-03-18T00:00:00"/>
    <m/>
    <m/>
    <x v="10"/>
    <m/>
    <x v="21"/>
    <d v="2020-03-18T00:00:00"/>
    <x v="3"/>
    <x v="10"/>
    <x v="87"/>
    <n v="7.5"/>
    <n v="3"/>
    <n v="2020"/>
    <n v="13"/>
    <s v="2020-13"/>
  </r>
  <r>
    <n v="1.1000000000000001"/>
    <m/>
    <d v="2020-03-17T00:00:00"/>
    <m/>
    <m/>
    <x v="10"/>
    <m/>
    <x v="21"/>
    <d v="2020-03-17T00:00:00"/>
    <x v="4"/>
    <x v="10"/>
    <x v="87"/>
    <n v="5.5"/>
    <n v="2"/>
    <n v="2020"/>
    <n v="13"/>
    <s v="2020-13"/>
  </r>
  <r>
    <n v="1.1000000000000001"/>
    <m/>
    <d v="2020-03-17T00:00:00"/>
    <m/>
    <m/>
    <x v="6"/>
    <m/>
    <x v="21"/>
    <d v="2020-03-17T00:00:00"/>
    <x v="4"/>
    <x v="6"/>
    <x v="89"/>
    <n v="2"/>
    <n v="2"/>
    <n v="2020"/>
    <n v="13"/>
    <s v="2020-13"/>
  </r>
  <r>
    <n v="1.1000000000000001"/>
    <m/>
    <d v="2020-03-16T00:00:00"/>
    <m/>
    <m/>
    <x v="10"/>
    <m/>
    <x v="21"/>
    <d v="2020-03-16T00:00:00"/>
    <x v="5"/>
    <x v="10"/>
    <x v="87"/>
    <n v="7.5"/>
    <n v="1"/>
    <n v="2020"/>
    <n v="13"/>
    <s v="2020-13"/>
  </r>
  <r>
    <n v="0.10000000000000009"/>
    <m/>
    <d v="2020-03-13T00:00:00"/>
    <m/>
    <m/>
    <x v="6"/>
    <m/>
    <x v="22"/>
    <d v="2020-03-13T00:00:00"/>
    <x v="1"/>
    <x v="6"/>
    <x v="90"/>
    <n v="5.5"/>
    <n v="5"/>
    <n v="2020"/>
    <n v="12"/>
    <s v="2020-12"/>
  </r>
  <r>
    <n v="0.10000000000000009"/>
    <m/>
    <d v="2020-03-13T00:00:00"/>
    <m/>
    <m/>
    <x v="10"/>
    <m/>
    <x v="22"/>
    <d v="2020-03-13T00:00:00"/>
    <x v="1"/>
    <x v="10"/>
    <x v="87"/>
    <n v="2"/>
    <n v="5"/>
    <n v="2020"/>
    <n v="12"/>
    <s v="2020-12"/>
  </r>
  <r>
    <n v="0.10000000000000009"/>
    <m/>
    <d v="2020-03-12T00:00:00"/>
    <m/>
    <m/>
    <x v="10"/>
    <m/>
    <x v="22"/>
    <d v="2020-03-12T00:00:00"/>
    <x v="2"/>
    <x v="10"/>
    <x v="87"/>
    <n v="7.5"/>
    <n v="4"/>
    <n v="2020"/>
    <n v="12"/>
    <s v="2020-12"/>
  </r>
  <r>
    <n v="0.10000000000000009"/>
    <m/>
    <d v="2020-03-11T00:00:00"/>
    <m/>
    <m/>
    <x v="10"/>
    <m/>
    <x v="22"/>
    <d v="2020-03-11T00:00:00"/>
    <x v="3"/>
    <x v="10"/>
    <x v="87"/>
    <n v="7.5"/>
    <n v="3"/>
    <n v="2020"/>
    <n v="12"/>
    <s v="2020-12"/>
  </r>
  <r>
    <n v="0.10000000000000009"/>
    <m/>
    <d v="2020-03-10T00:00:00"/>
    <m/>
    <m/>
    <x v="10"/>
    <m/>
    <x v="22"/>
    <d v="2020-03-10T00:00:00"/>
    <x v="4"/>
    <x v="10"/>
    <x v="87"/>
    <n v="7.5"/>
    <n v="2"/>
    <n v="2020"/>
    <n v="12"/>
    <s v="2020-12"/>
  </r>
  <r>
    <n v="0.10000000000000009"/>
    <m/>
    <d v="2020-03-09T00:00:00"/>
    <m/>
    <m/>
    <x v="10"/>
    <m/>
    <x v="22"/>
    <d v="2020-03-09T00:00:00"/>
    <x v="5"/>
    <x v="10"/>
    <x v="87"/>
    <n v="7.5"/>
    <n v="1"/>
    <n v="2020"/>
    <n v="12"/>
    <s v="2020-12"/>
  </r>
  <r>
    <n v="1.1000000000000001"/>
    <m/>
    <d v="2020-03-02T00:00:00"/>
    <m/>
    <m/>
    <x v="10"/>
    <m/>
    <x v="23"/>
    <d v="2020-03-02T00:00:00"/>
    <x v="5"/>
    <x v="10"/>
    <x v="91"/>
    <n v="7.5"/>
    <n v="1"/>
    <n v="2020"/>
    <n v="11"/>
    <s v="2020-11"/>
  </r>
  <r>
    <n v="1.1000000000000001"/>
    <m/>
    <d v="2020-03-03T00:00:00"/>
    <m/>
    <m/>
    <x v="10"/>
    <m/>
    <x v="23"/>
    <d v="2020-03-03T00:00:00"/>
    <x v="4"/>
    <x v="10"/>
    <x v="91"/>
    <n v="7.5"/>
    <n v="2"/>
    <n v="2020"/>
    <n v="11"/>
    <s v="2020-11"/>
  </r>
  <r>
    <n v="1.1000000000000001"/>
    <m/>
    <d v="2020-03-04T00:00:00"/>
    <m/>
    <m/>
    <x v="10"/>
    <m/>
    <x v="23"/>
    <d v="2020-03-04T00:00:00"/>
    <x v="3"/>
    <x v="10"/>
    <x v="91"/>
    <n v="7.5"/>
    <n v="3"/>
    <n v="2020"/>
    <n v="11"/>
    <s v="2020-11"/>
  </r>
  <r>
    <n v="1.1000000000000001"/>
    <m/>
    <d v="2020-03-05T00:00:00"/>
    <m/>
    <m/>
    <x v="10"/>
    <m/>
    <x v="23"/>
    <d v="2020-03-05T00:00:00"/>
    <x v="2"/>
    <x v="10"/>
    <x v="91"/>
    <n v="7.5"/>
    <n v="4"/>
    <n v="2020"/>
    <n v="11"/>
    <s v="2020-11"/>
  </r>
  <r>
    <n v="1.1000000000000001"/>
    <m/>
    <d v="2020-03-06T00:00:00"/>
    <m/>
    <m/>
    <x v="10"/>
    <m/>
    <x v="23"/>
    <d v="2020-03-06T00:00:00"/>
    <x v="1"/>
    <x v="10"/>
    <x v="91"/>
    <n v="7.5"/>
    <n v="5"/>
    <n v="2020"/>
    <n v="11"/>
    <s v="2020-11"/>
  </r>
  <r>
    <n v="0.10000000000000009"/>
    <m/>
    <d v="2020-02-24T00:00:00"/>
    <m/>
    <m/>
    <x v="10"/>
    <m/>
    <x v="24"/>
    <d v="2020-02-24T00:00:00"/>
    <x v="5"/>
    <x v="10"/>
    <x v="92"/>
    <n v="7.5"/>
    <n v="1"/>
    <n v="2020"/>
    <n v="10"/>
    <s v="2020-10"/>
  </r>
  <r>
    <n v="0.10000000000000009"/>
    <m/>
    <d v="2020-02-25T00:00:00"/>
    <m/>
    <m/>
    <x v="10"/>
    <m/>
    <x v="24"/>
    <d v="2020-02-25T00:00:00"/>
    <x v="4"/>
    <x v="10"/>
    <x v="92"/>
    <n v="7.5"/>
    <n v="2"/>
    <n v="2020"/>
    <n v="10"/>
    <s v="2020-10"/>
  </r>
  <r>
    <n v="0.10000000000000009"/>
    <m/>
    <d v="2020-02-26T00:00:00"/>
    <m/>
    <m/>
    <x v="10"/>
    <m/>
    <x v="24"/>
    <d v="2020-02-26T00:00:00"/>
    <x v="3"/>
    <x v="10"/>
    <x v="92"/>
    <n v="7.5"/>
    <n v="3"/>
    <n v="2020"/>
    <n v="10"/>
    <s v="2020-10"/>
  </r>
  <r>
    <n v="0.10000000000000009"/>
    <m/>
    <d v="2020-02-27T00:00:00"/>
    <m/>
    <m/>
    <x v="10"/>
    <m/>
    <x v="24"/>
    <d v="2020-02-27T00:00:00"/>
    <x v="2"/>
    <x v="10"/>
    <x v="92"/>
    <n v="7.5"/>
    <n v="4"/>
    <n v="2020"/>
    <n v="10"/>
    <s v="2020-10"/>
  </r>
  <r>
    <n v="0.10000000000000009"/>
    <m/>
    <d v="2020-02-28T00:00:00"/>
    <m/>
    <m/>
    <x v="10"/>
    <m/>
    <x v="24"/>
    <d v="2020-02-28T00:00:00"/>
    <x v="1"/>
    <x v="10"/>
    <x v="92"/>
    <n v="7.5"/>
    <n v="5"/>
    <n v="2020"/>
    <n v="10"/>
    <s v="2020-10"/>
  </r>
  <r>
    <n v="1.1000000000000001"/>
    <m/>
    <d v="2020-02-17T00:00:00"/>
    <m/>
    <m/>
    <x v="6"/>
    <m/>
    <x v="25"/>
    <d v="2020-02-17T00:00:00"/>
    <x v="5"/>
    <x v="6"/>
    <x v="93"/>
    <n v="5"/>
    <n v="1"/>
    <n v="2020"/>
    <n v="9"/>
    <s v="2020-9"/>
  </r>
  <r>
    <n v="1.1000000000000001"/>
    <m/>
    <d v="2020-02-17T00:00:00"/>
    <m/>
    <m/>
    <x v="10"/>
    <m/>
    <x v="25"/>
    <d v="2020-02-17T00:00:00"/>
    <x v="5"/>
    <x v="10"/>
    <x v="94"/>
    <n v="2.5"/>
    <n v="1"/>
    <n v="2020"/>
    <n v="9"/>
    <s v="2020-9"/>
  </r>
  <r>
    <n v="1.1000000000000001"/>
    <m/>
    <d v="2020-02-18T00:00:00"/>
    <m/>
    <m/>
    <x v="10"/>
    <m/>
    <x v="25"/>
    <d v="2020-02-18T00:00:00"/>
    <x v="4"/>
    <x v="10"/>
    <x v="94"/>
    <n v="7.5"/>
    <n v="2"/>
    <n v="2020"/>
    <n v="9"/>
    <s v="2020-9"/>
  </r>
  <r>
    <n v="1.1000000000000001"/>
    <m/>
    <d v="2020-02-19T00:00:00"/>
    <m/>
    <m/>
    <x v="10"/>
    <m/>
    <x v="25"/>
    <d v="2020-02-19T00:00:00"/>
    <x v="3"/>
    <x v="10"/>
    <x v="94"/>
    <n v="7.5"/>
    <n v="3"/>
    <n v="2020"/>
    <n v="9"/>
    <s v="2020-9"/>
  </r>
  <r>
    <n v="1.1000000000000001"/>
    <m/>
    <d v="2020-02-20T00:00:00"/>
    <m/>
    <m/>
    <x v="10"/>
    <m/>
    <x v="25"/>
    <d v="2020-02-20T00:00:00"/>
    <x v="2"/>
    <x v="10"/>
    <x v="94"/>
    <n v="5"/>
    <n v="4"/>
    <n v="2020"/>
    <n v="9"/>
    <s v="2020-9"/>
  </r>
  <r>
    <n v="1.1000000000000001"/>
    <m/>
    <d v="2020-02-20T00:00:00"/>
    <m/>
    <m/>
    <x v="6"/>
    <m/>
    <x v="25"/>
    <d v="2020-02-20T00:00:00"/>
    <x v="2"/>
    <x v="6"/>
    <x v="93"/>
    <n v="2.5"/>
    <n v="4"/>
    <n v="2020"/>
    <n v="9"/>
    <s v="2020-9"/>
  </r>
  <r>
    <n v="1.1000000000000001"/>
    <m/>
    <d v="2020-02-21T00:00:00"/>
    <m/>
    <m/>
    <x v="10"/>
    <m/>
    <x v="25"/>
    <d v="2020-02-21T00:00:00"/>
    <x v="1"/>
    <x v="10"/>
    <x v="94"/>
    <n v="7.5"/>
    <n v="5"/>
    <n v="2020"/>
    <n v="9"/>
    <s v="2020-9"/>
  </r>
  <r>
    <n v="0.10000000000000009"/>
    <m/>
    <d v="2020-02-10T00:00:00"/>
    <m/>
    <m/>
    <x v="10"/>
    <m/>
    <x v="26"/>
    <d v="2020-02-10T00:00:00"/>
    <x v="5"/>
    <x v="10"/>
    <x v="95"/>
    <n v="5"/>
    <n v="1"/>
    <n v="2020"/>
    <n v="8"/>
    <s v="2020-8"/>
  </r>
  <r>
    <n v="0.10000000000000009"/>
    <m/>
    <d v="2020-02-10T00:00:00"/>
    <m/>
    <m/>
    <x v="6"/>
    <m/>
    <x v="26"/>
    <d v="2020-02-10T00:00:00"/>
    <x v="5"/>
    <x v="6"/>
    <x v="96"/>
    <n v="2.5"/>
    <n v="1"/>
    <n v="2020"/>
    <n v="8"/>
    <s v="2020-8"/>
  </r>
  <r>
    <n v="0.10000000000000009"/>
    <m/>
    <d v="2020-02-11T00:00:00"/>
    <m/>
    <m/>
    <x v="10"/>
    <m/>
    <x v="26"/>
    <d v="2020-02-11T00:00:00"/>
    <x v="4"/>
    <x v="10"/>
    <x v="94"/>
    <n v="7.5"/>
    <n v="2"/>
    <n v="2020"/>
    <n v="8"/>
    <s v="2020-8"/>
  </r>
  <r>
    <n v="0.10000000000000009"/>
    <m/>
    <d v="2020-02-12T00:00:00"/>
    <m/>
    <m/>
    <x v="10"/>
    <m/>
    <x v="26"/>
    <d v="2020-02-12T00:00:00"/>
    <x v="3"/>
    <x v="10"/>
    <x v="97"/>
    <n v="7.5"/>
    <n v="3"/>
    <n v="2020"/>
    <n v="8"/>
    <s v="2020-8"/>
  </r>
  <r>
    <n v="0.10000000000000009"/>
    <m/>
    <d v="2020-02-13T00:00:00"/>
    <m/>
    <m/>
    <x v="10"/>
    <m/>
    <x v="26"/>
    <d v="2020-02-13T00:00:00"/>
    <x v="2"/>
    <x v="10"/>
    <x v="94"/>
    <n v="7.5"/>
    <n v="4"/>
    <n v="2020"/>
    <n v="8"/>
    <s v="2020-8"/>
  </r>
  <r>
    <n v="0.10000000000000009"/>
    <m/>
    <d v="2020-02-14T00:00:00"/>
    <m/>
    <m/>
    <x v="10"/>
    <m/>
    <x v="26"/>
    <d v="2020-02-14T00:00:00"/>
    <x v="1"/>
    <x v="10"/>
    <x v="98"/>
    <n v="2.5"/>
    <n v="5"/>
    <n v="2020"/>
    <n v="8"/>
    <s v="2020-8"/>
  </r>
  <r>
    <n v="0.10000000000000009"/>
    <m/>
    <d v="2020-02-14T00:00:00"/>
    <m/>
    <m/>
    <x v="6"/>
    <m/>
    <x v="26"/>
    <d v="2020-02-14T00:00:00"/>
    <x v="1"/>
    <x v="6"/>
    <x v="99"/>
    <n v="5"/>
    <n v="5"/>
    <n v="2020"/>
    <n v="8"/>
    <s v="2020-8"/>
  </r>
  <r>
    <n v="1.1000000000000001"/>
    <m/>
    <d v="2020-02-03T00:00:00"/>
    <m/>
    <m/>
    <x v="10"/>
    <m/>
    <x v="27"/>
    <d v="2020-02-03T00:00:00"/>
    <x v="5"/>
    <x v="10"/>
    <x v="100"/>
    <n v="7.5"/>
    <n v="1"/>
    <n v="2020"/>
    <n v="7"/>
    <s v="2020-7"/>
  </r>
  <r>
    <n v="1.1000000000000001"/>
    <m/>
    <d v="2020-02-04T00:00:00"/>
    <m/>
    <m/>
    <x v="11"/>
    <m/>
    <x v="27"/>
    <d v="2020-02-04T00:00:00"/>
    <x v="4"/>
    <x v="11"/>
    <x v="101"/>
    <n v="4"/>
    <n v="2"/>
    <n v="2020"/>
    <n v="7"/>
    <s v="2020-7"/>
  </r>
  <r>
    <n v="1.1000000000000001"/>
    <m/>
    <d v="2020-02-04T00:00:00"/>
    <m/>
    <m/>
    <x v="6"/>
    <m/>
    <x v="27"/>
    <d v="2020-02-04T00:00:00"/>
    <x v="4"/>
    <x v="6"/>
    <x v="102"/>
    <n v="3.5"/>
    <n v="2"/>
    <n v="2020"/>
    <n v="7"/>
    <s v="2020-7"/>
  </r>
  <r>
    <n v="1.1000000000000001"/>
    <m/>
    <d v="2020-02-05T00:00:00"/>
    <m/>
    <m/>
    <x v="10"/>
    <m/>
    <x v="27"/>
    <d v="2020-02-05T00:00:00"/>
    <x v="3"/>
    <x v="10"/>
    <x v="103"/>
    <n v="7.5"/>
    <n v="3"/>
    <n v="2020"/>
    <n v="7"/>
    <s v="2020-7"/>
  </r>
  <r>
    <n v="1.1000000000000001"/>
    <m/>
    <d v="2020-02-06T00:00:00"/>
    <m/>
    <m/>
    <x v="10"/>
    <m/>
    <x v="27"/>
    <d v="2020-02-06T00:00:00"/>
    <x v="2"/>
    <x v="10"/>
    <x v="103"/>
    <n v="7.5"/>
    <n v="4"/>
    <n v="2020"/>
    <n v="7"/>
    <s v="2020-7"/>
  </r>
  <r>
    <n v="1.1000000000000001"/>
    <m/>
    <d v="2020-02-07T00:00:00"/>
    <m/>
    <m/>
    <x v="10"/>
    <m/>
    <x v="27"/>
    <d v="2020-02-07T00:00:00"/>
    <x v="1"/>
    <x v="10"/>
    <x v="103"/>
    <n v="5.5"/>
    <n v="5"/>
    <n v="2020"/>
    <n v="7"/>
    <s v="2020-7"/>
  </r>
  <r>
    <n v="1.1000000000000001"/>
    <m/>
    <d v="2020-02-07T00:00:00"/>
    <m/>
    <m/>
    <x v="6"/>
    <m/>
    <x v="27"/>
    <d v="2020-02-07T00:00:00"/>
    <x v="1"/>
    <x v="6"/>
    <x v="104"/>
    <n v="2"/>
    <n v="5"/>
    <n v="2020"/>
    <n v="7"/>
    <s v="2020-7"/>
  </r>
  <r>
    <n v="0.10000000000000009"/>
    <m/>
    <d v="2020-01-27T00:00:00"/>
    <m/>
    <m/>
    <x v="12"/>
    <m/>
    <x v="28"/>
    <d v="2020-01-27T00:00:00"/>
    <x v="5"/>
    <x v="12"/>
    <x v="105"/>
    <n v="7.5"/>
    <n v="1"/>
    <n v="2020"/>
    <n v="6"/>
    <s v="2020-6"/>
  </r>
  <r>
    <n v="0.10000000000000009"/>
    <m/>
    <d v="2020-01-28T00:00:00"/>
    <m/>
    <m/>
    <x v="10"/>
    <m/>
    <x v="28"/>
    <d v="2020-01-28T00:00:00"/>
    <x v="4"/>
    <x v="10"/>
    <x v="106"/>
    <n v="7.5"/>
    <n v="2"/>
    <n v="2020"/>
    <n v="6"/>
    <s v="2020-6"/>
  </r>
  <r>
    <n v="0.10000000000000009"/>
    <m/>
    <d v="2020-01-29T00:00:00"/>
    <m/>
    <m/>
    <x v="12"/>
    <m/>
    <x v="28"/>
    <d v="2020-01-29T00:00:00"/>
    <x v="3"/>
    <x v="12"/>
    <x v="105"/>
    <n v="5"/>
    <n v="3"/>
    <n v="2020"/>
    <n v="6"/>
    <s v="2020-6"/>
  </r>
  <r>
    <n v="0.10000000000000009"/>
    <m/>
    <d v="2020-01-29T00:00:00"/>
    <m/>
    <m/>
    <x v="6"/>
    <m/>
    <x v="28"/>
    <d v="2020-01-29T00:00:00"/>
    <x v="3"/>
    <x v="6"/>
    <x v="107"/>
    <n v="2.5"/>
    <n v="3"/>
    <n v="2020"/>
    <n v="6"/>
    <s v="2020-6"/>
  </r>
  <r>
    <n v="0.10000000000000009"/>
    <m/>
    <d v="2020-01-30T00:00:00"/>
    <m/>
    <m/>
    <x v="10"/>
    <m/>
    <x v="28"/>
    <d v="2020-01-30T00:00:00"/>
    <x v="2"/>
    <x v="10"/>
    <x v="108"/>
    <n v="7.5"/>
    <n v="4"/>
    <n v="2020"/>
    <n v="6"/>
    <s v="2020-6"/>
  </r>
  <r>
    <n v="0.10000000000000009"/>
    <m/>
    <d v="2020-01-31T00:00:00"/>
    <m/>
    <m/>
    <x v="12"/>
    <m/>
    <x v="28"/>
    <d v="2020-01-31T00:00:00"/>
    <x v="1"/>
    <x v="12"/>
    <x v="109"/>
    <n v="7.5"/>
    <n v="5"/>
    <n v="2020"/>
    <n v="6"/>
    <s v="2020-6"/>
  </r>
  <r>
    <n v="1.1000000000000001"/>
    <m/>
    <d v="2020-01-24T00:00:00"/>
    <m/>
    <m/>
    <x v="12"/>
    <m/>
    <x v="29"/>
    <d v="2020-01-24T00:00:00"/>
    <x v="1"/>
    <x v="12"/>
    <x v="105"/>
    <n v="7.5"/>
    <n v="5"/>
    <n v="2020"/>
    <n v="5"/>
    <s v="2020-5"/>
  </r>
  <r>
    <n v="1.1000000000000001"/>
    <m/>
    <d v="2020-01-23T00:00:00"/>
    <m/>
    <m/>
    <x v="10"/>
    <m/>
    <x v="29"/>
    <d v="2020-01-23T00:00:00"/>
    <x v="2"/>
    <x v="10"/>
    <x v="106"/>
    <n v="7.5"/>
    <n v="4"/>
    <n v="2020"/>
    <n v="5"/>
    <s v="2020-5"/>
  </r>
  <r>
    <n v="1.1000000000000001"/>
    <m/>
    <d v="2020-01-22T00:00:00"/>
    <m/>
    <m/>
    <x v="10"/>
    <m/>
    <x v="29"/>
    <d v="2020-01-22T00:00:00"/>
    <x v="3"/>
    <x v="10"/>
    <x v="110"/>
    <n v="7.5"/>
    <n v="3"/>
    <n v="2020"/>
    <n v="5"/>
    <s v="2020-5"/>
  </r>
  <r>
    <n v="1.1000000000000001"/>
    <m/>
    <d v="2020-01-21T00:00:00"/>
    <m/>
    <m/>
    <x v="12"/>
    <m/>
    <x v="29"/>
    <d v="2020-01-21T00:00:00"/>
    <x v="4"/>
    <x v="12"/>
    <x v="105"/>
    <n v="7.5"/>
    <n v="2"/>
    <n v="2020"/>
    <n v="5"/>
    <s v="2020-5"/>
  </r>
  <r>
    <n v="1.1000000000000001"/>
    <m/>
    <d v="2020-01-20T00:00:00"/>
    <m/>
    <m/>
    <x v="12"/>
    <m/>
    <x v="29"/>
    <d v="2020-01-20T00:00:00"/>
    <x v="5"/>
    <x v="12"/>
    <x v="105"/>
    <n v="7.5"/>
    <n v="1"/>
    <n v="2020"/>
    <n v="5"/>
    <s v="2020-5"/>
  </r>
  <r>
    <n v="0.10000000000000009"/>
    <m/>
    <d v="2020-01-17T00:00:00"/>
    <m/>
    <m/>
    <x v="12"/>
    <m/>
    <x v="30"/>
    <d v="2020-01-17T00:00:00"/>
    <x v="1"/>
    <x v="12"/>
    <x v="111"/>
    <n v="7.5"/>
    <n v="5"/>
    <n v="2020"/>
    <n v="4"/>
    <s v="2020-4"/>
  </r>
  <r>
    <n v="0.10000000000000009"/>
    <m/>
    <d v="2020-01-16T00:00:00"/>
    <m/>
    <m/>
    <x v="12"/>
    <m/>
    <x v="30"/>
    <d v="2020-01-16T00:00:00"/>
    <x v="2"/>
    <x v="12"/>
    <x v="111"/>
    <n v="7.5"/>
    <n v="4"/>
    <n v="2020"/>
    <n v="4"/>
    <s v="2020-4"/>
  </r>
  <r>
    <n v="0.10000000000000009"/>
    <m/>
    <d v="2020-01-15T00:00:00"/>
    <m/>
    <m/>
    <x v="10"/>
    <m/>
    <x v="30"/>
    <d v="2020-01-15T00:00:00"/>
    <x v="3"/>
    <x v="10"/>
    <x v="112"/>
    <n v="7.5"/>
    <n v="3"/>
    <n v="2020"/>
    <n v="4"/>
    <s v="2020-4"/>
  </r>
  <r>
    <n v="0.10000000000000009"/>
    <m/>
    <d v="2020-01-14T00:00:00"/>
    <m/>
    <m/>
    <x v="12"/>
    <m/>
    <x v="30"/>
    <d v="2020-01-14T00:00:00"/>
    <x v="4"/>
    <x v="12"/>
    <x v="111"/>
    <n v="7.5"/>
    <n v="2"/>
    <n v="2020"/>
    <n v="4"/>
    <s v="2020-4"/>
  </r>
  <r>
    <n v="0.10000000000000009"/>
    <m/>
    <d v="2020-01-13T00:00:00"/>
    <m/>
    <m/>
    <x v="12"/>
    <m/>
    <x v="30"/>
    <d v="2020-01-13T00:00:00"/>
    <x v="5"/>
    <x v="12"/>
    <x v="111"/>
    <n v="7.5"/>
    <n v="1"/>
    <n v="2020"/>
    <n v="4"/>
    <s v="2020-4"/>
  </r>
  <r>
    <n v="1.1000000000000001"/>
    <m/>
    <d v="2020-01-10T00:00:00"/>
    <m/>
    <m/>
    <x v="12"/>
    <m/>
    <x v="31"/>
    <d v="2020-01-10T00:00:00"/>
    <x v="1"/>
    <x v="12"/>
    <x v="111"/>
    <n v="7.5"/>
    <n v="5"/>
    <n v="2020"/>
    <n v="3"/>
    <s v="2020-3"/>
  </r>
  <r>
    <n v="1.1000000000000001"/>
    <m/>
    <d v="2020-01-09T00:00:00"/>
    <m/>
    <m/>
    <x v="12"/>
    <m/>
    <x v="31"/>
    <d v="2020-01-09T00:00:00"/>
    <x v="2"/>
    <x v="12"/>
    <x v="111"/>
    <n v="3.75"/>
    <n v="4"/>
    <n v="2020"/>
    <n v="3"/>
    <s v="2020-3"/>
  </r>
  <r>
    <n v="1.1000000000000001"/>
    <m/>
    <d v="2020-01-09T00:00:00"/>
    <m/>
    <m/>
    <x v="13"/>
    <m/>
    <x v="31"/>
    <d v="2020-01-09T00:00:00"/>
    <x v="2"/>
    <x v="13"/>
    <x v="113"/>
    <n v="3.75"/>
    <n v="4"/>
    <n v="2020"/>
    <n v="3"/>
    <s v="2020-3"/>
  </r>
  <r>
    <n v="1.1000000000000001"/>
    <m/>
    <d v="2020-01-08T00:00:00"/>
    <m/>
    <m/>
    <x v="13"/>
    <m/>
    <x v="31"/>
    <d v="2020-01-08T00:00:00"/>
    <x v="3"/>
    <x v="13"/>
    <x v="114"/>
    <n v="7.5"/>
    <n v="3"/>
    <n v="2020"/>
    <n v="3"/>
    <s v="2020-3"/>
  </r>
  <r>
    <n v="1.1000000000000001"/>
    <m/>
    <d v="2020-01-07T00:00:00"/>
    <m/>
    <m/>
    <x v="13"/>
    <m/>
    <x v="31"/>
    <d v="2020-01-07T00:00:00"/>
    <x v="4"/>
    <x v="13"/>
    <x v="112"/>
    <n v="3.5"/>
    <n v="2"/>
    <n v="2020"/>
    <n v="3"/>
    <s v="2020-3"/>
  </r>
  <r>
    <n v="1.1000000000000001"/>
    <m/>
    <d v="2020-01-07T00:00:00"/>
    <m/>
    <m/>
    <x v="12"/>
    <m/>
    <x v="31"/>
    <d v="2020-01-07T00:00:00"/>
    <x v="4"/>
    <x v="12"/>
    <x v="111"/>
    <n v="4"/>
    <n v="2"/>
    <n v="2020"/>
    <n v="3"/>
    <s v="2020-3"/>
  </r>
  <r>
    <n v="1.1000000000000001"/>
    <m/>
    <d v="2020-01-06T00:00:00"/>
    <m/>
    <m/>
    <x v="12"/>
    <m/>
    <x v="31"/>
    <d v="2020-01-06T00:00:00"/>
    <x v="5"/>
    <x v="12"/>
    <x v="111"/>
    <n v="7.5"/>
    <n v="1"/>
    <n v="2020"/>
    <n v="3"/>
    <s v="2020-3"/>
  </r>
  <r>
    <n v="0.10000000000000009"/>
    <m/>
    <d v="2020-01-03T00:00:00"/>
    <m/>
    <m/>
    <x v="1"/>
    <m/>
    <x v="32"/>
    <d v="2020-01-03T00:00:00"/>
    <x v="1"/>
    <x v="1"/>
    <x v="0"/>
    <n v="7.5"/>
    <n v="5"/>
    <n v="2020"/>
    <n v="2"/>
    <s v="2020-2"/>
  </r>
  <r>
    <n v="0.10000000000000009"/>
    <m/>
    <d v="2020-01-02T00:00:00"/>
    <m/>
    <m/>
    <x v="1"/>
    <m/>
    <x v="32"/>
    <d v="2020-01-02T00:00:00"/>
    <x v="2"/>
    <x v="1"/>
    <x v="0"/>
    <n v="7.5"/>
    <n v="4"/>
    <n v="2020"/>
    <n v="2"/>
    <s v="2020-2"/>
  </r>
  <r>
    <n v="0.10000000000000009"/>
    <m/>
    <d v="2020-01-01T00:00:00"/>
    <m/>
    <m/>
    <x v="8"/>
    <m/>
    <x v="32"/>
    <d v="2020-01-01T00:00:00"/>
    <x v="3"/>
    <x v="8"/>
    <x v="0"/>
    <n v="7.5"/>
    <n v="3"/>
    <n v="2020"/>
    <n v="2"/>
    <s v="2020-2"/>
  </r>
  <r>
    <n v="0.10000000000000009"/>
    <m/>
    <d v="2019-12-31T00:00:00"/>
    <m/>
    <m/>
    <x v="1"/>
    <m/>
    <x v="32"/>
    <d v="2019-12-31T00:00:00"/>
    <x v="4"/>
    <x v="1"/>
    <x v="0"/>
    <n v="7.5"/>
    <n v="2"/>
    <n v="2020"/>
    <n v="2"/>
    <s v="2020-2"/>
  </r>
  <r>
    <n v="0.10000000000000009"/>
    <m/>
    <d v="2019-12-30T00:00:00"/>
    <m/>
    <m/>
    <x v="1"/>
    <m/>
    <x v="32"/>
    <d v="2019-12-30T00:00:00"/>
    <x v="5"/>
    <x v="1"/>
    <x v="0"/>
    <n v="7.5"/>
    <n v="1"/>
    <n v="2020"/>
    <n v="2"/>
    <s v="2020-2"/>
  </r>
  <r>
    <n v="1.1000000000000001"/>
    <m/>
    <d v="2019-12-27T00:00:00"/>
    <m/>
    <m/>
    <x v="1"/>
    <m/>
    <x v="33"/>
    <d v="2019-12-27T00:00:00"/>
    <x v="1"/>
    <x v="1"/>
    <x v="0"/>
    <n v="7.5"/>
    <n v="5"/>
    <n v="2019"/>
    <n v="53"/>
    <s v="2019-53"/>
  </r>
  <r>
    <n v="1.1000000000000001"/>
    <m/>
    <d v="2019-12-26T00:00:00"/>
    <m/>
    <m/>
    <x v="8"/>
    <m/>
    <x v="33"/>
    <d v="2019-12-26T00:00:00"/>
    <x v="2"/>
    <x v="8"/>
    <x v="0"/>
    <n v="7.5"/>
    <n v="4"/>
    <n v="2019"/>
    <n v="53"/>
    <s v="2019-53"/>
  </r>
  <r>
    <n v="1.1000000000000001"/>
    <m/>
    <d v="2019-12-25T00:00:00"/>
    <m/>
    <m/>
    <x v="8"/>
    <m/>
    <x v="33"/>
    <d v="2019-12-25T00:00:00"/>
    <x v="3"/>
    <x v="8"/>
    <x v="0"/>
    <n v="7.5"/>
    <n v="3"/>
    <n v="2019"/>
    <n v="53"/>
    <s v="2019-53"/>
  </r>
  <r>
    <n v="1.1000000000000001"/>
    <m/>
    <d v="2019-12-24T00:00:00"/>
    <m/>
    <m/>
    <x v="12"/>
    <m/>
    <x v="33"/>
    <d v="2019-12-24T00:00:00"/>
    <x v="4"/>
    <x v="12"/>
    <x v="115"/>
    <n v="7.5"/>
    <n v="2"/>
    <n v="2019"/>
    <n v="53"/>
    <s v="2019-53"/>
  </r>
  <r>
    <n v="1.1000000000000001"/>
    <m/>
    <d v="2019-12-23T00:00:00"/>
    <m/>
    <m/>
    <x v="12"/>
    <m/>
    <x v="33"/>
    <d v="2019-12-23T00:00:00"/>
    <x v="5"/>
    <x v="12"/>
    <x v="115"/>
    <n v="7.5"/>
    <n v="1"/>
    <n v="2019"/>
    <n v="53"/>
    <s v="2019-53"/>
  </r>
  <r>
    <n v="0.10000000000000009"/>
    <m/>
    <d v="2019-12-16T00:00:00"/>
    <m/>
    <m/>
    <x v="12"/>
    <m/>
    <x v="34"/>
    <d v="2019-12-16T00:00:00"/>
    <x v="5"/>
    <x v="12"/>
    <x v="116"/>
    <n v="5.5"/>
    <n v="1"/>
    <n v="2019"/>
    <n v="52"/>
    <s v="2019-52"/>
  </r>
  <r>
    <n v="0.10000000000000009"/>
    <m/>
    <d v="2019-12-16T00:00:00"/>
    <m/>
    <m/>
    <x v="12"/>
    <m/>
    <x v="34"/>
    <d v="2019-12-16T00:00:00"/>
    <x v="5"/>
    <x v="12"/>
    <x v="117"/>
    <n v="2"/>
    <n v="1"/>
    <n v="2019"/>
    <n v="52"/>
    <s v="2019-52"/>
  </r>
  <r>
    <n v="0.10000000000000009"/>
    <m/>
    <d v="2019-12-17T00:00:00"/>
    <m/>
    <m/>
    <x v="12"/>
    <m/>
    <x v="34"/>
    <d v="2019-12-17T00:00:00"/>
    <x v="4"/>
    <x v="12"/>
    <x v="116"/>
    <n v="7.5"/>
    <n v="2"/>
    <n v="2019"/>
    <n v="52"/>
    <s v="2019-52"/>
  </r>
  <r>
    <n v="0.10000000000000009"/>
    <m/>
    <d v="2019-12-18T00:00:00"/>
    <m/>
    <m/>
    <x v="13"/>
    <m/>
    <x v="34"/>
    <d v="2019-12-18T00:00:00"/>
    <x v="3"/>
    <x v="13"/>
    <x v="118"/>
    <n v="7.5"/>
    <n v="3"/>
    <n v="2019"/>
    <n v="52"/>
    <s v="2019-52"/>
  </r>
  <r>
    <n v="0.10000000000000009"/>
    <m/>
    <d v="2019-12-19T00:00:00"/>
    <m/>
    <m/>
    <x v="12"/>
    <m/>
    <x v="34"/>
    <d v="2019-12-19T00:00:00"/>
    <x v="2"/>
    <x v="12"/>
    <x v="119"/>
    <n v="7.5"/>
    <n v="4"/>
    <n v="2019"/>
    <n v="52"/>
    <s v="2019-52"/>
  </r>
  <r>
    <n v="0.10000000000000009"/>
    <m/>
    <d v="2019-12-20T00:00:00"/>
    <m/>
    <m/>
    <x v="14"/>
    <m/>
    <x v="34"/>
    <d v="2019-12-20T00:00:00"/>
    <x v="1"/>
    <x v="14"/>
    <x v="120"/>
    <n v="4"/>
    <n v="5"/>
    <n v="2019"/>
    <n v="52"/>
    <s v="2019-52"/>
  </r>
  <r>
    <n v="0.10000000000000009"/>
    <m/>
    <d v="2019-12-20T00:00:00"/>
    <m/>
    <m/>
    <x v="12"/>
    <m/>
    <x v="34"/>
    <d v="2019-12-20T00:00:00"/>
    <x v="1"/>
    <x v="12"/>
    <x v="121"/>
    <n v="3.5"/>
    <n v="5"/>
    <n v="2019"/>
    <n v="52"/>
    <s v="2019-52"/>
  </r>
  <r>
    <n v="1.1000000000000001"/>
    <m/>
    <d v="2019-12-09T00:00:00"/>
    <m/>
    <m/>
    <x v="12"/>
    <m/>
    <x v="35"/>
    <d v="2019-12-09T00:00:00"/>
    <x v="5"/>
    <x v="12"/>
    <x v="122"/>
    <n v="7.5"/>
    <n v="1"/>
    <n v="2019"/>
    <n v="51"/>
    <s v="2019-51"/>
  </r>
  <r>
    <n v="1.1000000000000001"/>
    <m/>
    <d v="2019-12-10T00:00:00"/>
    <m/>
    <m/>
    <x v="12"/>
    <m/>
    <x v="35"/>
    <d v="2019-12-10T00:00:00"/>
    <x v="4"/>
    <x v="12"/>
    <x v="122"/>
    <n v="7.5"/>
    <n v="2"/>
    <n v="2019"/>
    <n v="51"/>
    <s v="2019-51"/>
  </r>
  <r>
    <n v="1.1000000000000001"/>
    <m/>
    <d v="2019-12-11T00:00:00"/>
    <m/>
    <m/>
    <x v="13"/>
    <m/>
    <x v="35"/>
    <d v="2019-12-11T00:00:00"/>
    <x v="3"/>
    <x v="13"/>
    <x v="118"/>
    <n v="7.5"/>
    <n v="3"/>
    <n v="2019"/>
    <n v="51"/>
    <s v="2019-51"/>
  </r>
  <r>
    <n v="1.1000000000000001"/>
    <m/>
    <d v="2019-12-12T00:00:00"/>
    <m/>
    <m/>
    <x v="14"/>
    <m/>
    <x v="35"/>
    <d v="2019-12-12T00:00:00"/>
    <x v="2"/>
    <x v="14"/>
    <x v="120"/>
    <n v="7.5"/>
    <n v="4"/>
    <n v="2019"/>
    <n v="51"/>
    <s v="2019-51"/>
  </r>
  <r>
    <n v="1.1000000000000001"/>
    <m/>
    <d v="2019-12-13T00:00:00"/>
    <m/>
    <m/>
    <x v="12"/>
    <m/>
    <x v="35"/>
    <d v="2019-12-13T00:00:00"/>
    <x v="1"/>
    <x v="12"/>
    <x v="116"/>
    <n v="7.5"/>
    <n v="5"/>
    <n v="2019"/>
    <n v="51"/>
    <s v="2019-51"/>
  </r>
  <r>
    <n v="0.10000000000000009"/>
    <m/>
    <d v="2019-12-02T00:00:00"/>
    <m/>
    <m/>
    <x v="12"/>
    <m/>
    <x v="36"/>
    <d v="2019-12-02T00:00:00"/>
    <x v="5"/>
    <x v="12"/>
    <x v="123"/>
    <n v="5.5"/>
    <n v="1"/>
    <n v="2019"/>
    <n v="50"/>
    <s v="2019-50"/>
  </r>
  <r>
    <n v="0.10000000000000009"/>
    <m/>
    <d v="2019-12-02T00:00:00"/>
    <m/>
    <m/>
    <x v="12"/>
    <m/>
    <x v="36"/>
    <d v="2019-12-02T00:00:00"/>
    <x v="5"/>
    <x v="12"/>
    <x v="117"/>
    <n v="2"/>
    <n v="1"/>
    <n v="2019"/>
    <n v="50"/>
    <s v="2019-50"/>
  </r>
  <r>
    <n v="0.10000000000000009"/>
    <m/>
    <d v="2019-12-03T00:00:00"/>
    <m/>
    <m/>
    <x v="13"/>
    <m/>
    <x v="36"/>
    <d v="2019-12-03T00:00:00"/>
    <x v="4"/>
    <x v="13"/>
    <x v="124"/>
    <n v="2.5"/>
    <n v="2"/>
    <n v="2019"/>
    <n v="50"/>
    <s v="2019-50"/>
  </r>
  <r>
    <n v="0.10000000000000009"/>
    <m/>
    <d v="2019-12-03T00:00:00"/>
    <m/>
    <m/>
    <x v="13"/>
    <m/>
    <x v="36"/>
    <d v="2019-12-03T00:00:00"/>
    <x v="4"/>
    <x v="13"/>
    <x v="125"/>
    <n v="2"/>
    <n v="2"/>
    <n v="2019"/>
    <n v="50"/>
    <s v="2019-50"/>
  </r>
  <r>
    <n v="0.10000000000000009"/>
    <m/>
    <d v="2019-12-03T00:00:00"/>
    <m/>
    <m/>
    <x v="12"/>
    <m/>
    <x v="36"/>
    <d v="2019-12-03T00:00:00"/>
    <x v="4"/>
    <x v="12"/>
    <x v="126"/>
    <n v="3"/>
    <n v="2"/>
    <n v="2019"/>
    <n v="50"/>
    <s v="2019-50"/>
  </r>
  <r>
    <n v="0.10000000000000009"/>
    <m/>
    <d v="2019-12-04T00:00:00"/>
    <m/>
    <m/>
    <x v="12"/>
    <m/>
    <x v="36"/>
    <d v="2019-12-04T00:00:00"/>
    <x v="3"/>
    <x v="12"/>
    <x v="123"/>
    <n v="2"/>
    <n v="3"/>
    <n v="2019"/>
    <n v="50"/>
    <s v="2019-50"/>
  </r>
  <r>
    <n v="0.10000000000000009"/>
    <m/>
    <d v="2019-12-04T00:00:00"/>
    <m/>
    <m/>
    <x v="13"/>
    <m/>
    <x v="36"/>
    <d v="2019-12-04T00:00:00"/>
    <x v="3"/>
    <x v="13"/>
    <x v="124"/>
    <n v="5.5"/>
    <n v="3"/>
    <n v="2019"/>
    <n v="50"/>
    <s v="2019-50"/>
  </r>
  <r>
    <n v="0.10000000000000009"/>
    <m/>
    <d v="2019-12-05T00:00:00"/>
    <m/>
    <m/>
    <x v="13"/>
    <m/>
    <x v="36"/>
    <d v="2019-12-05T00:00:00"/>
    <x v="2"/>
    <x v="13"/>
    <x v="124"/>
    <n v="2.5"/>
    <n v="4"/>
    <n v="2019"/>
    <n v="50"/>
    <s v="2019-50"/>
  </r>
  <r>
    <n v="0.10000000000000009"/>
    <m/>
    <d v="2019-12-05T00:00:00"/>
    <m/>
    <m/>
    <x v="13"/>
    <m/>
    <x v="36"/>
    <d v="2019-12-05T00:00:00"/>
    <x v="2"/>
    <x v="13"/>
    <x v="127"/>
    <n v="2"/>
    <n v="4"/>
    <n v="2019"/>
    <n v="50"/>
    <s v="2019-50"/>
  </r>
  <r>
    <n v="0.10000000000000009"/>
    <m/>
    <d v="2019-12-05T00:00:00"/>
    <m/>
    <m/>
    <x v="12"/>
    <m/>
    <x v="36"/>
    <d v="2019-12-05T00:00:00"/>
    <x v="2"/>
    <x v="12"/>
    <x v="128"/>
    <n v="3"/>
    <n v="4"/>
    <n v="2019"/>
    <n v="50"/>
    <s v="2019-50"/>
  </r>
  <r>
    <n v="0.10000000000000009"/>
    <m/>
    <d v="2019-12-06T00:00:00"/>
    <m/>
    <m/>
    <x v="12"/>
    <m/>
    <x v="36"/>
    <d v="2019-12-06T00:00:00"/>
    <x v="1"/>
    <x v="12"/>
    <x v="128"/>
    <n v="4.5"/>
    <n v="5"/>
    <n v="2019"/>
    <n v="50"/>
    <s v="2019-50"/>
  </r>
  <r>
    <n v="0.10000000000000009"/>
    <m/>
    <d v="2019-12-06T00:00:00"/>
    <m/>
    <m/>
    <x v="13"/>
    <m/>
    <x v="36"/>
    <d v="2019-12-06T00:00:00"/>
    <x v="1"/>
    <x v="13"/>
    <x v="124"/>
    <n v="3"/>
    <n v="5"/>
    <n v="2019"/>
    <n v="50"/>
    <s v="2019-50"/>
  </r>
  <r>
    <n v="1.1000000000000001"/>
    <m/>
    <d v="2019-11-25T00:00:00"/>
    <m/>
    <m/>
    <x v="12"/>
    <m/>
    <x v="37"/>
    <d v="2019-11-25T00:00:00"/>
    <x v="5"/>
    <x v="12"/>
    <x v="123"/>
    <n v="5.5"/>
    <n v="1"/>
    <n v="2019"/>
    <n v="49"/>
    <s v="2019-49"/>
  </r>
  <r>
    <n v="1.1000000000000001"/>
    <m/>
    <d v="2019-11-25T00:00:00"/>
    <m/>
    <m/>
    <x v="12"/>
    <m/>
    <x v="37"/>
    <d v="2019-11-25T00:00:00"/>
    <x v="5"/>
    <x v="12"/>
    <x v="117"/>
    <n v="2"/>
    <n v="1"/>
    <n v="2019"/>
    <n v="49"/>
    <s v="2019-49"/>
  </r>
  <r>
    <n v="1.1000000000000001"/>
    <m/>
    <d v="2019-11-26T00:00:00"/>
    <m/>
    <m/>
    <x v="13"/>
    <m/>
    <x v="37"/>
    <d v="2019-11-26T00:00:00"/>
    <x v="4"/>
    <x v="13"/>
    <x v="129"/>
    <n v="5.5"/>
    <n v="2"/>
    <n v="2019"/>
    <n v="49"/>
    <s v="2019-49"/>
  </r>
  <r>
    <n v="1.1000000000000001"/>
    <m/>
    <d v="2019-11-26T00:00:00"/>
    <m/>
    <m/>
    <x v="15"/>
    <m/>
    <x v="37"/>
    <d v="2019-11-26T00:00:00"/>
    <x v="4"/>
    <x v="15"/>
    <x v="130"/>
    <n v="2"/>
    <n v="2"/>
    <n v="2019"/>
    <n v="49"/>
    <s v="2019-49"/>
  </r>
  <r>
    <n v="1.1000000000000001"/>
    <m/>
    <d v="2019-11-27T00:00:00"/>
    <m/>
    <m/>
    <x v="12"/>
    <m/>
    <x v="37"/>
    <d v="2019-11-27T00:00:00"/>
    <x v="3"/>
    <x v="12"/>
    <x v="131"/>
    <n v="1"/>
    <n v="3"/>
    <n v="2019"/>
    <n v="49"/>
    <s v="2019-49"/>
  </r>
  <r>
    <n v="1.1000000000000001"/>
    <m/>
    <d v="2019-11-27T00:00:00"/>
    <m/>
    <m/>
    <x v="13"/>
    <m/>
    <x v="37"/>
    <d v="2019-11-27T00:00:00"/>
    <x v="3"/>
    <x v="13"/>
    <x v="132"/>
    <n v="2.5"/>
    <n v="3"/>
    <n v="2019"/>
    <n v="49"/>
    <s v="2019-49"/>
  </r>
  <r>
    <n v="1.1000000000000001"/>
    <m/>
    <d v="2019-11-27T00:00:00"/>
    <m/>
    <m/>
    <x v="12"/>
    <m/>
    <x v="37"/>
    <d v="2019-11-27T00:00:00"/>
    <x v="3"/>
    <x v="12"/>
    <x v="123"/>
    <n v="4"/>
    <n v="3"/>
    <n v="2019"/>
    <n v="49"/>
    <s v="2019-49"/>
  </r>
  <r>
    <n v="1.1000000000000001"/>
    <m/>
    <d v="2019-11-28T00:00:00"/>
    <m/>
    <m/>
    <x v="12"/>
    <m/>
    <x v="37"/>
    <d v="2019-11-28T00:00:00"/>
    <x v="2"/>
    <x v="12"/>
    <x v="123"/>
    <n v="7.5"/>
    <n v="4"/>
    <n v="2019"/>
    <n v="49"/>
    <s v="2019-49"/>
  </r>
  <r>
    <n v="1.1000000000000001"/>
    <m/>
    <d v="2019-11-29T00:00:00"/>
    <m/>
    <m/>
    <x v="13"/>
    <m/>
    <x v="37"/>
    <d v="2019-11-29T00:00:00"/>
    <x v="1"/>
    <x v="13"/>
    <x v="129"/>
    <n v="7.5"/>
    <n v="5"/>
    <n v="2019"/>
    <n v="49"/>
    <s v="2019-49"/>
  </r>
  <r>
    <n v="0.10000000000000009"/>
    <m/>
    <d v="2019-11-18T00:00:00"/>
    <m/>
    <m/>
    <x v="12"/>
    <m/>
    <x v="38"/>
    <d v="2019-11-18T00:00:00"/>
    <x v="5"/>
    <x v="12"/>
    <x v="133"/>
    <n v="5.5"/>
    <n v="1"/>
    <n v="2019"/>
    <n v="48"/>
    <s v="2019-48"/>
  </r>
  <r>
    <n v="0.10000000000000009"/>
    <m/>
    <d v="2019-11-18T00:00:00"/>
    <m/>
    <m/>
    <x v="12"/>
    <m/>
    <x v="38"/>
    <d v="2019-11-18T00:00:00"/>
    <x v="5"/>
    <x v="12"/>
    <x v="117"/>
    <n v="2"/>
    <n v="1"/>
    <n v="2019"/>
    <n v="48"/>
    <s v="2019-48"/>
  </r>
  <r>
    <n v="0.10000000000000009"/>
    <m/>
    <d v="2019-11-19T00:00:00"/>
    <m/>
    <m/>
    <x v="16"/>
    <m/>
    <x v="38"/>
    <d v="2019-11-19T00:00:00"/>
    <x v="4"/>
    <x v="16"/>
    <x v="134"/>
    <n v="2"/>
    <n v="2"/>
    <n v="2019"/>
    <n v="48"/>
    <s v="2019-48"/>
  </r>
  <r>
    <n v="0.10000000000000009"/>
    <m/>
    <d v="2019-11-19T00:00:00"/>
    <m/>
    <m/>
    <x v="13"/>
    <m/>
    <x v="38"/>
    <d v="2019-11-19T00:00:00"/>
    <x v="4"/>
    <x v="13"/>
    <x v="135"/>
    <n v="5.5"/>
    <n v="2"/>
    <n v="2019"/>
    <n v="48"/>
    <s v="2019-48"/>
  </r>
  <r>
    <n v="0.10000000000000009"/>
    <m/>
    <d v="2019-11-20T00:00:00"/>
    <m/>
    <m/>
    <x v="16"/>
    <m/>
    <x v="38"/>
    <d v="2019-11-20T00:00:00"/>
    <x v="3"/>
    <x v="16"/>
    <x v="136"/>
    <n v="3.75"/>
    <n v="3"/>
    <n v="2019"/>
    <n v="48"/>
    <s v="2019-48"/>
  </r>
  <r>
    <n v="0.10000000000000009"/>
    <m/>
    <d v="2019-11-20T00:00:00"/>
    <m/>
    <m/>
    <x v="13"/>
    <m/>
    <x v="38"/>
    <d v="2019-11-20T00:00:00"/>
    <x v="3"/>
    <x v="13"/>
    <x v="137"/>
    <n v="3.75"/>
    <n v="3"/>
    <n v="2019"/>
    <n v="48"/>
    <s v="2019-48"/>
  </r>
  <r>
    <n v="0.10000000000000009"/>
    <m/>
    <d v="2019-11-21T00:00:00"/>
    <m/>
    <m/>
    <x v="12"/>
    <m/>
    <x v="38"/>
    <d v="2019-11-21T00:00:00"/>
    <x v="2"/>
    <x v="12"/>
    <x v="138"/>
    <n v="3.75"/>
    <n v="4"/>
    <n v="2019"/>
    <n v="48"/>
    <s v="2019-48"/>
  </r>
  <r>
    <n v="0.10000000000000009"/>
    <m/>
    <d v="2019-11-21T00:00:00"/>
    <m/>
    <m/>
    <x v="13"/>
    <m/>
    <x v="38"/>
    <d v="2019-11-21T00:00:00"/>
    <x v="2"/>
    <x v="13"/>
    <x v="139"/>
    <n v="3.75"/>
    <n v="4"/>
    <n v="2019"/>
    <n v="48"/>
    <s v="2019-48"/>
  </r>
  <r>
    <n v="0.10000000000000009"/>
    <m/>
    <d v="2019-11-22T00:00:00"/>
    <m/>
    <m/>
    <x v="12"/>
    <m/>
    <x v="38"/>
    <d v="2019-11-22T00:00:00"/>
    <x v="1"/>
    <x v="12"/>
    <x v="140"/>
    <n v="5.5"/>
    <n v="5"/>
    <n v="2019"/>
    <n v="48"/>
    <s v="2019-48"/>
  </r>
  <r>
    <n v="0.10000000000000009"/>
    <m/>
    <d v="2019-11-22T00:00:00"/>
    <m/>
    <m/>
    <x v="15"/>
    <m/>
    <x v="38"/>
    <d v="2019-11-22T00:00:00"/>
    <x v="1"/>
    <x v="15"/>
    <x v="0"/>
    <n v="2"/>
    <n v="5"/>
    <n v="2019"/>
    <n v="48"/>
    <s v="2019-48"/>
  </r>
  <r>
    <n v="1.1000000000000001"/>
    <m/>
    <d v="2019-11-11T00:00:00"/>
    <m/>
    <m/>
    <x v="13"/>
    <m/>
    <x v="39"/>
    <d v="2019-11-11T00:00:00"/>
    <x v="5"/>
    <x v="13"/>
    <x v="141"/>
    <n v="2.5"/>
    <n v="1"/>
    <n v="2019"/>
    <n v="47"/>
    <s v="2019-47"/>
  </r>
  <r>
    <n v="1.1000000000000001"/>
    <m/>
    <d v="2019-11-12T00:00:00"/>
    <m/>
    <m/>
    <x v="12"/>
    <m/>
    <x v="39"/>
    <d v="2019-11-12T00:00:00"/>
    <x v="4"/>
    <x v="12"/>
    <x v="142"/>
    <n v="5"/>
    <n v="2"/>
    <n v="2019"/>
    <n v="47"/>
    <s v="2019-47"/>
  </r>
  <r>
    <n v="1.1000000000000001"/>
    <m/>
    <d v="2019-11-12T00:00:00"/>
    <m/>
    <m/>
    <x v="12"/>
    <m/>
    <x v="39"/>
    <d v="2019-11-12T00:00:00"/>
    <x v="4"/>
    <x v="12"/>
    <x v="143"/>
    <n v="7.5"/>
    <n v="2"/>
    <n v="2019"/>
    <n v="47"/>
    <s v="2019-47"/>
  </r>
  <r>
    <n v="1.1000000000000001"/>
    <m/>
    <d v="2019-11-13T00:00:00"/>
    <m/>
    <m/>
    <x v="13"/>
    <m/>
    <x v="39"/>
    <d v="2019-11-13T00:00:00"/>
    <x v="3"/>
    <x v="13"/>
    <x v="144"/>
    <n v="7.5"/>
    <n v="3"/>
    <n v="2019"/>
    <n v="47"/>
    <s v="2019-47"/>
  </r>
  <r>
    <n v="1.1000000000000001"/>
    <m/>
    <d v="2019-11-14T00:00:00"/>
    <m/>
    <m/>
    <x v="12"/>
    <m/>
    <x v="39"/>
    <d v="2019-11-14T00:00:00"/>
    <x v="2"/>
    <x v="12"/>
    <x v="145"/>
    <n v="7.5"/>
    <n v="4"/>
    <n v="2019"/>
    <n v="47"/>
    <s v="2019-47"/>
  </r>
  <r>
    <n v="1.1000000000000001"/>
    <m/>
    <d v="2019-11-15T00:00:00"/>
    <m/>
    <m/>
    <x v="12"/>
    <m/>
    <x v="39"/>
    <d v="2019-11-15T00:00:00"/>
    <x v="1"/>
    <x v="12"/>
    <x v="145"/>
    <n v="7.5"/>
    <n v="5"/>
    <n v="2019"/>
    <n v="47"/>
    <s v="2019-47"/>
  </r>
  <r>
    <n v="0.10000000000000009"/>
    <m/>
    <d v="2019-11-04T00:00:00"/>
    <m/>
    <m/>
    <x v="12"/>
    <m/>
    <x v="40"/>
    <d v="2019-11-04T00:00:00"/>
    <x v="5"/>
    <x v="12"/>
    <x v="146"/>
    <n v="5.5"/>
    <n v="1"/>
    <n v="2019"/>
    <n v="46"/>
    <s v="2019-46"/>
  </r>
  <r>
    <n v="0.10000000000000009"/>
    <m/>
    <d v="2019-11-04T00:00:00"/>
    <m/>
    <m/>
    <x v="12"/>
    <m/>
    <x v="40"/>
    <d v="2019-11-04T00:00:00"/>
    <x v="5"/>
    <x v="12"/>
    <x v="117"/>
    <n v="2"/>
    <n v="1"/>
    <n v="2019"/>
    <n v="46"/>
    <s v="2019-46"/>
  </r>
  <r>
    <n v="0.10000000000000009"/>
    <m/>
    <d v="2019-11-05T00:00:00"/>
    <m/>
    <m/>
    <x v="17"/>
    <m/>
    <x v="40"/>
    <d v="2019-11-05T00:00:00"/>
    <x v="4"/>
    <x v="17"/>
    <x v="147"/>
    <n v="2"/>
    <n v="2"/>
    <n v="2019"/>
    <n v="46"/>
    <s v="2019-46"/>
  </r>
  <r>
    <n v="0.10000000000000009"/>
    <m/>
    <d v="2019-11-05T00:00:00"/>
    <m/>
    <m/>
    <x v="12"/>
    <m/>
    <x v="40"/>
    <d v="2019-11-05T00:00:00"/>
    <x v="4"/>
    <x v="12"/>
    <x v="148"/>
    <n v="5.5"/>
    <n v="2"/>
    <n v="2019"/>
    <n v="46"/>
    <s v="2019-46"/>
  </r>
  <r>
    <n v="0.10000000000000009"/>
    <m/>
    <d v="2019-11-06T00:00:00"/>
    <m/>
    <m/>
    <x v="13"/>
    <m/>
    <x v="40"/>
    <d v="2019-11-06T00:00:00"/>
    <x v="3"/>
    <x v="13"/>
    <x v="149"/>
    <n v="3.75"/>
    <n v="3"/>
    <n v="2019"/>
    <n v="46"/>
    <s v="2019-46"/>
  </r>
  <r>
    <n v="0.10000000000000009"/>
    <m/>
    <d v="2019-11-06T00:00:00"/>
    <m/>
    <m/>
    <x v="12"/>
    <m/>
    <x v="40"/>
    <d v="2019-11-06T00:00:00"/>
    <x v="3"/>
    <x v="12"/>
    <x v="148"/>
    <n v="3.75"/>
    <n v="3"/>
    <n v="2019"/>
    <n v="46"/>
    <s v="2019-46"/>
  </r>
  <r>
    <n v="0.10000000000000009"/>
    <m/>
    <d v="2019-11-07T00:00:00"/>
    <m/>
    <m/>
    <x v="12"/>
    <m/>
    <x v="40"/>
    <d v="2019-11-07T00:00:00"/>
    <x v="2"/>
    <x v="12"/>
    <x v="150"/>
    <n v="3.75"/>
    <n v="4"/>
    <n v="2019"/>
    <n v="46"/>
    <s v="2019-46"/>
  </r>
  <r>
    <n v="0.10000000000000009"/>
    <m/>
    <d v="2019-11-07T00:00:00"/>
    <m/>
    <m/>
    <x v="13"/>
    <m/>
    <x v="40"/>
    <d v="2019-11-07T00:00:00"/>
    <x v="2"/>
    <x v="13"/>
    <x v="151"/>
    <n v="3.75"/>
    <n v="4"/>
    <n v="2019"/>
    <n v="46"/>
    <s v="2019-46"/>
  </r>
  <r>
    <n v="0.10000000000000009"/>
    <m/>
    <d v="2019-11-08T00:00:00"/>
    <m/>
    <m/>
    <x v="13"/>
    <m/>
    <x v="40"/>
    <d v="2019-11-08T00:00:00"/>
    <x v="1"/>
    <x v="13"/>
    <x v="152"/>
    <n v="3.75"/>
    <n v="5"/>
    <n v="2019"/>
    <n v="46"/>
    <s v="2019-46"/>
  </r>
  <r>
    <n v="0.10000000000000009"/>
    <m/>
    <d v="2019-11-08T00:00:00"/>
    <m/>
    <m/>
    <x v="12"/>
    <m/>
    <x v="40"/>
    <d v="2019-11-08T00:00:00"/>
    <x v="1"/>
    <x v="12"/>
    <x v="133"/>
    <n v="3.75"/>
    <n v="5"/>
    <n v="2019"/>
    <n v="46"/>
    <s v="2019-46"/>
  </r>
  <r>
    <n v="1.1000000000000001"/>
    <m/>
    <d v="2019-10-28T00:00:00"/>
    <m/>
    <m/>
    <x v="12"/>
    <m/>
    <x v="41"/>
    <d v="2019-10-28T00:00:00"/>
    <x v="5"/>
    <x v="12"/>
    <x v="153"/>
    <n v="5"/>
    <n v="1"/>
    <n v="2019"/>
    <n v="45"/>
    <s v="2019-45"/>
  </r>
  <r>
    <n v="1.1000000000000001"/>
    <m/>
    <d v="2019-10-28T00:00:00"/>
    <m/>
    <m/>
    <x v="12"/>
    <m/>
    <x v="41"/>
    <d v="2019-10-28T00:00:00"/>
    <x v="5"/>
    <x v="12"/>
    <x v="117"/>
    <n v="2.5"/>
    <n v="1"/>
    <n v="2019"/>
    <n v="45"/>
    <s v="2019-45"/>
  </r>
  <r>
    <n v="1.1000000000000001"/>
    <m/>
    <d v="2019-10-29T00:00:00"/>
    <m/>
    <m/>
    <x v="12"/>
    <m/>
    <x v="41"/>
    <d v="2019-10-29T00:00:00"/>
    <x v="4"/>
    <x v="12"/>
    <x v="146"/>
    <n v="7.5"/>
    <n v="2"/>
    <n v="2019"/>
    <n v="45"/>
    <s v="2019-45"/>
  </r>
  <r>
    <n v="1.1000000000000001"/>
    <m/>
    <d v="2019-10-30T00:00:00"/>
    <m/>
    <m/>
    <x v="12"/>
    <m/>
    <x v="41"/>
    <d v="2019-10-30T00:00:00"/>
    <x v="3"/>
    <x v="12"/>
    <x v="153"/>
    <n v="7.5"/>
    <n v="3"/>
    <n v="2019"/>
    <n v="45"/>
    <s v="2019-45"/>
  </r>
  <r>
    <n v="1.1000000000000001"/>
    <m/>
    <d v="2019-10-31T00:00:00"/>
    <m/>
    <m/>
    <x v="13"/>
    <m/>
    <x v="41"/>
    <d v="2019-10-31T00:00:00"/>
    <x v="2"/>
    <x v="13"/>
    <x v="154"/>
    <n v="2"/>
    <n v="4"/>
    <n v="2019"/>
    <n v="45"/>
    <s v="2019-45"/>
  </r>
  <r>
    <n v="1.1000000000000001"/>
    <m/>
    <d v="2019-10-31T00:00:00"/>
    <m/>
    <m/>
    <x v="13"/>
    <m/>
    <x v="41"/>
    <d v="2019-10-31T00:00:00"/>
    <x v="2"/>
    <x v="13"/>
    <x v="137"/>
    <n v="5.5"/>
    <n v="4"/>
    <n v="2019"/>
    <n v="45"/>
    <s v="2019-45"/>
  </r>
  <r>
    <n v="1.1000000000000001"/>
    <m/>
    <d v="2019-11-01T00:00:00"/>
    <m/>
    <m/>
    <x v="12"/>
    <m/>
    <x v="41"/>
    <d v="2019-11-01T00:00:00"/>
    <x v="1"/>
    <x v="12"/>
    <x v="146"/>
    <n v="7.5"/>
    <n v="5"/>
    <n v="2019"/>
    <n v="45"/>
    <s v="2019-45"/>
  </r>
  <r>
    <n v="0.10000000000000009"/>
    <m/>
    <d v="2019-10-21T00:00:00"/>
    <m/>
    <m/>
    <x v="12"/>
    <m/>
    <x v="42"/>
    <d v="2019-10-21T00:00:00"/>
    <x v="5"/>
    <x v="12"/>
    <x v="153"/>
    <n v="5"/>
    <n v="1"/>
    <n v="2019"/>
    <n v="44"/>
    <s v="2019-44"/>
  </r>
  <r>
    <n v="0.10000000000000009"/>
    <m/>
    <d v="2019-10-22T00:00:00"/>
    <m/>
    <m/>
    <x v="18"/>
    <m/>
    <x v="42"/>
    <d v="2019-10-22T00:00:00"/>
    <x v="4"/>
    <x v="18"/>
    <x v="155"/>
    <n v="2.5"/>
    <n v="2"/>
    <n v="2019"/>
    <n v="44"/>
    <s v="2019-44"/>
  </r>
  <r>
    <n v="0.10000000000000009"/>
    <m/>
    <d v="2019-10-22T00:00:00"/>
    <m/>
    <m/>
    <x v="12"/>
    <m/>
    <x v="42"/>
    <d v="2019-10-22T00:00:00"/>
    <x v="4"/>
    <x v="12"/>
    <x v="153"/>
    <n v="7.5"/>
    <n v="2"/>
    <n v="2019"/>
    <n v="44"/>
    <s v="2019-44"/>
  </r>
  <r>
    <n v="0.10000000000000009"/>
    <m/>
    <d v="2019-10-23T00:00:00"/>
    <m/>
    <m/>
    <x v="19"/>
    <m/>
    <x v="42"/>
    <d v="2019-10-23T00:00:00"/>
    <x v="3"/>
    <x v="19"/>
    <x v="156"/>
    <n v="7.5"/>
    <n v="3"/>
    <n v="2019"/>
    <n v="44"/>
    <s v="2019-44"/>
  </r>
  <r>
    <n v="0.10000000000000009"/>
    <m/>
    <d v="2019-10-24T00:00:00"/>
    <m/>
    <m/>
    <x v="13"/>
    <m/>
    <x v="42"/>
    <d v="2019-10-24T00:00:00"/>
    <x v="2"/>
    <x v="13"/>
    <x v="154"/>
    <n v="7.5"/>
    <n v="4"/>
    <n v="2019"/>
    <n v="44"/>
    <s v="2019-44"/>
  </r>
  <r>
    <n v="0.10000000000000009"/>
    <m/>
    <d v="2019-10-25T00:00:00"/>
    <m/>
    <m/>
    <x v="12"/>
    <m/>
    <x v="42"/>
    <d v="2019-10-25T00:00:00"/>
    <x v="1"/>
    <x v="12"/>
    <x v="153"/>
    <n v="7.5"/>
    <n v="5"/>
    <n v="2019"/>
    <n v="44"/>
    <s v="2019-44"/>
  </r>
  <r>
    <n v="1.1000000000000001"/>
    <m/>
    <d v="2019-10-14T00:00:00"/>
    <m/>
    <m/>
    <x v="12"/>
    <m/>
    <x v="43"/>
    <d v="2019-10-14T00:00:00"/>
    <x v="5"/>
    <x v="12"/>
    <x v="117"/>
    <n v="3.75"/>
    <n v="1"/>
    <n v="2019"/>
    <n v="43"/>
    <s v="2019-43"/>
  </r>
  <r>
    <n v="1.1000000000000001"/>
    <m/>
    <d v="2019-10-14T00:00:00"/>
    <m/>
    <m/>
    <x v="18"/>
    <m/>
    <x v="43"/>
    <d v="2019-10-14T00:00:00"/>
    <x v="5"/>
    <x v="18"/>
    <x v="157"/>
    <n v="3.75"/>
    <n v="1"/>
    <n v="2019"/>
    <n v="43"/>
    <s v="2019-43"/>
  </r>
  <r>
    <n v="1.1000000000000001"/>
    <m/>
    <d v="2019-10-15T00:00:00"/>
    <m/>
    <m/>
    <x v="18"/>
    <m/>
    <x v="43"/>
    <d v="2019-10-15T00:00:00"/>
    <x v="4"/>
    <x v="18"/>
    <x v="157"/>
    <n v="7.5"/>
    <n v="2"/>
    <n v="2019"/>
    <n v="43"/>
    <s v="2019-43"/>
  </r>
  <r>
    <n v="1.1000000000000001"/>
    <m/>
    <d v="2019-10-16T00:00:00"/>
    <m/>
    <m/>
    <x v="20"/>
    <m/>
    <x v="43"/>
    <d v="2019-10-16T00:00:00"/>
    <x v="3"/>
    <x v="20"/>
    <x v="158"/>
    <n v="7.5"/>
    <n v="3"/>
    <n v="2019"/>
    <n v="43"/>
    <s v="2019-43"/>
  </r>
  <r>
    <n v="1.1000000000000001"/>
    <m/>
    <d v="2019-10-17T00:00:00"/>
    <m/>
    <m/>
    <x v="13"/>
    <m/>
    <x v="43"/>
    <d v="2019-10-17T00:00:00"/>
    <x v="2"/>
    <x v="13"/>
    <x v="159"/>
    <n v="3.75"/>
    <n v="4"/>
    <n v="2019"/>
    <n v="43"/>
    <s v="2019-43"/>
  </r>
  <r>
    <n v="1.1000000000000001"/>
    <m/>
    <d v="2019-10-17T00:00:00"/>
    <m/>
    <m/>
    <x v="13"/>
    <m/>
    <x v="43"/>
    <d v="2019-10-17T00:00:00"/>
    <x v="2"/>
    <x v="13"/>
    <x v="160"/>
    <n v="3.75"/>
    <n v="4"/>
    <n v="2019"/>
    <n v="43"/>
    <s v="2019-43"/>
  </r>
  <r>
    <n v="1.1000000000000001"/>
    <m/>
    <d v="2019-10-18T00:00:00"/>
    <m/>
    <m/>
    <x v="20"/>
    <m/>
    <x v="43"/>
    <d v="2019-10-18T00:00:00"/>
    <x v="1"/>
    <x v="20"/>
    <x v="158"/>
    <n v="2"/>
    <n v="5"/>
    <n v="2019"/>
    <n v="43"/>
    <s v="2019-43"/>
  </r>
  <r>
    <n v="1.1000000000000001"/>
    <m/>
    <d v="2019-10-18T00:00:00"/>
    <m/>
    <m/>
    <x v="12"/>
    <m/>
    <x v="43"/>
    <d v="2019-10-18T00:00:00"/>
    <x v="1"/>
    <x v="12"/>
    <x v="133"/>
    <n v="5.5"/>
    <n v="5"/>
    <n v="2019"/>
    <n v="43"/>
    <s v="2019-43"/>
  </r>
  <r>
    <n v="0.10000000000000009"/>
    <m/>
    <d v="2019-10-07T00:00:00"/>
    <m/>
    <m/>
    <x v="12"/>
    <m/>
    <x v="44"/>
    <d v="2019-10-07T00:00:00"/>
    <x v="5"/>
    <x v="12"/>
    <x v="117"/>
    <n v="2"/>
    <n v="1"/>
    <n v="2019"/>
    <n v="42"/>
    <s v="2019-42"/>
  </r>
  <r>
    <n v="0.10000000000000009"/>
    <m/>
    <d v="2019-10-07T00:00:00"/>
    <m/>
    <m/>
    <x v="12"/>
    <m/>
    <x v="44"/>
    <d v="2019-10-07T00:00:00"/>
    <x v="5"/>
    <x v="12"/>
    <x v="133"/>
    <n v="5.5"/>
    <n v="1"/>
    <n v="2019"/>
    <n v="42"/>
    <s v="2019-42"/>
  </r>
  <r>
    <n v="0.10000000000000009"/>
    <m/>
    <d v="2019-10-08T00:00:00"/>
    <m/>
    <m/>
    <x v="18"/>
    <m/>
    <x v="44"/>
    <d v="2019-10-08T00:00:00"/>
    <x v="4"/>
    <x v="18"/>
    <x v="161"/>
    <n v="3.5"/>
    <n v="2"/>
    <n v="2019"/>
    <n v="42"/>
    <s v="2019-42"/>
  </r>
  <r>
    <n v="0.10000000000000009"/>
    <m/>
    <d v="2019-10-08T00:00:00"/>
    <m/>
    <m/>
    <x v="13"/>
    <m/>
    <x v="44"/>
    <d v="2019-10-08T00:00:00"/>
    <x v="4"/>
    <x v="13"/>
    <x v="162"/>
    <n v="4"/>
    <n v="2"/>
    <n v="2019"/>
    <n v="42"/>
    <s v="2019-42"/>
  </r>
  <r>
    <n v="0.10000000000000009"/>
    <m/>
    <d v="2019-10-09T00:00:00"/>
    <m/>
    <m/>
    <x v="18"/>
    <m/>
    <x v="44"/>
    <d v="2019-10-09T00:00:00"/>
    <x v="3"/>
    <x v="18"/>
    <x v="163"/>
    <n v="7.5"/>
    <n v="3"/>
    <n v="2019"/>
    <n v="42"/>
    <s v="2019-42"/>
  </r>
  <r>
    <n v="0.10000000000000009"/>
    <m/>
    <d v="2019-10-10T00:00:00"/>
    <m/>
    <m/>
    <x v="13"/>
    <m/>
    <x v="44"/>
    <d v="2019-10-10T00:00:00"/>
    <x v="2"/>
    <x v="13"/>
    <x v="164"/>
    <n v="3"/>
    <n v="4"/>
    <n v="2019"/>
    <n v="42"/>
    <s v="2019-42"/>
  </r>
  <r>
    <n v="0.10000000000000009"/>
    <m/>
    <d v="2019-10-10T00:00:00"/>
    <m/>
    <m/>
    <x v="13"/>
    <m/>
    <x v="44"/>
    <d v="2019-10-10T00:00:00"/>
    <x v="2"/>
    <x v="13"/>
    <x v="165"/>
    <n v="4.5"/>
    <n v="4"/>
    <n v="2019"/>
    <n v="42"/>
    <s v="2019-42"/>
  </r>
  <r>
    <n v="0.10000000000000009"/>
    <m/>
    <d v="2019-10-11T00:00:00"/>
    <m/>
    <m/>
    <x v="18"/>
    <m/>
    <x v="44"/>
    <d v="2019-10-11T00:00:00"/>
    <x v="1"/>
    <x v="18"/>
    <x v="166"/>
    <n v="3"/>
    <n v="5"/>
    <n v="2019"/>
    <n v="42"/>
    <s v="2019-42"/>
  </r>
  <r>
    <n v="0.10000000000000009"/>
    <m/>
    <d v="2019-10-11T00:00:00"/>
    <m/>
    <m/>
    <x v="18"/>
    <m/>
    <x v="44"/>
    <d v="2019-10-11T00:00:00"/>
    <x v="1"/>
    <x v="18"/>
    <x v="167"/>
    <n v="4.5"/>
    <n v="5"/>
    <n v="2019"/>
    <n v="42"/>
    <s v="2019-42"/>
  </r>
  <r>
    <n v="1.1000000000000001"/>
    <m/>
    <d v="2019-09-30T00:00:00"/>
    <m/>
    <m/>
    <x v="12"/>
    <m/>
    <x v="45"/>
    <d v="2019-09-30T00:00:00"/>
    <x v="5"/>
    <x v="12"/>
    <x v="133"/>
    <n v="5.5"/>
    <n v="1"/>
    <n v="2019"/>
    <n v="41"/>
    <s v="2019-41"/>
  </r>
  <r>
    <n v="1.1000000000000001"/>
    <m/>
    <d v="2019-09-30T00:00:00"/>
    <m/>
    <m/>
    <x v="12"/>
    <m/>
    <x v="45"/>
    <d v="2019-09-30T00:00:00"/>
    <x v="5"/>
    <x v="12"/>
    <x v="168"/>
    <n v="2"/>
    <n v="1"/>
    <n v="2019"/>
    <n v="41"/>
    <s v="2019-41"/>
  </r>
  <r>
    <n v="1.1000000000000001"/>
    <m/>
    <d v="2019-10-01T00:00:00"/>
    <m/>
    <m/>
    <x v="13"/>
    <m/>
    <x v="45"/>
    <d v="2019-10-01T00:00:00"/>
    <x v="4"/>
    <x v="13"/>
    <x v="169"/>
    <n v="3.75"/>
    <n v="2"/>
    <n v="2019"/>
    <n v="41"/>
    <s v="2019-41"/>
  </r>
  <r>
    <n v="1.1000000000000001"/>
    <m/>
    <d v="2019-10-01T00:00:00"/>
    <m/>
    <m/>
    <x v="13"/>
    <m/>
    <x v="45"/>
    <d v="2019-10-01T00:00:00"/>
    <x v="4"/>
    <x v="13"/>
    <x v="170"/>
    <n v="3.75"/>
    <n v="2"/>
    <n v="2019"/>
    <n v="41"/>
    <s v="2019-41"/>
  </r>
  <r>
    <n v="1.1000000000000001"/>
    <m/>
    <d v="2019-10-02T00:00:00"/>
    <m/>
    <m/>
    <x v="12"/>
    <m/>
    <x v="45"/>
    <d v="2019-10-02T00:00:00"/>
    <x v="3"/>
    <x v="12"/>
    <x v="171"/>
    <n v="3.75"/>
    <n v="3"/>
    <n v="2019"/>
    <n v="41"/>
    <s v="2019-41"/>
  </r>
  <r>
    <n v="1.1000000000000001"/>
    <m/>
    <d v="2019-10-02T00:00:00"/>
    <m/>
    <m/>
    <x v="13"/>
    <m/>
    <x v="45"/>
    <d v="2019-10-02T00:00:00"/>
    <x v="3"/>
    <x v="13"/>
    <x v="172"/>
    <n v="3.75"/>
    <n v="3"/>
    <n v="2019"/>
    <n v="41"/>
    <s v="2019-41"/>
  </r>
  <r>
    <n v="1.1000000000000001"/>
    <m/>
    <d v="2019-10-03T00:00:00"/>
    <m/>
    <m/>
    <x v="13"/>
    <m/>
    <x v="45"/>
    <d v="2019-10-03T00:00:00"/>
    <x v="2"/>
    <x v="13"/>
    <x v="173"/>
    <n v="3.75"/>
    <n v="4"/>
    <n v="2019"/>
    <n v="41"/>
    <s v="2019-41"/>
  </r>
  <r>
    <n v="1.1000000000000001"/>
    <m/>
    <d v="2019-10-03T00:00:00"/>
    <m/>
    <m/>
    <x v="12"/>
    <m/>
    <x v="45"/>
    <d v="2019-10-03T00:00:00"/>
    <x v="2"/>
    <x v="12"/>
    <x v="133"/>
    <n v="3.75"/>
    <n v="4"/>
    <n v="2019"/>
    <n v="41"/>
    <s v="2019-41"/>
  </r>
  <r>
    <n v="1.1000000000000001"/>
    <m/>
    <d v="2019-10-04T00:00:00"/>
    <m/>
    <m/>
    <x v="12"/>
    <m/>
    <x v="45"/>
    <d v="2019-10-04T00:00:00"/>
    <x v="1"/>
    <x v="12"/>
    <x v="133"/>
    <n v="3.75"/>
    <n v="5"/>
    <n v="2019"/>
    <n v="41"/>
    <s v="2019-41"/>
  </r>
  <r>
    <n v="1.1000000000000001"/>
    <m/>
    <d v="2019-10-04T00:00:00"/>
    <m/>
    <m/>
    <x v="13"/>
    <m/>
    <x v="45"/>
    <d v="2019-10-04T00:00:00"/>
    <x v="1"/>
    <x v="13"/>
    <x v="174"/>
    <n v="3.75"/>
    <n v="5"/>
    <n v="2019"/>
    <n v="41"/>
    <s v="2019-41"/>
  </r>
  <r>
    <n v="0.10000000000000009"/>
    <m/>
    <d v="2019-09-23T00:00:00"/>
    <m/>
    <m/>
    <x v="12"/>
    <m/>
    <x v="46"/>
    <d v="2019-09-23T00:00:00"/>
    <x v="5"/>
    <x v="12"/>
    <x v="175"/>
    <n v="7.5"/>
    <n v="1"/>
    <n v="2019"/>
    <n v="40"/>
    <s v="2019-40"/>
  </r>
  <r>
    <n v="0.10000000000000009"/>
    <m/>
    <d v="2019-09-24T00:00:00"/>
    <m/>
    <m/>
    <x v="12"/>
    <m/>
    <x v="46"/>
    <d v="2019-09-24T00:00:00"/>
    <x v="4"/>
    <x v="12"/>
    <x v="175"/>
    <n v="3.75"/>
    <n v="2"/>
    <n v="2019"/>
    <n v="40"/>
    <s v="2019-40"/>
  </r>
  <r>
    <n v="0.10000000000000009"/>
    <m/>
    <d v="2019-09-24T00:00:00"/>
    <m/>
    <m/>
    <x v="13"/>
    <m/>
    <x v="46"/>
    <d v="2019-09-24T00:00:00"/>
    <x v="4"/>
    <x v="13"/>
    <x v="176"/>
    <n v="3.75"/>
    <n v="2"/>
    <n v="2019"/>
    <n v="40"/>
    <s v="2019-40"/>
  </r>
  <r>
    <n v="0.10000000000000009"/>
    <m/>
    <d v="2019-09-25T00:00:00"/>
    <m/>
    <m/>
    <x v="19"/>
    <m/>
    <x v="46"/>
    <d v="2019-09-25T00:00:00"/>
    <x v="3"/>
    <x v="19"/>
    <x v="177"/>
    <n v="7.5"/>
    <n v="3"/>
    <n v="2019"/>
    <n v="40"/>
    <s v="2019-40"/>
  </r>
  <r>
    <n v="0.10000000000000009"/>
    <m/>
    <d v="2019-09-26T00:00:00"/>
    <m/>
    <m/>
    <x v="13"/>
    <m/>
    <x v="46"/>
    <d v="2019-09-26T00:00:00"/>
    <x v="2"/>
    <x v="13"/>
    <x v="178"/>
    <n v="2"/>
    <n v="4"/>
    <n v="2019"/>
    <n v="40"/>
    <s v="2019-40"/>
  </r>
  <r>
    <n v="0.10000000000000009"/>
    <m/>
    <d v="2019-09-26T00:00:00"/>
    <m/>
    <m/>
    <x v="13"/>
    <m/>
    <x v="46"/>
    <d v="2019-09-26T00:00:00"/>
    <x v="2"/>
    <x v="13"/>
    <x v="176"/>
    <n v="5.5"/>
    <n v="4"/>
    <n v="2019"/>
    <n v="40"/>
    <s v="2019-40"/>
  </r>
  <r>
    <n v="0.10000000000000009"/>
    <m/>
    <d v="2019-09-27T00:00:00"/>
    <m/>
    <m/>
    <x v="12"/>
    <m/>
    <x v="46"/>
    <d v="2019-09-27T00:00:00"/>
    <x v="1"/>
    <x v="12"/>
    <x v="159"/>
    <n v="2"/>
    <n v="5"/>
    <n v="2019"/>
    <n v="40"/>
    <s v="2019-40"/>
  </r>
  <r>
    <n v="0.10000000000000009"/>
    <m/>
    <d v="2019-09-27T00:00:00"/>
    <m/>
    <m/>
    <x v="13"/>
    <m/>
    <x v="46"/>
    <d v="2019-09-27T00:00:00"/>
    <x v="1"/>
    <x v="13"/>
    <x v="179"/>
    <n v="3"/>
    <n v="5"/>
    <n v="2019"/>
    <n v="40"/>
    <s v="2019-40"/>
  </r>
  <r>
    <n v="0.10000000000000009"/>
    <m/>
    <d v="2019-09-27T00:00:00"/>
    <m/>
    <m/>
    <x v="13"/>
    <m/>
    <x v="46"/>
    <d v="2019-09-27T00:00:00"/>
    <x v="1"/>
    <x v="13"/>
    <x v="180"/>
    <n v="2.5"/>
    <n v="5"/>
    <n v="2019"/>
    <n v="40"/>
    <s v="2019-40"/>
  </r>
  <r>
    <n v="1.1000000000000001"/>
    <m/>
    <d v="2019-09-16T00:00:00"/>
    <m/>
    <m/>
    <x v="12"/>
    <m/>
    <x v="47"/>
    <d v="2019-09-16T00:00:00"/>
    <x v="5"/>
    <x v="12"/>
    <x v="181"/>
    <n v="7.5"/>
    <n v="1"/>
    <n v="2019"/>
    <n v="39"/>
    <s v="2019-39"/>
  </r>
  <r>
    <n v="1.1000000000000001"/>
    <m/>
    <d v="2019-09-17T00:00:00"/>
    <m/>
    <m/>
    <x v="12"/>
    <m/>
    <x v="47"/>
    <d v="2019-09-17T00:00:00"/>
    <x v="4"/>
    <x v="12"/>
    <x v="181"/>
    <n v="7.5"/>
    <n v="2"/>
    <n v="2019"/>
    <n v="39"/>
    <s v="2019-39"/>
  </r>
  <r>
    <n v="1.1000000000000001"/>
    <m/>
    <d v="2019-09-18T00:00:00"/>
    <m/>
    <m/>
    <x v="12"/>
    <m/>
    <x v="47"/>
    <d v="2019-09-18T00:00:00"/>
    <x v="3"/>
    <x v="12"/>
    <x v="182"/>
    <n v="7.5"/>
    <n v="3"/>
    <n v="2019"/>
    <n v="39"/>
    <s v="2019-39"/>
  </r>
  <r>
    <n v="1.1000000000000001"/>
    <m/>
    <d v="2019-09-19T00:00:00"/>
    <m/>
    <m/>
    <x v="12"/>
    <m/>
    <x v="47"/>
    <d v="2019-09-19T00:00:00"/>
    <x v="2"/>
    <x v="12"/>
    <x v="182"/>
    <n v="7.5"/>
    <n v="4"/>
    <n v="2019"/>
    <n v="39"/>
    <s v="2019-39"/>
  </r>
  <r>
    <n v="1.1000000000000001"/>
    <m/>
    <d v="2019-09-20T00:00:00"/>
    <m/>
    <m/>
    <x v="12"/>
    <m/>
    <x v="47"/>
    <d v="2019-09-20T00:00:00"/>
    <x v="1"/>
    <x v="12"/>
    <x v="182"/>
    <n v="7.5"/>
    <n v="5"/>
    <n v="2019"/>
    <n v="39"/>
    <s v="2019-39"/>
  </r>
  <r>
    <n v="0.10000000000000009"/>
    <m/>
    <d v="2019-09-09T00:00:00"/>
    <m/>
    <m/>
    <x v="12"/>
    <m/>
    <x v="48"/>
    <d v="2019-09-09T00:00:00"/>
    <x v="5"/>
    <x v="12"/>
    <x v="183"/>
    <n v="7.5"/>
    <n v="1"/>
    <n v="2019"/>
    <n v="38"/>
    <s v="2019-38"/>
  </r>
  <r>
    <n v="0.10000000000000009"/>
    <m/>
    <d v="2019-09-10T00:00:00"/>
    <m/>
    <m/>
    <x v="19"/>
    <m/>
    <x v="48"/>
    <d v="2019-09-10T00:00:00"/>
    <x v="4"/>
    <x v="19"/>
    <x v="184"/>
    <n v="7.5"/>
    <n v="2"/>
    <n v="2019"/>
    <n v="38"/>
    <s v="2019-38"/>
  </r>
  <r>
    <n v="0.10000000000000009"/>
    <m/>
    <d v="2019-09-11T00:00:00"/>
    <m/>
    <m/>
    <x v="13"/>
    <m/>
    <x v="48"/>
    <d v="2019-09-11T00:00:00"/>
    <x v="3"/>
    <x v="13"/>
    <x v="185"/>
    <n v="7.5"/>
    <n v="3"/>
    <n v="2019"/>
    <n v="38"/>
    <s v="2019-38"/>
  </r>
  <r>
    <n v="0.10000000000000009"/>
    <m/>
    <d v="2019-09-12T00:00:00"/>
    <m/>
    <m/>
    <x v="13"/>
    <m/>
    <x v="48"/>
    <d v="2019-09-12T00:00:00"/>
    <x v="2"/>
    <x v="13"/>
    <x v="185"/>
    <n v="7.5"/>
    <n v="4"/>
    <n v="2019"/>
    <n v="38"/>
    <s v="2019-38"/>
  </r>
  <r>
    <n v="0.10000000000000009"/>
    <m/>
    <d v="2019-09-13T00:00:00"/>
    <m/>
    <m/>
    <x v="19"/>
    <m/>
    <x v="48"/>
    <d v="2019-09-13T00:00:00"/>
    <x v="1"/>
    <x v="19"/>
    <x v="184"/>
    <n v="7.5"/>
    <n v="5"/>
    <n v="2019"/>
    <n v="38"/>
    <s v="2019-38"/>
  </r>
  <r>
    <n v="1.1000000000000001"/>
    <m/>
    <d v="2019-09-06T00:00:00"/>
    <m/>
    <m/>
    <x v="1"/>
    <m/>
    <x v="49"/>
    <d v="2019-09-06T00:00:00"/>
    <x v="1"/>
    <x v="1"/>
    <x v="0"/>
    <n v="7.5"/>
    <n v="5"/>
    <n v="2019"/>
    <n v="37"/>
    <s v="2019-37"/>
  </r>
  <r>
    <n v="1.1000000000000001"/>
    <m/>
    <d v="2019-09-05T00:00:00"/>
    <m/>
    <m/>
    <x v="1"/>
    <m/>
    <x v="49"/>
    <d v="2019-09-05T00:00:00"/>
    <x v="2"/>
    <x v="1"/>
    <x v="0"/>
    <n v="7.5"/>
    <n v="4"/>
    <n v="2019"/>
    <n v="37"/>
    <s v="2019-37"/>
  </r>
  <r>
    <n v="1.1000000000000001"/>
    <m/>
    <d v="2019-09-04T00:00:00"/>
    <m/>
    <m/>
    <x v="1"/>
    <m/>
    <x v="49"/>
    <d v="2019-09-04T00:00:00"/>
    <x v="3"/>
    <x v="1"/>
    <x v="0"/>
    <n v="7.5"/>
    <n v="3"/>
    <n v="2019"/>
    <n v="37"/>
    <s v="2019-37"/>
  </r>
  <r>
    <n v="1.1000000000000001"/>
    <m/>
    <d v="2019-09-03T00:00:00"/>
    <m/>
    <m/>
    <x v="1"/>
    <m/>
    <x v="49"/>
    <d v="2019-09-03T00:00:00"/>
    <x v="4"/>
    <x v="1"/>
    <x v="0"/>
    <n v="7.5"/>
    <n v="2"/>
    <n v="2019"/>
    <n v="37"/>
    <s v="2019-37"/>
  </r>
  <r>
    <n v="1.1000000000000001"/>
    <m/>
    <d v="2019-09-02T00:00:00"/>
    <m/>
    <m/>
    <x v="1"/>
    <m/>
    <x v="49"/>
    <d v="2019-09-02T00:00:00"/>
    <x v="5"/>
    <x v="1"/>
    <x v="0"/>
    <n v="7.5"/>
    <n v="1"/>
    <n v="2019"/>
    <n v="37"/>
    <s v="2019-37"/>
  </r>
  <r>
    <n v="0.10000000000000009"/>
    <m/>
    <d v="2019-08-30T00:00:00"/>
    <m/>
    <m/>
    <x v="1"/>
    <m/>
    <x v="50"/>
    <d v="2019-08-30T00:00:00"/>
    <x v="1"/>
    <x v="1"/>
    <x v="0"/>
    <n v="7.5"/>
    <n v="5"/>
    <n v="2019"/>
    <n v="36"/>
    <s v="2019-36"/>
  </r>
  <r>
    <n v="0.10000000000000009"/>
    <m/>
    <d v="2019-08-29T00:00:00"/>
    <m/>
    <m/>
    <x v="1"/>
    <m/>
    <x v="50"/>
    <d v="2019-08-29T00:00:00"/>
    <x v="2"/>
    <x v="1"/>
    <x v="0"/>
    <n v="7.5"/>
    <n v="4"/>
    <n v="2019"/>
    <n v="36"/>
    <s v="2019-36"/>
  </r>
  <r>
    <n v="0.10000000000000009"/>
    <m/>
    <d v="2019-08-28T00:00:00"/>
    <m/>
    <m/>
    <x v="1"/>
    <m/>
    <x v="50"/>
    <d v="2019-08-28T00:00:00"/>
    <x v="3"/>
    <x v="1"/>
    <x v="0"/>
    <n v="7.5"/>
    <n v="3"/>
    <n v="2019"/>
    <n v="36"/>
    <s v="2019-36"/>
  </r>
  <r>
    <n v="0.10000000000000009"/>
    <m/>
    <d v="2019-08-27T00:00:00"/>
    <m/>
    <m/>
    <x v="1"/>
    <m/>
    <x v="50"/>
    <d v="2019-08-27T00:00:00"/>
    <x v="4"/>
    <x v="1"/>
    <x v="0"/>
    <n v="7.5"/>
    <n v="2"/>
    <n v="2019"/>
    <n v="36"/>
    <s v="2019-36"/>
  </r>
  <r>
    <n v="0.10000000000000009"/>
    <m/>
    <d v="2019-08-26T00:00:00"/>
    <m/>
    <m/>
    <x v="8"/>
    <m/>
    <x v="50"/>
    <d v="2019-08-26T00:00:00"/>
    <x v="5"/>
    <x v="8"/>
    <x v="0"/>
    <n v="7.5"/>
    <n v="1"/>
    <n v="2019"/>
    <n v="36"/>
    <s v="2019-36"/>
  </r>
  <r>
    <n v="1.1000000000000001"/>
    <m/>
    <d v="2019-08-19T00:00:00"/>
    <m/>
    <m/>
    <x v="13"/>
    <m/>
    <x v="51"/>
    <d v="2019-08-19T00:00:00"/>
    <x v="5"/>
    <x v="13"/>
    <x v="186"/>
    <n v="7.5"/>
    <n v="1"/>
    <n v="2019"/>
    <n v="35"/>
    <s v="2019-35"/>
  </r>
  <r>
    <n v="1.1000000000000001"/>
    <m/>
    <d v="2019-08-20T00:00:00"/>
    <m/>
    <m/>
    <x v="19"/>
    <m/>
    <x v="51"/>
    <d v="2019-08-20T00:00:00"/>
    <x v="4"/>
    <x v="19"/>
    <x v="187"/>
    <n v="7.5"/>
    <n v="2"/>
    <n v="2019"/>
    <n v="35"/>
    <s v="2019-35"/>
  </r>
  <r>
    <n v="1.1000000000000001"/>
    <m/>
    <d v="2019-08-21T00:00:00"/>
    <m/>
    <m/>
    <x v="19"/>
    <m/>
    <x v="51"/>
    <d v="2019-08-21T00:00:00"/>
    <x v="3"/>
    <x v="19"/>
    <x v="188"/>
    <n v="2"/>
    <n v="3"/>
    <n v="2019"/>
    <n v="35"/>
    <s v="2019-35"/>
  </r>
  <r>
    <n v="1.1000000000000001"/>
    <m/>
    <d v="2019-08-21T00:00:00"/>
    <m/>
    <m/>
    <x v="13"/>
    <m/>
    <x v="51"/>
    <d v="2019-08-21T00:00:00"/>
    <x v="3"/>
    <x v="13"/>
    <x v="189"/>
    <n v="5.5"/>
    <n v="3"/>
    <n v="2019"/>
    <n v="35"/>
    <s v="2019-35"/>
  </r>
  <r>
    <n v="1.1000000000000001"/>
    <m/>
    <d v="2019-08-22T00:00:00"/>
    <m/>
    <m/>
    <x v="13"/>
    <m/>
    <x v="51"/>
    <d v="2019-08-22T00:00:00"/>
    <x v="2"/>
    <x v="13"/>
    <x v="190"/>
    <n v="5.5"/>
    <n v="4"/>
    <n v="2019"/>
    <n v="35"/>
    <s v="2019-35"/>
  </r>
  <r>
    <n v="1.1000000000000001"/>
    <m/>
    <d v="2019-08-22T00:00:00"/>
    <m/>
    <m/>
    <x v="19"/>
    <m/>
    <x v="51"/>
    <d v="2019-08-22T00:00:00"/>
    <x v="2"/>
    <x v="19"/>
    <x v="188"/>
    <n v="2"/>
    <n v="4"/>
    <n v="2019"/>
    <n v="35"/>
    <s v="2019-35"/>
  </r>
  <r>
    <n v="1.1000000000000001"/>
    <m/>
    <d v="2019-08-23T00:00:00"/>
    <m/>
    <m/>
    <x v="19"/>
    <m/>
    <x v="51"/>
    <d v="2019-08-23T00:00:00"/>
    <x v="1"/>
    <x v="19"/>
    <x v="191"/>
    <n v="7.5"/>
    <n v="5"/>
    <n v="2019"/>
    <n v="35"/>
    <s v="2019-35"/>
  </r>
  <r>
    <n v="0.10000000000000009"/>
    <m/>
    <d v="2019-08-12T00:00:00"/>
    <m/>
    <m/>
    <x v="13"/>
    <m/>
    <x v="52"/>
    <d v="2019-08-12T00:00:00"/>
    <x v="5"/>
    <x v="13"/>
    <x v="192"/>
    <n v="7.5"/>
    <n v="1"/>
    <n v="2019"/>
    <n v="34"/>
    <s v="2019-34"/>
  </r>
  <r>
    <n v="0.10000000000000009"/>
    <m/>
    <d v="2019-08-13T00:00:00"/>
    <m/>
    <m/>
    <x v="13"/>
    <m/>
    <x v="52"/>
    <d v="2019-08-13T00:00:00"/>
    <x v="4"/>
    <x v="13"/>
    <x v="192"/>
    <n v="3.75"/>
    <n v="2"/>
    <n v="2019"/>
    <n v="34"/>
    <s v="2019-34"/>
  </r>
  <r>
    <n v="0.10000000000000009"/>
    <m/>
    <d v="2019-08-13T00:00:00"/>
    <m/>
    <m/>
    <x v="1"/>
    <m/>
    <x v="52"/>
    <d v="2019-08-13T00:00:00"/>
    <x v="4"/>
    <x v="1"/>
    <x v="0"/>
    <n v="3.75"/>
    <n v="2"/>
    <n v="2019"/>
    <n v="34"/>
    <s v="2019-34"/>
  </r>
  <r>
    <n v="0.10000000000000009"/>
    <m/>
    <d v="2019-08-14T00:00:00"/>
    <m/>
    <m/>
    <x v="13"/>
    <m/>
    <x v="52"/>
    <d v="2019-08-14T00:00:00"/>
    <x v="3"/>
    <x v="13"/>
    <x v="192"/>
    <n v="5.5"/>
    <n v="3"/>
    <n v="2019"/>
    <n v="34"/>
    <s v="2019-34"/>
  </r>
  <r>
    <n v="0.10000000000000009"/>
    <m/>
    <d v="2019-08-14T00:00:00"/>
    <m/>
    <m/>
    <x v="13"/>
    <m/>
    <x v="52"/>
    <d v="2019-08-14T00:00:00"/>
    <x v="3"/>
    <x v="13"/>
    <x v="193"/>
    <n v="2"/>
    <n v="3"/>
    <n v="2019"/>
    <n v="34"/>
    <s v="2019-34"/>
  </r>
  <r>
    <n v="0.10000000000000009"/>
    <m/>
    <d v="2019-08-15T00:00:00"/>
    <m/>
    <m/>
    <x v="19"/>
    <m/>
    <x v="52"/>
    <d v="2019-08-15T00:00:00"/>
    <x v="2"/>
    <x v="19"/>
    <x v="194"/>
    <n v="7.5"/>
    <n v="4"/>
    <n v="2019"/>
    <n v="34"/>
    <s v="2019-34"/>
  </r>
  <r>
    <n v="0.10000000000000009"/>
    <m/>
    <d v="2019-08-16T00:00:00"/>
    <m/>
    <m/>
    <x v="19"/>
    <m/>
    <x v="52"/>
    <d v="2019-08-16T00:00:00"/>
    <x v="1"/>
    <x v="19"/>
    <x v="194"/>
    <n v="3.75"/>
    <n v="5"/>
    <n v="2019"/>
    <n v="34"/>
    <s v="2019-34"/>
  </r>
  <r>
    <n v="0.10000000000000009"/>
    <m/>
    <d v="2019-08-16T00:00:00"/>
    <m/>
    <m/>
    <x v="1"/>
    <m/>
    <x v="52"/>
    <d v="2019-08-16T00:00:00"/>
    <x v="1"/>
    <x v="1"/>
    <x v="0"/>
    <n v="3.75"/>
    <n v="5"/>
    <n v="2019"/>
    <n v="34"/>
    <s v="2019-34"/>
  </r>
  <r>
    <n v="1.1000000000000001"/>
    <m/>
    <d v="2019-08-05T00:00:00"/>
    <m/>
    <m/>
    <x v="19"/>
    <m/>
    <x v="53"/>
    <d v="2019-08-05T00:00:00"/>
    <x v="5"/>
    <x v="19"/>
    <x v="195"/>
    <m/>
    <n v="1"/>
    <n v="2019"/>
    <n v="33"/>
    <s v="2019-33"/>
  </r>
  <r>
    <n v="1.1000000000000001"/>
    <m/>
    <d v="2019-08-06T00:00:00"/>
    <m/>
    <m/>
    <x v="13"/>
    <m/>
    <x v="53"/>
    <d v="2019-08-06T00:00:00"/>
    <x v="4"/>
    <x v="13"/>
    <x v="196"/>
    <m/>
    <n v="2"/>
    <n v="2019"/>
    <n v="33"/>
    <s v="2019-33"/>
  </r>
  <r>
    <n v="1.1000000000000001"/>
    <m/>
    <d v="2019-08-07T00:00:00"/>
    <m/>
    <m/>
    <x v="13"/>
    <m/>
    <x v="53"/>
    <d v="2019-08-07T00:00:00"/>
    <x v="3"/>
    <x v="13"/>
    <x v="197"/>
    <m/>
    <n v="3"/>
    <n v="2019"/>
    <n v="33"/>
    <s v="2019-33"/>
  </r>
  <r>
    <n v="1.1000000000000001"/>
    <m/>
    <d v="2019-08-08T00:00:00"/>
    <m/>
    <m/>
    <x v="13"/>
    <m/>
    <x v="53"/>
    <d v="2019-08-08T00:00:00"/>
    <x v="2"/>
    <x v="13"/>
    <x v="198"/>
    <m/>
    <n v="4"/>
    <n v="2019"/>
    <n v="33"/>
    <s v="2019-33"/>
  </r>
  <r>
    <n v="1.1000000000000001"/>
    <m/>
    <d v="2019-08-09T00:00:00"/>
    <m/>
    <m/>
    <x v="19"/>
    <m/>
    <x v="53"/>
    <d v="2019-08-09T00:00:00"/>
    <x v="1"/>
    <x v="19"/>
    <x v="199"/>
    <m/>
    <n v="5"/>
    <n v="2019"/>
    <n v="33"/>
    <s v="2019-33"/>
  </r>
  <r>
    <n v="0.10000000000000009"/>
    <m/>
    <d v="2019-07-29T00:00:00"/>
    <m/>
    <m/>
    <x v="13"/>
    <m/>
    <x v="54"/>
    <d v="2019-07-29T00:00:00"/>
    <x v="5"/>
    <x v="13"/>
    <x v="200"/>
    <n v="7.5"/>
    <n v="1"/>
    <n v="2019"/>
    <n v="32"/>
    <s v="2019-32"/>
  </r>
  <r>
    <n v="0.10000000000000009"/>
    <m/>
    <d v="2019-07-30T00:00:00"/>
    <m/>
    <m/>
    <x v="19"/>
    <m/>
    <x v="54"/>
    <d v="2019-07-30T00:00:00"/>
    <x v="4"/>
    <x v="19"/>
    <x v="201"/>
    <n v="7.5"/>
    <n v="2"/>
    <n v="2019"/>
    <n v="32"/>
    <s v="2019-32"/>
  </r>
  <r>
    <n v="0.10000000000000009"/>
    <m/>
    <d v="2019-07-31T00:00:00"/>
    <m/>
    <m/>
    <x v="19"/>
    <m/>
    <x v="54"/>
    <d v="2019-07-31T00:00:00"/>
    <x v="3"/>
    <x v="19"/>
    <x v="201"/>
    <n v="7.5"/>
    <n v="3"/>
    <n v="2019"/>
    <n v="32"/>
    <s v="2019-32"/>
  </r>
  <r>
    <n v="0.10000000000000009"/>
    <m/>
    <d v="2019-08-01T00:00:00"/>
    <m/>
    <m/>
    <x v="13"/>
    <m/>
    <x v="54"/>
    <d v="2019-08-01T00:00:00"/>
    <x v="2"/>
    <x v="13"/>
    <x v="202"/>
    <n v="7.5"/>
    <n v="4"/>
    <n v="2019"/>
    <n v="32"/>
    <s v="2019-32"/>
  </r>
  <r>
    <n v="0.10000000000000009"/>
    <m/>
    <d v="2019-08-02T00:00:00"/>
    <m/>
    <m/>
    <x v="1"/>
    <m/>
    <x v="54"/>
    <d v="2019-08-02T00:00:00"/>
    <x v="1"/>
    <x v="1"/>
    <x v="0"/>
    <n v="7.5"/>
    <n v="5"/>
    <n v="2019"/>
    <n v="32"/>
    <s v="2019-32"/>
  </r>
  <r>
    <n v="1.1000000000000001"/>
    <m/>
    <d v="2019-07-22T00:00:00"/>
    <m/>
    <m/>
    <x v="21"/>
    <m/>
    <x v="55"/>
    <d v="2019-07-22T00:00:00"/>
    <x v="5"/>
    <x v="21"/>
    <x v="203"/>
    <n v="2.5"/>
    <n v="1"/>
    <n v="2019"/>
    <n v="31"/>
    <s v="2019-31"/>
  </r>
  <r>
    <n v="1.1000000000000001"/>
    <m/>
    <d v="2019-07-22T00:00:00"/>
    <m/>
    <m/>
    <x v="19"/>
    <m/>
    <x v="55"/>
    <d v="2019-07-22T00:00:00"/>
    <x v="5"/>
    <x v="19"/>
    <x v="204"/>
    <n v="5"/>
    <n v="1"/>
    <n v="2019"/>
    <n v="31"/>
    <s v="2019-31"/>
  </r>
  <r>
    <n v="1.1000000000000001"/>
    <m/>
    <d v="2019-07-23T00:00:00"/>
    <m/>
    <m/>
    <x v="13"/>
    <m/>
    <x v="55"/>
    <d v="2019-07-23T00:00:00"/>
    <x v="4"/>
    <x v="13"/>
    <x v="133"/>
    <n v="7.5"/>
    <n v="2"/>
    <n v="2019"/>
    <n v="31"/>
    <s v="2019-31"/>
  </r>
  <r>
    <n v="1.1000000000000001"/>
    <m/>
    <d v="2019-07-24T00:00:00"/>
    <m/>
    <m/>
    <x v="22"/>
    <m/>
    <x v="55"/>
    <d v="2019-07-24T00:00:00"/>
    <x v="3"/>
    <x v="22"/>
    <x v="205"/>
    <n v="7.5"/>
    <n v="3"/>
    <n v="2019"/>
    <n v="31"/>
    <s v="2019-31"/>
  </r>
  <r>
    <n v="1.1000000000000001"/>
    <m/>
    <d v="2019-07-25T00:00:00"/>
    <m/>
    <m/>
    <x v="22"/>
    <m/>
    <x v="55"/>
    <d v="2019-07-25T00:00:00"/>
    <x v="2"/>
    <x v="22"/>
    <x v="205"/>
    <n v="7.5"/>
    <n v="4"/>
    <n v="2019"/>
    <n v="31"/>
    <s v="2019-31"/>
  </r>
  <r>
    <n v="1.1000000000000001"/>
    <m/>
    <d v="2019-07-26T00:00:00"/>
    <m/>
    <m/>
    <x v="22"/>
    <m/>
    <x v="55"/>
    <d v="2019-07-26T00:00:00"/>
    <x v="1"/>
    <x v="22"/>
    <x v="205"/>
    <n v="7.5"/>
    <n v="5"/>
    <n v="2019"/>
    <n v="31"/>
    <s v="2019-31"/>
  </r>
  <r>
    <n v="0.10000000000000009"/>
    <m/>
    <d v="2019-07-15T00:00:00"/>
    <m/>
    <m/>
    <x v="21"/>
    <m/>
    <x v="56"/>
    <d v="2019-07-15T00:00:00"/>
    <x v="5"/>
    <x v="21"/>
    <x v="203"/>
    <n v="2.5"/>
    <n v="1"/>
    <n v="2019"/>
    <n v="30"/>
    <s v="2019-30"/>
  </r>
  <r>
    <n v="0.10000000000000009"/>
    <m/>
    <d v="2019-07-15T00:00:00"/>
    <m/>
    <m/>
    <x v="13"/>
    <m/>
    <x v="56"/>
    <d v="2019-07-15T00:00:00"/>
    <x v="5"/>
    <x v="13"/>
    <x v="206"/>
    <n v="5"/>
    <n v="1"/>
    <n v="2019"/>
    <n v="30"/>
    <s v="2019-30"/>
  </r>
  <r>
    <n v="0.10000000000000009"/>
    <m/>
    <d v="2019-07-16T00:00:00"/>
    <m/>
    <m/>
    <x v="19"/>
    <m/>
    <x v="56"/>
    <d v="2019-07-16T00:00:00"/>
    <x v="4"/>
    <x v="19"/>
    <x v="207"/>
    <n v="5"/>
    <n v="2"/>
    <n v="2019"/>
    <n v="30"/>
    <s v="2019-30"/>
  </r>
  <r>
    <n v="0.10000000000000009"/>
    <m/>
    <d v="2019-07-16T00:00:00"/>
    <m/>
    <m/>
    <x v="13"/>
    <m/>
    <x v="56"/>
    <d v="2019-07-16T00:00:00"/>
    <x v="4"/>
    <x v="13"/>
    <x v="208"/>
    <n v="2.5"/>
    <n v="2"/>
    <n v="2019"/>
    <n v="30"/>
    <s v="2019-30"/>
  </r>
  <r>
    <n v="0.10000000000000009"/>
    <m/>
    <d v="2019-07-17T00:00:00"/>
    <m/>
    <m/>
    <x v="23"/>
    <m/>
    <x v="56"/>
    <d v="2019-07-17T00:00:00"/>
    <x v="3"/>
    <x v="23"/>
    <x v="209"/>
    <n v="2.5"/>
    <n v="3"/>
    <n v="2019"/>
    <n v="30"/>
    <s v="2019-30"/>
  </r>
  <r>
    <n v="0.10000000000000009"/>
    <m/>
    <d v="2019-07-17T00:00:00"/>
    <m/>
    <m/>
    <x v="13"/>
    <m/>
    <x v="56"/>
    <d v="2019-07-17T00:00:00"/>
    <x v="3"/>
    <x v="13"/>
    <x v="210"/>
    <n v="2.5"/>
    <n v="3"/>
    <n v="2019"/>
    <n v="30"/>
    <s v="2019-30"/>
  </r>
  <r>
    <n v="0.10000000000000009"/>
    <m/>
    <d v="2019-07-17T00:00:00"/>
    <m/>
    <m/>
    <x v="13"/>
    <m/>
    <x v="56"/>
    <d v="2019-07-17T00:00:00"/>
    <x v="3"/>
    <x v="13"/>
    <x v="211"/>
    <n v="1"/>
    <n v="3"/>
    <n v="2019"/>
    <n v="30"/>
    <s v="2019-30"/>
  </r>
  <r>
    <n v="0.10000000000000009"/>
    <m/>
    <d v="2019-07-17T00:00:00"/>
    <m/>
    <m/>
    <x v="19"/>
    <m/>
    <x v="56"/>
    <d v="2019-07-17T00:00:00"/>
    <x v="3"/>
    <x v="19"/>
    <x v="212"/>
    <n v="1.5"/>
    <n v="3"/>
    <n v="2019"/>
    <n v="30"/>
    <s v="2019-30"/>
  </r>
  <r>
    <n v="0.10000000000000009"/>
    <m/>
    <d v="2019-07-18T00:00:00"/>
    <m/>
    <m/>
    <x v="19"/>
    <m/>
    <x v="56"/>
    <d v="2019-07-18T00:00:00"/>
    <x v="2"/>
    <x v="19"/>
    <x v="213"/>
    <n v="7.5"/>
    <n v="4"/>
    <n v="2019"/>
    <n v="30"/>
    <s v="2019-30"/>
  </r>
  <r>
    <n v="0.10000000000000009"/>
    <m/>
    <d v="2019-07-19T00:00:00"/>
    <m/>
    <m/>
    <x v="1"/>
    <m/>
    <x v="56"/>
    <d v="2019-07-19T00:00:00"/>
    <x v="1"/>
    <x v="1"/>
    <x v="0"/>
    <n v="7.5"/>
    <n v="5"/>
    <n v="2019"/>
    <n v="30"/>
    <s v="2019-30"/>
  </r>
  <r>
    <n v="1.1000000000000001"/>
    <m/>
    <d v="2019-07-08T00:00:00"/>
    <m/>
    <m/>
    <x v="1"/>
    <m/>
    <x v="57"/>
    <d v="2019-07-08T00:00:00"/>
    <x v="5"/>
    <x v="1"/>
    <x v="0"/>
    <n v="7.5"/>
    <n v="1"/>
    <n v="2019"/>
    <n v="29"/>
    <s v="2019-29"/>
  </r>
  <r>
    <n v="1.1000000000000001"/>
    <m/>
    <d v="2019-07-09T00:00:00"/>
    <m/>
    <m/>
    <x v="19"/>
    <m/>
    <x v="57"/>
    <d v="2019-07-09T00:00:00"/>
    <x v="4"/>
    <x v="19"/>
    <x v="212"/>
    <n v="7.5"/>
    <n v="2"/>
    <n v="2019"/>
    <n v="29"/>
    <s v="2019-29"/>
  </r>
  <r>
    <n v="1.1000000000000001"/>
    <m/>
    <d v="2019-07-10T00:00:00"/>
    <m/>
    <m/>
    <x v="13"/>
    <m/>
    <x v="57"/>
    <d v="2019-07-10T00:00:00"/>
    <x v="3"/>
    <x v="13"/>
    <x v="214"/>
    <n v="2"/>
    <n v="3"/>
    <n v="2019"/>
    <n v="29"/>
    <s v="2019-29"/>
  </r>
  <r>
    <n v="1.1000000000000001"/>
    <m/>
    <d v="2019-07-10T00:00:00"/>
    <m/>
    <m/>
    <x v="6"/>
    <m/>
    <x v="57"/>
    <d v="2019-07-10T00:00:00"/>
    <x v="3"/>
    <x v="6"/>
    <x v="215"/>
    <n v="1"/>
    <n v="3"/>
    <n v="2019"/>
    <n v="29"/>
    <s v="2019-29"/>
  </r>
  <r>
    <n v="1.1000000000000001"/>
    <m/>
    <d v="2019-07-10T00:00:00"/>
    <m/>
    <m/>
    <x v="19"/>
    <m/>
    <x v="57"/>
    <d v="2019-07-10T00:00:00"/>
    <x v="3"/>
    <x v="19"/>
    <x v="216"/>
    <n v="4.5"/>
    <n v="3"/>
    <n v="2019"/>
    <n v="29"/>
    <s v="2019-29"/>
  </r>
  <r>
    <n v="1.1000000000000001"/>
    <m/>
    <d v="2019-07-11T00:00:00"/>
    <m/>
    <m/>
    <x v="13"/>
    <m/>
    <x v="57"/>
    <d v="2019-07-11T00:00:00"/>
    <x v="2"/>
    <x v="13"/>
    <x v="217"/>
    <n v="3.75"/>
    <n v="4"/>
    <n v="2019"/>
    <n v="29"/>
    <s v="2019-29"/>
  </r>
  <r>
    <n v="1.1000000000000001"/>
    <m/>
    <d v="2019-07-11T00:00:00"/>
    <m/>
    <m/>
    <x v="19"/>
    <m/>
    <x v="57"/>
    <d v="2019-07-11T00:00:00"/>
    <x v="2"/>
    <x v="19"/>
    <x v="218"/>
    <n v="3.75"/>
    <n v="4"/>
    <n v="2019"/>
    <n v="29"/>
    <s v="2019-29"/>
  </r>
  <r>
    <n v="1.1000000000000001"/>
    <m/>
    <d v="2019-07-12T00:00:00"/>
    <m/>
    <m/>
    <x v="13"/>
    <m/>
    <x v="57"/>
    <d v="2019-07-12T00:00:00"/>
    <x v="1"/>
    <x v="13"/>
    <x v="219"/>
    <n v="3.75"/>
    <n v="5"/>
    <n v="2019"/>
    <n v="29"/>
    <s v="2019-29"/>
  </r>
  <r>
    <n v="1.1000000000000001"/>
    <m/>
    <d v="2019-07-12T00:00:00"/>
    <m/>
    <m/>
    <x v="19"/>
    <m/>
    <x v="57"/>
    <d v="2019-07-12T00:00:00"/>
    <x v="1"/>
    <x v="19"/>
    <x v="220"/>
    <n v="3.75"/>
    <n v="5"/>
    <n v="2019"/>
    <n v="29"/>
    <s v="2019-29"/>
  </r>
  <r>
    <n v="0.10000000000000009"/>
    <m/>
    <d v="2019-07-01T00:00:00"/>
    <m/>
    <m/>
    <x v="24"/>
    <m/>
    <x v="58"/>
    <d v="2019-07-01T00:00:00"/>
    <x v="5"/>
    <x v="24"/>
    <x v="221"/>
    <n v="3.5"/>
    <n v="1"/>
    <n v="2019"/>
    <n v="28"/>
    <s v="2019-28"/>
  </r>
  <r>
    <n v="0.10000000000000009"/>
    <m/>
    <d v="2019-07-01T00:00:00"/>
    <m/>
    <m/>
    <x v="6"/>
    <m/>
    <x v="58"/>
    <d v="2019-07-01T00:00:00"/>
    <x v="5"/>
    <x v="6"/>
    <x v="222"/>
    <n v="4"/>
    <n v="1"/>
    <n v="2019"/>
    <n v="28"/>
    <s v="2019-28"/>
  </r>
  <r>
    <n v="0.10000000000000009"/>
    <m/>
    <d v="2019-07-02T00:00:00"/>
    <m/>
    <m/>
    <x v="19"/>
    <m/>
    <x v="58"/>
    <d v="2019-07-02T00:00:00"/>
    <x v="4"/>
    <x v="19"/>
    <x v="223"/>
    <n v="3.75"/>
    <n v="2"/>
    <n v="2019"/>
    <n v="28"/>
    <s v="2019-28"/>
  </r>
  <r>
    <n v="0.10000000000000009"/>
    <m/>
    <d v="2019-07-02T00:00:00"/>
    <m/>
    <m/>
    <x v="23"/>
    <m/>
    <x v="58"/>
    <d v="2019-07-02T00:00:00"/>
    <x v="4"/>
    <x v="23"/>
    <x v="224"/>
    <n v="3.75"/>
    <n v="2"/>
    <n v="2019"/>
    <n v="28"/>
    <s v="2019-28"/>
  </r>
  <r>
    <n v="0.10000000000000009"/>
    <m/>
    <d v="2019-07-03T00:00:00"/>
    <m/>
    <m/>
    <x v="19"/>
    <m/>
    <x v="58"/>
    <d v="2019-07-03T00:00:00"/>
    <x v="3"/>
    <x v="19"/>
    <x v="225"/>
    <n v="7.5"/>
    <n v="3"/>
    <n v="2019"/>
    <n v="28"/>
    <s v="2019-28"/>
  </r>
  <r>
    <n v="0.10000000000000009"/>
    <m/>
    <d v="2019-07-04T00:00:00"/>
    <m/>
    <m/>
    <x v="19"/>
    <m/>
    <x v="58"/>
    <d v="2019-07-04T00:00:00"/>
    <x v="2"/>
    <x v="19"/>
    <x v="226"/>
    <n v="3.75"/>
    <n v="4"/>
    <n v="2019"/>
    <n v="28"/>
    <s v="2019-28"/>
  </r>
  <r>
    <n v="0.10000000000000009"/>
    <m/>
    <d v="2019-07-04T00:00:00"/>
    <m/>
    <m/>
    <x v="19"/>
    <m/>
    <x v="58"/>
    <d v="2019-07-04T00:00:00"/>
    <x v="2"/>
    <x v="19"/>
    <x v="227"/>
    <n v="1.5"/>
    <n v="4"/>
    <n v="2019"/>
    <n v="28"/>
    <s v="2019-28"/>
  </r>
  <r>
    <n v="0.10000000000000009"/>
    <m/>
    <d v="2019-07-04T00:00:00"/>
    <m/>
    <m/>
    <x v="19"/>
    <m/>
    <x v="58"/>
    <d v="2019-07-04T00:00:00"/>
    <x v="2"/>
    <x v="19"/>
    <x v="212"/>
    <n v="2.25"/>
    <n v="4"/>
    <n v="2019"/>
    <n v="28"/>
    <s v="2019-28"/>
  </r>
  <r>
    <n v="0.10000000000000009"/>
    <m/>
    <d v="2019-07-05T00:00:00"/>
    <m/>
    <m/>
    <x v="13"/>
    <m/>
    <x v="58"/>
    <d v="2019-07-05T00:00:00"/>
    <x v="1"/>
    <x v="13"/>
    <x v="228"/>
    <n v="5.5"/>
    <n v="5"/>
    <n v="2019"/>
    <n v="28"/>
    <s v="2019-28"/>
  </r>
  <r>
    <n v="0.10000000000000009"/>
    <m/>
    <d v="2019-07-05T00:00:00"/>
    <m/>
    <m/>
    <x v="19"/>
    <m/>
    <x v="58"/>
    <d v="2019-07-05T00:00:00"/>
    <x v="1"/>
    <x v="19"/>
    <x v="229"/>
    <n v="2"/>
    <n v="5"/>
    <n v="2019"/>
    <n v="28"/>
    <s v="2019-28"/>
  </r>
  <r>
    <n v="1.1000000000000001"/>
    <m/>
    <d v="2019-06-24T00:00:00"/>
    <m/>
    <m/>
    <x v="25"/>
    <m/>
    <x v="59"/>
    <d v="2019-06-24T00:00:00"/>
    <x v="5"/>
    <x v="25"/>
    <x v="230"/>
    <n v="7.5"/>
    <n v="1"/>
    <n v="2019"/>
    <n v="27"/>
    <s v="2019-27"/>
  </r>
  <r>
    <n v="1.1000000000000001"/>
    <m/>
    <d v="2019-06-25T00:00:00"/>
    <m/>
    <m/>
    <x v="25"/>
    <m/>
    <x v="59"/>
    <d v="2019-06-25T00:00:00"/>
    <x v="4"/>
    <x v="25"/>
    <x v="230"/>
    <n v="7.5"/>
    <n v="2"/>
    <n v="2019"/>
    <n v="27"/>
    <s v="2019-27"/>
  </r>
  <r>
    <n v="1.1000000000000001"/>
    <m/>
    <d v="2019-06-26T00:00:00"/>
    <m/>
    <m/>
    <x v="25"/>
    <m/>
    <x v="59"/>
    <d v="2019-06-26T00:00:00"/>
    <x v="3"/>
    <x v="25"/>
    <x v="230"/>
    <n v="3.75"/>
    <n v="3"/>
    <n v="2019"/>
    <n v="27"/>
    <s v="2019-27"/>
  </r>
  <r>
    <n v="1.1000000000000001"/>
    <m/>
    <d v="2019-06-26T00:00:00"/>
    <m/>
    <m/>
    <x v="1"/>
    <m/>
    <x v="59"/>
    <d v="2019-06-26T00:00:00"/>
    <x v="3"/>
    <x v="1"/>
    <x v="0"/>
    <n v="3.75"/>
    <n v="3"/>
    <n v="2019"/>
    <n v="27"/>
    <s v="2019-27"/>
  </r>
  <r>
    <n v="1.1000000000000001"/>
    <m/>
    <d v="2019-06-27T00:00:00"/>
    <m/>
    <m/>
    <x v="25"/>
    <m/>
    <x v="59"/>
    <d v="2019-06-27T00:00:00"/>
    <x v="2"/>
    <x v="25"/>
    <x v="230"/>
    <n v="7.5"/>
    <n v="4"/>
    <n v="2019"/>
    <n v="27"/>
    <s v="2019-27"/>
  </r>
  <r>
    <n v="1.1000000000000001"/>
    <m/>
    <d v="2019-06-28T00:00:00"/>
    <m/>
    <m/>
    <x v="25"/>
    <m/>
    <x v="59"/>
    <d v="2019-06-28T00:00:00"/>
    <x v="1"/>
    <x v="25"/>
    <x v="230"/>
    <n v="3.75"/>
    <n v="5"/>
    <n v="2019"/>
    <n v="27"/>
    <s v="2019-27"/>
  </r>
  <r>
    <n v="1.1000000000000001"/>
    <m/>
    <d v="2019-06-28T00:00:00"/>
    <m/>
    <m/>
    <x v="1"/>
    <m/>
    <x v="59"/>
    <d v="2019-06-28T00:00:00"/>
    <x v="1"/>
    <x v="1"/>
    <x v="0"/>
    <n v="3.75"/>
    <n v="5"/>
    <n v="2019"/>
    <n v="27"/>
    <s v="2019-27"/>
  </r>
  <r>
    <n v="0.10000000000000009"/>
    <m/>
    <d v="2019-06-17T00:00:00"/>
    <m/>
    <m/>
    <x v="19"/>
    <m/>
    <x v="60"/>
    <d v="2019-06-17T00:00:00"/>
    <x v="5"/>
    <x v="19"/>
    <x v="231"/>
    <n v="7.5"/>
    <n v="1"/>
    <n v="2019"/>
    <n v="26"/>
    <s v="2019-26"/>
  </r>
  <r>
    <n v="0.10000000000000009"/>
    <m/>
    <d v="2019-06-18T00:00:00"/>
    <m/>
    <m/>
    <x v="6"/>
    <m/>
    <x v="60"/>
    <d v="2019-06-18T00:00:00"/>
    <x v="4"/>
    <x v="6"/>
    <x v="104"/>
    <n v="2"/>
    <n v="2"/>
    <n v="2019"/>
    <n v="26"/>
    <s v="2019-26"/>
  </r>
  <r>
    <n v="0.10000000000000009"/>
    <m/>
    <d v="2019-06-18T00:00:00"/>
    <m/>
    <m/>
    <x v="24"/>
    <m/>
    <x v="60"/>
    <d v="2019-06-18T00:00:00"/>
    <x v="4"/>
    <x v="24"/>
    <x v="232"/>
    <n v="1"/>
    <n v="2"/>
    <n v="2019"/>
    <n v="26"/>
    <s v="2019-26"/>
  </r>
  <r>
    <n v="0.10000000000000009"/>
    <m/>
    <d v="2019-06-18T00:00:00"/>
    <m/>
    <m/>
    <x v="25"/>
    <m/>
    <x v="60"/>
    <d v="2019-06-18T00:00:00"/>
    <x v="4"/>
    <x v="25"/>
    <x v="233"/>
    <n v="2"/>
    <n v="2"/>
    <n v="2019"/>
    <n v="26"/>
    <s v="2019-26"/>
  </r>
  <r>
    <n v="0.10000000000000009"/>
    <m/>
    <d v="2019-06-18T00:00:00"/>
    <m/>
    <m/>
    <x v="22"/>
    <m/>
    <x v="60"/>
    <d v="2019-06-18T00:00:00"/>
    <x v="4"/>
    <x v="22"/>
    <x v="234"/>
    <n v="2.5"/>
    <n v="2"/>
    <n v="2019"/>
    <n v="26"/>
    <s v="2019-26"/>
  </r>
  <r>
    <n v="0.10000000000000009"/>
    <m/>
    <d v="2019-06-19T00:00:00"/>
    <m/>
    <m/>
    <x v="22"/>
    <m/>
    <x v="60"/>
    <d v="2019-06-19T00:00:00"/>
    <x v="3"/>
    <x v="22"/>
    <x v="234"/>
    <n v="7.5"/>
    <n v="3"/>
    <n v="2019"/>
    <n v="26"/>
    <s v="2019-26"/>
  </r>
  <r>
    <s v="3e "/>
    <m/>
    <d v="2019-06-20T00:00:00"/>
    <m/>
    <m/>
    <x v="1"/>
    <m/>
    <x v="60"/>
    <d v="2019-06-20T00:00:00"/>
    <x v="2"/>
    <x v="1"/>
    <x v="0"/>
    <n v="7.5"/>
    <n v="4"/>
    <n v="2019"/>
    <n v="26"/>
    <s v="2019-26"/>
  </r>
  <r>
    <e v="#VALUE!"/>
    <m/>
    <d v="2019-06-21T00:00:00"/>
    <m/>
    <m/>
    <x v="1"/>
    <m/>
    <x v="60"/>
    <d v="2019-06-21T00:00:00"/>
    <x v="1"/>
    <x v="1"/>
    <x v="0"/>
    <n v="7.5"/>
    <n v="5"/>
    <n v="2019"/>
    <n v="26"/>
    <s v="2019-26"/>
  </r>
  <r>
    <e v="#VALUE!"/>
    <m/>
    <d v="2019-06-10T00:00:00"/>
    <m/>
    <m/>
    <x v="23"/>
    <m/>
    <x v="61"/>
    <d v="2019-06-10T00:00:00"/>
    <x v="5"/>
    <x v="23"/>
    <x v="235"/>
    <n v="7.5"/>
    <n v="1"/>
    <n v="2019"/>
    <n v="25"/>
    <s v="2019-25"/>
  </r>
  <r>
    <e v="#VALUE!"/>
    <m/>
    <d v="2019-06-11T00:00:00"/>
    <m/>
    <m/>
    <x v="23"/>
    <m/>
    <x v="61"/>
    <d v="2019-06-11T00:00:00"/>
    <x v="4"/>
    <x v="23"/>
    <x v="235"/>
    <n v="7.5"/>
    <n v="2"/>
    <n v="2019"/>
    <n v="25"/>
    <s v="2019-25"/>
  </r>
  <r>
    <e v="#VALUE!"/>
    <m/>
    <d v="2019-06-12T00:00:00"/>
    <m/>
    <m/>
    <x v="25"/>
    <m/>
    <x v="61"/>
    <d v="2019-06-12T00:00:00"/>
    <x v="3"/>
    <x v="25"/>
    <x v="236"/>
    <n v="7.5"/>
    <n v="3"/>
    <n v="2019"/>
    <n v="25"/>
    <s v="2019-25"/>
  </r>
  <r>
    <e v="#VALUE!"/>
    <m/>
    <d v="2019-06-13T00:00:00"/>
    <m/>
    <m/>
    <x v="25"/>
    <m/>
    <x v="61"/>
    <d v="2019-06-13T00:00:00"/>
    <x v="2"/>
    <x v="25"/>
    <x v="237"/>
    <n v="7.5"/>
    <n v="4"/>
    <n v="2019"/>
    <n v="25"/>
    <s v="2019-25"/>
  </r>
  <r>
    <e v="#VALUE!"/>
    <m/>
    <d v="2019-06-14T00:00:00"/>
    <m/>
    <m/>
    <x v="19"/>
    <m/>
    <x v="61"/>
    <d v="2019-06-14T00:00:00"/>
    <x v="1"/>
    <x v="19"/>
    <x v="226"/>
    <n v="7.5"/>
    <n v="5"/>
    <n v="2019"/>
    <n v="25"/>
    <s v="2019-25"/>
  </r>
  <r>
    <e v="#VALUE!"/>
    <m/>
    <d v="2019-06-03T00:00:00"/>
    <m/>
    <m/>
    <x v="25"/>
    <m/>
    <x v="62"/>
    <d v="2019-06-03T00:00:00"/>
    <x v="5"/>
    <x v="25"/>
    <x v="238"/>
    <n v="7.5"/>
    <n v="1"/>
    <n v="2019"/>
    <n v="24"/>
    <s v="2019-24"/>
  </r>
  <r>
    <e v="#VALUE!"/>
    <m/>
    <d v="2019-06-04T00:00:00"/>
    <m/>
    <m/>
    <x v="25"/>
    <m/>
    <x v="62"/>
    <d v="2019-06-04T00:00:00"/>
    <x v="4"/>
    <x v="25"/>
    <x v="238"/>
    <n v="7.5"/>
    <n v="2"/>
    <n v="2019"/>
    <n v="24"/>
    <s v="2019-24"/>
  </r>
  <r>
    <e v="#VALUE!"/>
    <m/>
    <d v="2019-06-05T00:00:00"/>
    <m/>
    <m/>
    <x v="25"/>
    <m/>
    <x v="62"/>
    <d v="2019-06-05T00:00:00"/>
    <x v="3"/>
    <x v="25"/>
    <x v="238"/>
    <n v="7.5"/>
    <n v="3"/>
    <n v="2019"/>
    <n v="24"/>
    <s v="2019-24"/>
  </r>
  <r>
    <e v="#VALUE!"/>
    <m/>
    <d v="2019-06-06T00:00:00"/>
    <m/>
    <m/>
    <x v="24"/>
    <m/>
    <x v="62"/>
    <d v="2019-06-06T00:00:00"/>
    <x v="2"/>
    <x v="24"/>
    <x v="239"/>
    <n v="3.75"/>
    <n v="4"/>
    <n v="2019"/>
    <n v="24"/>
    <s v="2019-24"/>
  </r>
  <r>
    <e v="#VALUE!"/>
    <m/>
    <d v="2019-06-06T00:00:00"/>
    <m/>
    <m/>
    <x v="23"/>
    <m/>
    <x v="62"/>
    <d v="2019-06-06T00:00:00"/>
    <x v="2"/>
    <x v="23"/>
    <x v="240"/>
    <n v="3.75"/>
    <n v="4"/>
    <n v="2019"/>
    <n v="24"/>
    <s v="2019-24"/>
  </r>
  <r>
    <e v="#VALUE!"/>
    <m/>
    <d v="2019-06-07T00:00:00"/>
    <m/>
    <m/>
    <x v="23"/>
    <m/>
    <x v="62"/>
    <d v="2019-06-07T00:00:00"/>
    <x v="1"/>
    <x v="23"/>
    <x v="240"/>
    <n v="3.75"/>
    <n v="5"/>
    <n v="2019"/>
    <n v="24"/>
    <s v="2019-24"/>
  </r>
  <r>
    <e v="#VALUE!"/>
    <m/>
    <d v="2019-06-07T00:00:00"/>
    <m/>
    <m/>
    <x v="1"/>
    <m/>
    <x v="62"/>
    <d v="2019-06-07T00:00:00"/>
    <x v="1"/>
    <x v="1"/>
    <x v="0"/>
    <n v="3.75"/>
    <n v="5"/>
    <n v="2019"/>
    <n v="24"/>
    <s v="2019-24"/>
  </r>
  <r>
    <e v="#VALUE!"/>
    <m/>
    <d v="2019-05-27T00:00:00"/>
    <m/>
    <m/>
    <x v="8"/>
    <m/>
    <x v="63"/>
    <d v="2019-05-27T00:00:00"/>
    <x v="5"/>
    <x v="8"/>
    <x v="0"/>
    <n v="7.5"/>
    <n v="1"/>
    <n v="2019"/>
    <n v="23"/>
    <s v="2019-23"/>
  </r>
  <r>
    <e v="#VALUE!"/>
    <m/>
    <d v="2019-05-28T00:00:00"/>
    <m/>
    <m/>
    <x v="25"/>
    <m/>
    <x v="63"/>
    <d v="2019-05-28T00:00:00"/>
    <x v="4"/>
    <x v="25"/>
    <x v="136"/>
    <n v="7.5"/>
    <n v="2"/>
    <n v="2019"/>
    <n v="23"/>
    <s v="2019-23"/>
  </r>
  <r>
    <e v="#VALUE!"/>
    <m/>
    <d v="2019-05-29T00:00:00"/>
    <m/>
    <m/>
    <x v="25"/>
    <m/>
    <x v="63"/>
    <d v="2019-05-29T00:00:00"/>
    <x v="3"/>
    <x v="25"/>
    <x v="238"/>
    <n v="7.5"/>
    <n v="3"/>
    <n v="2019"/>
    <n v="23"/>
    <s v="2019-23"/>
  </r>
  <r>
    <e v="#VALUE!"/>
    <m/>
    <d v="2019-05-29T00:00:00"/>
    <m/>
    <m/>
    <x v="26"/>
    <m/>
    <x v="63"/>
    <d v="2019-05-29T00:00:00"/>
    <x v="3"/>
    <x v="26"/>
    <x v="241"/>
    <n v="3.5"/>
    <n v="3"/>
    <n v="2019"/>
    <n v="23"/>
    <s v="2019-23"/>
  </r>
  <r>
    <e v="#VALUE!"/>
    <m/>
    <d v="2019-05-30T00:00:00"/>
    <m/>
    <m/>
    <x v="27"/>
    <m/>
    <x v="63"/>
    <d v="2019-05-30T00:00:00"/>
    <x v="2"/>
    <x v="27"/>
    <x v="242"/>
    <n v="4"/>
    <n v="4"/>
    <n v="2019"/>
    <n v="23"/>
    <s v="2019-23"/>
  </r>
  <r>
    <e v="#VALUE!"/>
    <m/>
    <d v="2019-05-31T00:00:00"/>
    <m/>
    <m/>
    <x v="25"/>
    <m/>
    <x v="63"/>
    <d v="2019-05-31T00:00:00"/>
    <x v="1"/>
    <x v="25"/>
    <x v="242"/>
    <n v="7.5"/>
    <n v="5"/>
    <n v="2019"/>
    <n v="23"/>
    <s v="2019-23"/>
  </r>
  <r>
    <e v="#VALUE!"/>
    <m/>
    <d v="2019-05-20T00:00:00"/>
    <m/>
    <m/>
    <x v="22"/>
    <m/>
    <x v="64"/>
    <d v="2019-05-20T00:00:00"/>
    <x v="5"/>
    <x v="22"/>
    <x v="243"/>
    <n v="7.5"/>
    <n v="1"/>
    <n v="2019"/>
    <n v="22"/>
    <s v="2019-22"/>
  </r>
  <r>
    <e v="#VALUE!"/>
    <m/>
    <d v="2019-05-21T00:00:00"/>
    <m/>
    <m/>
    <x v="19"/>
    <m/>
    <x v="64"/>
    <d v="2019-05-21T00:00:00"/>
    <x v="4"/>
    <x v="19"/>
    <x v="244"/>
    <n v="7.5"/>
    <n v="2"/>
    <n v="2019"/>
    <n v="22"/>
    <s v="2019-22"/>
  </r>
  <r>
    <e v="#VALUE!"/>
    <m/>
    <d v="2019-05-22T00:00:00"/>
    <m/>
    <m/>
    <x v="19"/>
    <m/>
    <x v="64"/>
    <d v="2019-05-22T00:00:00"/>
    <x v="3"/>
    <x v="19"/>
    <x v="244"/>
    <n v="7.5"/>
    <n v="3"/>
    <n v="2019"/>
    <n v="22"/>
    <s v="2019-22"/>
  </r>
  <r>
    <e v="#VALUE!"/>
    <m/>
    <d v="2019-05-23T00:00:00"/>
    <m/>
    <m/>
    <x v="19"/>
    <m/>
    <x v="64"/>
    <d v="2019-05-23T00:00:00"/>
    <x v="2"/>
    <x v="19"/>
    <x v="244"/>
    <n v="7.5"/>
    <n v="4"/>
    <n v="2019"/>
    <n v="22"/>
    <s v="2019-22"/>
  </r>
  <r>
    <e v="#VALUE!"/>
    <m/>
    <d v="2019-05-24T00:00:00"/>
    <m/>
    <m/>
    <x v="19"/>
    <m/>
    <x v="64"/>
    <d v="2019-05-24T00:00:00"/>
    <x v="1"/>
    <x v="19"/>
    <x v="244"/>
    <n v="3.75"/>
    <n v="5"/>
    <n v="2019"/>
    <n v="22"/>
    <s v="2019-22"/>
  </r>
  <r>
    <e v="#VALUE!"/>
    <m/>
    <d v="2019-05-24T00:00:00"/>
    <m/>
    <m/>
    <x v="1"/>
    <m/>
    <x v="64"/>
    <d v="2019-05-24T00:00:00"/>
    <x v="1"/>
    <x v="1"/>
    <x v="0"/>
    <n v="3.75"/>
    <n v="5"/>
    <n v="2019"/>
    <n v="22"/>
    <s v="2019-22"/>
  </r>
  <r>
    <e v="#VALUE!"/>
    <m/>
    <d v="2019-05-13T00:00:00"/>
    <m/>
    <m/>
    <x v="28"/>
    <m/>
    <x v="65"/>
    <d v="2019-05-13T00:00:00"/>
    <x v="5"/>
    <x v="28"/>
    <x v="245"/>
    <n v="7.5"/>
    <n v="1"/>
    <n v="2019"/>
    <n v="21"/>
    <s v="2019-21"/>
  </r>
  <r>
    <e v="#VALUE!"/>
    <m/>
    <d v="2019-05-14T00:00:00"/>
    <m/>
    <m/>
    <x v="28"/>
    <m/>
    <x v="65"/>
    <d v="2019-05-14T00:00:00"/>
    <x v="4"/>
    <x v="28"/>
    <x v="245"/>
    <n v="5.5"/>
    <n v="2"/>
    <n v="2019"/>
    <n v="21"/>
    <s v="2019-21"/>
  </r>
  <r>
    <e v="#VALUE!"/>
    <m/>
    <d v="2019-05-14T00:00:00"/>
    <m/>
    <m/>
    <x v="19"/>
    <m/>
    <x v="65"/>
    <d v="2019-05-14T00:00:00"/>
    <x v="4"/>
    <x v="19"/>
    <x v="246"/>
    <n v="2"/>
    <n v="2"/>
    <n v="2019"/>
    <n v="21"/>
    <s v="2019-21"/>
  </r>
  <r>
    <e v="#VALUE!"/>
    <m/>
    <d v="2019-05-15T00:00:00"/>
    <m/>
    <m/>
    <x v="19"/>
    <m/>
    <x v="65"/>
    <d v="2019-05-15T00:00:00"/>
    <x v="3"/>
    <x v="19"/>
    <x v="246"/>
    <n v="7.5"/>
    <n v="3"/>
    <n v="2019"/>
    <n v="21"/>
    <s v="2019-21"/>
  </r>
  <r>
    <e v="#VALUE!"/>
    <m/>
    <d v="2019-05-16T00:00:00"/>
    <m/>
    <m/>
    <x v="19"/>
    <m/>
    <x v="65"/>
    <d v="2019-05-16T00:00:00"/>
    <x v="2"/>
    <x v="19"/>
    <x v="247"/>
    <n v="7.5"/>
    <n v="4"/>
    <n v="2019"/>
    <n v="21"/>
    <s v="2019-21"/>
  </r>
  <r>
    <e v="#VALUE!"/>
    <m/>
    <d v="2019-05-17T00:00:00"/>
    <m/>
    <m/>
    <x v="29"/>
    <m/>
    <x v="65"/>
    <d v="2019-05-17T00:00:00"/>
    <x v="1"/>
    <x v="29"/>
    <x v="248"/>
    <n v="3.75"/>
    <n v="5"/>
    <n v="2019"/>
    <n v="21"/>
    <s v="2019-21"/>
  </r>
  <r>
    <e v="#VALUE!"/>
    <m/>
    <d v="2019-05-17T00:00:00"/>
    <m/>
    <m/>
    <x v="19"/>
    <m/>
    <x v="65"/>
    <d v="2019-05-17T00:00:00"/>
    <x v="1"/>
    <x v="19"/>
    <x v="249"/>
    <n v="2.75"/>
    <n v="5"/>
    <n v="2019"/>
    <n v="21"/>
    <s v="2019-21"/>
  </r>
  <r>
    <e v="#VALUE!"/>
    <m/>
    <d v="2019-05-17T00:00:00"/>
    <m/>
    <m/>
    <x v="17"/>
    <m/>
    <x v="65"/>
    <d v="2019-05-17T00:00:00"/>
    <x v="1"/>
    <x v="17"/>
    <x v="250"/>
    <n v="1"/>
    <n v="5"/>
    <n v="2019"/>
    <n v="21"/>
    <s v="2019-21"/>
  </r>
  <r>
    <e v="#VALUE!"/>
    <m/>
    <d v="2019-05-06T00:00:00"/>
    <m/>
    <m/>
    <x v="8"/>
    <m/>
    <x v="66"/>
    <d v="2019-05-06T00:00:00"/>
    <x v="5"/>
    <x v="8"/>
    <x v="0"/>
    <n v="7.5"/>
    <n v="1"/>
    <n v="2019"/>
    <n v="20"/>
    <s v="2019-20"/>
  </r>
  <r>
    <e v="#VALUE!"/>
    <m/>
    <d v="2019-05-07T00:00:00"/>
    <m/>
    <m/>
    <x v="19"/>
    <m/>
    <x v="66"/>
    <d v="2019-05-07T00:00:00"/>
    <x v="4"/>
    <x v="19"/>
    <x v="160"/>
    <n v="7.5"/>
    <n v="2"/>
    <n v="2019"/>
    <n v="20"/>
    <s v="2019-20"/>
  </r>
  <r>
    <e v="#VALUE!"/>
    <m/>
    <d v="2019-05-08T00:00:00"/>
    <m/>
    <m/>
    <x v="19"/>
    <m/>
    <x v="66"/>
    <d v="2019-05-08T00:00:00"/>
    <x v="3"/>
    <x v="19"/>
    <x v="251"/>
    <n v="7.5"/>
    <n v="3"/>
    <n v="2019"/>
    <n v="20"/>
    <s v="2019-20"/>
  </r>
  <r>
    <e v="#VALUE!"/>
    <m/>
    <d v="2019-05-09T00:00:00"/>
    <m/>
    <m/>
    <x v="19"/>
    <m/>
    <x v="66"/>
    <d v="2019-05-09T00:00:00"/>
    <x v="2"/>
    <x v="19"/>
    <x v="251"/>
    <n v="7.5"/>
    <n v="4"/>
    <n v="2019"/>
    <n v="20"/>
    <s v="2019-20"/>
  </r>
  <r>
    <e v="#VALUE!"/>
    <m/>
    <d v="2019-05-10T00:00:00"/>
    <m/>
    <m/>
    <x v="14"/>
    <m/>
    <x v="66"/>
    <d v="2019-05-10T00:00:00"/>
    <x v="1"/>
    <x v="14"/>
    <x v="252"/>
    <n v="7.5"/>
    <n v="5"/>
    <n v="2019"/>
    <n v="20"/>
    <s v="2019-20"/>
  </r>
  <r>
    <e v="#VALUE!"/>
    <m/>
    <d v="2019-04-29T00:00:00"/>
    <m/>
    <m/>
    <x v="25"/>
    <m/>
    <x v="67"/>
    <d v="2019-04-29T00:00:00"/>
    <x v="5"/>
    <x v="25"/>
    <x v="253"/>
    <n v="7.5"/>
    <n v="1"/>
    <n v="2019"/>
    <n v="19"/>
    <s v="2019-19"/>
  </r>
  <r>
    <e v="#VALUE!"/>
    <m/>
    <d v="2019-04-30T00:00:00"/>
    <m/>
    <m/>
    <x v="25"/>
    <m/>
    <x v="67"/>
    <d v="2019-04-30T00:00:00"/>
    <x v="4"/>
    <x v="25"/>
    <x v="253"/>
    <n v="7.5"/>
    <n v="2"/>
    <n v="2019"/>
    <n v="19"/>
    <s v="2019-19"/>
  </r>
  <r>
    <e v="#VALUE!"/>
    <m/>
    <d v="2019-05-01T00:00:00"/>
    <m/>
    <m/>
    <x v="25"/>
    <m/>
    <x v="67"/>
    <d v="2019-05-01T00:00:00"/>
    <x v="3"/>
    <x v="25"/>
    <x v="254"/>
    <n v="7.5"/>
    <n v="3"/>
    <n v="2019"/>
    <n v="19"/>
    <s v="2019-19"/>
  </r>
  <r>
    <e v="#VALUE!"/>
    <m/>
    <d v="2019-05-02T00:00:00"/>
    <m/>
    <m/>
    <x v="19"/>
    <m/>
    <x v="67"/>
    <d v="2019-05-02T00:00:00"/>
    <x v="2"/>
    <x v="19"/>
    <x v="160"/>
    <n v="3.75"/>
    <n v="4"/>
    <n v="2019"/>
    <n v="19"/>
    <s v="2019-19"/>
  </r>
  <r>
    <e v="#VALUE!"/>
    <m/>
    <d v="2019-05-02T00:00:00"/>
    <m/>
    <m/>
    <x v="25"/>
    <m/>
    <x v="67"/>
    <d v="2019-05-02T00:00:00"/>
    <x v="2"/>
    <x v="25"/>
    <x v="255"/>
    <n v="3.75"/>
    <n v="4"/>
    <n v="2019"/>
    <n v="19"/>
    <s v="2019-19"/>
  </r>
  <r>
    <e v="#VALUE!"/>
    <m/>
    <d v="2019-05-03T00:00:00"/>
    <m/>
    <m/>
    <x v="1"/>
    <m/>
    <x v="67"/>
    <d v="2019-05-03T00:00:00"/>
    <x v="1"/>
    <x v="1"/>
    <x v="0"/>
    <n v="3.75"/>
    <n v="5"/>
    <n v="2019"/>
    <n v="19"/>
    <s v="2019-19"/>
  </r>
  <r>
    <e v="#VALUE!"/>
    <m/>
    <d v="2019-05-03T00:00:00"/>
    <m/>
    <m/>
    <x v="25"/>
    <m/>
    <x v="67"/>
    <d v="2019-05-03T00:00:00"/>
    <x v="1"/>
    <x v="25"/>
    <x v="255"/>
    <n v="3.75"/>
    <n v="5"/>
    <n v="2019"/>
    <n v="19"/>
    <s v="2019-19"/>
  </r>
  <r>
    <e v="#VALUE!"/>
    <m/>
    <d v="2019-04-22T00:00:00"/>
    <m/>
    <m/>
    <x v="8"/>
    <m/>
    <x v="68"/>
    <d v="2019-04-22T00:00:00"/>
    <x v="5"/>
    <x v="8"/>
    <x v="0"/>
    <n v="7.5"/>
    <n v="1"/>
    <n v="2019"/>
    <n v="18"/>
    <s v="2019-18"/>
  </r>
  <r>
    <e v="#VALUE!"/>
    <m/>
    <d v="2019-04-23T00:00:00"/>
    <m/>
    <m/>
    <x v="25"/>
    <m/>
    <x v="68"/>
    <d v="2019-04-23T00:00:00"/>
    <x v="4"/>
    <x v="25"/>
    <x v="256"/>
    <n v="7.5"/>
    <n v="2"/>
    <n v="2019"/>
    <n v="18"/>
    <s v="2019-18"/>
  </r>
  <r>
    <e v="#VALUE!"/>
    <m/>
    <d v="2019-04-24T00:00:00"/>
    <m/>
    <m/>
    <x v="25"/>
    <m/>
    <x v="68"/>
    <d v="2019-04-24T00:00:00"/>
    <x v="3"/>
    <x v="25"/>
    <x v="226"/>
    <n v="7.5"/>
    <n v="3"/>
    <n v="2019"/>
    <n v="18"/>
    <s v="2019-18"/>
  </r>
  <r>
    <e v="#VALUE!"/>
    <m/>
    <d v="2019-04-25T00:00:00"/>
    <m/>
    <m/>
    <x v="25"/>
    <m/>
    <x v="68"/>
    <d v="2019-04-25T00:00:00"/>
    <x v="2"/>
    <x v="25"/>
    <x v="256"/>
    <n v="3.75"/>
    <n v="4"/>
    <n v="2019"/>
    <n v="18"/>
    <s v="2019-18"/>
  </r>
  <r>
    <e v="#VALUE!"/>
    <m/>
    <d v="2019-04-25T00:00:00"/>
    <m/>
    <m/>
    <x v="19"/>
    <m/>
    <x v="68"/>
    <d v="2019-04-25T00:00:00"/>
    <x v="2"/>
    <x v="19"/>
    <x v="257"/>
    <n v="3.75"/>
    <n v="4"/>
    <n v="2019"/>
    <n v="18"/>
    <s v="2019-18"/>
  </r>
  <r>
    <e v="#VALUE!"/>
    <m/>
    <d v="2019-04-26T00:00:00"/>
    <m/>
    <m/>
    <x v="19"/>
    <m/>
    <x v="68"/>
    <d v="2019-04-26T00:00:00"/>
    <x v="1"/>
    <x v="19"/>
    <x v="258"/>
    <n v="3.75"/>
    <n v="5"/>
    <n v="2019"/>
    <n v="18"/>
    <s v="2019-18"/>
  </r>
  <r>
    <e v="#VALUE!"/>
    <m/>
    <d v="2019-04-26T00:00:00"/>
    <m/>
    <m/>
    <x v="19"/>
    <m/>
    <x v="68"/>
    <d v="2019-04-26T00:00:00"/>
    <x v="1"/>
    <x v="19"/>
    <x v="257"/>
    <n v="3.75"/>
    <n v="5"/>
    <n v="2019"/>
    <n v="18"/>
    <s v="2019-18"/>
  </r>
  <r>
    <e v="#VALUE!"/>
    <m/>
    <m/>
    <m/>
    <m/>
    <x v="0"/>
    <m/>
    <x v="68"/>
    <d v="1899-12-30T00:00:00"/>
    <x v="6"/>
    <x v="0"/>
    <x v="0"/>
    <m/>
    <s v=""/>
    <n v="2019"/>
    <n v="18"/>
    <s v="2019-18"/>
  </r>
  <r>
    <e v="#VALUE!"/>
    <m/>
    <m/>
    <m/>
    <m/>
    <x v="0"/>
    <m/>
    <x v="68"/>
    <d v="1899-12-30T00:00:00"/>
    <x v="6"/>
    <x v="0"/>
    <x v="0"/>
    <m/>
    <s v=""/>
    <n v="2019"/>
    <n v="18"/>
    <s v="2019-18"/>
  </r>
  <r>
    <e v="#VALUE!"/>
    <m/>
    <d v="2019-04-15T00:00:00"/>
    <m/>
    <m/>
    <x v="25"/>
    <m/>
    <x v="69"/>
    <d v="2019-04-15T00:00:00"/>
    <x v="5"/>
    <x v="25"/>
    <x v="259"/>
    <n v="2.5"/>
    <n v="1"/>
    <n v="2019"/>
    <n v="17"/>
    <s v="2019-17"/>
  </r>
  <r>
    <e v="#VALUE!"/>
    <m/>
    <d v="2019-04-15T00:00:00"/>
    <m/>
    <m/>
    <x v="25"/>
    <m/>
    <x v="69"/>
    <d v="2019-04-15T00:00:00"/>
    <x v="5"/>
    <x v="25"/>
    <x v="260"/>
    <n v="5"/>
    <n v="1"/>
    <n v="2019"/>
    <n v="17"/>
    <s v="2019-17"/>
  </r>
  <r>
    <e v="#VALUE!"/>
    <m/>
    <d v="2019-04-16T00:00:00"/>
    <m/>
    <m/>
    <x v="25"/>
    <m/>
    <x v="69"/>
    <d v="2019-04-16T00:00:00"/>
    <x v="4"/>
    <x v="25"/>
    <x v="261"/>
    <n v="5"/>
    <n v="2"/>
    <n v="2019"/>
    <n v="17"/>
    <s v="2019-17"/>
  </r>
  <r>
    <e v="#VALUE!"/>
    <m/>
    <d v="2019-04-16T00:00:00"/>
    <m/>
    <m/>
    <x v="25"/>
    <m/>
    <x v="69"/>
    <d v="2019-04-16T00:00:00"/>
    <x v="4"/>
    <x v="25"/>
    <x v="262"/>
    <n v="2.5"/>
    <n v="2"/>
    <n v="2019"/>
    <n v="17"/>
    <s v="2019-17"/>
  </r>
  <r>
    <e v="#VALUE!"/>
    <m/>
    <d v="2019-04-17T00:00:00"/>
    <m/>
    <m/>
    <x v="25"/>
    <m/>
    <x v="69"/>
    <d v="2019-04-17T00:00:00"/>
    <x v="3"/>
    <x v="25"/>
    <x v="263"/>
    <n v="7.5"/>
    <n v="3"/>
    <n v="2019"/>
    <n v="17"/>
    <s v="2019-17"/>
  </r>
  <r>
    <e v="#VALUE!"/>
    <m/>
    <d v="2019-04-18T00:00:00"/>
    <m/>
    <m/>
    <x v="25"/>
    <m/>
    <x v="69"/>
    <d v="2019-04-18T00:00:00"/>
    <x v="2"/>
    <x v="25"/>
    <x v="264"/>
    <n v="3.75"/>
    <n v="4"/>
    <n v="2019"/>
    <n v="17"/>
    <s v="2019-17"/>
  </r>
  <r>
    <e v="#VALUE!"/>
    <m/>
    <d v="2019-04-18T00:00:00"/>
    <m/>
    <m/>
    <x v="25"/>
    <m/>
    <x v="69"/>
    <d v="2019-04-18T00:00:00"/>
    <x v="2"/>
    <x v="25"/>
    <x v="265"/>
    <n v="3.75"/>
    <n v="4"/>
    <n v="2019"/>
    <n v="17"/>
    <s v="2019-17"/>
  </r>
  <r>
    <e v="#VALUE!"/>
    <m/>
    <d v="2019-04-19T00:00:00"/>
    <m/>
    <m/>
    <x v="1"/>
    <m/>
    <x v="69"/>
    <d v="2019-04-19T00:00:00"/>
    <x v="1"/>
    <x v="1"/>
    <x v="0"/>
    <n v="7.5"/>
    <n v="5"/>
    <n v="2019"/>
    <n v="17"/>
    <s v="2019-17"/>
  </r>
  <r>
    <e v="#VALUE!"/>
    <m/>
    <d v="2019-04-08T00:00:00"/>
    <m/>
    <m/>
    <x v="25"/>
    <m/>
    <x v="70"/>
    <d v="2019-04-08T00:00:00"/>
    <x v="5"/>
    <x v="25"/>
    <x v="266"/>
    <n v="7.5"/>
    <n v="1"/>
    <n v="2019"/>
    <n v="16"/>
    <s v="2019-16"/>
  </r>
  <r>
    <e v="#VALUE!"/>
    <m/>
    <d v="2019-04-09T00:00:00"/>
    <m/>
    <m/>
    <x v="25"/>
    <m/>
    <x v="70"/>
    <d v="2019-04-09T00:00:00"/>
    <x v="4"/>
    <x v="25"/>
    <x v="267"/>
    <n v="7.5"/>
    <n v="2"/>
    <n v="2019"/>
    <n v="16"/>
    <s v="2019-16"/>
  </r>
  <r>
    <e v="#VALUE!"/>
    <m/>
    <d v="2019-04-10T00:00:00"/>
    <m/>
    <m/>
    <x v="25"/>
    <m/>
    <x v="70"/>
    <d v="2019-04-10T00:00:00"/>
    <x v="3"/>
    <x v="25"/>
    <x v="267"/>
    <n v="2.5"/>
    <n v="3"/>
    <n v="2019"/>
    <n v="16"/>
    <s v="2019-16"/>
  </r>
  <r>
    <e v="#VALUE!"/>
    <m/>
    <d v="2019-04-10T00:00:00"/>
    <m/>
    <m/>
    <x v="25"/>
    <m/>
    <x v="70"/>
    <d v="2019-04-10T00:00:00"/>
    <x v="3"/>
    <x v="25"/>
    <x v="268"/>
    <n v="5"/>
    <n v="3"/>
    <n v="2019"/>
    <n v="16"/>
    <s v="2019-16"/>
  </r>
  <r>
    <e v="#VALUE!"/>
    <m/>
    <d v="2019-04-11T00:00:00"/>
    <m/>
    <m/>
    <x v="30"/>
    <m/>
    <x v="70"/>
    <d v="2019-04-11T00:00:00"/>
    <x v="2"/>
    <x v="30"/>
    <x v="269"/>
    <n v="3.75"/>
    <n v="4"/>
    <n v="2019"/>
    <n v="16"/>
    <s v="2019-16"/>
  </r>
  <r>
    <e v="#VALUE!"/>
    <m/>
    <d v="2019-04-11T00:00:00"/>
    <m/>
    <m/>
    <x v="25"/>
    <m/>
    <x v="70"/>
    <d v="2019-04-11T00:00:00"/>
    <x v="2"/>
    <x v="25"/>
    <x v="268"/>
    <n v="3.75"/>
    <n v="4"/>
    <n v="2019"/>
    <n v="16"/>
    <s v="2019-16"/>
  </r>
  <r>
    <e v="#VALUE!"/>
    <m/>
    <d v="2019-04-12T00:00:00"/>
    <m/>
    <m/>
    <x v="30"/>
    <m/>
    <x v="70"/>
    <d v="2019-04-12T00:00:00"/>
    <x v="1"/>
    <x v="30"/>
    <x v="270"/>
    <n v="3.75"/>
    <n v="5"/>
    <n v="2019"/>
    <n v="16"/>
    <s v="2019-16"/>
  </r>
  <r>
    <e v="#VALUE!"/>
    <m/>
    <d v="2019-04-12T00:00:00"/>
    <m/>
    <m/>
    <x v="25"/>
    <m/>
    <x v="70"/>
    <d v="2019-04-12T00:00:00"/>
    <x v="1"/>
    <x v="25"/>
    <x v="271"/>
    <n v="3.75"/>
    <n v="5"/>
    <n v="2019"/>
    <n v="16"/>
    <s v="2019-16"/>
  </r>
  <r>
    <e v="#VALUE!"/>
    <m/>
    <d v="2019-04-01T00:00:00"/>
    <m/>
    <m/>
    <x v="25"/>
    <m/>
    <x v="71"/>
    <d v="2019-04-01T00:00:00"/>
    <x v="5"/>
    <x v="25"/>
    <x v="272"/>
    <n v="4"/>
    <n v="1"/>
    <n v="2019"/>
    <n v="15"/>
    <s v="2019-15"/>
  </r>
  <r>
    <e v="#VALUE!"/>
    <m/>
    <d v="2019-04-01T00:00:00"/>
    <m/>
    <m/>
    <x v="25"/>
    <m/>
    <x v="71"/>
    <d v="2019-04-01T00:00:00"/>
    <x v="5"/>
    <x v="25"/>
    <x v="273"/>
    <n v="2"/>
    <n v="1"/>
    <n v="2019"/>
    <n v="15"/>
    <s v="2019-15"/>
  </r>
  <r>
    <e v="#VALUE!"/>
    <m/>
    <d v="2019-04-01T00:00:00"/>
    <m/>
    <m/>
    <x v="25"/>
    <m/>
    <x v="71"/>
    <d v="2019-04-01T00:00:00"/>
    <x v="5"/>
    <x v="25"/>
    <x v="274"/>
    <n v="1.5"/>
    <n v="1"/>
    <n v="2019"/>
    <n v="15"/>
    <s v="2019-15"/>
  </r>
  <r>
    <e v="#VALUE!"/>
    <m/>
    <d v="2019-04-02T00:00:00"/>
    <m/>
    <m/>
    <x v="25"/>
    <m/>
    <x v="71"/>
    <d v="2019-04-02T00:00:00"/>
    <x v="4"/>
    <x v="25"/>
    <x v="275"/>
    <n v="7.5"/>
    <n v="2"/>
    <n v="2019"/>
    <n v="15"/>
    <s v="2019-15"/>
  </r>
  <r>
    <e v="#VALUE!"/>
    <m/>
    <d v="2019-04-03T00:00:00"/>
    <m/>
    <m/>
    <x v="25"/>
    <m/>
    <x v="71"/>
    <d v="2019-04-03T00:00:00"/>
    <x v="3"/>
    <x v="25"/>
    <x v="266"/>
    <n v="7.5"/>
    <n v="3"/>
    <n v="2019"/>
    <n v="15"/>
    <s v="2019-15"/>
  </r>
  <r>
    <e v="#VALUE!"/>
    <m/>
    <d v="2019-04-04T00:00:00"/>
    <m/>
    <m/>
    <x v="25"/>
    <m/>
    <x v="71"/>
    <d v="2019-04-04T00:00:00"/>
    <x v="2"/>
    <x v="25"/>
    <x v="276"/>
    <n v="7.5"/>
    <n v="4"/>
    <n v="2019"/>
    <n v="15"/>
    <s v="2019-15"/>
  </r>
  <r>
    <e v="#VALUE!"/>
    <m/>
    <d v="2019-04-05T00:00:00"/>
    <m/>
    <m/>
    <x v="25"/>
    <m/>
    <x v="71"/>
    <d v="2019-04-05T00:00:00"/>
    <x v="1"/>
    <x v="25"/>
    <x v="133"/>
    <n v="7.5"/>
    <n v="5"/>
    <n v="2019"/>
    <n v="15"/>
    <s v="2019-15"/>
  </r>
  <r>
    <e v="#VALUE!"/>
    <m/>
    <d v="2019-03-25T00:00:00"/>
    <m/>
    <m/>
    <x v="25"/>
    <m/>
    <x v="72"/>
    <d v="2019-03-25T00:00:00"/>
    <x v="5"/>
    <x v="25"/>
    <x v="133"/>
    <n v="7.5"/>
    <n v="1"/>
    <n v="2019"/>
    <n v="14"/>
    <s v="2019-14"/>
  </r>
  <r>
    <e v="#VALUE!"/>
    <m/>
    <d v="2019-03-26T00:00:00"/>
    <m/>
    <m/>
    <x v="25"/>
    <m/>
    <x v="72"/>
    <d v="2019-03-26T00:00:00"/>
    <x v="4"/>
    <x v="25"/>
    <x v="226"/>
    <n v="2"/>
    <n v="2"/>
    <n v="2019"/>
    <n v="14"/>
    <s v="2019-14"/>
  </r>
  <r>
    <e v="#VALUE!"/>
    <m/>
    <d v="2019-03-26T00:00:00"/>
    <m/>
    <m/>
    <x v="25"/>
    <m/>
    <x v="72"/>
    <d v="2019-03-26T00:00:00"/>
    <x v="4"/>
    <x v="25"/>
    <x v="277"/>
    <n v="3"/>
    <n v="2"/>
    <n v="2019"/>
    <n v="14"/>
    <s v="2019-14"/>
  </r>
  <r>
    <e v="#VALUE!"/>
    <m/>
    <d v="2019-03-26T00:00:00"/>
    <m/>
    <m/>
    <x v="30"/>
    <m/>
    <x v="72"/>
    <d v="2019-03-26T00:00:00"/>
    <x v="4"/>
    <x v="30"/>
    <x v="278"/>
    <n v="2.5"/>
    <n v="2"/>
    <n v="2019"/>
    <n v="14"/>
    <s v="2019-14"/>
  </r>
  <r>
    <e v="#VALUE!"/>
    <m/>
    <d v="2019-03-27T00:00:00"/>
    <m/>
    <m/>
    <x v="30"/>
    <m/>
    <x v="72"/>
    <d v="2019-03-27T00:00:00"/>
    <x v="3"/>
    <x v="30"/>
    <x v="278"/>
    <n v="5"/>
    <n v="3"/>
    <n v="2019"/>
    <n v="14"/>
    <s v="2019-14"/>
  </r>
  <r>
    <e v="#VALUE!"/>
    <m/>
    <d v="2019-03-27T00:00:00"/>
    <m/>
    <m/>
    <x v="25"/>
    <m/>
    <x v="72"/>
    <d v="2019-03-27T00:00:00"/>
    <x v="3"/>
    <x v="25"/>
    <x v="267"/>
    <n v="2.5"/>
    <n v="3"/>
    <n v="2019"/>
    <n v="14"/>
    <s v="2019-14"/>
  </r>
  <r>
    <e v="#VALUE!"/>
    <m/>
    <d v="2019-03-28T00:00:00"/>
    <m/>
    <m/>
    <x v="30"/>
    <m/>
    <x v="72"/>
    <d v="2019-03-28T00:00:00"/>
    <x v="2"/>
    <x v="30"/>
    <x v="278"/>
    <n v="2.5"/>
    <n v="4"/>
    <n v="2019"/>
    <n v="14"/>
    <s v="2019-14"/>
  </r>
  <r>
    <e v="#VALUE!"/>
    <m/>
    <d v="2019-03-28T00:00:00"/>
    <m/>
    <m/>
    <x v="25"/>
    <m/>
    <x v="72"/>
    <d v="2019-03-28T00:00:00"/>
    <x v="2"/>
    <x v="25"/>
    <x v="279"/>
    <n v="5"/>
    <n v="4"/>
    <n v="2019"/>
    <n v="14"/>
    <s v="2019-14"/>
  </r>
  <r>
    <e v="#VALUE!"/>
    <m/>
    <d v="2019-03-29T00:00:00"/>
    <m/>
    <m/>
    <x v="25"/>
    <m/>
    <x v="72"/>
    <d v="2019-03-29T00:00:00"/>
    <x v="1"/>
    <x v="25"/>
    <x v="280"/>
    <n v="7.5"/>
    <n v="5"/>
    <n v="2019"/>
    <n v="14"/>
    <s v="2019-14"/>
  </r>
  <r>
    <e v="#VALUE!"/>
    <m/>
    <d v="2019-03-18T00:00:00"/>
    <m/>
    <m/>
    <x v="31"/>
    <m/>
    <x v="73"/>
    <d v="2019-03-18T00:00:00"/>
    <x v="5"/>
    <x v="31"/>
    <x v="281"/>
    <n v="7.5"/>
    <n v="1"/>
    <n v="2019"/>
    <n v="13"/>
    <s v="2019-13"/>
  </r>
  <r>
    <e v="#VALUE!"/>
    <m/>
    <d v="2019-03-19T00:00:00"/>
    <m/>
    <m/>
    <x v="25"/>
    <m/>
    <x v="73"/>
    <d v="2019-03-19T00:00:00"/>
    <x v="4"/>
    <x v="25"/>
    <x v="282"/>
    <n v="7.5"/>
    <n v="2"/>
    <n v="2019"/>
    <n v="13"/>
    <s v="2019-13"/>
  </r>
  <r>
    <e v="#VALUE!"/>
    <m/>
    <d v="2019-03-20T00:00:00"/>
    <m/>
    <m/>
    <x v="25"/>
    <m/>
    <x v="73"/>
    <d v="2019-03-20T00:00:00"/>
    <x v="3"/>
    <x v="25"/>
    <x v="283"/>
    <n v="7.5"/>
    <n v="3"/>
    <n v="2019"/>
    <n v="13"/>
    <s v="2019-13"/>
  </r>
  <r>
    <e v="#VALUE!"/>
    <m/>
    <d v="2019-03-21T00:00:00"/>
    <m/>
    <m/>
    <x v="25"/>
    <m/>
    <x v="73"/>
    <d v="2019-03-21T00:00:00"/>
    <x v="2"/>
    <x v="25"/>
    <x v="284"/>
    <n v="7.5"/>
    <n v="4"/>
    <n v="2019"/>
    <n v="13"/>
    <s v="2019-13"/>
  </r>
  <r>
    <e v="#VALUE!"/>
    <m/>
    <d v="2019-03-22T00:00:00"/>
    <m/>
    <m/>
    <x v="31"/>
    <m/>
    <x v="73"/>
    <d v="2019-03-22T00:00:00"/>
    <x v="1"/>
    <x v="31"/>
    <x v="281"/>
    <n v="7.5"/>
    <n v="5"/>
    <n v="2019"/>
    <n v="13"/>
    <s v="2019-13"/>
  </r>
  <r>
    <e v="#VALUE!"/>
    <m/>
    <d v="2019-03-11T00:00:00"/>
    <m/>
    <m/>
    <x v="31"/>
    <m/>
    <x v="74"/>
    <d v="2019-03-11T00:00:00"/>
    <x v="5"/>
    <x v="31"/>
    <x v="285"/>
    <n v="5"/>
    <n v="1"/>
    <n v="2019"/>
    <n v="12"/>
    <s v="2019-12"/>
  </r>
  <r>
    <e v="#VALUE!"/>
    <m/>
    <d v="2019-03-11T00:00:00"/>
    <m/>
    <m/>
    <x v="31"/>
    <m/>
    <x v="74"/>
    <d v="2019-03-11T00:00:00"/>
    <x v="5"/>
    <x v="31"/>
    <x v="286"/>
    <n v="2.5"/>
    <n v="1"/>
    <n v="2019"/>
    <n v="12"/>
    <s v="2019-12"/>
  </r>
  <r>
    <e v="#VALUE!"/>
    <m/>
    <d v="2019-03-12T00:00:00"/>
    <m/>
    <m/>
    <x v="31"/>
    <m/>
    <x v="74"/>
    <d v="2019-03-12T00:00:00"/>
    <x v="4"/>
    <x v="31"/>
    <x v="287"/>
    <n v="7.5"/>
    <n v="2"/>
    <n v="2019"/>
    <n v="12"/>
    <s v="2019-12"/>
  </r>
  <r>
    <e v="#VALUE!"/>
    <m/>
    <d v="2019-03-13T00:00:00"/>
    <m/>
    <m/>
    <x v="25"/>
    <m/>
    <x v="74"/>
    <d v="2019-03-13T00:00:00"/>
    <x v="3"/>
    <x v="25"/>
    <x v="288"/>
    <n v="7.5"/>
    <n v="3"/>
    <n v="2019"/>
    <n v="12"/>
    <s v="2019-12"/>
  </r>
  <r>
    <e v="#VALUE!"/>
    <m/>
    <d v="2019-03-14T00:00:00"/>
    <m/>
    <m/>
    <x v="25"/>
    <m/>
    <x v="74"/>
    <d v="2019-03-14T00:00:00"/>
    <x v="2"/>
    <x v="25"/>
    <x v="289"/>
    <n v="7.5"/>
    <n v="4"/>
    <n v="2019"/>
    <n v="12"/>
    <s v="2019-12"/>
  </r>
  <r>
    <e v="#VALUE!"/>
    <m/>
    <d v="2019-03-15T00:00:00"/>
    <m/>
    <m/>
    <x v="31"/>
    <m/>
    <x v="74"/>
    <d v="2019-03-15T00:00:00"/>
    <x v="1"/>
    <x v="31"/>
    <x v="290"/>
    <n v="7.5"/>
    <n v="5"/>
    <n v="2019"/>
    <n v="12"/>
    <s v="2019-12"/>
  </r>
  <r>
    <e v="#VALUE!"/>
    <m/>
    <d v="2019-03-04T00:00:00"/>
    <m/>
    <m/>
    <x v="31"/>
    <m/>
    <x v="75"/>
    <d v="2019-03-04T00:00:00"/>
    <x v="5"/>
    <x v="31"/>
    <x v="291"/>
    <n v="2"/>
    <n v="1"/>
    <n v="2019"/>
    <n v="11"/>
    <s v="2019-11"/>
  </r>
  <r>
    <e v="#VALUE!"/>
    <m/>
    <d v="2019-03-04T00:00:00"/>
    <m/>
    <m/>
    <x v="31"/>
    <m/>
    <x v="75"/>
    <d v="2019-03-04T00:00:00"/>
    <x v="5"/>
    <x v="31"/>
    <x v="292"/>
    <n v="5.5"/>
    <n v="1"/>
    <n v="2019"/>
    <n v="11"/>
    <s v="2019-11"/>
  </r>
  <r>
    <e v="#VALUE!"/>
    <m/>
    <d v="2019-03-05T00:00:00"/>
    <m/>
    <m/>
    <x v="31"/>
    <m/>
    <x v="75"/>
    <d v="2019-03-05T00:00:00"/>
    <x v="4"/>
    <x v="31"/>
    <x v="293"/>
    <n v="2.5"/>
    <n v="2"/>
    <n v="2019"/>
    <n v="11"/>
    <s v="2019-11"/>
  </r>
  <r>
    <e v="#VALUE!"/>
    <m/>
    <d v="2019-03-05T00:00:00"/>
    <m/>
    <m/>
    <x v="32"/>
    <m/>
    <x v="75"/>
    <d v="2019-03-05T00:00:00"/>
    <x v="4"/>
    <x v="32"/>
    <x v="294"/>
    <n v="5"/>
    <n v="2"/>
    <n v="2019"/>
    <n v="11"/>
    <s v="2019-11"/>
  </r>
  <r>
    <e v="#VALUE!"/>
    <m/>
    <d v="2019-03-06T00:00:00"/>
    <m/>
    <m/>
    <x v="33"/>
    <m/>
    <x v="75"/>
    <d v="2019-03-06T00:00:00"/>
    <x v="3"/>
    <x v="33"/>
    <x v="295"/>
    <n v="7.5"/>
    <n v="3"/>
    <n v="2019"/>
    <n v="11"/>
    <s v="2019-11"/>
  </r>
  <r>
    <e v="#VALUE!"/>
    <m/>
    <d v="2019-03-07T00:00:00"/>
    <m/>
    <m/>
    <x v="25"/>
    <m/>
    <x v="75"/>
    <d v="2019-03-07T00:00:00"/>
    <x v="2"/>
    <x v="25"/>
    <x v="296"/>
    <n v="7.5"/>
    <n v="4"/>
    <n v="2019"/>
    <n v="11"/>
    <s v="2019-11"/>
  </r>
  <r>
    <e v="#VALUE!"/>
    <m/>
    <d v="2019-03-08T00:00:00"/>
    <m/>
    <m/>
    <x v="31"/>
    <m/>
    <x v="75"/>
    <d v="2019-03-08T00:00:00"/>
    <x v="1"/>
    <x v="31"/>
    <x v="285"/>
    <n v="5"/>
    <n v="5"/>
    <n v="2019"/>
    <n v="11"/>
    <s v="2019-11"/>
  </r>
  <r>
    <e v="#VALUE!"/>
    <m/>
    <d v="2019-03-08T00:00:00"/>
    <m/>
    <m/>
    <x v="31"/>
    <m/>
    <x v="75"/>
    <d v="2019-03-08T00:00:00"/>
    <x v="1"/>
    <x v="31"/>
    <x v="297"/>
    <n v="2.5"/>
    <n v="5"/>
    <n v="2019"/>
    <n v="11"/>
    <s v="2019-11"/>
  </r>
  <r>
    <e v="#VALUE!"/>
    <m/>
    <d v="2019-02-25T00:00:00"/>
    <m/>
    <m/>
    <x v="34"/>
    <m/>
    <x v="76"/>
    <d v="2019-02-25T00:00:00"/>
    <x v="5"/>
    <x v="34"/>
    <x v="298"/>
    <n v="2"/>
    <n v="1"/>
    <n v="2019"/>
    <n v="10"/>
    <s v="2019-10"/>
  </r>
  <r>
    <e v="#VALUE!"/>
    <m/>
    <d v="2019-02-25T00:00:00"/>
    <m/>
    <m/>
    <x v="35"/>
    <m/>
    <x v="76"/>
    <d v="2019-02-25T00:00:00"/>
    <x v="5"/>
    <x v="24"/>
    <x v="299"/>
    <n v="2.5"/>
    <n v="1"/>
    <n v="2019"/>
    <n v="10"/>
    <s v="2019-10"/>
  </r>
  <r>
    <e v="#VALUE!"/>
    <m/>
    <d v="2019-02-25T00:00:00"/>
    <m/>
    <m/>
    <x v="35"/>
    <m/>
    <x v="76"/>
    <d v="2019-02-25T00:00:00"/>
    <x v="5"/>
    <x v="24"/>
    <x v="300"/>
    <n v="1"/>
    <n v="1"/>
    <n v="2019"/>
    <n v="10"/>
    <s v="2019-10"/>
  </r>
  <r>
    <e v="#VALUE!"/>
    <m/>
    <d v="2019-02-25T00:00:00"/>
    <m/>
    <m/>
    <x v="33"/>
    <m/>
    <x v="76"/>
    <d v="2019-02-25T00:00:00"/>
    <x v="5"/>
    <x v="33"/>
    <x v="301"/>
    <n v="1"/>
    <n v="1"/>
    <n v="2019"/>
    <n v="10"/>
    <s v="2019-10"/>
  </r>
  <r>
    <e v="#VALUE!"/>
    <m/>
    <d v="2019-02-25T00:00:00"/>
    <m/>
    <m/>
    <x v="31"/>
    <m/>
    <x v="76"/>
    <d v="2019-02-25T00:00:00"/>
    <x v="5"/>
    <x v="31"/>
    <x v="302"/>
    <n v="1"/>
    <n v="1"/>
    <n v="2019"/>
    <n v="10"/>
    <s v="2019-10"/>
  </r>
  <r>
    <e v="#VALUE!"/>
    <m/>
    <d v="2019-02-26T00:00:00"/>
    <m/>
    <m/>
    <x v="36"/>
    <m/>
    <x v="76"/>
    <d v="2019-02-26T00:00:00"/>
    <x v="4"/>
    <x v="35"/>
    <x v="303"/>
    <n v="5.5"/>
    <n v="2"/>
    <n v="2019"/>
    <n v="10"/>
    <s v="2019-10"/>
  </r>
  <r>
    <e v="#VALUE!"/>
    <m/>
    <d v="2019-02-26T00:00:00"/>
    <m/>
    <m/>
    <x v="33"/>
    <m/>
    <x v="76"/>
    <d v="2019-02-26T00:00:00"/>
    <x v="4"/>
    <x v="33"/>
    <x v="301"/>
    <n v="2"/>
    <n v="2"/>
    <n v="2019"/>
    <n v="10"/>
    <s v="2019-10"/>
  </r>
  <r>
    <e v="#VALUE!"/>
    <m/>
    <d v="2019-02-27T00:00:00"/>
    <m/>
    <m/>
    <x v="31"/>
    <m/>
    <x v="76"/>
    <d v="2019-02-27T00:00:00"/>
    <x v="3"/>
    <x v="31"/>
    <x v="304"/>
    <n v="3.75"/>
    <n v="3"/>
    <n v="2019"/>
    <n v="10"/>
    <s v="2019-10"/>
  </r>
  <r>
    <e v="#VALUE!"/>
    <m/>
    <d v="2019-02-27T00:00:00"/>
    <m/>
    <m/>
    <x v="31"/>
    <m/>
    <x v="76"/>
    <d v="2019-02-27T00:00:00"/>
    <x v="3"/>
    <x v="31"/>
    <x v="305"/>
    <n v="3.75"/>
    <n v="3"/>
    <n v="2019"/>
    <n v="10"/>
    <s v="2019-10"/>
  </r>
  <r>
    <e v="#VALUE!"/>
    <m/>
    <d v="2019-02-28T00:00:00"/>
    <m/>
    <m/>
    <x v="30"/>
    <m/>
    <x v="76"/>
    <d v="2019-02-28T00:00:00"/>
    <x v="2"/>
    <x v="30"/>
    <x v="306"/>
    <n v="2.5"/>
    <n v="4"/>
    <n v="2019"/>
    <n v="10"/>
    <s v="2019-10"/>
  </r>
  <r>
    <e v="#VALUE!"/>
    <m/>
    <d v="2019-02-28T00:00:00"/>
    <m/>
    <m/>
    <x v="9"/>
    <m/>
    <x v="76"/>
    <d v="2019-02-28T00:00:00"/>
    <x v="2"/>
    <x v="9"/>
    <x v="252"/>
    <n v="2.5"/>
    <n v="4"/>
    <n v="2019"/>
    <n v="10"/>
    <s v="2019-10"/>
  </r>
  <r>
    <e v="#VALUE!"/>
    <m/>
    <d v="2019-02-28T00:00:00"/>
    <m/>
    <m/>
    <x v="9"/>
    <m/>
    <x v="76"/>
    <d v="2019-02-28T00:00:00"/>
    <x v="2"/>
    <x v="9"/>
    <x v="307"/>
    <n v="2.5"/>
    <n v="4"/>
    <n v="2019"/>
    <n v="10"/>
    <s v="2019-10"/>
  </r>
  <r>
    <e v="#VALUE!"/>
    <m/>
    <d v="2019-03-01T00:00:00"/>
    <m/>
    <m/>
    <x v="31"/>
    <m/>
    <x v="76"/>
    <d v="2019-03-01T00:00:00"/>
    <x v="1"/>
    <x v="31"/>
    <x v="252"/>
    <n v="7.5"/>
    <n v="5"/>
    <n v="2019"/>
    <n v="10"/>
    <s v="2019-10"/>
  </r>
  <r>
    <e v="#VALUE!"/>
    <m/>
    <d v="2019-02-18T00:00:00"/>
    <m/>
    <m/>
    <x v="31"/>
    <m/>
    <x v="77"/>
    <d v="2019-02-18T00:00:00"/>
    <x v="5"/>
    <x v="31"/>
    <x v="160"/>
    <n v="7.5"/>
    <n v="1"/>
    <n v="2019"/>
    <n v="9"/>
    <s v="2019-9"/>
  </r>
  <r>
    <e v="#VALUE!"/>
    <m/>
    <d v="2019-02-19T00:00:00"/>
    <m/>
    <m/>
    <x v="14"/>
    <m/>
    <x v="77"/>
    <d v="2019-02-19T00:00:00"/>
    <x v="4"/>
    <x v="14"/>
    <x v="308"/>
    <n v="6.5"/>
    <n v="2"/>
    <n v="2019"/>
    <n v="9"/>
    <s v="2019-9"/>
  </r>
  <r>
    <e v="#VALUE!"/>
    <m/>
    <d v="2019-02-19T00:00:00"/>
    <m/>
    <m/>
    <x v="6"/>
    <m/>
    <x v="77"/>
    <d v="2019-02-19T00:00:00"/>
    <x v="4"/>
    <x v="6"/>
    <x v="309"/>
    <n v="1"/>
    <n v="2"/>
    <n v="2019"/>
    <n v="9"/>
    <s v="2019-9"/>
  </r>
  <r>
    <e v="#VALUE!"/>
    <m/>
    <d v="2019-02-20T00:00:00"/>
    <m/>
    <m/>
    <x v="34"/>
    <m/>
    <x v="77"/>
    <d v="2019-02-20T00:00:00"/>
    <x v="3"/>
    <x v="34"/>
    <x v="310"/>
    <n v="2"/>
    <n v="3"/>
    <n v="2019"/>
    <n v="9"/>
    <s v="2019-9"/>
  </r>
  <r>
    <e v="#VALUE!"/>
    <m/>
    <d v="2019-02-20T00:00:00"/>
    <m/>
    <m/>
    <x v="30"/>
    <m/>
    <x v="77"/>
    <d v="2019-02-20T00:00:00"/>
    <x v="3"/>
    <x v="30"/>
    <x v="311"/>
    <n v="2"/>
    <n v="3"/>
    <n v="2019"/>
    <n v="9"/>
    <s v="2019-9"/>
  </r>
  <r>
    <e v="#VALUE!"/>
    <m/>
    <d v="2019-02-20T00:00:00"/>
    <m/>
    <m/>
    <x v="31"/>
    <m/>
    <x v="77"/>
    <d v="2019-02-20T00:00:00"/>
    <x v="3"/>
    <x v="31"/>
    <x v="287"/>
    <n v="3.5"/>
    <n v="3"/>
    <n v="2019"/>
    <n v="9"/>
    <s v="2019-9"/>
  </r>
  <r>
    <e v="#VALUE!"/>
    <m/>
    <d v="2019-02-21T00:00:00"/>
    <m/>
    <m/>
    <x v="37"/>
    <m/>
    <x v="77"/>
    <d v="2019-02-21T00:00:00"/>
    <x v="2"/>
    <x v="4"/>
    <x v="312"/>
    <n v="4"/>
    <n v="4"/>
    <n v="2019"/>
    <n v="9"/>
    <s v="2019-9"/>
  </r>
  <r>
    <e v="#VALUE!"/>
    <m/>
    <d v="2019-02-21T00:00:00"/>
    <m/>
    <m/>
    <x v="31"/>
    <m/>
    <x v="77"/>
    <d v="2019-02-21T00:00:00"/>
    <x v="2"/>
    <x v="31"/>
    <x v="313"/>
    <n v="3.5"/>
    <n v="4"/>
    <n v="2019"/>
    <n v="9"/>
    <s v="2019-9"/>
  </r>
  <r>
    <e v="#VALUE!"/>
    <m/>
    <d v="2019-02-22T00:00:00"/>
    <m/>
    <m/>
    <x v="31"/>
    <m/>
    <x v="77"/>
    <d v="2019-02-22T00:00:00"/>
    <x v="1"/>
    <x v="31"/>
    <x v="314"/>
    <n v="7.5"/>
    <n v="5"/>
    <n v="2019"/>
    <n v="9"/>
    <s v="2019-9"/>
  </r>
  <r>
    <e v="#VALUE!"/>
    <m/>
    <d v="2019-02-11T00:00:00"/>
    <m/>
    <m/>
    <x v="1"/>
    <m/>
    <x v="78"/>
    <d v="2019-02-11T00:00:00"/>
    <x v="5"/>
    <x v="1"/>
    <x v="1"/>
    <n v="7.5"/>
    <n v="1"/>
    <n v="2019"/>
    <n v="8"/>
    <s v="2019-8"/>
  </r>
  <r>
    <e v="#VALUE!"/>
    <m/>
    <d v="2019-02-12T00:00:00"/>
    <m/>
    <m/>
    <x v="1"/>
    <m/>
    <x v="78"/>
    <d v="2019-02-12T00:00:00"/>
    <x v="4"/>
    <x v="1"/>
    <x v="1"/>
    <n v="7.5"/>
    <n v="2"/>
    <n v="2019"/>
    <n v="8"/>
    <s v="2019-8"/>
  </r>
  <r>
    <e v="#VALUE!"/>
    <m/>
    <d v="2019-02-13T00:00:00"/>
    <m/>
    <m/>
    <x v="1"/>
    <m/>
    <x v="78"/>
    <d v="2019-02-13T00:00:00"/>
    <x v="3"/>
    <x v="1"/>
    <x v="1"/>
    <n v="7.5"/>
    <n v="3"/>
    <n v="2019"/>
    <n v="8"/>
    <s v="2019-8"/>
  </r>
  <r>
    <e v="#VALUE!"/>
    <m/>
    <d v="2019-02-14T00:00:00"/>
    <m/>
    <m/>
    <x v="1"/>
    <m/>
    <x v="78"/>
    <d v="2019-02-14T00:00:00"/>
    <x v="2"/>
    <x v="1"/>
    <x v="1"/>
    <n v="7.5"/>
    <n v="4"/>
    <n v="2019"/>
    <n v="8"/>
    <s v="2019-8"/>
  </r>
  <r>
    <e v="#VALUE!"/>
    <m/>
    <d v="2019-02-15T00:00:00"/>
    <m/>
    <m/>
    <x v="1"/>
    <m/>
    <x v="78"/>
    <d v="2019-02-15T00:00:00"/>
    <x v="1"/>
    <x v="1"/>
    <x v="1"/>
    <n v="7.5"/>
    <n v="5"/>
    <n v="2019"/>
    <n v="8"/>
    <s v="2019-8"/>
  </r>
  <r>
    <e v="#VALUE!"/>
    <m/>
    <d v="2019-02-04T00:00:00"/>
    <m/>
    <m/>
    <x v="38"/>
    <m/>
    <x v="79"/>
    <d v="2019-02-04T00:00:00"/>
    <x v="5"/>
    <x v="36"/>
    <x v="315"/>
    <n v="3.75"/>
    <n v="1"/>
    <n v="2019"/>
    <n v="7"/>
    <s v="2019-7"/>
  </r>
  <r>
    <e v="#VALUE!"/>
    <m/>
    <d v="2019-02-04T00:00:00"/>
    <m/>
    <m/>
    <x v="14"/>
    <m/>
    <x v="79"/>
    <d v="2019-02-04T00:00:00"/>
    <x v="5"/>
    <x v="14"/>
    <x v="316"/>
    <n v="3.75"/>
    <n v="1"/>
    <n v="2019"/>
    <n v="7"/>
    <s v="2019-7"/>
  </r>
  <r>
    <e v="#VALUE!"/>
    <m/>
    <d v="2019-02-05T00:00:00"/>
    <m/>
    <m/>
    <x v="31"/>
    <m/>
    <x v="79"/>
    <d v="2019-02-05T00:00:00"/>
    <x v="4"/>
    <x v="31"/>
    <x v="317"/>
    <n v="7.5"/>
    <n v="2"/>
    <n v="2019"/>
    <n v="7"/>
    <s v="2019-7"/>
  </r>
  <r>
    <e v="#VALUE!"/>
    <m/>
    <d v="2019-02-06T00:00:00"/>
    <m/>
    <m/>
    <x v="38"/>
    <m/>
    <x v="79"/>
    <d v="2019-02-06T00:00:00"/>
    <x v="3"/>
    <x v="36"/>
    <x v="318"/>
    <n v="7.5"/>
    <n v="3"/>
    <n v="2019"/>
    <n v="7"/>
    <s v="2019-7"/>
  </r>
  <r>
    <e v="#VALUE!"/>
    <m/>
    <d v="2019-02-07T00:00:00"/>
    <m/>
    <m/>
    <x v="39"/>
    <m/>
    <x v="79"/>
    <d v="2019-02-07T00:00:00"/>
    <x v="2"/>
    <x v="37"/>
    <x v="319"/>
    <n v="7.5"/>
    <n v="4"/>
    <n v="2019"/>
    <n v="7"/>
    <s v="2019-7"/>
  </r>
  <r>
    <e v="#VALUE!"/>
    <m/>
    <d v="2019-02-08T00:00:00"/>
    <m/>
    <m/>
    <x v="31"/>
    <m/>
    <x v="79"/>
    <d v="2019-02-08T00:00:00"/>
    <x v="1"/>
    <x v="31"/>
    <x v="320"/>
    <n v="3.75"/>
    <n v="5"/>
    <n v="2019"/>
    <n v="7"/>
    <s v="2019-7"/>
  </r>
  <r>
    <e v="#VALUE!"/>
    <m/>
    <d v="2019-02-08T00:00:00"/>
    <m/>
    <m/>
    <x v="38"/>
    <m/>
    <x v="79"/>
    <d v="2019-02-08T00:00:00"/>
    <x v="1"/>
    <x v="36"/>
    <x v="321"/>
    <n v="1"/>
    <n v="5"/>
    <n v="2019"/>
    <n v="7"/>
    <s v="2019-7"/>
  </r>
  <r>
    <e v="#VALUE!"/>
    <m/>
    <d v="2019-02-08T00:00:00"/>
    <m/>
    <m/>
    <x v="9"/>
    <m/>
    <x v="79"/>
    <d v="2019-02-08T00:00:00"/>
    <x v="1"/>
    <x v="9"/>
    <x v="322"/>
    <n v="1.5"/>
    <n v="5"/>
    <n v="2019"/>
    <n v="7"/>
    <s v="2019-7"/>
  </r>
  <r>
    <e v="#VALUE!"/>
    <m/>
    <d v="2019-02-08T00:00:00"/>
    <m/>
    <m/>
    <x v="9"/>
    <m/>
    <x v="79"/>
    <d v="2019-02-08T00:00:00"/>
    <x v="1"/>
    <x v="9"/>
    <x v="323"/>
    <n v="1.25"/>
    <n v="5"/>
    <n v="2019"/>
    <n v="7"/>
    <s v="2019-7"/>
  </r>
  <r>
    <e v="#VALUE!"/>
    <m/>
    <d v="2019-01-28T00:00:00"/>
    <m/>
    <m/>
    <x v="9"/>
    <m/>
    <x v="80"/>
    <d v="2019-01-28T00:00:00"/>
    <x v="5"/>
    <x v="9"/>
    <x v="324"/>
    <n v="2.5"/>
    <n v="1"/>
    <n v="2019"/>
    <n v="6"/>
    <s v="2019-6"/>
  </r>
  <r>
    <e v="#VALUE!"/>
    <m/>
    <d v="2019-01-28T00:00:00"/>
    <m/>
    <m/>
    <x v="31"/>
    <m/>
    <x v="80"/>
    <d v="2019-01-28T00:00:00"/>
    <x v="5"/>
    <x v="31"/>
    <x v="325"/>
    <n v="2"/>
    <n v="1"/>
    <n v="2019"/>
    <n v="6"/>
    <s v="2019-6"/>
  </r>
  <r>
    <e v="#VALUE!"/>
    <m/>
    <d v="2019-01-28T00:00:00"/>
    <m/>
    <m/>
    <x v="31"/>
    <m/>
    <x v="80"/>
    <d v="2019-01-28T00:00:00"/>
    <x v="5"/>
    <x v="31"/>
    <x v="326"/>
    <n v="3"/>
    <n v="1"/>
    <n v="2019"/>
    <n v="6"/>
    <s v="2019-6"/>
  </r>
  <r>
    <e v="#VALUE!"/>
    <m/>
    <d v="2019-01-29T00:00:00"/>
    <m/>
    <m/>
    <x v="31"/>
    <m/>
    <x v="80"/>
    <d v="2019-01-29T00:00:00"/>
    <x v="4"/>
    <x v="31"/>
    <x v="327"/>
    <n v="7.5"/>
    <n v="2"/>
    <n v="2019"/>
    <n v="6"/>
    <s v="2019-6"/>
  </r>
  <r>
    <e v="#VALUE!"/>
    <m/>
    <d v="2019-01-30T00:00:00"/>
    <m/>
    <m/>
    <x v="14"/>
    <m/>
    <x v="80"/>
    <d v="2019-01-30T00:00:00"/>
    <x v="3"/>
    <x v="14"/>
    <x v="328"/>
    <n v="7.5"/>
    <n v="3"/>
    <n v="2019"/>
    <n v="6"/>
    <s v="2019-6"/>
  </r>
  <r>
    <e v="#VALUE!"/>
    <m/>
    <d v="2019-01-31T00:00:00"/>
    <m/>
    <m/>
    <x v="24"/>
    <m/>
    <x v="80"/>
    <d v="2019-01-31T00:00:00"/>
    <x v="2"/>
    <x v="24"/>
    <x v="329"/>
    <n v="3.75"/>
    <n v="4"/>
    <n v="2019"/>
    <n v="6"/>
    <s v="2019-6"/>
  </r>
  <r>
    <e v="#VALUE!"/>
    <m/>
    <d v="2019-01-31T00:00:00"/>
    <m/>
    <m/>
    <x v="31"/>
    <m/>
    <x v="80"/>
    <d v="2019-01-31T00:00:00"/>
    <x v="2"/>
    <x v="31"/>
    <x v="330"/>
    <n v="3.75"/>
    <n v="4"/>
    <n v="2019"/>
    <n v="6"/>
    <s v="2019-6"/>
  </r>
  <r>
    <e v="#VALUE!"/>
    <m/>
    <d v="2019-02-01T00:00:00"/>
    <m/>
    <m/>
    <x v="31"/>
    <m/>
    <x v="80"/>
    <d v="2019-02-01T00:00:00"/>
    <x v="1"/>
    <x v="31"/>
    <x v="331"/>
    <n v="3.75"/>
    <n v="5"/>
    <n v="2019"/>
    <n v="6"/>
    <s v="2019-6"/>
  </r>
  <r>
    <e v="#VALUE!"/>
    <m/>
    <d v="2019-02-01T00:00:00"/>
    <m/>
    <m/>
    <x v="31"/>
    <m/>
    <x v="80"/>
    <d v="2019-02-01T00:00:00"/>
    <x v="1"/>
    <x v="31"/>
    <x v="332"/>
    <n v="3.75"/>
    <n v="5"/>
    <n v="2019"/>
    <n v="6"/>
    <s v="2019-6"/>
  </r>
  <r>
    <e v="#VALUE!"/>
    <m/>
    <d v="2019-01-21T00:00:00"/>
    <m/>
    <m/>
    <x v="31"/>
    <m/>
    <x v="81"/>
    <d v="2019-01-21T00:00:00"/>
    <x v="5"/>
    <x v="31"/>
    <x v="333"/>
    <n v="7.5"/>
    <n v="1"/>
    <n v="2019"/>
    <n v="5"/>
    <s v="2019-5"/>
  </r>
  <r>
    <e v="#VALUE!"/>
    <m/>
    <d v="2019-01-22T00:00:00"/>
    <m/>
    <m/>
    <x v="35"/>
    <m/>
    <x v="81"/>
    <d v="2019-01-22T00:00:00"/>
    <x v="4"/>
    <x v="24"/>
    <x v="299"/>
    <n v="7.5"/>
    <n v="2"/>
    <n v="2019"/>
    <n v="5"/>
    <s v="2019-5"/>
  </r>
  <r>
    <e v="#VALUE!"/>
    <m/>
    <d v="2019-01-23T00:00:00"/>
    <m/>
    <m/>
    <x v="40"/>
    <m/>
    <x v="81"/>
    <d v="2019-01-23T00:00:00"/>
    <x v="3"/>
    <x v="38"/>
    <x v="334"/>
    <n v="2"/>
    <n v="3"/>
    <n v="2019"/>
    <n v="5"/>
    <s v="2019-5"/>
  </r>
  <r>
    <e v="#VALUE!"/>
    <m/>
    <d v="2019-01-23T00:00:00"/>
    <m/>
    <m/>
    <x v="35"/>
    <m/>
    <x v="81"/>
    <d v="2019-01-23T00:00:00"/>
    <x v="3"/>
    <x v="24"/>
    <x v="299"/>
    <n v="5.5"/>
    <n v="3"/>
    <n v="2019"/>
    <n v="5"/>
    <s v="2019-5"/>
  </r>
  <r>
    <e v="#VALUE!"/>
    <m/>
    <d v="2019-01-24T00:00:00"/>
    <m/>
    <m/>
    <x v="36"/>
    <m/>
    <x v="81"/>
    <d v="2019-01-24T00:00:00"/>
    <x v="2"/>
    <x v="35"/>
    <x v="335"/>
    <n v="7.5"/>
    <n v="4"/>
    <n v="2019"/>
    <n v="5"/>
    <s v="2019-5"/>
  </r>
  <r>
    <e v="#VALUE!"/>
    <m/>
    <d v="2019-01-25T00:00:00"/>
    <m/>
    <m/>
    <x v="9"/>
    <m/>
    <x v="81"/>
    <d v="2019-01-25T00:00:00"/>
    <x v="1"/>
    <x v="9"/>
    <x v="336"/>
    <n v="3.75"/>
    <n v="5"/>
    <n v="2019"/>
    <n v="5"/>
    <s v="2019-5"/>
  </r>
  <r>
    <e v="#VALUE!"/>
    <m/>
    <d v="2019-01-25T00:00:00"/>
    <m/>
    <m/>
    <x v="31"/>
    <m/>
    <x v="81"/>
    <d v="2019-01-25T00:00:00"/>
    <x v="1"/>
    <x v="31"/>
    <x v="337"/>
    <n v="3.75"/>
    <n v="5"/>
    <n v="2019"/>
    <n v="5"/>
    <s v="2019-5"/>
  </r>
  <r>
    <e v="#VALUE!"/>
    <m/>
    <d v="2019-01-14T00:00:00"/>
    <m/>
    <m/>
    <x v="36"/>
    <m/>
    <x v="82"/>
    <d v="2019-01-14T00:00:00"/>
    <x v="5"/>
    <x v="35"/>
    <x v="338"/>
    <n v="7.5"/>
    <n v="1"/>
    <n v="2019"/>
    <n v="4"/>
    <s v="2019-4"/>
  </r>
  <r>
    <e v="#VALUE!"/>
    <m/>
    <d v="2019-01-15T00:00:00"/>
    <m/>
    <m/>
    <x v="36"/>
    <m/>
    <x v="82"/>
    <d v="2019-01-15T00:00:00"/>
    <x v="4"/>
    <x v="35"/>
    <x v="338"/>
    <n v="7.5"/>
    <n v="2"/>
    <n v="2019"/>
    <n v="4"/>
    <s v="2019-4"/>
  </r>
  <r>
    <e v="#VALUE!"/>
    <m/>
    <d v="2019-01-16T00:00:00"/>
    <m/>
    <m/>
    <x v="39"/>
    <m/>
    <x v="82"/>
    <d v="2019-01-16T00:00:00"/>
    <x v="3"/>
    <x v="37"/>
    <x v="339"/>
    <n v="7.5"/>
    <n v="3"/>
    <n v="2019"/>
    <n v="4"/>
    <s v="2019-4"/>
  </r>
  <r>
    <e v="#VALUE!"/>
    <m/>
    <d v="2019-01-17T00:00:00"/>
    <m/>
    <m/>
    <x v="39"/>
    <m/>
    <x v="82"/>
    <d v="2019-01-17T00:00:00"/>
    <x v="2"/>
    <x v="37"/>
    <x v="339"/>
    <n v="7.5"/>
    <n v="4"/>
    <n v="2019"/>
    <n v="4"/>
    <s v="2019-4"/>
  </r>
  <r>
    <e v="#VALUE!"/>
    <m/>
    <d v="2019-01-18T00:00:00"/>
    <m/>
    <m/>
    <x v="39"/>
    <m/>
    <x v="82"/>
    <d v="2019-01-18T00:00:00"/>
    <x v="1"/>
    <x v="37"/>
    <x v="339"/>
    <n v="7.5"/>
    <n v="5"/>
    <n v="2019"/>
    <n v="4"/>
    <s v="2019-4"/>
  </r>
  <r>
    <e v="#VALUE!"/>
    <m/>
    <d v="2019-01-07T00:00:00"/>
    <m/>
    <m/>
    <x v="14"/>
    <m/>
    <x v="83"/>
    <d v="2019-01-07T00:00:00"/>
    <x v="5"/>
    <x v="14"/>
    <x v="340"/>
    <n v="7.5"/>
    <n v="1"/>
    <n v="2019"/>
    <n v="3"/>
    <s v="2019-3"/>
  </r>
  <r>
    <e v="#VALUE!"/>
    <m/>
    <d v="2019-01-08T00:00:00"/>
    <m/>
    <m/>
    <x v="41"/>
    <m/>
    <x v="83"/>
    <d v="2019-01-08T00:00:00"/>
    <x v="4"/>
    <x v="39"/>
    <x v="341"/>
    <n v="3"/>
    <n v="2"/>
    <n v="2019"/>
    <n v="3"/>
    <s v="2019-3"/>
  </r>
  <r>
    <e v="#VALUE!"/>
    <m/>
    <d v="2019-01-08T00:00:00"/>
    <m/>
    <m/>
    <x v="35"/>
    <m/>
    <x v="83"/>
    <d v="2019-01-08T00:00:00"/>
    <x v="4"/>
    <x v="24"/>
    <x v="299"/>
    <n v="4.5"/>
    <n v="2"/>
    <n v="2019"/>
    <n v="3"/>
    <s v="2019-3"/>
  </r>
  <r>
    <e v="#VALUE!"/>
    <m/>
    <d v="2019-01-09T00:00:00"/>
    <m/>
    <m/>
    <x v="35"/>
    <m/>
    <x v="83"/>
    <d v="2019-01-09T00:00:00"/>
    <x v="3"/>
    <x v="24"/>
    <x v="299"/>
    <n v="7.5"/>
    <n v="3"/>
    <n v="2019"/>
    <n v="3"/>
    <s v="2019-3"/>
  </r>
  <r>
    <e v="#VALUE!"/>
    <m/>
    <d v="2019-01-10T00:00:00"/>
    <m/>
    <m/>
    <x v="6"/>
    <m/>
    <x v="83"/>
    <d v="2019-01-10T00:00:00"/>
    <x v="2"/>
    <x v="6"/>
    <x v="104"/>
    <n v="2"/>
    <n v="4"/>
    <n v="2019"/>
    <n v="3"/>
    <s v="2019-3"/>
  </r>
  <r>
    <e v="#VALUE!"/>
    <m/>
    <d v="2019-01-10T00:00:00"/>
    <m/>
    <m/>
    <x v="9"/>
    <m/>
    <x v="83"/>
    <d v="2019-01-10T00:00:00"/>
    <x v="2"/>
    <x v="9"/>
    <x v="342"/>
    <n v="5.5"/>
    <n v="4"/>
    <n v="2019"/>
    <n v="3"/>
    <s v="2019-3"/>
  </r>
  <r>
    <e v="#VALUE!"/>
    <m/>
    <d v="2019-01-11T00:00:00"/>
    <m/>
    <m/>
    <x v="7"/>
    <m/>
    <x v="83"/>
    <d v="2019-01-11T00:00:00"/>
    <x v="1"/>
    <x v="7"/>
    <x v="343"/>
    <n v="2.5"/>
    <n v="5"/>
    <n v="2019"/>
    <n v="3"/>
    <s v="2019-3"/>
  </r>
  <r>
    <e v="#VALUE!"/>
    <m/>
    <d v="2019-01-11T00:00:00"/>
    <m/>
    <m/>
    <x v="36"/>
    <m/>
    <x v="83"/>
    <d v="2019-01-11T00:00:00"/>
    <x v="1"/>
    <x v="35"/>
    <x v="344"/>
    <n v="2.5"/>
    <n v="5"/>
    <n v="2019"/>
    <n v="3"/>
    <s v="2019-3"/>
  </r>
  <r>
    <e v="#VALUE!"/>
    <m/>
    <d v="2019-01-11T00:00:00"/>
    <m/>
    <m/>
    <x v="9"/>
    <m/>
    <x v="83"/>
    <d v="2019-01-11T00:00:00"/>
    <x v="1"/>
    <x v="9"/>
    <x v="345"/>
    <n v="2.5"/>
    <n v="5"/>
    <n v="2019"/>
    <n v="3"/>
    <s v="2019-3"/>
  </r>
  <r>
    <e v="#VALUE!"/>
    <m/>
    <d v="2018-12-31T00:00:00"/>
    <m/>
    <m/>
    <x v="1"/>
    <m/>
    <x v="84"/>
    <d v="2018-12-31T00:00:00"/>
    <x v="5"/>
    <x v="1"/>
    <x v="1"/>
    <n v="7.5"/>
    <n v="1"/>
    <n v="2019"/>
    <n v="2"/>
    <s v="2019-2"/>
  </r>
  <r>
    <e v="#VALUE!"/>
    <m/>
    <d v="2019-01-01T00:00:00"/>
    <m/>
    <m/>
    <x v="8"/>
    <m/>
    <x v="84"/>
    <d v="2019-01-01T00:00:00"/>
    <x v="4"/>
    <x v="8"/>
    <x v="346"/>
    <n v="7.5"/>
    <n v="2"/>
    <n v="2019"/>
    <n v="2"/>
    <s v="2019-2"/>
  </r>
  <r>
    <e v="#VALUE!"/>
    <m/>
    <d v="2019-01-02T00:00:00"/>
    <m/>
    <m/>
    <x v="24"/>
    <m/>
    <x v="84"/>
    <d v="2019-01-02T00:00:00"/>
    <x v="3"/>
    <x v="24"/>
    <x v="347"/>
    <n v="7.5"/>
    <n v="3"/>
    <n v="2019"/>
    <n v="2"/>
    <s v="2019-2"/>
  </r>
  <r>
    <e v="#VALUE!"/>
    <m/>
    <d v="2019-01-03T00:00:00"/>
    <m/>
    <m/>
    <x v="41"/>
    <m/>
    <x v="84"/>
    <d v="2019-01-03T00:00:00"/>
    <x v="2"/>
    <x v="39"/>
    <x v="348"/>
    <n v="7.5"/>
    <n v="4"/>
    <n v="2019"/>
    <n v="2"/>
    <s v="2019-2"/>
  </r>
  <r>
    <e v="#VALUE!"/>
    <m/>
    <d v="2019-01-04T00:00:00"/>
    <m/>
    <m/>
    <x v="41"/>
    <m/>
    <x v="84"/>
    <d v="2019-01-04T00:00:00"/>
    <x v="1"/>
    <x v="39"/>
    <x v="348"/>
    <n v="2.5"/>
    <n v="5"/>
    <n v="2019"/>
    <n v="2"/>
    <s v="2019-2"/>
  </r>
  <r>
    <e v="#VALUE!"/>
    <m/>
    <d v="2019-01-04T00:00:00"/>
    <m/>
    <m/>
    <x v="14"/>
    <m/>
    <x v="84"/>
    <d v="2019-01-04T00:00:00"/>
    <x v="1"/>
    <x v="14"/>
    <x v="349"/>
    <n v="3"/>
    <n v="5"/>
    <n v="2019"/>
    <n v="2"/>
    <s v="2019-2"/>
  </r>
  <r>
    <e v="#VALUE!"/>
    <m/>
    <d v="2019-01-04T00:00:00"/>
    <m/>
    <m/>
    <x v="7"/>
    <m/>
    <x v="84"/>
    <d v="2019-01-04T00:00:00"/>
    <x v="1"/>
    <x v="7"/>
    <x v="350"/>
    <n v="2"/>
    <n v="5"/>
    <n v="2019"/>
    <n v="2"/>
    <s v="2019-2"/>
  </r>
  <r>
    <e v="#VALUE!"/>
    <m/>
    <d v="2018-12-24T00:00:00"/>
    <m/>
    <m/>
    <x v="1"/>
    <m/>
    <x v="85"/>
    <d v="2018-12-24T00:00:00"/>
    <x v="5"/>
    <x v="1"/>
    <x v="1"/>
    <n v="7.5"/>
    <n v="1"/>
    <n v="2018"/>
    <n v="53"/>
    <s v="2018-53"/>
  </r>
  <r>
    <e v="#VALUE!"/>
    <m/>
    <d v="2018-12-25T00:00:00"/>
    <m/>
    <m/>
    <x v="8"/>
    <m/>
    <x v="85"/>
    <d v="2018-12-25T00:00:00"/>
    <x v="4"/>
    <x v="8"/>
    <x v="346"/>
    <n v="7.5"/>
    <n v="2"/>
    <n v="2018"/>
    <n v="53"/>
    <s v="2018-53"/>
  </r>
  <r>
    <e v="#VALUE!"/>
    <m/>
    <d v="2018-12-26T00:00:00"/>
    <m/>
    <m/>
    <x v="8"/>
    <m/>
    <x v="85"/>
    <d v="2018-12-26T00:00:00"/>
    <x v="3"/>
    <x v="8"/>
    <x v="346"/>
    <n v="7.5"/>
    <n v="3"/>
    <n v="2018"/>
    <n v="53"/>
    <s v="2018-53"/>
  </r>
  <r>
    <e v="#VALUE!"/>
    <m/>
    <d v="2018-12-27T00:00:00"/>
    <m/>
    <m/>
    <x v="1"/>
    <m/>
    <x v="85"/>
    <d v="2018-12-27T00:00:00"/>
    <x v="2"/>
    <x v="1"/>
    <x v="1"/>
    <n v="7.5"/>
    <n v="4"/>
    <n v="2018"/>
    <n v="53"/>
    <s v="2018-53"/>
  </r>
  <r>
    <e v="#VALUE!"/>
    <m/>
    <d v="2018-12-28T00:00:00"/>
    <m/>
    <m/>
    <x v="1"/>
    <m/>
    <x v="85"/>
    <d v="2018-12-28T00:00:00"/>
    <x v="1"/>
    <x v="1"/>
    <x v="1"/>
    <n v="7.5"/>
    <n v="5"/>
    <n v="2018"/>
    <n v="53"/>
    <s v="2018-53"/>
  </r>
  <r>
    <e v="#VALUE!"/>
    <m/>
    <d v="2018-12-17T00:00:00"/>
    <m/>
    <m/>
    <x v="35"/>
    <m/>
    <x v="86"/>
    <d v="2018-12-17T00:00:00"/>
    <x v="5"/>
    <x v="24"/>
    <x v="299"/>
    <n v="3.75"/>
    <n v="1"/>
    <n v="2018"/>
    <n v="52"/>
    <s v="2018-52"/>
  </r>
  <r>
    <e v="#VALUE!"/>
    <m/>
    <d v="2018-12-17T00:00:00"/>
    <m/>
    <m/>
    <x v="36"/>
    <m/>
    <x v="86"/>
    <d v="2018-12-17T00:00:00"/>
    <x v="5"/>
    <x v="35"/>
    <x v="351"/>
    <n v="3.75"/>
    <n v="1"/>
    <n v="2018"/>
    <n v="52"/>
    <s v="2018-52"/>
  </r>
  <r>
    <e v="#VALUE!"/>
    <m/>
    <d v="2018-12-18T00:00:00"/>
    <m/>
    <m/>
    <x v="35"/>
    <m/>
    <x v="86"/>
    <d v="2018-12-18T00:00:00"/>
    <x v="4"/>
    <x v="24"/>
    <x v="299"/>
    <n v="7.5"/>
    <n v="2"/>
    <n v="2018"/>
    <n v="52"/>
    <s v="2018-52"/>
  </r>
  <r>
    <e v="#VALUE!"/>
    <m/>
    <d v="2018-12-19T00:00:00"/>
    <m/>
    <m/>
    <x v="17"/>
    <m/>
    <x v="86"/>
    <d v="2018-12-19T00:00:00"/>
    <x v="3"/>
    <x v="17"/>
    <x v="352"/>
    <n v="1"/>
    <n v="3"/>
    <n v="2018"/>
    <n v="52"/>
    <s v="2018-52"/>
  </r>
  <r>
    <e v="#VALUE!"/>
    <m/>
    <d v="2018-12-19T00:00:00"/>
    <m/>
    <m/>
    <x v="42"/>
    <m/>
    <x v="86"/>
    <d v="2018-12-19T00:00:00"/>
    <x v="3"/>
    <x v="40"/>
    <x v="353"/>
    <n v="2"/>
    <n v="3"/>
    <n v="2018"/>
    <n v="52"/>
    <s v="2018-52"/>
  </r>
  <r>
    <e v="#VALUE!"/>
    <m/>
    <d v="2018-12-19T00:00:00"/>
    <m/>
    <m/>
    <x v="9"/>
    <m/>
    <x v="86"/>
    <d v="2018-12-19T00:00:00"/>
    <x v="3"/>
    <x v="9"/>
    <x v="354"/>
    <n v="4.5"/>
    <n v="3"/>
    <n v="2018"/>
    <n v="52"/>
    <s v="2018-52"/>
  </r>
  <r>
    <e v="#VALUE!"/>
    <m/>
    <d v="2018-12-20T00:00:00"/>
    <m/>
    <m/>
    <x v="24"/>
    <m/>
    <x v="86"/>
    <d v="2018-12-20T00:00:00"/>
    <x v="2"/>
    <x v="24"/>
    <x v="355"/>
    <n v="7.5"/>
    <n v="4"/>
    <n v="2018"/>
    <n v="52"/>
    <s v="2018-52"/>
  </r>
  <r>
    <e v="#VALUE!"/>
    <m/>
    <d v="2018-12-21T00:00:00"/>
    <m/>
    <m/>
    <x v="24"/>
    <m/>
    <x v="86"/>
    <d v="2018-12-21T00:00:00"/>
    <x v="1"/>
    <x v="24"/>
    <x v="356"/>
    <n v="3.75"/>
    <n v="5"/>
    <n v="2018"/>
    <n v="52"/>
    <s v="2018-52"/>
  </r>
  <r>
    <e v="#VALUE!"/>
    <m/>
    <d v="2018-12-21T00:00:00"/>
    <m/>
    <m/>
    <x v="36"/>
    <m/>
    <x v="86"/>
    <d v="2018-12-21T00:00:00"/>
    <x v="1"/>
    <x v="35"/>
    <x v="357"/>
    <n v="3.75"/>
    <n v="5"/>
    <n v="2018"/>
    <n v="52"/>
    <s v="2018-52"/>
  </r>
  <r>
    <e v="#VALUE!"/>
    <m/>
    <d v="2018-12-10T00:00:00"/>
    <m/>
    <m/>
    <x v="43"/>
    <m/>
    <x v="87"/>
    <d v="2018-12-10T00:00:00"/>
    <x v="5"/>
    <x v="41"/>
    <x v="358"/>
    <n v="7.5"/>
    <n v="1"/>
    <n v="2018"/>
    <n v="51"/>
    <s v="2018-51"/>
  </r>
  <r>
    <e v="#VALUE!"/>
    <m/>
    <d v="2018-12-11T00:00:00"/>
    <m/>
    <m/>
    <x v="35"/>
    <m/>
    <x v="87"/>
    <d v="2018-12-11T00:00:00"/>
    <x v="4"/>
    <x v="24"/>
    <x v="299"/>
    <n v="7.5"/>
    <n v="2"/>
    <n v="2018"/>
    <n v="51"/>
    <s v="2018-51"/>
  </r>
  <r>
    <e v="#VALUE!"/>
    <m/>
    <d v="2018-12-12T00:00:00"/>
    <m/>
    <m/>
    <x v="35"/>
    <m/>
    <x v="87"/>
    <d v="2018-12-12T00:00:00"/>
    <x v="3"/>
    <x v="24"/>
    <x v="299"/>
    <n v="7.5"/>
    <n v="3"/>
    <n v="2018"/>
    <n v="51"/>
    <s v="2018-51"/>
  </r>
  <r>
    <e v="#VALUE!"/>
    <m/>
    <d v="2018-12-13T00:00:00"/>
    <m/>
    <m/>
    <x v="43"/>
    <m/>
    <x v="87"/>
    <d v="2018-12-13T00:00:00"/>
    <x v="2"/>
    <x v="41"/>
    <x v="359"/>
    <n v="7.5"/>
    <n v="4"/>
    <n v="2018"/>
    <n v="51"/>
    <s v="2018-51"/>
  </r>
  <r>
    <e v="#VALUE!"/>
    <m/>
    <d v="2018-12-14T00:00:00"/>
    <m/>
    <m/>
    <x v="36"/>
    <m/>
    <x v="87"/>
    <d v="2018-12-14T00:00:00"/>
    <x v="1"/>
    <x v="35"/>
    <x v="360"/>
    <n v="4"/>
    <n v="5"/>
    <n v="2018"/>
    <n v="51"/>
    <s v="2018-51"/>
  </r>
  <r>
    <e v="#VALUE!"/>
    <m/>
    <d v="2018-12-14T00:00:00"/>
    <m/>
    <m/>
    <x v="44"/>
    <m/>
    <x v="87"/>
    <d v="2018-12-14T00:00:00"/>
    <x v="1"/>
    <x v="42"/>
    <x v="361"/>
    <n v="2"/>
    <n v="5"/>
    <n v="2018"/>
    <n v="51"/>
    <s v="2018-51"/>
  </r>
  <r>
    <e v="#VALUE!"/>
    <m/>
    <d v="2018-12-14T00:00:00"/>
    <m/>
    <m/>
    <x v="43"/>
    <m/>
    <x v="87"/>
    <d v="2018-12-14T00:00:00"/>
    <x v="1"/>
    <x v="41"/>
    <x v="362"/>
    <n v="1.5"/>
    <n v="5"/>
    <n v="2018"/>
    <n v="51"/>
    <s v="2018-51"/>
  </r>
  <r>
    <e v="#VALUE!"/>
    <m/>
    <d v="2018-12-03T00:00:00"/>
    <m/>
    <m/>
    <x v="15"/>
    <m/>
    <x v="88"/>
    <d v="2018-12-03T00:00:00"/>
    <x v="5"/>
    <x v="15"/>
    <x v="363"/>
    <n v="2"/>
    <n v="1"/>
    <n v="2018"/>
    <n v="50"/>
    <s v="2018-50"/>
  </r>
  <r>
    <e v="#VALUE!"/>
    <m/>
    <d v="2018-12-03T00:00:00"/>
    <m/>
    <m/>
    <x v="9"/>
    <m/>
    <x v="88"/>
    <d v="2018-12-03T00:00:00"/>
    <x v="5"/>
    <x v="9"/>
    <x v="364"/>
    <n v="5.5"/>
    <n v="1"/>
    <n v="2018"/>
    <n v="50"/>
    <s v="2018-50"/>
  </r>
  <r>
    <e v="#VALUE!"/>
    <m/>
    <d v="2018-12-04T00:00:00"/>
    <m/>
    <m/>
    <x v="45"/>
    <m/>
    <x v="88"/>
    <d v="2018-12-04T00:00:00"/>
    <x v="4"/>
    <x v="43"/>
    <x v="365"/>
    <n v="7.5"/>
    <n v="2"/>
    <n v="2018"/>
    <n v="50"/>
    <s v="2018-50"/>
  </r>
  <r>
    <e v="#VALUE!"/>
    <m/>
    <d v="2018-12-05T00:00:00"/>
    <m/>
    <m/>
    <x v="35"/>
    <m/>
    <x v="88"/>
    <d v="2018-12-05T00:00:00"/>
    <x v="3"/>
    <x v="24"/>
    <x v="299"/>
    <n v="7.5"/>
    <n v="3"/>
    <n v="2018"/>
    <n v="50"/>
    <s v="2018-50"/>
  </r>
  <r>
    <e v="#VALUE!"/>
    <m/>
    <d v="2018-12-06T00:00:00"/>
    <m/>
    <m/>
    <x v="35"/>
    <m/>
    <x v="88"/>
    <d v="2018-12-06T00:00:00"/>
    <x v="2"/>
    <x v="24"/>
    <x v="299"/>
    <n v="7.5"/>
    <n v="4"/>
    <n v="2018"/>
    <n v="50"/>
    <s v="2018-50"/>
  </r>
  <r>
    <e v="#VALUE!"/>
    <m/>
    <d v="2018-12-07T00:00:00"/>
    <m/>
    <m/>
    <x v="15"/>
    <m/>
    <x v="88"/>
    <d v="2018-12-07T00:00:00"/>
    <x v="1"/>
    <x v="15"/>
    <x v="366"/>
    <n v="2"/>
    <n v="5"/>
    <n v="2018"/>
    <n v="50"/>
    <s v="2018-50"/>
  </r>
  <r>
    <e v="#VALUE!"/>
    <m/>
    <d v="2018-12-07T00:00:00"/>
    <m/>
    <m/>
    <x v="23"/>
    <m/>
    <x v="88"/>
    <d v="2018-12-07T00:00:00"/>
    <x v="1"/>
    <x v="23"/>
    <x v="367"/>
    <n v="2"/>
    <n v="5"/>
    <n v="2018"/>
    <n v="50"/>
    <s v="2018-50"/>
  </r>
  <r>
    <e v="#VALUE!"/>
    <m/>
    <d v="2018-12-07T00:00:00"/>
    <m/>
    <m/>
    <x v="41"/>
    <m/>
    <x v="88"/>
    <d v="2018-12-07T00:00:00"/>
    <x v="1"/>
    <x v="39"/>
    <x v="368"/>
    <n v="3.5"/>
    <n v="5"/>
    <n v="2018"/>
    <n v="50"/>
    <s v="2018-50"/>
  </r>
  <r>
    <e v="#VALUE!"/>
    <m/>
    <d v="2018-11-26T00:00:00"/>
    <m/>
    <m/>
    <x v="46"/>
    <m/>
    <x v="89"/>
    <d v="2018-11-26T00:00:00"/>
    <x v="5"/>
    <x v="44"/>
    <x v="369"/>
    <n v="3.75"/>
    <n v="1"/>
    <n v="2018"/>
    <n v="49"/>
    <s v="2018-49"/>
  </r>
  <r>
    <e v="#VALUE!"/>
    <m/>
    <d v="2018-11-26T00:00:00"/>
    <m/>
    <m/>
    <x v="24"/>
    <m/>
    <x v="89"/>
    <d v="2018-11-26T00:00:00"/>
    <x v="5"/>
    <x v="24"/>
    <x v="370"/>
    <n v="3.75"/>
    <n v="1"/>
    <n v="2018"/>
    <n v="49"/>
    <s v="2018-49"/>
  </r>
  <r>
    <e v="#VALUE!"/>
    <m/>
    <d v="2018-11-27T00:00:00"/>
    <m/>
    <m/>
    <x v="42"/>
    <m/>
    <x v="89"/>
    <d v="2018-11-27T00:00:00"/>
    <x v="4"/>
    <x v="40"/>
    <x v="371"/>
    <n v="2.5"/>
    <n v="2"/>
    <n v="2018"/>
    <n v="49"/>
    <s v="2018-49"/>
  </r>
  <r>
    <e v="#VALUE!"/>
    <m/>
    <d v="2018-11-27T00:00:00"/>
    <m/>
    <m/>
    <x v="47"/>
    <m/>
    <x v="89"/>
    <d v="2018-11-27T00:00:00"/>
    <x v="4"/>
    <x v="45"/>
    <x v="372"/>
    <n v="3"/>
    <n v="2"/>
    <n v="2018"/>
    <n v="49"/>
    <s v="2018-49"/>
  </r>
  <r>
    <e v="#VALUE!"/>
    <m/>
    <d v="2018-11-27T00:00:00"/>
    <m/>
    <m/>
    <x v="9"/>
    <m/>
    <x v="89"/>
    <d v="2018-11-27T00:00:00"/>
    <x v="4"/>
    <x v="9"/>
    <x v="373"/>
    <n v="1"/>
    <n v="2"/>
    <n v="2018"/>
    <n v="49"/>
    <s v="2018-49"/>
  </r>
  <r>
    <e v="#VALUE!"/>
    <m/>
    <d v="2018-11-27T00:00:00"/>
    <m/>
    <m/>
    <x v="7"/>
    <m/>
    <x v="89"/>
    <d v="2018-11-27T00:00:00"/>
    <x v="4"/>
    <x v="7"/>
    <x v="374"/>
    <n v="1"/>
    <n v="2"/>
    <n v="2018"/>
    <n v="49"/>
    <s v="2018-49"/>
  </r>
  <r>
    <e v="#VALUE!"/>
    <m/>
    <d v="2018-11-28T00:00:00"/>
    <m/>
    <m/>
    <x v="42"/>
    <m/>
    <x v="89"/>
    <d v="2018-11-28T00:00:00"/>
    <x v="3"/>
    <x v="40"/>
    <x v="375"/>
    <n v="7.5"/>
    <n v="3"/>
    <n v="2018"/>
    <n v="49"/>
    <s v="2018-49"/>
  </r>
  <r>
    <e v="#VALUE!"/>
    <m/>
    <d v="2018-11-29T00:00:00"/>
    <m/>
    <m/>
    <x v="30"/>
    <m/>
    <x v="89"/>
    <d v="2018-11-29T00:00:00"/>
    <x v="2"/>
    <x v="30"/>
    <x v="376"/>
    <n v="5"/>
    <n v="4"/>
    <n v="2018"/>
    <n v="49"/>
    <s v="2018-49"/>
  </r>
  <r>
    <e v="#VALUE!"/>
    <m/>
    <d v="2018-11-29T00:00:00"/>
    <m/>
    <m/>
    <x v="24"/>
    <m/>
    <x v="89"/>
    <d v="2018-11-29T00:00:00"/>
    <x v="2"/>
    <x v="24"/>
    <x v="377"/>
    <n v="2.5"/>
    <n v="4"/>
    <n v="2018"/>
    <n v="49"/>
    <s v="2018-49"/>
  </r>
  <r>
    <e v="#VALUE!"/>
    <m/>
    <d v="2018-11-30T00:00:00"/>
    <m/>
    <m/>
    <x v="15"/>
    <m/>
    <x v="89"/>
    <d v="2018-11-30T00:00:00"/>
    <x v="1"/>
    <x v="15"/>
    <x v="378"/>
    <n v="2"/>
    <n v="5"/>
    <n v="2018"/>
    <n v="49"/>
    <s v="2018-49"/>
  </r>
  <r>
    <e v="#VALUE!"/>
    <m/>
    <d v="2018-11-30T00:00:00"/>
    <m/>
    <m/>
    <x v="9"/>
    <m/>
    <x v="89"/>
    <d v="2018-11-30T00:00:00"/>
    <x v="1"/>
    <x v="9"/>
    <x v="379"/>
    <n v="3"/>
    <n v="5"/>
    <n v="2018"/>
    <n v="49"/>
    <s v="2018-49"/>
  </r>
  <r>
    <e v="#VALUE!"/>
    <m/>
    <d v="2018-11-30T00:00:00"/>
    <m/>
    <m/>
    <x v="7"/>
    <m/>
    <x v="89"/>
    <d v="2018-11-30T00:00:00"/>
    <x v="1"/>
    <x v="7"/>
    <x v="374"/>
    <n v="2.5"/>
    <n v="5"/>
    <n v="2018"/>
    <n v="49"/>
    <s v="2018-49"/>
  </r>
  <r>
    <e v="#VALUE!"/>
    <m/>
    <d v="2018-11-19T00:00:00"/>
    <m/>
    <m/>
    <x v="30"/>
    <m/>
    <x v="90"/>
    <d v="2018-11-19T00:00:00"/>
    <x v="5"/>
    <x v="30"/>
    <x v="380"/>
    <n v="3.75"/>
    <n v="1"/>
    <n v="2018"/>
    <n v="48"/>
    <s v="2018-48"/>
  </r>
  <r>
    <e v="#VALUE!"/>
    <m/>
    <d v="2018-11-19T00:00:00"/>
    <m/>
    <m/>
    <x v="48"/>
    <m/>
    <x v="90"/>
    <d v="2018-11-19T00:00:00"/>
    <x v="5"/>
    <x v="46"/>
    <x v="381"/>
    <n v="3.75"/>
    <n v="1"/>
    <n v="2018"/>
    <n v="48"/>
    <s v="2018-48"/>
  </r>
  <r>
    <e v="#VALUE!"/>
    <m/>
    <d v="2018-11-20T00:00:00"/>
    <m/>
    <m/>
    <x v="48"/>
    <m/>
    <x v="90"/>
    <d v="2018-11-20T00:00:00"/>
    <x v="4"/>
    <x v="46"/>
    <x v="381"/>
    <n v="7.5"/>
    <n v="2"/>
    <n v="2018"/>
    <n v="48"/>
    <s v="2018-48"/>
  </r>
  <r>
    <e v="#VALUE!"/>
    <m/>
    <d v="2018-11-20T00:00:00"/>
    <m/>
    <m/>
    <x v="46"/>
    <m/>
    <x v="90"/>
    <d v="2018-11-20T00:00:00"/>
    <x v="4"/>
    <x v="44"/>
    <x v="223"/>
    <n v="0"/>
    <n v="2"/>
    <n v="2018"/>
    <n v="48"/>
    <s v="2018-48"/>
  </r>
  <r>
    <e v="#VALUE!"/>
    <m/>
    <d v="2018-11-20T00:00:00"/>
    <m/>
    <m/>
    <x v="17"/>
    <m/>
    <x v="90"/>
    <d v="2018-11-20T00:00:00"/>
    <x v="4"/>
    <x v="17"/>
    <x v="382"/>
    <n v="0"/>
    <n v="2"/>
    <n v="2018"/>
    <n v="48"/>
    <s v="2018-48"/>
  </r>
  <r>
    <e v="#VALUE!"/>
    <m/>
    <d v="2018-11-21T00:00:00"/>
    <m/>
    <m/>
    <x v="42"/>
    <m/>
    <x v="90"/>
    <d v="2018-11-21T00:00:00"/>
    <x v="3"/>
    <x v="40"/>
    <x v="383"/>
    <n v="7.5"/>
    <n v="3"/>
    <n v="2018"/>
    <n v="48"/>
    <s v="2018-48"/>
  </r>
  <r>
    <e v="#VALUE!"/>
    <m/>
    <d v="2018-11-22T00:00:00"/>
    <m/>
    <m/>
    <x v="15"/>
    <m/>
    <x v="90"/>
    <d v="2018-11-22T00:00:00"/>
    <x v="2"/>
    <x v="15"/>
    <x v="384"/>
    <n v="2"/>
    <n v="4"/>
    <n v="2018"/>
    <n v="48"/>
    <s v="2018-48"/>
  </r>
  <r>
    <e v="#VALUE!"/>
    <m/>
    <d v="2018-11-22T00:00:00"/>
    <m/>
    <m/>
    <x v="46"/>
    <m/>
    <x v="90"/>
    <d v="2018-11-22T00:00:00"/>
    <x v="2"/>
    <x v="44"/>
    <x v="385"/>
    <n v="3"/>
    <n v="4"/>
    <n v="2018"/>
    <n v="48"/>
    <s v="2018-48"/>
  </r>
  <r>
    <e v="#VALUE!"/>
    <m/>
    <d v="2018-11-22T00:00:00"/>
    <m/>
    <m/>
    <x v="42"/>
    <m/>
    <x v="90"/>
    <d v="2018-11-22T00:00:00"/>
    <x v="2"/>
    <x v="40"/>
    <x v="383"/>
    <n v="2.5"/>
    <n v="4"/>
    <n v="2018"/>
    <n v="48"/>
    <s v="2018-48"/>
  </r>
  <r>
    <e v="#VALUE!"/>
    <m/>
    <d v="2018-11-23T00:00:00"/>
    <m/>
    <m/>
    <x v="23"/>
    <m/>
    <x v="90"/>
    <d v="2018-11-23T00:00:00"/>
    <x v="1"/>
    <x v="23"/>
    <x v="367"/>
    <n v="2"/>
    <n v="5"/>
    <n v="2018"/>
    <n v="48"/>
    <s v="2018-48"/>
  </r>
  <r>
    <e v="#VALUE!"/>
    <m/>
    <d v="2018-11-23T00:00:00"/>
    <m/>
    <m/>
    <x v="23"/>
    <m/>
    <x v="90"/>
    <d v="2018-11-23T00:00:00"/>
    <x v="1"/>
    <x v="23"/>
    <x v="386"/>
    <n v="1"/>
    <n v="5"/>
    <n v="2018"/>
    <n v="48"/>
    <s v="2018-48"/>
  </r>
  <r>
    <e v="#VALUE!"/>
    <m/>
    <d v="2018-11-23T00:00:00"/>
    <m/>
    <m/>
    <x v="46"/>
    <m/>
    <x v="90"/>
    <d v="2018-11-23T00:00:00"/>
    <x v="1"/>
    <x v="44"/>
    <x v="223"/>
    <n v="1"/>
    <n v="5"/>
    <n v="2018"/>
    <n v="48"/>
    <s v="2018-48"/>
  </r>
  <r>
    <e v="#VALUE!"/>
    <m/>
    <d v="2018-11-23T00:00:00"/>
    <m/>
    <m/>
    <x v="42"/>
    <m/>
    <x v="90"/>
    <d v="2018-11-23T00:00:00"/>
    <x v="1"/>
    <x v="40"/>
    <x v="383"/>
    <n v="3.5"/>
    <n v="5"/>
    <n v="2018"/>
    <n v="48"/>
    <s v="2018-48"/>
  </r>
  <r>
    <e v="#VALUE!"/>
    <m/>
    <d v="2018-11-12T00:00:00"/>
    <m/>
    <m/>
    <x v="23"/>
    <m/>
    <x v="91"/>
    <d v="2018-11-12T00:00:00"/>
    <x v="5"/>
    <x v="23"/>
    <x v="387"/>
    <n v="1"/>
    <n v="1"/>
    <n v="2018"/>
    <n v="47"/>
    <s v="2018-47"/>
  </r>
  <r>
    <e v="#VALUE!"/>
    <m/>
    <d v="2018-11-12T00:00:00"/>
    <m/>
    <m/>
    <x v="24"/>
    <m/>
    <x v="91"/>
    <d v="2018-11-12T00:00:00"/>
    <x v="5"/>
    <x v="24"/>
    <x v="388"/>
    <n v="2"/>
    <n v="1"/>
    <n v="2018"/>
    <n v="47"/>
    <s v="2018-47"/>
  </r>
  <r>
    <e v="#VALUE!"/>
    <m/>
    <d v="2018-11-12T00:00:00"/>
    <m/>
    <m/>
    <x v="46"/>
    <m/>
    <x v="91"/>
    <d v="2018-11-12T00:00:00"/>
    <x v="5"/>
    <x v="44"/>
    <x v="389"/>
    <n v="1"/>
    <n v="1"/>
    <n v="2018"/>
    <n v="47"/>
    <s v="2018-47"/>
  </r>
  <r>
    <e v="#VALUE!"/>
    <m/>
    <d v="2018-11-12T00:00:00"/>
    <m/>
    <m/>
    <x v="34"/>
    <m/>
    <x v="91"/>
    <d v="2018-11-12T00:00:00"/>
    <x v="5"/>
    <x v="34"/>
    <x v="390"/>
    <n v="3.5"/>
    <n v="1"/>
    <n v="2018"/>
    <n v="47"/>
    <s v="2018-47"/>
  </r>
  <r>
    <e v="#VALUE!"/>
    <m/>
    <d v="2018-11-13T00:00:00"/>
    <m/>
    <m/>
    <x v="30"/>
    <m/>
    <x v="91"/>
    <d v="2018-11-13T00:00:00"/>
    <x v="4"/>
    <x v="30"/>
    <x v="391"/>
    <n v="3.75"/>
    <n v="2"/>
    <n v="2018"/>
    <n v="47"/>
    <s v="2018-47"/>
  </r>
  <r>
    <e v="#VALUE!"/>
    <m/>
    <d v="2018-11-13T00:00:00"/>
    <m/>
    <m/>
    <x v="17"/>
    <m/>
    <x v="91"/>
    <d v="2018-11-13T00:00:00"/>
    <x v="4"/>
    <x v="17"/>
    <x v="392"/>
    <n v="3.75"/>
    <n v="2"/>
    <n v="2018"/>
    <n v="47"/>
    <s v="2018-47"/>
  </r>
  <r>
    <e v="#VALUE!"/>
    <m/>
    <d v="2018-11-14T00:00:00"/>
    <m/>
    <m/>
    <x v="34"/>
    <m/>
    <x v="91"/>
    <d v="2018-11-14T00:00:00"/>
    <x v="3"/>
    <x v="34"/>
    <x v="393"/>
    <n v="7.5"/>
    <n v="3"/>
    <n v="2018"/>
    <n v="47"/>
    <s v="2018-47"/>
  </r>
  <r>
    <e v="#VALUE!"/>
    <m/>
    <d v="2018-11-15T00:00:00"/>
    <m/>
    <m/>
    <x v="34"/>
    <m/>
    <x v="91"/>
    <d v="2018-11-15T00:00:00"/>
    <x v="2"/>
    <x v="34"/>
    <x v="394"/>
    <n v="7.5"/>
    <n v="4"/>
    <n v="2018"/>
    <n v="47"/>
    <s v="2018-47"/>
  </r>
  <r>
    <e v="#VALUE!"/>
    <m/>
    <d v="2018-11-16T00:00:00"/>
    <m/>
    <m/>
    <x v="23"/>
    <m/>
    <x v="91"/>
    <d v="2018-11-16T00:00:00"/>
    <x v="1"/>
    <x v="23"/>
    <x v="395"/>
    <n v="2"/>
    <n v="5"/>
    <n v="2018"/>
    <n v="47"/>
    <s v="2018-47"/>
  </r>
  <r>
    <e v="#VALUE!"/>
    <m/>
    <d v="2018-11-16T00:00:00"/>
    <m/>
    <m/>
    <x v="24"/>
    <m/>
    <x v="91"/>
    <d v="2018-11-16T00:00:00"/>
    <x v="1"/>
    <x v="24"/>
    <x v="388"/>
    <n v="5.5"/>
    <n v="5"/>
    <n v="2018"/>
    <n v="47"/>
    <s v="2018-47"/>
  </r>
  <r>
    <e v="#VALUE!"/>
    <m/>
    <d v="2018-11-05T00:00:00"/>
    <m/>
    <m/>
    <x v="30"/>
    <m/>
    <x v="92"/>
    <d v="2018-11-05T00:00:00"/>
    <x v="5"/>
    <x v="30"/>
    <x v="396"/>
    <n v="1.25"/>
    <n v="1"/>
    <n v="2018"/>
    <n v="46"/>
    <s v="2018-46"/>
  </r>
  <r>
    <e v="#VALUE!"/>
    <m/>
    <d v="2018-11-05T00:00:00"/>
    <m/>
    <m/>
    <x v="30"/>
    <m/>
    <x v="92"/>
    <d v="2018-11-05T00:00:00"/>
    <x v="5"/>
    <x v="30"/>
    <x v="397"/>
    <n v="2.5"/>
    <n v="1"/>
    <n v="2018"/>
    <n v="46"/>
    <s v="2018-46"/>
  </r>
  <r>
    <e v="#VALUE!"/>
    <m/>
    <d v="2018-11-05T00:00:00"/>
    <m/>
    <m/>
    <x v="1"/>
    <m/>
    <x v="92"/>
    <d v="2018-11-05T00:00:00"/>
    <x v="5"/>
    <x v="1"/>
    <x v="1"/>
    <n v="3.75"/>
    <n v="1"/>
    <n v="2018"/>
    <n v="46"/>
    <s v="2018-46"/>
  </r>
  <r>
    <e v="#VALUE!"/>
    <m/>
    <d v="2018-11-06T00:00:00"/>
    <m/>
    <m/>
    <x v="30"/>
    <m/>
    <x v="92"/>
    <d v="2018-11-06T00:00:00"/>
    <x v="4"/>
    <x v="30"/>
    <x v="398"/>
    <n v="7.5"/>
    <n v="2"/>
    <n v="2018"/>
    <n v="46"/>
    <s v="2018-46"/>
  </r>
  <r>
    <e v="#VALUE!"/>
    <m/>
    <d v="2018-11-07T00:00:00"/>
    <m/>
    <m/>
    <x v="34"/>
    <m/>
    <x v="92"/>
    <d v="2018-11-07T00:00:00"/>
    <x v="3"/>
    <x v="34"/>
    <x v="399"/>
    <n v="3"/>
    <n v="3"/>
    <n v="2018"/>
    <n v="46"/>
    <s v="2018-46"/>
  </r>
  <r>
    <e v="#VALUE!"/>
    <m/>
    <d v="2018-11-07T00:00:00"/>
    <m/>
    <m/>
    <x v="49"/>
    <m/>
    <x v="92"/>
    <d v="2018-11-07T00:00:00"/>
    <x v="3"/>
    <x v="24"/>
    <x v="400"/>
    <n v="1"/>
    <n v="3"/>
    <n v="2018"/>
    <n v="46"/>
    <s v="2018-46"/>
  </r>
  <r>
    <e v="#VALUE!"/>
    <m/>
    <d v="2018-11-07T00:00:00"/>
    <m/>
    <m/>
    <x v="49"/>
    <m/>
    <x v="92"/>
    <d v="2018-11-07T00:00:00"/>
    <x v="3"/>
    <x v="24"/>
    <x v="401"/>
    <n v="3.5"/>
    <n v="3"/>
    <n v="2018"/>
    <n v="46"/>
    <s v="2018-46"/>
  </r>
  <r>
    <e v="#VALUE!"/>
    <m/>
    <d v="2018-11-08T00:00:00"/>
    <m/>
    <m/>
    <x v="34"/>
    <m/>
    <x v="92"/>
    <d v="2018-11-08T00:00:00"/>
    <x v="2"/>
    <x v="34"/>
    <x v="399"/>
    <n v="2"/>
    <n v="4"/>
    <n v="2018"/>
    <n v="46"/>
    <s v="2018-46"/>
  </r>
  <r>
    <e v="#VALUE!"/>
    <m/>
    <d v="2018-11-08T00:00:00"/>
    <m/>
    <m/>
    <x v="23"/>
    <m/>
    <x v="92"/>
    <d v="2018-11-08T00:00:00"/>
    <x v="2"/>
    <x v="23"/>
    <x v="402"/>
    <n v="2"/>
    <n v="4"/>
    <n v="2018"/>
    <n v="46"/>
    <s v="2018-46"/>
  </r>
  <r>
    <e v="#VALUE!"/>
    <m/>
    <d v="2018-11-08T00:00:00"/>
    <m/>
    <m/>
    <x v="23"/>
    <m/>
    <x v="92"/>
    <d v="2018-11-08T00:00:00"/>
    <x v="2"/>
    <x v="23"/>
    <x v="403"/>
    <n v="3.5"/>
    <n v="4"/>
    <n v="2018"/>
    <n v="46"/>
    <s v="2018-46"/>
  </r>
  <r>
    <e v="#VALUE!"/>
    <m/>
    <d v="2018-11-09T00:00:00"/>
    <m/>
    <m/>
    <x v="23"/>
    <m/>
    <x v="92"/>
    <d v="2018-11-09T00:00:00"/>
    <x v="1"/>
    <x v="23"/>
    <x v="395"/>
    <n v="2"/>
    <n v="5"/>
    <n v="2018"/>
    <n v="46"/>
    <s v="2018-46"/>
  </r>
  <r>
    <e v="#VALUE!"/>
    <m/>
    <d v="2018-11-09T00:00:00"/>
    <m/>
    <m/>
    <x v="11"/>
    <m/>
    <x v="92"/>
    <d v="2018-11-09T00:00:00"/>
    <x v="1"/>
    <x v="11"/>
    <x v="404"/>
    <n v="2.5"/>
    <n v="5"/>
    <n v="2018"/>
    <n v="46"/>
    <s v="2018-46"/>
  </r>
  <r>
    <e v="#VALUE!"/>
    <m/>
    <d v="2018-11-09T00:00:00"/>
    <m/>
    <m/>
    <x v="34"/>
    <m/>
    <x v="92"/>
    <d v="2018-11-09T00:00:00"/>
    <x v="1"/>
    <x v="34"/>
    <x v="405"/>
    <n v="3"/>
    <n v="5"/>
    <n v="2018"/>
    <n v="46"/>
    <s v="2018-46"/>
  </r>
  <r>
    <e v="#VALUE!"/>
    <m/>
    <d v="2018-10-29T00:00:00"/>
    <m/>
    <m/>
    <x v="34"/>
    <m/>
    <x v="93"/>
    <d v="2018-10-29T00:00:00"/>
    <x v="5"/>
    <x v="34"/>
    <x v="406"/>
    <n v="3.5"/>
    <n v="1"/>
    <n v="2018"/>
    <n v="45"/>
    <s v="2018-45"/>
  </r>
  <r>
    <e v="#VALUE!"/>
    <m/>
    <d v="2018-10-29T00:00:00"/>
    <m/>
    <m/>
    <x v="49"/>
    <m/>
    <x v="93"/>
    <d v="2018-10-29T00:00:00"/>
    <x v="5"/>
    <x v="24"/>
    <x v="407"/>
    <n v="4"/>
    <n v="1"/>
    <n v="2018"/>
    <n v="45"/>
    <s v="2018-45"/>
  </r>
  <r>
    <e v="#VALUE!"/>
    <m/>
    <d v="2018-10-30T00:00:00"/>
    <m/>
    <m/>
    <x v="49"/>
    <m/>
    <x v="93"/>
    <d v="2018-10-30T00:00:00"/>
    <x v="4"/>
    <x v="24"/>
    <x v="408"/>
    <n v="7.5"/>
    <n v="2"/>
    <n v="2018"/>
    <n v="45"/>
    <s v="2018-45"/>
  </r>
  <r>
    <e v="#VALUE!"/>
    <m/>
    <d v="2018-10-31T00:00:00"/>
    <m/>
    <m/>
    <x v="30"/>
    <m/>
    <x v="93"/>
    <d v="2018-10-31T00:00:00"/>
    <x v="3"/>
    <x v="30"/>
    <x v="409"/>
    <n v="7.5"/>
    <n v="3"/>
    <n v="2018"/>
    <n v="45"/>
    <s v="2018-45"/>
  </r>
  <r>
    <e v="#VALUE!"/>
    <m/>
    <d v="2018-11-01T00:00:00"/>
    <m/>
    <m/>
    <x v="34"/>
    <m/>
    <x v="93"/>
    <d v="2018-11-01T00:00:00"/>
    <x v="2"/>
    <x v="34"/>
    <x v="410"/>
    <n v="3.75"/>
    <n v="4"/>
    <n v="2018"/>
    <n v="45"/>
    <s v="2018-45"/>
  </r>
  <r>
    <e v="#VALUE!"/>
    <m/>
    <d v="2018-11-01T00:00:00"/>
    <m/>
    <m/>
    <x v="46"/>
    <m/>
    <x v="93"/>
    <d v="2018-11-01T00:00:00"/>
    <x v="2"/>
    <x v="44"/>
    <x v="411"/>
    <n v="3.75"/>
    <n v="4"/>
    <n v="2018"/>
    <n v="45"/>
    <s v="2018-45"/>
  </r>
  <r>
    <e v="#VALUE!"/>
    <m/>
    <d v="2018-11-02T00:00:00"/>
    <m/>
    <m/>
    <x v="30"/>
    <m/>
    <x v="93"/>
    <d v="2018-11-02T00:00:00"/>
    <x v="1"/>
    <x v="30"/>
    <x v="397"/>
    <n v="7.5"/>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1:J912" firstHeaderRow="1" firstDataRow="2" firstDataCol="4"/>
  <pivotFields count="17">
    <pivotField compact="0" outline="0" showAll="0" defaultSubtotal="0"/>
    <pivotField compact="0" outline="0" showAll="0" defaultSubtotal="0"/>
    <pivotField compact="0" outline="0" showAll="0" sortType="descending" defaultSubtotal="0"/>
    <pivotField compact="0" outline="0" showAll="0" defaultSubtotal="0"/>
    <pivotField compact="0" outline="0" showAll="0" defaultSubtotal="0"/>
    <pivotField axis="axisRow" compact="0" outline="0" showAll="0" defaultSubtotal="0">
      <items count="50">
        <item x="31"/>
        <item x="27"/>
        <item x="35"/>
        <item x="15"/>
        <item x="8"/>
        <item x="4"/>
        <item x="23"/>
        <item x="21"/>
        <item x="22"/>
        <item x="49"/>
        <item x="26"/>
        <item x="24"/>
        <item x="40"/>
        <item x="46"/>
        <item x="41"/>
        <item x="38"/>
        <item x="32"/>
        <item x="44"/>
        <item x="47"/>
        <item x="6"/>
        <item x="20"/>
        <item x="42"/>
        <item x="9"/>
        <item x="7"/>
        <item x="48"/>
        <item x="39"/>
        <item x="37"/>
        <item x="11"/>
        <item x="18"/>
        <item x="12"/>
        <item x="1"/>
        <item x="14"/>
        <item x="3"/>
        <item x="33"/>
        <item x="30"/>
        <item x="45"/>
        <item x="43"/>
        <item x="17"/>
        <item x="29"/>
        <item x="19"/>
        <item x="25"/>
        <item x="13"/>
        <item x="2"/>
        <item x="10"/>
        <item x="16"/>
        <item x="36"/>
        <item x="34"/>
        <item x="28"/>
        <item x="0"/>
        <item x="5"/>
      </items>
    </pivotField>
    <pivotField compact="0" outline="0" showAll="0" defaultSubtotal="0"/>
    <pivotField axis="axisRow" compact="0" outline="0" showAll="0" sortType="descending">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m="1" x="94"/>
        <item t="default"/>
      </items>
    </pivotField>
    <pivotField compact="0" numFmtId="15" outline="0" showAll="0" defaultSubtotal="0"/>
    <pivotField axis="axisCol" compact="0" outline="0" showAll="0" sortType="ascending" defaultSubtotal="0">
      <items count="7">
        <item x="5"/>
        <item x="4"/>
        <item x="3"/>
        <item x="2"/>
        <item x="1"/>
        <item h="1" x="6"/>
        <item h="1" x="0"/>
      </items>
    </pivotField>
    <pivotField axis="axisRow" compact="0" outline="0" showAll="0">
      <items count="48">
        <item x="4"/>
        <item x="0"/>
        <item x="23"/>
        <item x="15"/>
        <item x="21"/>
        <item x="44"/>
        <item x="37"/>
        <item x="13"/>
        <item x="16"/>
        <item x="10"/>
        <item x="2"/>
        <item x="20"/>
        <item x="43"/>
        <item x="33"/>
        <item x="7"/>
        <item x="11"/>
        <item x="45"/>
        <item x="40"/>
        <item x="9"/>
        <item x="46"/>
        <item x="14"/>
        <item x="6"/>
        <item x="3"/>
        <item x="35"/>
        <item x="36"/>
        <item x="39"/>
        <item x="30"/>
        <item x="26"/>
        <item x="32"/>
        <item x="34"/>
        <item x="38"/>
        <item x="29"/>
        <item x="25"/>
        <item x="19"/>
        <item x="31"/>
        <item x="27"/>
        <item x="18"/>
        <item x="12"/>
        <item x="22"/>
        <item x="28"/>
        <item x="41"/>
        <item x="42"/>
        <item x="8"/>
        <item x="1"/>
        <item x="17"/>
        <item x="24"/>
        <item x="5"/>
        <item t="default"/>
      </items>
    </pivotField>
    <pivotField axis="axisRow" compact="0" outline="0" showAll="0" defaultSubtotal="0">
      <items count="413">
        <item x="384"/>
        <item x="378"/>
        <item x="363"/>
        <item x="366"/>
        <item x="261"/>
        <item x="383"/>
        <item x="375"/>
        <item x="371"/>
        <item x="364"/>
        <item x="379"/>
        <item x="373"/>
        <item x="151"/>
        <item x="170"/>
        <item x="173"/>
        <item x="388"/>
        <item x="120"/>
        <item x="130"/>
        <item x="115"/>
        <item x="116"/>
        <item x="73"/>
        <item x="152"/>
        <item x="100"/>
        <item x="361"/>
        <item x="257"/>
        <item x="207"/>
        <item x="184"/>
        <item x="199"/>
        <item x="195"/>
        <item x="191"/>
        <item x="346"/>
        <item x="402"/>
        <item x="75"/>
        <item x="360"/>
        <item x="66"/>
        <item x="314"/>
        <item x="285"/>
        <item x="84"/>
        <item x="278"/>
        <item x="269"/>
        <item x="270"/>
        <item x="295"/>
        <item x="377"/>
        <item x="77"/>
        <item x="396"/>
        <item x="102"/>
        <item x="309"/>
        <item x="93"/>
        <item x="146"/>
        <item x="313"/>
        <item x="372"/>
        <item x="367"/>
        <item x="227"/>
        <item x="112"/>
        <item x="193"/>
        <item x="232"/>
        <item x="323"/>
        <item x="315"/>
        <item x="335"/>
        <item x="71"/>
        <item x="303"/>
        <item x="401"/>
        <item x="400"/>
        <item x="407"/>
        <item x="408"/>
        <item x="241"/>
        <item x="68"/>
        <item x="392"/>
        <item x="327"/>
        <item x="74"/>
        <item x="109"/>
        <item x="212"/>
        <item x="397"/>
        <item x="370"/>
        <item x="239"/>
        <item x="159"/>
        <item x="154"/>
        <item x="103"/>
        <item x="148"/>
        <item x="202"/>
        <item x="153"/>
        <item x="211"/>
        <item x="142"/>
        <item x="386"/>
        <item x="188"/>
        <item x="118"/>
        <item x="180"/>
        <item x="133"/>
        <item x="186"/>
        <item x="264"/>
        <item x="179"/>
        <item x="263"/>
        <item x="196"/>
        <item x="256"/>
        <item x="271"/>
        <item x="260"/>
        <item x="262"/>
        <item x="268"/>
        <item x="198"/>
        <item x="192"/>
        <item x="197"/>
        <item x="283"/>
        <item x="169"/>
        <item x="174"/>
        <item x="201"/>
        <item x="210"/>
        <item x="237"/>
        <item x="230"/>
        <item x="279"/>
        <item x="111"/>
        <item x="72"/>
        <item x="332"/>
        <item x="331"/>
        <item x="330"/>
        <item x="355"/>
        <item x="104"/>
        <item x="345"/>
        <item x="321"/>
        <item x="354"/>
        <item x="410"/>
        <item x="89"/>
        <item x="81"/>
        <item x="86"/>
        <item x="87"/>
        <item x="287"/>
        <item x="297"/>
        <item x="411"/>
        <item x="319"/>
        <item x="105"/>
        <item x="258"/>
        <item x="110"/>
        <item x="308"/>
        <item x="362"/>
        <item x="106"/>
        <item x="213"/>
        <item x="389"/>
        <item x="320"/>
        <item x="96"/>
        <item x="123"/>
        <item x="325"/>
        <item x="125"/>
        <item x="312"/>
        <item x="276"/>
        <item x="352"/>
        <item x="365"/>
        <item x="98"/>
        <item x="289"/>
        <item x="339"/>
        <item x="168"/>
        <item x="382"/>
        <item x="167"/>
        <item x="157"/>
        <item x="175"/>
        <item x="243"/>
        <item x="248"/>
        <item x="272"/>
        <item x="265"/>
        <item x="288"/>
        <item x="286"/>
        <item x="404"/>
        <item x="101"/>
        <item x="221"/>
        <item x="131"/>
        <item x="290"/>
        <item x="324"/>
        <item x="135"/>
        <item x="141"/>
        <item x="149"/>
        <item x="228"/>
        <item x="250"/>
        <item x="235"/>
        <item x="209"/>
        <item x="224"/>
        <item x="302"/>
        <item x="1"/>
        <item x="143"/>
        <item x="119"/>
        <item x="226"/>
        <item x="233"/>
        <item x="284"/>
        <item x="122"/>
        <item x="88"/>
        <item x="163"/>
        <item x="161"/>
        <item x="177"/>
        <item x="67"/>
        <item x="369"/>
        <item x="236"/>
        <item x="229"/>
        <item x="298"/>
        <item x="69"/>
        <item x="333"/>
        <item x="340"/>
        <item x="136"/>
        <item x="164"/>
        <item x="70"/>
        <item x="307"/>
        <item x="76"/>
        <item x="99"/>
        <item x="247"/>
        <item x="137"/>
        <item x="273"/>
        <item x="215"/>
        <item x="204"/>
        <item x="305"/>
        <item x="293"/>
        <item x="337"/>
        <item x="139"/>
        <item x="249"/>
        <item x="216"/>
        <item x="220"/>
        <item x="160"/>
        <item x="208"/>
        <item x="217"/>
        <item x="219"/>
        <item x="134"/>
        <item x="304"/>
        <item x="223"/>
        <item x="317"/>
        <item x="349"/>
        <item x="246"/>
        <item x="280"/>
        <item x="185"/>
        <item x="326"/>
        <item x="390"/>
        <item x="80"/>
        <item x="82"/>
        <item x="79"/>
        <item x="128"/>
        <item x="403"/>
        <item x="358"/>
        <item x="282"/>
        <item x="155"/>
        <item x="166"/>
        <item x="171"/>
        <item x="281"/>
        <item x="251"/>
        <item x="294"/>
        <item x="252"/>
        <item x="65"/>
        <item x="238"/>
        <item x="78"/>
        <item x="194"/>
        <item x="334"/>
        <item x="91"/>
        <item x="242"/>
        <item x="318"/>
        <item x="234"/>
        <item x="158"/>
        <item x="353"/>
        <item x="348"/>
        <item x="244"/>
        <item x="206"/>
        <item x="374"/>
        <item x="310"/>
        <item x="113"/>
        <item x="222"/>
        <item x="350"/>
        <item x="343"/>
        <item x="218"/>
        <item x="336"/>
        <item x="90"/>
        <item x="341"/>
        <item x="240"/>
        <item x="328"/>
        <item x="277"/>
        <item x="107"/>
        <item x="165"/>
        <item x="176"/>
        <item x="409"/>
        <item x="274"/>
        <item x="275"/>
        <item x="342"/>
        <item x="187"/>
        <item x="190"/>
        <item x="266"/>
        <item x="254"/>
        <item x="129"/>
        <item x="132"/>
        <item x="124"/>
        <item x="253"/>
        <item x="296"/>
        <item x="225"/>
        <item x="140"/>
        <item x="189"/>
        <item x="398"/>
        <item x="117"/>
        <item x="150"/>
        <item x="145"/>
        <item x="376"/>
        <item x="380"/>
        <item x="301"/>
        <item x="108"/>
        <item x="259"/>
        <item x="95"/>
        <item x="395"/>
        <item x="203"/>
        <item x="344"/>
        <item x="214"/>
        <item x="381"/>
        <item x="387"/>
        <item x="368"/>
        <item x="357"/>
        <item x="351"/>
        <item x="338"/>
        <item x="291"/>
        <item x="255"/>
        <item x="385"/>
        <item x="292"/>
        <item x="347"/>
        <item x="356"/>
        <item x="200"/>
        <item x="178"/>
        <item x="267"/>
        <item x="156"/>
        <item x="299"/>
        <item x="121"/>
        <item x="359"/>
        <item x="147"/>
        <item x="172"/>
        <item x="181"/>
        <item x="183"/>
        <item x="182"/>
        <item x="322"/>
        <item x="329"/>
        <item x="316"/>
        <item x="63"/>
        <item x="126"/>
        <item x="300"/>
        <item x="311"/>
        <item x="306"/>
        <item x="391"/>
        <item x="231"/>
        <item x="138"/>
        <item x="205"/>
        <item x="144"/>
        <item x="94"/>
        <item x="97"/>
        <item x="92"/>
        <item x="83"/>
        <item x="85"/>
        <item x="405"/>
        <item x="399"/>
        <item x="406"/>
        <item x="393"/>
        <item x="394"/>
        <item x="245"/>
        <item x="127"/>
        <item x="162"/>
        <item x="114"/>
        <item x="0"/>
        <item x="64"/>
        <item x="38"/>
        <item x="39"/>
        <item x="40"/>
        <item x="41"/>
        <item x="43"/>
        <item x="44"/>
        <item x="45"/>
        <item x="46"/>
        <item x="47"/>
        <item x="48"/>
        <item x="49"/>
        <item x="50"/>
        <item x="51"/>
        <item x="52"/>
        <item x="53"/>
        <item x="54"/>
        <item x="55"/>
        <item x="56"/>
        <item x="57"/>
        <item x="58"/>
        <item x="59"/>
        <item x="60"/>
        <item x="61"/>
        <item x="62"/>
        <item x="42"/>
        <item x="29"/>
        <item x="30"/>
        <item x="31"/>
        <item x="32"/>
        <item x="33"/>
        <item x="34"/>
        <item x="35"/>
        <item x="36"/>
        <item x="37"/>
        <item x="19"/>
        <item x="20"/>
        <item x="24"/>
        <item x="21"/>
        <item x="22"/>
        <item x="23"/>
        <item m="1" x="412"/>
        <item x="26"/>
        <item x="27"/>
        <item x="28"/>
        <item x="25"/>
        <item x="13"/>
        <item x="14"/>
        <item x="15"/>
        <item x="16"/>
        <item x="17"/>
        <item x="18"/>
        <item x="2"/>
        <item x="3"/>
        <item x="4"/>
        <item x="5"/>
        <item x="6"/>
        <item x="7"/>
        <item x="8"/>
        <item x="9"/>
        <item x="10"/>
        <item x="11"/>
        <item x="12"/>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7"/>
    <field x="10"/>
    <field x="5"/>
    <field x="11"/>
  </rowFields>
  <rowItems count="910">
    <i>
      <x v="1"/>
      <x v="10"/>
      <x v="42"/>
      <x v="402"/>
    </i>
    <i r="3">
      <x v="403"/>
    </i>
    <i r="3">
      <x v="404"/>
    </i>
    <i r="3">
      <x v="405"/>
    </i>
    <i r="3">
      <x v="407"/>
    </i>
    <i r="3">
      <x v="409"/>
    </i>
    <i r="3">
      <x v="410"/>
    </i>
    <i r="3">
      <x v="411"/>
    </i>
    <i r="3">
      <x v="412"/>
    </i>
    <i t="default" r="1">
      <x v="10"/>
    </i>
    <i r="1">
      <x v="22"/>
      <x v="32"/>
      <x v="406"/>
    </i>
    <i r="3">
      <x v="408"/>
    </i>
    <i t="default" r="1">
      <x v="22"/>
    </i>
    <i r="1">
      <x v="43"/>
      <x v="30"/>
      <x v="173"/>
    </i>
    <i t="default" r="1">
      <x v="43"/>
    </i>
    <i t="default">
      <x v="1"/>
    </i>
    <i>
      <x v="2"/>
      <x v="1"/>
      <x v="48"/>
      <x v="349"/>
    </i>
    <i t="default" r="1">
      <x v="1"/>
    </i>
    <i r="1">
      <x v="10"/>
      <x v="42"/>
      <x v="396"/>
    </i>
    <i r="3">
      <x v="399"/>
    </i>
    <i r="3">
      <x v="400"/>
    </i>
    <i r="3">
      <x v="401"/>
    </i>
    <i t="default" r="1">
      <x v="10"/>
    </i>
    <i r="1">
      <x v="22"/>
      <x v="32"/>
      <x v="397"/>
    </i>
    <i r="3">
      <x v="398"/>
    </i>
    <i t="default" r="1">
      <x v="22"/>
    </i>
    <i r="1">
      <x v="43"/>
      <x v="30"/>
      <x v="349"/>
    </i>
    <i t="default" r="1">
      <x v="43"/>
    </i>
    <i t="default">
      <x v="2"/>
    </i>
    <i>
      <x v="3"/>
      <x/>
      <x v="5"/>
      <x v="349"/>
    </i>
    <i r="3">
      <x v="386"/>
    </i>
    <i t="default" r="1">
      <x/>
    </i>
    <i r="1">
      <x v="10"/>
      <x v="42"/>
      <x v="385"/>
    </i>
    <i r="3">
      <x v="387"/>
    </i>
    <i r="3">
      <x v="388"/>
    </i>
    <i r="3">
      <x v="389"/>
    </i>
    <i r="3">
      <x v="390"/>
    </i>
    <i r="3">
      <x v="392"/>
    </i>
    <i r="3">
      <x v="394"/>
    </i>
    <i r="3">
      <x v="395"/>
    </i>
    <i t="default" r="1">
      <x v="10"/>
    </i>
    <i r="1">
      <x v="22"/>
      <x v="32"/>
      <x v="393"/>
    </i>
    <i t="default" r="1">
      <x v="22"/>
    </i>
    <i t="default">
      <x v="3"/>
    </i>
    <i>
      <x v="4"/>
      <x/>
      <x v="5"/>
      <x v="349"/>
    </i>
    <i t="default" r="1">
      <x/>
    </i>
    <i r="1">
      <x v="10"/>
      <x v="42"/>
      <x v="376"/>
    </i>
    <i r="3">
      <x v="377"/>
    </i>
    <i r="3">
      <x v="379"/>
    </i>
    <i r="3">
      <x v="380"/>
    </i>
    <i r="3">
      <x v="381"/>
    </i>
    <i r="3">
      <x v="382"/>
    </i>
    <i r="3">
      <x v="383"/>
    </i>
    <i r="3">
      <x v="384"/>
    </i>
    <i t="default" r="1">
      <x v="10"/>
    </i>
    <i r="1">
      <x v="22"/>
      <x v="32"/>
      <x v="378"/>
    </i>
    <i t="default" r="1">
      <x v="22"/>
    </i>
    <i r="1">
      <x v="43"/>
      <x v="30"/>
      <x v="349"/>
    </i>
    <i t="default" r="1">
      <x v="43"/>
    </i>
    <i t="default">
      <x v="4"/>
    </i>
    <i>
      <x v="5"/>
      <x/>
      <x v="5"/>
      <x v="349"/>
    </i>
    <i t="default" r="1">
      <x/>
    </i>
    <i r="1">
      <x v="10"/>
      <x v="42"/>
      <x v="351"/>
    </i>
    <i r="3">
      <x v="352"/>
    </i>
    <i r="3">
      <x v="353"/>
    </i>
    <i r="3">
      <x v="355"/>
    </i>
    <i r="3">
      <x v="356"/>
    </i>
    <i r="3">
      <x v="375"/>
    </i>
    <i t="default" r="1">
      <x v="10"/>
    </i>
    <i r="1">
      <x v="22"/>
      <x v="32"/>
      <x v="354"/>
    </i>
    <i t="default" r="1">
      <x v="22"/>
    </i>
    <i t="default">
      <x v="5"/>
    </i>
    <i>
      <x v="6"/>
      <x/>
      <x v="5"/>
      <x v="349"/>
    </i>
    <i t="default" r="1">
      <x/>
    </i>
    <i r="1">
      <x v="10"/>
      <x v="42"/>
      <x v="357"/>
    </i>
    <i r="3">
      <x v="358"/>
    </i>
    <i r="3">
      <x v="359"/>
    </i>
    <i r="3">
      <x v="360"/>
    </i>
    <i r="3">
      <x v="361"/>
    </i>
    <i r="3">
      <x v="362"/>
    </i>
    <i t="default" r="1">
      <x v="10"/>
    </i>
    <i r="1">
      <x v="46"/>
      <x v="49"/>
      <x v="363"/>
    </i>
    <i t="default" r="1">
      <x v="46"/>
    </i>
    <i t="default">
      <x v="6"/>
    </i>
    <i>
      <x v="7"/>
      <x v="10"/>
      <x v="42"/>
      <x v="364"/>
    </i>
    <i r="3">
      <x v="365"/>
    </i>
    <i r="3">
      <x v="366"/>
    </i>
    <i r="3">
      <x v="367"/>
    </i>
    <i t="default" r="1">
      <x v="10"/>
    </i>
    <i r="1">
      <x v="43"/>
      <x v="30"/>
      <x v="349"/>
    </i>
    <i t="default" r="1">
      <x v="43"/>
    </i>
    <i t="default">
      <x v="7"/>
    </i>
    <i>
      <x v="8"/>
      <x v="10"/>
      <x v="42"/>
      <x v="349"/>
    </i>
    <i t="default" r="1">
      <x v="10"/>
    </i>
    <i t="default">
      <x v="8"/>
    </i>
    <i>
      <x v="9"/>
      <x/>
      <x v="5"/>
      <x v="349"/>
    </i>
    <i t="default" r="1">
      <x/>
    </i>
    <i r="1">
      <x v="10"/>
      <x v="42"/>
      <x v="368"/>
    </i>
    <i r="3">
      <x v="369"/>
    </i>
    <i r="3">
      <x v="370"/>
    </i>
    <i r="3">
      <x v="371"/>
    </i>
    <i r="3">
      <x v="372"/>
    </i>
    <i t="default" r="1">
      <x v="10"/>
    </i>
    <i r="1">
      <x v="21"/>
      <x v="19"/>
      <x v="373"/>
    </i>
    <i r="3">
      <x v="374"/>
    </i>
    <i t="default" r="1">
      <x v="21"/>
    </i>
    <i t="default">
      <x v="9"/>
    </i>
    <i>
      <x v="10"/>
      <x/>
      <x v="5"/>
      <x v="349"/>
    </i>
    <i t="default" r="1">
      <x/>
    </i>
    <i r="1">
      <x v="10"/>
      <x v="42"/>
      <x v="349"/>
    </i>
    <i t="default" r="1">
      <x v="10"/>
    </i>
    <i r="1">
      <x v="14"/>
      <x v="23"/>
      <x v="325"/>
    </i>
    <i t="default" r="1">
      <x v="14"/>
    </i>
    <i r="1">
      <x v="21"/>
      <x v="19"/>
      <x v="349"/>
    </i>
    <i t="default" r="1">
      <x v="21"/>
    </i>
    <i t="default">
      <x v="10"/>
    </i>
    <i>
      <x v="11"/>
      <x/>
      <x v="5"/>
      <x v="349"/>
    </i>
    <i t="default" r="1">
      <x/>
    </i>
    <i r="1">
      <x v="10"/>
      <x v="42"/>
      <x v="65"/>
    </i>
    <i r="3">
      <x v="238"/>
    </i>
    <i t="default" r="1">
      <x v="10"/>
    </i>
    <i r="1">
      <x v="14"/>
      <x v="23"/>
      <x v="325"/>
    </i>
    <i t="default" r="1">
      <x v="14"/>
    </i>
    <i r="1">
      <x v="21"/>
      <x v="19"/>
      <x v="33"/>
    </i>
    <i t="default" r="1">
      <x v="21"/>
    </i>
    <i r="1">
      <x v="22"/>
      <x v="32"/>
      <x v="184"/>
    </i>
    <i r="3">
      <x v="189"/>
    </i>
    <i r="3">
      <x v="194"/>
    </i>
    <i r="3">
      <x v="350"/>
    </i>
    <i t="default" r="1">
      <x v="22"/>
    </i>
    <i r="1">
      <x v="42"/>
      <x v="4"/>
      <x v="349"/>
    </i>
    <i t="default" r="1">
      <x v="42"/>
    </i>
    <i t="default">
      <x v="11"/>
    </i>
    <i>
      <x v="12"/>
      <x v="10"/>
      <x v="42"/>
      <x v="19"/>
    </i>
    <i r="3">
      <x v="109"/>
    </i>
    <i r="3">
      <x v="238"/>
    </i>
    <i t="default" r="1">
      <x v="10"/>
    </i>
    <i r="1">
      <x v="18"/>
      <x v="22"/>
      <x v="68"/>
    </i>
    <i t="default" r="1">
      <x v="18"/>
    </i>
    <i r="1">
      <x v="22"/>
      <x v="32"/>
      <x v="58"/>
    </i>
    <i t="default" r="1">
      <x v="22"/>
    </i>
    <i r="1">
      <x v="43"/>
      <x v="30"/>
      <x v="349"/>
    </i>
    <i t="default" r="1">
      <x v="43"/>
    </i>
    <i t="default">
      <x v="12"/>
    </i>
    <i>
      <x v="13"/>
      <x v="10"/>
      <x v="42"/>
      <x v="31"/>
    </i>
    <i r="3">
      <x v="42"/>
    </i>
    <i r="3">
      <x v="240"/>
    </i>
    <i t="default" r="1">
      <x v="10"/>
    </i>
    <i r="1">
      <x v="22"/>
      <x v="32"/>
      <x v="196"/>
    </i>
    <i t="default" r="1">
      <x v="22"/>
    </i>
    <i t="default">
      <x v="13"/>
    </i>
    <i>
      <x v="14"/>
      <x v="9"/>
      <x v="43"/>
      <x v="226"/>
    </i>
    <i t="default" r="1">
      <x v="9"/>
    </i>
    <i r="1">
      <x v="10"/>
      <x v="42"/>
      <x v="240"/>
    </i>
    <i t="default" r="1">
      <x v="10"/>
    </i>
    <i r="1">
      <x v="42"/>
      <x v="4"/>
      <x v="349"/>
    </i>
    <i t="default" r="1">
      <x v="42"/>
    </i>
    <i t="default">
      <x v="14"/>
    </i>
    <i>
      <x v="15"/>
      <x v="10"/>
      <x v="42"/>
      <x v="120"/>
    </i>
    <i r="3">
      <x v="224"/>
    </i>
    <i r="3">
      <x v="225"/>
    </i>
    <i t="default" r="1">
      <x v="10"/>
    </i>
    <i t="default">
      <x v="15"/>
    </i>
    <i>
      <x v="16"/>
      <x v="9"/>
      <x v="43"/>
      <x v="36"/>
    </i>
    <i r="3">
      <x v="338"/>
    </i>
    <i r="3">
      <x v="339"/>
    </i>
    <i t="default" r="1">
      <x v="9"/>
    </i>
    <i r="1">
      <x v="43"/>
      <x v="30"/>
      <x v="338"/>
    </i>
    <i t="default" r="1">
      <x v="43"/>
    </i>
    <i t="default">
      <x v="16"/>
    </i>
    <i>
      <x v="17"/>
      <x v="9"/>
      <x v="43"/>
      <x v="121"/>
    </i>
    <i t="default" r="1">
      <x v="9"/>
    </i>
    <i r="1">
      <x v="42"/>
      <x v="4"/>
      <x v="349"/>
    </i>
    <i t="default" r="1">
      <x v="42"/>
    </i>
    <i t="default">
      <x v="17"/>
    </i>
    <i>
      <x v="18"/>
      <x v="9"/>
      <x v="43"/>
      <x v="121"/>
    </i>
    <i t="default" r="1">
      <x v="9"/>
    </i>
    <i r="1">
      <x v="42"/>
      <x v="4"/>
      <x v="349"/>
    </i>
    <i t="default" r="1">
      <x v="42"/>
    </i>
    <i t="default">
      <x v="18"/>
    </i>
    <i>
      <x v="19"/>
      <x v="9"/>
      <x v="43"/>
      <x v="122"/>
    </i>
    <i t="default" r="1">
      <x v="9"/>
    </i>
    <i t="default">
      <x v="19"/>
    </i>
    <i>
      <x v="20"/>
      <x v="9"/>
      <x v="43"/>
      <x v="122"/>
    </i>
    <i t="default" r="1">
      <x v="9"/>
    </i>
    <i t="default">
      <x v="20"/>
    </i>
    <i>
      <x v="21"/>
      <x v="9"/>
      <x v="43"/>
      <x v="122"/>
    </i>
    <i t="default" r="1">
      <x v="9"/>
    </i>
    <i r="1">
      <x v="21"/>
      <x v="19"/>
      <x v="119"/>
    </i>
    <i r="3">
      <x v="180"/>
    </i>
    <i t="default" r="1">
      <x v="21"/>
    </i>
    <i t="default">
      <x v="21"/>
    </i>
    <i>
      <x v="22"/>
      <x v="9"/>
      <x v="43"/>
      <x v="122"/>
    </i>
    <i t="default" r="1">
      <x v="9"/>
    </i>
    <i r="1">
      <x v="21"/>
      <x v="19"/>
      <x v="260"/>
    </i>
    <i t="default" r="1">
      <x v="21"/>
    </i>
    <i t="default">
      <x v="22"/>
    </i>
    <i>
      <x v="23"/>
      <x v="9"/>
      <x v="43"/>
      <x v="243"/>
    </i>
    <i t="default" r="1">
      <x v="9"/>
    </i>
    <i t="default">
      <x v="23"/>
    </i>
    <i>
      <x v="24"/>
      <x v="9"/>
      <x v="43"/>
      <x v="337"/>
    </i>
    <i t="default" r="1">
      <x v="9"/>
    </i>
    <i t="default">
      <x v="24"/>
    </i>
    <i>
      <x v="25"/>
      <x v="9"/>
      <x v="43"/>
      <x v="335"/>
    </i>
    <i t="default" r="1">
      <x v="9"/>
    </i>
    <i r="1">
      <x v="21"/>
      <x v="19"/>
      <x v="46"/>
    </i>
    <i t="default" r="1">
      <x v="21"/>
    </i>
    <i t="default">
      <x v="25"/>
    </i>
    <i>
      <x v="26"/>
      <x v="9"/>
      <x v="43"/>
      <x v="144"/>
    </i>
    <i r="3">
      <x v="293"/>
    </i>
    <i r="3">
      <x v="335"/>
    </i>
    <i r="3">
      <x v="336"/>
    </i>
    <i t="default" r="1">
      <x v="9"/>
    </i>
    <i r="1">
      <x v="21"/>
      <x v="19"/>
      <x v="136"/>
    </i>
    <i r="3">
      <x v="197"/>
    </i>
    <i t="default" r="1">
      <x v="21"/>
    </i>
    <i t="default">
      <x v="26"/>
    </i>
    <i>
      <x v="27"/>
      <x v="9"/>
      <x v="43"/>
      <x v="21"/>
    </i>
    <i r="3">
      <x v="76"/>
    </i>
    <i t="default" r="1">
      <x v="9"/>
    </i>
    <i r="1">
      <x v="15"/>
      <x v="27"/>
      <x v="159"/>
    </i>
    <i t="default" r="1">
      <x v="15"/>
    </i>
    <i r="1">
      <x v="21"/>
      <x v="19"/>
      <x v="44"/>
    </i>
    <i r="3">
      <x v="114"/>
    </i>
    <i t="default" r="1">
      <x v="21"/>
    </i>
    <i t="default">
      <x v="27"/>
    </i>
    <i>
      <x v="28"/>
      <x v="9"/>
      <x v="43"/>
      <x v="132"/>
    </i>
    <i r="3">
      <x v="291"/>
    </i>
    <i t="default" r="1">
      <x v="9"/>
    </i>
    <i r="1">
      <x v="21"/>
      <x v="19"/>
      <x v="265"/>
    </i>
    <i t="default" r="1">
      <x v="21"/>
    </i>
    <i r="1">
      <x v="37"/>
      <x v="29"/>
      <x v="69"/>
    </i>
    <i r="3">
      <x v="127"/>
    </i>
    <i t="default" r="1">
      <x v="37"/>
    </i>
    <i t="default">
      <x v="28"/>
    </i>
    <i>
      <x v="29"/>
      <x v="9"/>
      <x v="43"/>
      <x v="129"/>
    </i>
    <i r="3">
      <x v="132"/>
    </i>
    <i t="default" r="1">
      <x v="9"/>
    </i>
    <i r="1">
      <x v="37"/>
      <x v="29"/>
      <x v="127"/>
    </i>
    <i t="default" r="1">
      <x v="37"/>
    </i>
    <i t="default">
      <x v="29"/>
    </i>
    <i>
      <x v="30"/>
      <x v="9"/>
      <x v="43"/>
      <x v="52"/>
    </i>
    <i t="default" r="1">
      <x v="9"/>
    </i>
    <i r="1">
      <x v="37"/>
      <x v="29"/>
      <x v="108"/>
    </i>
    <i t="default" r="1">
      <x v="37"/>
    </i>
    <i t="default">
      <x v="30"/>
    </i>
    <i>
      <x v="31"/>
      <x v="7"/>
      <x v="41"/>
      <x v="52"/>
    </i>
    <i r="3">
      <x v="254"/>
    </i>
    <i r="3">
      <x v="348"/>
    </i>
    <i t="default" r="1">
      <x v="7"/>
    </i>
    <i r="1">
      <x v="37"/>
      <x v="29"/>
      <x v="108"/>
    </i>
    <i t="default" r="1">
      <x v="37"/>
    </i>
    <i t="default">
      <x v="31"/>
    </i>
    <i>
      <x v="32"/>
      <x v="42"/>
      <x v="4"/>
      <x v="349"/>
    </i>
    <i t="default" r="1">
      <x v="42"/>
    </i>
    <i r="1">
      <x v="43"/>
      <x v="30"/>
      <x v="349"/>
    </i>
    <i t="default" r="1">
      <x v="43"/>
    </i>
    <i t="default">
      <x v="32"/>
    </i>
    <i>
      <x v="33"/>
      <x v="37"/>
      <x v="29"/>
      <x v="17"/>
    </i>
    <i t="default" r="1">
      <x v="37"/>
    </i>
    <i r="1">
      <x v="42"/>
      <x v="4"/>
      <x v="349"/>
    </i>
    <i t="default" r="1">
      <x v="42"/>
    </i>
    <i r="1">
      <x v="43"/>
      <x v="30"/>
      <x v="349"/>
    </i>
    <i t="default" r="1">
      <x v="43"/>
    </i>
    <i t="default">
      <x v="33"/>
    </i>
    <i>
      <x v="34"/>
      <x v="7"/>
      <x v="41"/>
      <x v="84"/>
    </i>
    <i t="default" r="1">
      <x v="7"/>
    </i>
    <i r="1">
      <x v="20"/>
      <x v="31"/>
      <x v="15"/>
    </i>
    <i t="default" r="1">
      <x v="20"/>
    </i>
    <i r="1">
      <x v="37"/>
      <x v="29"/>
      <x v="18"/>
    </i>
    <i r="3">
      <x v="175"/>
    </i>
    <i r="3">
      <x v="285"/>
    </i>
    <i r="3">
      <x v="315"/>
    </i>
    <i t="default" r="1">
      <x v="37"/>
    </i>
    <i t="default">
      <x v="34"/>
    </i>
    <i>
      <x v="35"/>
      <x v="7"/>
      <x v="41"/>
      <x v="84"/>
    </i>
    <i t="default" r="1">
      <x v="7"/>
    </i>
    <i r="1">
      <x v="20"/>
      <x v="31"/>
      <x v="15"/>
    </i>
    <i t="default" r="1">
      <x v="20"/>
    </i>
    <i r="1">
      <x v="37"/>
      <x v="29"/>
      <x v="18"/>
    </i>
    <i r="3">
      <x v="179"/>
    </i>
    <i t="default" r="1">
      <x v="37"/>
    </i>
    <i t="default">
      <x v="35"/>
    </i>
    <i>
      <x v="36"/>
      <x v="7"/>
      <x v="41"/>
      <x v="139"/>
    </i>
    <i r="3">
      <x v="278"/>
    </i>
    <i r="3">
      <x v="346"/>
    </i>
    <i t="default" r="1">
      <x v="7"/>
    </i>
    <i r="1">
      <x v="37"/>
      <x v="29"/>
      <x v="137"/>
    </i>
    <i r="3">
      <x v="227"/>
    </i>
    <i r="3">
      <x v="285"/>
    </i>
    <i r="3">
      <x v="326"/>
    </i>
    <i t="default" r="1">
      <x v="37"/>
    </i>
    <i t="default">
      <x v="36"/>
    </i>
    <i>
      <x v="37"/>
      <x v="3"/>
      <x v="3"/>
      <x v="16"/>
    </i>
    <i t="default" r="1">
      <x v="3"/>
    </i>
    <i r="1">
      <x v="7"/>
      <x v="41"/>
      <x v="276"/>
    </i>
    <i r="3">
      <x v="277"/>
    </i>
    <i t="default" r="1">
      <x v="7"/>
    </i>
    <i r="1">
      <x v="37"/>
      <x v="29"/>
      <x v="137"/>
    </i>
    <i r="3">
      <x v="161"/>
    </i>
    <i r="3">
      <x v="285"/>
    </i>
    <i t="default" r="1">
      <x v="37"/>
    </i>
    <i t="default">
      <x v="37"/>
    </i>
    <i>
      <x v="38"/>
      <x v="3"/>
      <x v="3"/>
      <x v="349"/>
    </i>
    <i t="default" r="1">
      <x v="3"/>
    </i>
    <i r="1">
      <x v="7"/>
      <x v="41"/>
      <x v="164"/>
    </i>
    <i r="3">
      <x v="199"/>
    </i>
    <i r="3">
      <x v="206"/>
    </i>
    <i t="default" r="1">
      <x v="7"/>
    </i>
    <i r="1">
      <x v="8"/>
      <x v="44"/>
      <x v="192"/>
    </i>
    <i r="3">
      <x v="214"/>
    </i>
    <i t="default" r="1">
      <x v="8"/>
    </i>
    <i r="1">
      <x v="37"/>
      <x v="29"/>
      <x v="86"/>
    </i>
    <i r="3">
      <x v="282"/>
    </i>
    <i r="3">
      <x v="285"/>
    </i>
    <i r="3">
      <x v="332"/>
    </i>
    <i t="default" r="1">
      <x v="37"/>
    </i>
    <i t="default">
      <x v="38"/>
    </i>
    <i>
      <x v="39"/>
      <x v="7"/>
      <x v="41"/>
      <x v="165"/>
    </i>
    <i r="3">
      <x v="334"/>
    </i>
    <i t="default" r="1">
      <x v="7"/>
    </i>
    <i r="1">
      <x v="37"/>
      <x v="29"/>
      <x v="81"/>
    </i>
    <i r="3">
      <x v="174"/>
    </i>
    <i r="3">
      <x v="287"/>
    </i>
    <i t="default" r="1">
      <x v="37"/>
    </i>
    <i t="default">
      <x v="39"/>
    </i>
    <i>
      <x v="40"/>
      <x v="7"/>
      <x v="41"/>
      <x v="11"/>
    </i>
    <i r="3">
      <x v="20"/>
    </i>
    <i r="3">
      <x v="166"/>
    </i>
    <i t="default" r="1">
      <x v="7"/>
    </i>
    <i r="1">
      <x v="37"/>
      <x v="29"/>
      <x v="47"/>
    </i>
    <i r="3">
      <x v="77"/>
    </i>
    <i r="3">
      <x v="86"/>
    </i>
    <i r="3">
      <x v="285"/>
    </i>
    <i r="3">
      <x v="286"/>
    </i>
    <i t="default" r="1">
      <x v="37"/>
    </i>
    <i r="1">
      <x v="44"/>
      <x v="37"/>
      <x v="317"/>
    </i>
    <i t="default" r="1">
      <x v="44"/>
    </i>
    <i t="default">
      <x v="40"/>
    </i>
    <i>
      <x v="41"/>
      <x v="7"/>
      <x v="41"/>
      <x v="75"/>
    </i>
    <i r="3">
      <x v="199"/>
    </i>
    <i t="default" r="1">
      <x v="7"/>
    </i>
    <i r="1">
      <x v="37"/>
      <x v="29"/>
      <x v="47"/>
    </i>
    <i r="3">
      <x v="79"/>
    </i>
    <i r="3">
      <x v="285"/>
    </i>
    <i t="default" r="1">
      <x v="37"/>
    </i>
    <i t="default">
      <x v="41"/>
    </i>
    <i>
      <x v="42"/>
      <x v="7"/>
      <x v="41"/>
      <x v="75"/>
    </i>
    <i t="default" r="1">
      <x v="7"/>
    </i>
    <i r="1">
      <x v="33"/>
      <x v="39"/>
      <x v="313"/>
    </i>
    <i t="default" r="1">
      <x v="33"/>
    </i>
    <i r="1">
      <x v="36"/>
      <x v="28"/>
      <x v="231"/>
    </i>
    <i t="default" r="1">
      <x v="36"/>
    </i>
    <i r="1">
      <x v="37"/>
      <x v="29"/>
      <x v="79"/>
    </i>
    <i t="default" r="1">
      <x v="37"/>
    </i>
    <i t="default">
      <x v="42"/>
    </i>
    <i>
      <x v="43"/>
      <x v="7"/>
      <x v="41"/>
      <x v="74"/>
    </i>
    <i r="3">
      <x v="210"/>
    </i>
    <i t="default" r="1">
      <x v="7"/>
    </i>
    <i r="1">
      <x v="11"/>
      <x v="20"/>
      <x v="247"/>
    </i>
    <i t="default" r="1">
      <x v="11"/>
    </i>
    <i r="1">
      <x v="36"/>
      <x v="28"/>
      <x v="150"/>
    </i>
    <i t="default" r="1">
      <x v="36"/>
    </i>
    <i r="1">
      <x v="37"/>
      <x v="29"/>
      <x v="86"/>
    </i>
    <i r="3">
      <x v="285"/>
    </i>
    <i t="default" r="1">
      <x v="37"/>
    </i>
    <i t="default">
      <x v="43"/>
    </i>
    <i>
      <x v="44"/>
      <x v="7"/>
      <x v="41"/>
      <x v="193"/>
    </i>
    <i r="3">
      <x v="266"/>
    </i>
    <i r="3">
      <x v="347"/>
    </i>
    <i t="default" r="1">
      <x v="7"/>
    </i>
    <i r="1">
      <x v="36"/>
      <x v="28"/>
      <x v="149"/>
    </i>
    <i r="3">
      <x v="181"/>
    </i>
    <i r="3">
      <x v="182"/>
    </i>
    <i r="3">
      <x v="232"/>
    </i>
    <i t="default" r="1">
      <x v="36"/>
    </i>
    <i r="1">
      <x v="37"/>
      <x v="29"/>
      <x v="86"/>
    </i>
    <i r="3">
      <x v="285"/>
    </i>
    <i t="default" r="1">
      <x v="37"/>
    </i>
    <i t="default">
      <x v="44"/>
    </i>
    <i>
      <x v="45"/>
      <x v="7"/>
      <x v="41"/>
      <x v="12"/>
    </i>
    <i r="3">
      <x v="13"/>
    </i>
    <i r="3">
      <x v="101"/>
    </i>
    <i r="3">
      <x v="102"/>
    </i>
    <i r="3">
      <x v="318"/>
    </i>
    <i t="default" r="1">
      <x v="7"/>
    </i>
    <i r="1">
      <x v="37"/>
      <x v="29"/>
      <x v="86"/>
    </i>
    <i r="3">
      <x v="147"/>
    </i>
    <i r="3">
      <x v="233"/>
    </i>
    <i t="default" r="1">
      <x v="37"/>
    </i>
    <i t="default">
      <x v="45"/>
    </i>
    <i>
      <x v="46"/>
      <x v="7"/>
      <x v="41"/>
      <x v="85"/>
    </i>
    <i r="3">
      <x v="89"/>
    </i>
    <i r="3">
      <x v="267"/>
    </i>
    <i r="3">
      <x v="311"/>
    </i>
    <i t="default" r="1">
      <x v="7"/>
    </i>
    <i r="1">
      <x v="33"/>
      <x v="39"/>
      <x v="183"/>
    </i>
    <i t="default" r="1">
      <x v="33"/>
    </i>
    <i r="1">
      <x v="37"/>
      <x v="29"/>
      <x v="74"/>
    </i>
    <i r="3">
      <x v="151"/>
    </i>
    <i t="default" r="1">
      <x v="37"/>
    </i>
    <i t="default">
      <x v="46"/>
    </i>
    <i>
      <x v="47"/>
      <x v="37"/>
      <x v="29"/>
      <x v="319"/>
    </i>
    <i r="3">
      <x v="321"/>
    </i>
    <i t="default" r="1">
      <x v="37"/>
    </i>
    <i t="default">
      <x v="47"/>
    </i>
    <i>
      <x v="48"/>
      <x v="7"/>
      <x v="41"/>
      <x v="221"/>
    </i>
    <i t="default" r="1">
      <x v="7"/>
    </i>
    <i r="1">
      <x v="33"/>
      <x v="39"/>
      <x v="25"/>
    </i>
    <i t="default" r="1">
      <x v="33"/>
    </i>
    <i r="1">
      <x v="37"/>
      <x v="29"/>
      <x v="320"/>
    </i>
    <i t="default" r="1">
      <x v="37"/>
    </i>
    <i t="default">
      <x v="48"/>
    </i>
    <i>
      <x v="49"/>
      <x v="43"/>
      <x v="30"/>
      <x v="349"/>
    </i>
    <i t="default" r="1">
      <x v="43"/>
    </i>
    <i t="default">
      <x v="49"/>
    </i>
    <i>
      <x v="50"/>
      <x v="42"/>
      <x v="4"/>
      <x v="349"/>
    </i>
    <i t="default" r="1">
      <x v="42"/>
    </i>
    <i r="1">
      <x v="43"/>
      <x v="30"/>
      <x v="349"/>
    </i>
    <i t="default" r="1">
      <x v="43"/>
    </i>
    <i t="default">
      <x v="50"/>
    </i>
    <i>
      <x v="51"/>
      <x v="7"/>
      <x v="41"/>
      <x v="87"/>
    </i>
    <i r="3">
      <x v="273"/>
    </i>
    <i r="3">
      <x v="283"/>
    </i>
    <i t="default" r="1">
      <x v="7"/>
    </i>
    <i r="1">
      <x v="33"/>
      <x v="39"/>
      <x v="28"/>
    </i>
    <i r="3">
      <x v="83"/>
    </i>
    <i r="3">
      <x v="272"/>
    </i>
    <i t="default" r="1">
      <x v="33"/>
    </i>
    <i t="default">
      <x v="51"/>
    </i>
    <i>
      <x v="52"/>
      <x v="7"/>
      <x v="41"/>
      <x v="53"/>
    </i>
    <i r="3">
      <x v="98"/>
    </i>
    <i t="default" r="1">
      <x v="7"/>
    </i>
    <i r="1">
      <x v="33"/>
      <x v="39"/>
      <x v="241"/>
    </i>
    <i t="default" r="1">
      <x v="33"/>
    </i>
    <i r="1">
      <x v="43"/>
      <x v="30"/>
      <x v="349"/>
    </i>
    <i t="default" r="1">
      <x v="43"/>
    </i>
    <i t="default">
      <x v="52"/>
    </i>
    <i>
      <x v="53"/>
      <x v="7"/>
      <x v="41"/>
      <x v="91"/>
    </i>
    <i r="3">
      <x v="97"/>
    </i>
    <i r="3">
      <x v="99"/>
    </i>
    <i t="default" r="1">
      <x v="7"/>
    </i>
    <i r="1">
      <x v="33"/>
      <x v="39"/>
      <x v="26"/>
    </i>
    <i r="3">
      <x v="27"/>
    </i>
    <i t="default" r="1">
      <x v="33"/>
    </i>
    <i t="default">
      <x v="53"/>
    </i>
    <i>
      <x v="54"/>
      <x v="7"/>
      <x v="41"/>
      <x v="78"/>
    </i>
    <i r="3">
      <x v="310"/>
    </i>
    <i t="default" r="1">
      <x v="7"/>
    </i>
    <i r="1">
      <x v="33"/>
      <x v="39"/>
      <x v="103"/>
    </i>
    <i t="default" r="1">
      <x v="33"/>
    </i>
    <i r="1">
      <x v="43"/>
      <x v="30"/>
      <x v="349"/>
    </i>
    <i t="default" r="1">
      <x v="43"/>
    </i>
    <i t="default">
      <x v="54"/>
    </i>
    <i>
      <x v="55"/>
      <x v="4"/>
      <x v="7"/>
      <x v="295"/>
    </i>
    <i t="default" r="1">
      <x v="4"/>
    </i>
    <i r="1">
      <x v="7"/>
      <x v="41"/>
      <x v="86"/>
    </i>
    <i t="default" r="1">
      <x v="7"/>
    </i>
    <i r="1">
      <x v="33"/>
      <x v="39"/>
      <x v="202"/>
    </i>
    <i t="default" r="1">
      <x v="33"/>
    </i>
    <i r="1">
      <x v="38"/>
      <x v="8"/>
      <x v="333"/>
    </i>
    <i t="default" r="1">
      <x v="38"/>
    </i>
    <i t="default">
      <x v="55"/>
    </i>
    <i>
      <x v="56"/>
      <x v="2"/>
      <x v="6"/>
      <x v="170"/>
    </i>
    <i t="default" r="1">
      <x v="2"/>
    </i>
    <i r="1">
      <x v="4"/>
      <x v="7"/>
      <x v="295"/>
    </i>
    <i t="default" r="1">
      <x v="4"/>
    </i>
    <i r="1">
      <x v="7"/>
      <x v="41"/>
      <x v="80"/>
    </i>
    <i r="3">
      <x v="104"/>
    </i>
    <i r="3">
      <x v="211"/>
    </i>
    <i r="3">
      <x v="251"/>
    </i>
    <i t="default" r="1">
      <x v="7"/>
    </i>
    <i r="1">
      <x v="33"/>
      <x v="39"/>
      <x v="24"/>
    </i>
    <i r="3">
      <x v="70"/>
    </i>
    <i r="3">
      <x v="133"/>
    </i>
    <i t="default" r="1">
      <x v="33"/>
    </i>
    <i r="1">
      <x v="43"/>
      <x v="30"/>
      <x v="349"/>
    </i>
    <i t="default" r="1">
      <x v="43"/>
    </i>
    <i t="default">
      <x v="56"/>
    </i>
    <i>
      <x v="57"/>
      <x v="7"/>
      <x v="41"/>
      <x v="212"/>
    </i>
    <i r="3">
      <x v="213"/>
    </i>
    <i r="3">
      <x v="297"/>
    </i>
    <i t="default" r="1">
      <x v="7"/>
    </i>
    <i r="1">
      <x v="21"/>
      <x v="19"/>
      <x v="201"/>
    </i>
    <i t="default" r="1">
      <x v="21"/>
    </i>
    <i r="1">
      <x v="33"/>
      <x v="39"/>
      <x v="70"/>
    </i>
    <i r="3">
      <x v="208"/>
    </i>
    <i r="3">
      <x v="209"/>
    </i>
    <i r="3">
      <x v="258"/>
    </i>
    <i t="default" r="1">
      <x v="33"/>
    </i>
    <i r="1">
      <x v="43"/>
      <x v="30"/>
      <x v="349"/>
    </i>
    <i t="default" r="1">
      <x v="43"/>
    </i>
    <i t="default">
      <x v="57"/>
    </i>
    <i>
      <x v="58"/>
      <x v="2"/>
      <x v="6"/>
      <x v="171"/>
    </i>
    <i t="default" r="1">
      <x v="2"/>
    </i>
    <i r="1">
      <x v="7"/>
      <x v="41"/>
      <x v="167"/>
    </i>
    <i t="default" r="1">
      <x v="7"/>
    </i>
    <i r="1">
      <x v="21"/>
      <x v="19"/>
      <x v="255"/>
    </i>
    <i t="default" r="1">
      <x v="21"/>
    </i>
    <i r="1">
      <x v="33"/>
      <x v="39"/>
      <x v="51"/>
    </i>
    <i r="3">
      <x v="70"/>
    </i>
    <i r="3">
      <x v="176"/>
    </i>
    <i r="3">
      <x v="187"/>
    </i>
    <i r="3">
      <x v="216"/>
    </i>
    <i r="3">
      <x v="281"/>
    </i>
    <i t="default" r="1">
      <x v="33"/>
    </i>
    <i r="1">
      <x v="45"/>
      <x v="11"/>
      <x v="160"/>
    </i>
    <i t="default" r="1">
      <x v="45"/>
    </i>
    <i t="default">
      <x v="58"/>
    </i>
    <i>
      <x v="59"/>
      <x v="32"/>
      <x v="40"/>
      <x v="106"/>
    </i>
    <i t="default" r="1">
      <x v="32"/>
    </i>
    <i r="1">
      <x v="43"/>
      <x v="30"/>
      <x v="349"/>
    </i>
    <i t="default" r="1">
      <x v="43"/>
    </i>
    <i t="default">
      <x v="59"/>
    </i>
    <i>
      <x v="60"/>
      <x v="21"/>
      <x v="19"/>
      <x v="114"/>
    </i>
    <i t="default" r="1">
      <x v="21"/>
    </i>
    <i r="1">
      <x v="32"/>
      <x v="40"/>
      <x v="177"/>
    </i>
    <i t="default" r="1">
      <x v="32"/>
    </i>
    <i r="1">
      <x v="33"/>
      <x v="39"/>
      <x v="331"/>
    </i>
    <i t="default" r="1">
      <x v="33"/>
    </i>
    <i r="1">
      <x v="38"/>
      <x v="8"/>
      <x v="246"/>
    </i>
    <i t="default" r="1">
      <x v="38"/>
    </i>
    <i r="1">
      <x v="43"/>
      <x v="30"/>
      <x v="349"/>
    </i>
    <i t="default" r="1">
      <x v="43"/>
    </i>
    <i r="1">
      <x v="45"/>
      <x v="11"/>
      <x v="54"/>
    </i>
    <i t="default" r="1">
      <x v="45"/>
    </i>
    <i t="default">
      <x v="60"/>
    </i>
    <i>
      <x v="61"/>
      <x v="2"/>
      <x v="6"/>
      <x v="169"/>
    </i>
    <i t="default" r="1">
      <x v="2"/>
    </i>
    <i r="1">
      <x v="32"/>
      <x v="40"/>
      <x v="105"/>
    </i>
    <i r="3">
      <x v="186"/>
    </i>
    <i t="default" r="1">
      <x v="32"/>
    </i>
    <i r="1">
      <x v="33"/>
      <x v="39"/>
      <x v="176"/>
    </i>
    <i t="default" r="1">
      <x v="33"/>
    </i>
    <i t="default">
      <x v="61"/>
    </i>
    <i>
      <x v="62"/>
      <x v="2"/>
      <x v="6"/>
      <x v="262"/>
    </i>
    <i t="default" r="1">
      <x v="2"/>
    </i>
    <i r="1">
      <x v="32"/>
      <x v="40"/>
      <x v="239"/>
    </i>
    <i t="default" r="1">
      <x v="32"/>
    </i>
    <i r="1">
      <x v="43"/>
      <x v="30"/>
      <x v="349"/>
    </i>
    <i t="default" r="1">
      <x v="43"/>
    </i>
    <i r="1">
      <x v="45"/>
      <x v="11"/>
      <x v="73"/>
    </i>
    <i t="default" r="1">
      <x v="45"/>
    </i>
    <i t="default">
      <x v="62"/>
    </i>
    <i>
      <x v="63"/>
      <x v="27"/>
      <x v="10"/>
      <x v="64"/>
    </i>
    <i t="default" r="1">
      <x v="27"/>
    </i>
    <i r="1">
      <x v="32"/>
      <x v="40"/>
      <x v="192"/>
    </i>
    <i r="3">
      <x v="239"/>
    </i>
    <i r="3">
      <x v="244"/>
    </i>
    <i t="default" r="1">
      <x v="32"/>
    </i>
    <i r="1">
      <x v="35"/>
      <x v="1"/>
      <x v="244"/>
    </i>
    <i t="default" r="1">
      <x v="35"/>
    </i>
    <i r="1">
      <x v="42"/>
      <x v="4"/>
      <x v="349"/>
    </i>
    <i t="default" r="1">
      <x v="42"/>
    </i>
    <i t="default">
      <x v="63"/>
    </i>
    <i>
      <x v="64"/>
      <x v="33"/>
      <x v="39"/>
      <x v="250"/>
    </i>
    <i t="default" r="1">
      <x v="33"/>
    </i>
    <i r="1">
      <x v="38"/>
      <x v="8"/>
      <x v="152"/>
    </i>
    <i t="default" r="1">
      <x v="38"/>
    </i>
    <i r="1">
      <x v="43"/>
      <x v="30"/>
      <x v="349"/>
    </i>
    <i t="default" r="1">
      <x v="43"/>
    </i>
    <i t="default">
      <x v="64"/>
    </i>
    <i>
      <x v="65"/>
      <x v="31"/>
      <x v="38"/>
      <x v="153"/>
    </i>
    <i t="default" r="1">
      <x v="31"/>
    </i>
    <i r="1">
      <x v="33"/>
      <x v="39"/>
      <x v="198"/>
    </i>
    <i r="3">
      <x v="207"/>
    </i>
    <i r="3">
      <x v="219"/>
    </i>
    <i t="default" r="1">
      <x v="33"/>
    </i>
    <i r="1">
      <x v="39"/>
      <x v="47"/>
      <x v="345"/>
    </i>
    <i t="default" r="1">
      <x v="39"/>
    </i>
    <i r="1">
      <x v="44"/>
      <x v="37"/>
      <x v="168"/>
    </i>
    <i t="default" r="1">
      <x v="44"/>
    </i>
    <i t="default">
      <x v="65"/>
    </i>
    <i>
      <x v="66"/>
      <x v="20"/>
      <x v="31"/>
      <x v="237"/>
    </i>
    <i t="default" r="1">
      <x v="20"/>
    </i>
    <i r="1">
      <x v="33"/>
      <x v="39"/>
      <x v="210"/>
    </i>
    <i r="3">
      <x v="235"/>
    </i>
    <i t="default" r="1">
      <x v="33"/>
    </i>
    <i r="1">
      <x v="42"/>
      <x v="4"/>
      <x v="349"/>
    </i>
    <i t="default" r="1">
      <x v="42"/>
    </i>
    <i t="default">
      <x v="66"/>
    </i>
    <i>
      <x v="67"/>
      <x v="32"/>
      <x v="40"/>
      <x v="275"/>
    </i>
    <i r="3">
      <x v="279"/>
    </i>
    <i r="3">
      <x v="305"/>
    </i>
    <i t="default" r="1">
      <x v="32"/>
    </i>
    <i r="1">
      <x v="33"/>
      <x v="39"/>
      <x v="210"/>
    </i>
    <i t="default" r="1">
      <x v="33"/>
    </i>
    <i r="1">
      <x v="43"/>
      <x v="30"/>
      <x v="349"/>
    </i>
    <i t="default" r="1">
      <x v="43"/>
    </i>
    <i t="default">
      <x v="67"/>
    </i>
    <i>
      <x v="68"/>
      <x v="32"/>
      <x v="40"/>
      <x v="92"/>
    </i>
    <i r="3">
      <x v="176"/>
    </i>
    <i t="default" r="1">
      <x v="32"/>
    </i>
    <i r="1">
      <x v="33"/>
      <x v="39"/>
      <x v="23"/>
    </i>
    <i r="3">
      <x v="128"/>
    </i>
    <i t="default" r="1">
      <x v="33"/>
    </i>
    <i r="1">
      <x v="42"/>
      <x v="4"/>
      <x v="349"/>
    </i>
    <i t="default" r="1">
      <x v="42"/>
    </i>
    <i t="default">
      <x v="68"/>
    </i>
    <i>
      <x v="69"/>
      <x v="32"/>
      <x v="40"/>
      <x v="4"/>
    </i>
    <i r="3">
      <x v="88"/>
    </i>
    <i r="3">
      <x v="90"/>
    </i>
    <i r="3">
      <x v="94"/>
    </i>
    <i r="3">
      <x v="95"/>
    </i>
    <i r="3">
      <x v="155"/>
    </i>
    <i r="3">
      <x v="292"/>
    </i>
    <i t="default" r="1">
      <x v="32"/>
    </i>
    <i r="1">
      <x v="43"/>
      <x v="30"/>
      <x v="349"/>
    </i>
    <i t="default" r="1">
      <x v="43"/>
    </i>
    <i t="default">
      <x v="69"/>
    </i>
    <i>
      <x v="70"/>
      <x v="26"/>
      <x v="34"/>
      <x v="38"/>
    </i>
    <i r="3">
      <x v="39"/>
    </i>
    <i t="default" r="1">
      <x v="26"/>
    </i>
    <i r="1">
      <x v="32"/>
      <x v="40"/>
      <x v="93"/>
    </i>
    <i r="3">
      <x v="96"/>
    </i>
    <i r="3">
      <x v="274"/>
    </i>
    <i r="3">
      <x v="312"/>
    </i>
    <i t="default" r="1">
      <x v="32"/>
    </i>
    <i t="default">
      <x v="70"/>
    </i>
    <i>
      <x v="71"/>
      <x v="32"/>
      <x v="40"/>
      <x v="86"/>
    </i>
    <i r="3">
      <x v="141"/>
    </i>
    <i r="3">
      <x v="154"/>
    </i>
    <i r="3">
      <x v="200"/>
    </i>
    <i r="3">
      <x v="269"/>
    </i>
    <i r="3">
      <x v="270"/>
    </i>
    <i r="3">
      <x v="274"/>
    </i>
    <i t="default" r="1">
      <x v="32"/>
    </i>
    <i t="default">
      <x v="71"/>
    </i>
    <i>
      <x v="72"/>
      <x v="26"/>
      <x v="34"/>
      <x v="37"/>
    </i>
    <i t="default" r="1">
      <x v="26"/>
    </i>
    <i r="1">
      <x v="32"/>
      <x v="40"/>
      <x v="86"/>
    </i>
    <i r="3">
      <x v="107"/>
    </i>
    <i r="3">
      <x v="176"/>
    </i>
    <i r="3">
      <x v="220"/>
    </i>
    <i r="3">
      <x v="264"/>
    </i>
    <i r="3">
      <x v="312"/>
    </i>
    <i t="default" r="1">
      <x v="32"/>
    </i>
    <i t="default">
      <x v="72"/>
    </i>
    <i>
      <x v="73"/>
      <x v="32"/>
      <x v="40"/>
      <x v="100"/>
    </i>
    <i r="3">
      <x v="178"/>
    </i>
    <i r="3">
      <x v="230"/>
    </i>
    <i t="default" r="1">
      <x v="32"/>
    </i>
    <i r="1">
      <x v="34"/>
      <x/>
      <x v="234"/>
    </i>
    <i t="default" r="1">
      <x v="34"/>
    </i>
    <i t="default">
      <x v="73"/>
    </i>
    <i>
      <x v="74"/>
      <x v="32"/>
      <x v="40"/>
      <x v="145"/>
    </i>
    <i r="3">
      <x v="156"/>
    </i>
    <i t="default" r="1">
      <x v="32"/>
    </i>
    <i r="1">
      <x v="34"/>
      <x/>
      <x v="35"/>
    </i>
    <i r="3">
      <x v="123"/>
    </i>
    <i r="3">
      <x v="157"/>
    </i>
    <i r="3">
      <x v="162"/>
    </i>
    <i t="default" r="1">
      <x v="34"/>
    </i>
    <i t="default">
      <x v="74"/>
    </i>
    <i>
      <x v="75"/>
      <x v="13"/>
      <x v="33"/>
      <x v="40"/>
    </i>
    <i t="default" r="1">
      <x v="13"/>
    </i>
    <i r="1">
      <x v="28"/>
      <x v="16"/>
      <x v="236"/>
    </i>
    <i t="default" r="1">
      <x v="28"/>
    </i>
    <i r="1">
      <x v="32"/>
      <x v="40"/>
      <x v="280"/>
    </i>
    <i t="default" r="1">
      <x v="32"/>
    </i>
    <i r="1">
      <x v="34"/>
      <x/>
      <x v="35"/>
    </i>
    <i r="3">
      <x v="124"/>
    </i>
    <i r="3">
      <x v="204"/>
    </i>
    <i r="3">
      <x v="304"/>
    </i>
    <i r="3">
      <x v="307"/>
    </i>
    <i t="default" r="1">
      <x v="34"/>
    </i>
    <i t="default">
      <x v="75"/>
    </i>
    <i>
      <x v="76"/>
      <x v="13"/>
      <x v="33"/>
      <x v="290"/>
    </i>
    <i t="default" r="1">
      <x v="13"/>
    </i>
    <i r="1">
      <x v="18"/>
      <x v="22"/>
      <x v="195"/>
    </i>
    <i r="3">
      <x v="237"/>
    </i>
    <i t="default" r="1">
      <x v="18"/>
    </i>
    <i r="1">
      <x v="23"/>
      <x v="45"/>
      <x v="59"/>
    </i>
    <i t="default" r="1">
      <x v="23"/>
    </i>
    <i r="1">
      <x v="26"/>
      <x v="34"/>
      <x v="329"/>
    </i>
    <i t="default" r="1">
      <x v="26"/>
    </i>
    <i r="1">
      <x v="29"/>
      <x v="46"/>
      <x v="188"/>
    </i>
    <i t="default" r="1">
      <x v="29"/>
    </i>
    <i r="1">
      <x v="34"/>
      <x/>
      <x v="172"/>
    </i>
    <i r="3">
      <x v="203"/>
    </i>
    <i r="3">
      <x v="215"/>
    </i>
    <i r="3">
      <x v="237"/>
    </i>
    <i t="default" r="1">
      <x v="34"/>
    </i>
    <i r="1">
      <x v="45"/>
      <x v="2"/>
      <x v="314"/>
    </i>
    <i r="3">
      <x v="327"/>
    </i>
    <i t="default" r="1">
      <x v="45"/>
    </i>
    <i t="default">
      <x v="76"/>
    </i>
    <i>
      <x v="77"/>
      <x/>
      <x v="26"/>
      <x v="140"/>
    </i>
    <i t="default" r="1">
      <x/>
    </i>
    <i r="1">
      <x v="20"/>
      <x v="31"/>
      <x v="130"/>
    </i>
    <i t="default" r="1">
      <x v="20"/>
    </i>
    <i r="1">
      <x v="21"/>
      <x v="19"/>
      <x v="45"/>
    </i>
    <i t="default" r="1">
      <x v="21"/>
    </i>
    <i r="1">
      <x v="26"/>
      <x v="34"/>
      <x v="328"/>
    </i>
    <i t="default" r="1">
      <x v="26"/>
    </i>
    <i r="1">
      <x v="29"/>
      <x v="46"/>
      <x v="253"/>
    </i>
    <i t="default" r="1">
      <x v="29"/>
    </i>
    <i r="1">
      <x v="34"/>
      <x/>
      <x v="34"/>
    </i>
    <i r="3">
      <x v="48"/>
    </i>
    <i r="3">
      <x v="123"/>
    </i>
    <i r="3">
      <x v="210"/>
    </i>
    <i t="default" r="1">
      <x v="34"/>
    </i>
    <i t="default">
      <x v="77"/>
    </i>
    <i>
      <x v="78"/>
      <x v="43"/>
      <x v="30"/>
      <x v="173"/>
    </i>
    <i t="default" r="1">
      <x v="43"/>
    </i>
    <i t="default">
      <x v="78"/>
    </i>
    <i>
      <x v="79"/>
      <x v="6"/>
      <x v="25"/>
      <x v="126"/>
    </i>
    <i t="default" r="1">
      <x v="6"/>
    </i>
    <i r="1">
      <x v="18"/>
      <x v="22"/>
      <x v="55"/>
    </i>
    <i r="3">
      <x v="322"/>
    </i>
    <i t="default" r="1">
      <x v="18"/>
    </i>
    <i r="1">
      <x v="20"/>
      <x v="31"/>
      <x v="324"/>
    </i>
    <i t="default" r="1">
      <x v="20"/>
    </i>
    <i r="1">
      <x v="24"/>
      <x v="15"/>
      <x v="56"/>
    </i>
    <i r="3">
      <x v="116"/>
    </i>
    <i r="3">
      <x v="245"/>
    </i>
    <i t="default" r="1">
      <x v="24"/>
    </i>
    <i r="1">
      <x v="34"/>
      <x/>
      <x v="135"/>
    </i>
    <i r="3">
      <x v="217"/>
    </i>
    <i t="default" r="1">
      <x v="34"/>
    </i>
    <i t="default">
      <x v="79"/>
    </i>
    <i>
      <x v="80"/>
      <x v="18"/>
      <x v="22"/>
      <x v="163"/>
    </i>
    <i t="default" r="1">
      <x v="18"/>
    </i>
    <i r="1">
      <x v="20"/>
      <x v="31"/>
      <x v="263"/>
    </i>
    <i t="default" r="1">
      <x v="20"/>
    </i>
    <i r="1">
      <x v="34"/>
      <x/>
      <x v="67"/>
    </i>
    <i r="3">
      <x v="110"/>
    </i>
    <i r="3">
      <x v="111"/>
    </i>
    <i r="3">
      <x v="112"/>
    </i>
    <i r="3">
      <x v="138"/>
    </i>
    <i r="3">
      <x v="222"/>
    </i>
    <i t="default" r="1">
      <x v="34"/>
    </i>
    <i r="1">
      <x v="45"/>
      <x v="11"/>
      <x v="323"/>
    </i>
    <i t="default" r="1">
      <x v="45"/>
    </i>
    <i t="default">
      <x v="80"/>
    </i>
    <i>
      <x v="81"/>
      <x v="18"/>
      <x v="22"/>
      <x v="259"/>
    </i>
    <i t="default" r="1">
      <x v="18"/>
    </i>
    <i r="1">
      <x v="23"/>
      <x v="45"/>
      <x v="57"/>
    </i>
    <i t="default" r="1">
      <x v="23"/>
    </i>
    <i r="1">
      <x v="30"/>
      <x v="12"/>
      <x v="242"/>
    </i>
    <i t="default" r="1">
      <x v="30"/>
    </i>
    <i r="1">
      <x v="34"/>
      <x/>
      <x v="190"/>
    </i>
    <i r="3">
      <x v="205"/>
    </i>
    <i t="default" r="1">
      <x v="34"/>
    </i>
    <i r="1">
      <x v="45"/>
      <x v="2"/>
      <x v="314"/>
    </i>
    <i t="default" r="1">
      <x v="45"/>
    </i>
    <i t="default">
      <x v="81"/>
    </i>
    <i>
      <x v="82"/>
      <x v="6"/>
      <x v="25"/>
      <x v="146"/>
    </i>
    <i t="default" r="1">
      <x v="6"/>
    </i>
    <i r="1">
      <x v="23"/>
      <x v="45"/>
      <x v="303"/>
    </i>
    <i t="default" r="1">
      <x v="23"/>
    </i>
    <i t="default">
      <x v="82"/>
    </i>
    <i>
      <x v="83"/>
      <x v="14"/>
      <x v="23"/>
      <x v="257"/>
    </i>
    <i t="default" r="1">
      <x v="14"/>
    </i>
    <i r="1">
      <x v="18"/>
      <x v="22"/>
      <x v="115"/>
    </i>
    <i r="3">
      <x v="271"/>
    </i>
    <i t="default" r="1">
      <x v="18"/>
    </i>
    <i r="1">
      <x v="20"/>
      <x v="31"/>
      <x v="191"/>
    </i>
    <i t="default" r="1">
      <x v="20"/>
    </i>
    <i r="1">
      <x v="21"/>
      <x v="19"/>
      <x v="114"/>
    </i>
    <i t="default" r="1">
      <x v="21"/>
    </i>
    <i r="1">
      <x v="23"/>
      <x v="45"/>
      <x v="296"/>
    </i>
    <i t="default" r="1">
      <x v="23"/>
    </i>
    <i r="1">
      <x v="25"/>
      <x v="14"/>
      <x v="261"/>
    </i>
    <i t="default" r="1">
      <x v="25"/>
    </i>
    <i r="1">
      <x v="45"/>
      <x v="2"/>
      <x v="314"/>
    </i>
    <i t="default" r="1">
      <x v="45"/>
    </i>
    <i t="default">
      <x v="83"/>
    </i>
    <i>
      <x v="84"/>
      <x v="14"/>
      <x v="23"/>
      <x v="256"/>
    </i>
    <i t="default" r="1">
      <x v="14"/>
    </i>
    <i r="1">
      <x v="20"/>
      <x v="31"/>
      <x v="218"/>
    </i>
    <i t="default" r="1">
      <x v="20"/>
    </i>
    <i r="1">
      <x v="25"/>
      <x v="14"/>
      <x v="249"/>
    </i>
    <i t="default" r="1">
      <x v="25"/>
    </i>
    <i r="1">
      <x v="42"/>
      <x v="4"/>
      <x v="29"/>
    </i>
    <i t="default" r="1">
      <x v="42"/>
    </i>
    <i r="1">
      <x v="43"/>
      <x v="30"/>
      <x v="173"/>
    </i>
    <i t="default" r="1">
      <x v="43"/>
    </i>
    <i r="1">
      <x v="45"/>
      <x v="11"/>
      <x v="308"/>
    </i>
    <i t="default" r="1">
      <x v="45"/>
    </i>
    <i t="default">
      <x v="84"/>
    </i>
    <i>
      <x v="85"/>
      <x v="42"/>
      <x v="4"/>
      <x v="29"/>
    </i>
    <i t="default" r="1">
      <x v="42"/>
    </i>
    <i r="1">
      <x v="43"/>
      <x v="30"/>
      <x v="173"/>
    </i>
    <i t="default" r="1">
      <x v="43"/>
    </i>
    <i t="default">
      <x v="85"/>
    </i>
    <i>
      <x v="86"/>
      <x v="17"/>
      <x v="21"/>
      <x v="248"/>
    </i>
    <i t="default" r="1">
      <x v="17"/>
    </i>
    <i r="1">
      <x v="18"/>
      <x v="22"/>
      <x v="117"/>
    </i>
    <i t="default" r="1">
      <x v="18"/>
    </i>
    <i r="1">
      <x v="23"/>
      <x v="45"/>
      <x v="301"/>
    </i>
    <i r="3">
      <x v="302"/>
    </i>
    <i t="default" r="1">
      <x v="23"/>
    </i>
    <i r="1">
      <x v="44"/>
      <x v="37"/>
      <x v="142"/>
    </i>
    <i t="default" r="1">
      <x v="44"/>
    </i>
    <i r="1">
      <x v="45"/>
      <x v="2"/>
      <x v="314"/>
    </i>
    <i r="2">
      <x v="11"/>
      <x v="113"/>
    </i>
    <i r="3">
      <x v="309"/>
    </i>
    <i t="default" r="1">
      <x v="45"/>
    </i>
    <i t="default">
      <x v="86"/>
    </i>
    <i>
      <x v="87"/>
      <x v="23"/>
      <x v="45"/>
      <x v="32"/>
    </i>
    <i t="default" r="1">
      <x v="23"/>
    </i>
    <i r="1">
      <x v="40"/>
      <x v="36"/>
      <x v="131"/>
    </i>
    <i r="3">
      <x v="229"/>
    </i>
    <i r="3">
      <x v="316"/>
    </i>
    <i t="default" r="1">
      <x v="40"/>
    </i>
    <i r="1">
      <x v="41"/>
      <x v="17"/>
      <x v="22"/>
    </i>
    <i t="default" r="1">
      <x v="41"/>
    </i>
    <i r="1">
      <x v="45"/>
      <x v="2"/>
      <x v="314"/>
    </i>
    <i t="default" r="1">
      <x v="45"/>
    </i>
    <i t="default">
      <x v="87"/>
    </i>
    <i>
      <x v="88"/>
      <x v="2"/>
      <x v="6"/>
      <x v="50"/>
    </i>
    <i t="default" r="1">
      <x v="2"/>
    </i>
    <i r="1">
      <x v="3"/>
      <x v="3"/>
      <x v="2"/>
    </i>
    <i r="3">
      <x v="3"/>
    </i>
    <i t="default" r="1">
      <x v="3"/>
    </i>
    <i r="1">
      <x v="12"/>
      <x v="35"/>
      <x v="143"/>
    </i>
    <i t="default" r="1">
      <x v="12"/>
    </i>
    <i r="1">
      <x v="18"/>
      <x v="22"/>
      <x v="8"/>
    </i>
    <i t="default" r="1">
      <x v="18"/>
    </i>
    <i r="1">
      <x v="25"/>
      <x v="14"/>
      <x v="300"/>
    </i>
    <i t="default" r="1">
      <x v="25"/>
    </i>
    <i r="1">
      <x v="45"/>
      <x v="2"/>
      <x v="314"/>
    </i>
    <i t="default" r="1">
      <x v="45"/>
    </i>
    <i t="default">
      <x v="88"/>
    </i>
    <i>
      <x v="89"/>
      <x v="3"/>
      <x v="3"/>
      <x v="1"/>
    </i>
    <i t="default" r="1">
      <x v="3"/>
    </i>
    <i r="1">
      <x v="5"/>
      <x v="13"/>
      <x v="185"/>
    </i>
    <i t="default" r="1">
      <x v="5"/>
    </i>
    <i r="1">
      <x v="14"/>
      <x v="23"/>
      <x v="252"/>
    </i>
    <i t="default" r="1">
      <x v="14"/>
    </i>
    <i r="1">
      <x v="16"/>
      <x v="18"/>
      <x v="49"/>
    </i>
    <i t="default" r="1">
      <x v="16"/>
    </i>
    <i r="1">
      <x v="17"/>
      <x v="21"/>
      <x v="6"/>
    </i>
    <i r="3">
      <x v="7"/>
    </i>
    <i t="default" r="1">
      <x v="17"/>
    </i>
    <i r="1">
      <x v="18"/>
      <x v="22"/>
      <x v="9"/>
    </i>
    <i r="3">
      <x v="10"/>
    </i>
    <i t="default" r="1">
      <x v="18"/>
    </i>
    <i r="1">
      <x v="26"/>
      <x v="34"/>
      <x v="288"/>
    </i>
    <i t="default" r="1">
      <x v="26"/>
    </i>
    <i r="1">
      <x v="45"/>
      <x v="11"/>
      <x v="41"/>
    </i>
    <i r="3">
      <x v="72"/>
    </i>
    <i t="default" r="1">
      <x v="45"/>
    </i>
    <i t="default">
      <x v="89"/>
    </i>
    <i>
      <x v="90"/>
      <x v="2"/>
      <x v="6"/>
      <x v="50"/>
    </i>
    <i r="3">
      <x v="82"/>
    </i>
    <i t="default" r="1">
      <x v="2"/>
    </i>
    <i r="1">
      <x v="3"/>
      <x v="3"/>
      <x/>
    </i>
    <i t="default" r="1">
      <x v="3"/>
    </i>
    <i r="1">
      <x v="5"/>
      <x v="13"/>
      <x v="216"/>
    </i>
    <i r="3">
      <x v="306"/>
    </i>
    <i t="default" r="1">
      <x v="5"/>
    </i>
    <i r="1">
      <x v="17"/>
      <x v="21"/>
      <x v="5"/>
    </i>
    <i t="default" r="1">
      <x v="17"/>
    </i>
    <i r="1">
      <x v="19"/>
      <x v="24"/>
      <x v="298"/>
    </i>
    <i t="default" r="1">
      <x v="19"/>
    </i>
    <i r="1">
      <x v="26"/>
      <x v="34"/>
      <x v="289"/>
    </i>
    <i t="default" r="1">
      <x v="26"/>
    </i>
    <i r="1">
      <x v="44"/>
      <x v="37"/>
      <x v="148"/>
    </i>
    <i t="default" r="1">
      <x v="44"/>
    </i>
    <i t="default">
      <x v="90"/>
    </i>
    <i>
      <x v="91"/>
      <x v="2"/>
      <x v="6"/>
      <x v="294"/>
    </i>
    <i r="3">
      <x v="299"/>
    </i>
    <i t="default" r="1">
      <x v="2"/>
    </i>
    <i r="1">
      <x v="5"/>
      <x v="13"/>
      <x v="134"/>
    </i>
    <i t="default" r="1">
      <x v="5"/>
    </i>
    <i r="1">
      <x v="26"/>
      <x v="34"/>
      <x v="330"/>
    </i>
    <i t="default" r="1">
      <x v="26"/>
    </i>
    <i r="1">
      <x v="29"/>
      <x v="46"/>
      <x v="223"/>
    </i>
    <i r="3">
      <x v="343"/>
    </i>
    <i r="3">
      <x v="344"/>
    </i>
    <i t="default" r="1">
      <x v="29"/>
    </i>
    <i r="1">
      <x v="44"/>
      <x v="37"/>
      <x v="66"/>
    </i>
    <i t="default" r="1">
      <x v="44"/>
    </i>
    <i r="1">
      <x v="45"/>
      <x v="11"/>
      <x v="14"/>
    </i>
    <i t="default" r="1">
      <x v="45"/>
    </i>
    <i t="default">
      <x v="91"/>
    </i>
    <i>
      <x v="92"/>
      <x v="2"/>
      <x v="6"/>
      <x v="30"/>
    </i>
    <i r="3">
      <x v="228"/>
    </i>
    <i r="3">
      <x v="294"/>
    </i>
    <i t="default" r="1">
      <x v="2"/>
    </i>
    <i r="1">
      <x v="15"/>
      <x v="27"/>
      <x v="158"/>
    </i>
    <i t="default" r="1">
      <x v="15"/>
    </i>
    <i r="1">
      <x v="26"/>
      <x v="34"/>
      <x v="43"/>
    </i>
    <i r="3">
      <x v="71"/>
    </i>
    <i r="3">
      <x v="284"/>
    </i>
    <i t="default" r="1">
      <x v="26"/>
    </i>
    <i r="1">
      <x v="29"/>
      <x v="46"/>
      <x v="340"/>
    </i>
    <i r="3">
      <x v="341"/>
    </i>
    <i t="default" r="1">
      <x v="29"/>
    </i>
    <i r="1">
      <x v="43"/>
      <x v="30"/>
      <x v="173"/>
    </i>
    <i t="default" r="1">
      <x v="43"/>
    </i>
    <i r="1">
      <x v="45"/>
      <x v="9"/>
      <x v="60"/>
    </i>
    <i r="3">
      <x v="61"/>
    </i>
    <i t="default" r="1">
      <x v="45"/>
    </i>
    <i t="default">
      <x v="92"/>
    </i>
    <i>
      <x v="93"/>
      <x v="5"/>
      <x v="13"/>
      <x v="125"/>
    </i>
    <i t="default" r="1">
      <x v="5"/>
    </i>
    <i r="1">
      <x v="26"/>
      <x v="34"/>
      <x v="71"/>
    </i>
    <i r="3">
      <x v="268"/>
    </i>
    <i t="default" r="1">
      <x v="26"/>
    </i>
    <i r="1">
      <x v="29"/>
      <x v="46"/>
      <x v="118"/>
    </i>
    <i r="3">
      <x v="342"/>
    </i>
    <i t="default" r="1">
      <x v="29"/>
    </i>
    <i r="1">
      <x v="45"/>
      <x v="9"/>
      <x v="62"/>
    </i>
    <i r="3">
      <x v="63"/>
    </i>
    <i t="default" r="1">
      <x v="45"/>
    </i>
    <i t="default">
      <x v="93"/>
    </i>
    <i t="grand">
      <x/>
    </i>
  </rowItems>
  <colFields count="1">
    <field x="9"/>
  </colFields>
  <colItems count="6">
    <i>
      <x/>
    </i>
    <i>
      <x v="1"/>
    </i>
    <i>
      <x v="2"/>
    </i>
    <i>
      <x v="3"/>
    </i>
    <i>
      <x v="4"/>
    </i>
    <i t="grand">
      <x/>
    </i>
  </colItems>
  <dataFields count="1">
    <dataField name="Sum of hours" fld="12" baseField="0" baseItem="0"/>
  </dataFields>
  <formats count="1">
    <format dxfId="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685F2D-4250-4FD8-B364-8E01C2597F03}" name="PivotTable6"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F1081" firstHeaderRow="1" firstDataRow="1" firstDataCol="5"/>
  <pivotFields count="17">
    <pivotField compact="0" outline="0" showAll="0"/>
    <pivotField compact="0" outline="0" showAll="0"/>
    <pivotField compact="0" outline="0" showAll="0" sortType="descending"/>
    <pivotField compact="0" outline="0" showAll="0"/>
    <pivotField dataField="1" compact="0" outline="0" showAll="0"/>
    <pivotField axis="axisRow" compact="0" outline="0" showAll="0" defaultSubtotal="0">
      <items count="50">
        <item x="31"/>
        <item x="27"/>
        <item x="35"/>
        <item x="15"/>
        <item x="8"/>
        <item x="4"/>
        <item x="23"/>
        <item x="21"/>
        <item x="22"/>
        <item x="49"/>
        <item x="26"/>
        <item x="24"/>
        <item x="40"/>
        <item x="46"/>
        <item x="41"/>
        <item x="38"/>
        <item x="32"/>
        <item x="44"/>
        <item x="47"/>
        <item x="6"/>
        <item x="20"/>
        <item x="42"/>
        <item x="9"/>
        <item x="7"/>
        <item x="48"/>
        <item x="39"/>
        <item x="37"/>
        <item x="11"/>
        <item x="18"/>
        <item x="12"/>
        <item x="1"/>
        <item x="14"/>
        <item x="3"/>
        <item x="33"/>
        <item x="30"/>
        <item x="45"/>
        <item x="43"/>
        <item x="17"/>
        <item x="29"/>
        <item x="19"/>
        <item x="25"/>
        <item x="13"/>
        <item x="2"/>
        <item x="10"/>
        <item x="16"/>
        <item x="36"/>
        <item x="34"/>
        <item x="28"/>
        <item x="0"/>
        <item x="5"/>
      </items>
    </pivotField>
    <pivotField compact="0" outline="0" showAll="0"/>
    <pivotField axis="axisRow" compact="0" outline="0" showAll="0" sortType="descending">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m="1" x="94"/>
        <item t="default"/>
      </items>
    </pivotField>
    <pivotField compact="0" numFmtId="15" outline="0" showAll="0"/>
    <pivotField axis="axisRow" compact="0" outline="0" showAll="0" sortType="ascending" defaultSubtotal="0">
      <items count="7">
        <item x="5"/>
        <item x="4"/>
        <item x="3"/>
        <item x="2"/>
        <item x="1"/>
        <item x="6"/>
        <item x="0"/>
      </items>
    </pivotField>
    <pivotField axis="axisRow" compact="0" outline="0" showAll="0">
      <items count="48">
        <item x="4"/>
        <item x="0"/>
        <item x="23"/>
        <item x="15"/>
        <item x="21"/>
        <item x="44"/>
        <item x="37"/>
        <item x="13"/>
        <item x="16"/>
        <item x="10"/>
        <item x="2"/>
        <item x="20"/>
        <item x="43"/>
        <item x="33"/>
        <item x="7"/>
        <item x="11"/>
        <item x="45"/>
        <item x="40"/>
        <item x="9"/>
        <item x="46"/>
        <item x="14"/>
        <item x="6"/>
        <item x="3"/>
        <item x="35"/>
        <item x="36"/>
        <item x="39"/>
        <item x="30"/>
        <item x="26"/>
        <item x="32"/>
        <item x="34"/>
        <item x="38"/>
        <item x="29"/>
        <item x="25"/>
        <item x="19"/>
        <item x="31"/>
        <item x="27"/>
        <item x="18"/>
        <item x="12"/>
        <item x="22"/>
        <item x="28"/>
        <item x="41"/>
        <item x="42"/>
        <item x="8"/>
        <item x="1"/>
        <item x="17"/>
        <item x="24"/>
        <item x="5"/>
        <item t="default"/>
      </items>
    </pivotField>
    <pivotField axis="axisRow" compact="0" outline="0" showAll="0">
      <items count="414">
        <item x="384"/>
        <item x="378"/>
        <item x="363"/>
        <item x="366"/>
        <item x="261"/>
        <item x="383"/>
        <item x="375"/>
        <item x="371"/>
        <item x="364"/>
        <item x="379"/>
        <item x="373"/>
        <item x="151"/>
        <item x="170"/>
        <item x="173"/>
        <item x="388"/>
        <item x="120"/>
        <item x="130"/>
        <item x="115"/>
        <item x="116"/>
        <item x="73"/>
        <item x="152"/>
        <item x="100"/>
        <item x="361"/>
        <item x="257"/>
        <item x="207"/>
        <item x="184"/>
        <item x="199"/>
        <item x="195"/>
        <item x="191"/>
        <item x="346"/>
        <item x="402"/>
        <item x="75"/>
        <item x="360"/>
        <item x="66"/>
        <item x="314"/>
        <item x="285"/>
        <item x="84"/>
        <item x="278"/>
        <item x="269"/>
        <item x="270"/>
        <item x="295"/>
        <item x="377"/>
        <item x="77"/>
        <item x="396"/>
        <item x="102"/>
        <item x="309"/>
        <item x="93"/>
        <item x="146"/>
        <item x="313"/>
        <item x="372"/>
        <item x="367"/>
        <item x="227"/>
        <item x="112"/>
        <item x="193"/>
        <item x="232"/>
        <item x="323"/>
        <item x="315"/>
        <item x="335"/>
        <item x="71"/>
        <item x="303"/>
        <item x="401"/>
        <item x="400"/>
        <item x="407"/>
        <item x="408"/>
        <item x="241"/>
        <item x="68"/>
        <item x="392"/>
        <item x="327"/>
        <item x="74"/>
        <item x="109"/>
        <item x="212"/>
        <item x="397"/>
        <item x="370"/>
        <item x="239"/>
        <item x="159"/>
        <item x="154"/>
        <item x="103"/>
        <item x="148"/>
        <item x="202"/>
        <item x="153"/>
        <item x="211"/>
        <item x="142"/>
        <item x="386"/>
        <item x="188"/>
        <item x="118"/>
        <item x="180"/>
        <item x="133"/>
        <item x="186"/>
        <item x="264"/>
        <item x="179"/>
        <item x="263"/>
        <item x="196"/>
        <item x="256"/>
        <item x="271"/>
        <item x="260"/>
        <item x="262"/>
        <item x="268"/>
        <item x="198"/>
        <item x="192"/>
        <item x="197"/>
        <item x="283"/>
        <item x="169"/>
        <item x="174"/>
        <item x="201"/>
        <item x="210"/>
        <item x="237"/>
        <item x="230"/>
        <item x="279"/>
        <item x="111"/>
        <item x="72"/>
        <item x="332"/>
        <item x="331"/>
        <item x="330"/>
        <item x="355"/>
        <item x="104"/>
        <item x="345"/>
        <item x="321"/>
        <item x="354"/>
        <item x="410"/>
        <item x="89"/>
        <item x="81"/>
        <item x="86"/>
        <item x="87"/>
        <item x="287"/>
        <item x="297"/>
        <item x="411"/>
        <item x="319"/>
        <item x="105"/>
        <item x="258"/>
        <item x="110"/>
        <item x="308"/>
        <item x="362"/>
        <item x="106"/>
        <item x="213"/>
        <item x="389"/>
        <item x="320"/>
        <item x="96"/>
        <item x="123"/>
        <item x="325"/>
        <item x="125"/>
        <item x="312"/>
        <item x="276"/>
        <item x="352"/>
        <item x="365"/>
        <item x="98"/>
        <item x="289"/>
        <item x="339"/>
        <item x="168"/>
        <item x="382"/>
        <item x="167"/>
        <item x="157"/>
        <item x="175"/>
        <item x="243"/>
        <item x="248"/>
        <item x="272"/>
        <item x="265"/>
        <item x="288"/>
        <item x="286"/>
        <item x="404"/>
        <item x="101"/>
        <item x="221"/>
        <item x="131"/>
        <item x="290"/>
        <item x="324"/>
        <item x="135"/>
        <item x="141"/>
        <item x="149"/>
        <item x="228"/>
        <item x="250"/>
        <item x="235"/>
        <item x="209"/>
        <item x="224"/>
        <item x="302"/>
        <item x="1"/>
        <item x="143"/>
        <item x="119"/>
        <item x="226"/>
        <item x="233"/>
        <item x="284"/>
        <item x="122"/>
        <item x="88"/>
        <item x="163"/>
        <item x="161"/>
        <item x="177"/>
        <item x="67"/>
        <item x="369"/>
        <item x="236"/>
        <item x="229"/>
        <item x="298"/>
        <item x="69"/>
        <item x="333"/>
        <item x="340"/>
        <item x="136"/>
        <item x="164"/>
        <item x="70"/>
        <item x="307"/>
        <item x="76"/>
        <item x="99"/>
        <item x="247"/>
        <item x="137"/>
        <item x="273"/>
        <item x="215"/>
        <item x="204"/>
        <item x="305"/>
        <item x="293"/>
        <item x="337"/>
        <item x="139"/>
        <item x="249"/>
        <item x="216"/>
        <item x="220"/>
        <item x="160"/>
        <item x="208"/>
        <item x="217"/>
        <item x="219"/>
        <item x="134"/>
        <item x="304"/>
        <item x="223"/>
        <item x="317"/>
        <item x="349"/>
        <item x="246"/>
        <item x="280"/>
        <item x="185"/>
        <item x="326"/>
        <item x="390"/>
        <item x="80"/>
        <item x="82"/>
        <item x="79"/>
        <item x="128"/>
        <item x="403"/>
        <item x="358"/>
        <item x="282"/>
        <item x="155"/>
        <item x="166"/>
        <item x="171"/>
        <item x="281"/>
        <item x="251"/>
        <item x="294"/>
        <item x="252"/>
        <item x="65"/>
        <item x="238"/>
        <item x="78"/>
        <item x="194"/>
        <item x="334"/>
        <item x="91"/>
        <item x="242"/>
        <item x="318"/>
        <item x="234"/>
        <item x="158"/>
        <item x="353"/>
        <item x="348"/>
        <item x="244"/>
        <item x="206"/>
        <item x="374"/>
        <item x="310"/>
        <item x="113"/>
        <item x="222"/>
        <item x="350"/>
        <item x="343"/>
        <item x="218"/>
        <item x="336"/>
        <item x="90"/>
        <item x="341"/>
        <item x="240"/>
        <item x="328"/>
        <item x="277"/>
        <item x="107"/>
        <item x="165"/>
        <item x="176"/>
        <item x="409"/>
        <item x="274"/>
        <item x="275"/>
        <item x="342"/>
        <item x="187"/>
        <item x="190"/>
        <item x="266"/>
        <item x="254"/>
        <item x="129"/>
        <item x="132"/>
        <item x="124"/>
        <item x="253"/>
        <item x="296"/>
        <item x="225"/>
        <item x="140"/>
        <item x="189"/>
        <item x="398"/>
        <item x="117"/>
        <item x="150"/>
        <item x="145"/>
        <item x="376"/>
        <item x="380"/>
        <item x="301"/>
        <item x="108"/>
        <item x="259"/>
        <item x="95"/>
        <item x="395"/>
        <item x="203"/>
        <item x="344"/>
        <item x="214"/>
        <item x="381"/>
        <item x="387"/>
        <item x="368"/>
        <item x="357"/>
        <item x="351"/>
        <item x="338"/>
        <item x="291"/>
        <item x="255"/>
        <item x="385"/>
        <item x="292"/>
        <item x="347"/>
        <item x="356"/>
        <item x="200"/>
        <item x="178"/>
        <item x="267"/>
        <item x="156"/>
        <item x="299"/>
        <item x="121"/>
        <item x="359"/>
        <item x="147"/>
        <item x="172"/>
        <item x="181"/>
        <item x="183"/>
        <item x="182"/>
        <item x="322"/>
        <item x="329"/>
        <item x="316"/>
        <item x="63"/>
        <item x="126"/>
        <item x="300"/>
        <item x="311"/>
        <item x="306"/>
        <item x="391"/>
        <item x="231"/>
        <item x="138"/>
        <item x="205"/>
        <item x="144"/>
        <item x="94"/>
        <item x="97"/>
        <item x="92"/>
        <item x="83"/>
        <item x="85"/>
        <item x="405"/>
        <item x="399"/>
        <item x="406"/>
        <item x="393"/>
        <item x="394"/>
        <item x="245"/>
        <item x="127"/>
        <item x="162"/>
        <item x="114"/>
        <item x="0"/>
        <item x="64"/>
        <item x="38"/>
        <item x="39"/>
        <item x="40"/>
        <item x="41"/>
        <item x="43"/>
        <item x="44"/>
        <item x="45"/>
        <item x="46"/>
        <item x="47"/>
        <item x="48"/>
        <item x="49"/>
        <item x="50"/>
        <item x="51"/>
        <item x="52"/>
        <item x="53"/>
        <item x="54"/>
        <item x="55"/>
        <item x="56"/>
        <item x="57"/>
        <item x="58"/>
        <item x="59"/>
        <item x="60"/>
        <item x="61"/>
        <item x="62"/>
        <item x="42"/>
        <item x="29"/>
        <item x="30"/>
        <item x="31"/>
        <item x="32"/>
        <item x="33"/>
        <item x="34"/>
        <item x="35"/>
        <item x="36"/>
        <item x="37"/>
        <item x="19"/>
        <item x="20"/>
        <item x="24"/>
        <item x="21"/>
        <item x="22"/>
        <item x="23"/>
        <item m="1" x="412"/>
        <item x="26"/>
        <item x="27"/>
        <item x="28"/>
        <item x="25"/>
        <item x="13"/>
        <item x="14"/>
        <item x="15"/>
        <item x="16"/>
        <item x="17"/>
        <item x="18"/>
        <item x="2"/>
        <item x="3"/>
        <item x="4"/>
        <item x="5"/>
        <item x="6"/>
        <item x="7"/>
        <item x="8"/>
        <item x="9"/>
        <item x="10"/>
        <item x="11"/>
        <item x="12"/>
        <item t="default"/>
      </items>
    </pivotField>
    <pivotField compact="0" outline="0" showAll="0"/>
    <pivotField compact="0" outline="0" showAll="0"/>
    <pivotField compact="0" outline="0" showAll="0"/>
    <pivotField compact="0" outline="0" showAll="0"/>
    <pivotField compact="0" outline="0" showAll="0"/>
  </pivotFields>
  <rowFields count="5">
    <field x="7"/>
    <field x="10"/>
    <field x="5"/>
    <field x="9"/>
    <field x="11"/>
  </rowFields>
  <rowItems count="1078">
    <i>
      <x/>
      <x v="1"/>
      <x v="48"/>
      <x v="6"/>
      <x v="349"/>
    </i>
    <i t="default" r="1">
      <x v="1"/>
    </i>
    <i t="default">
      <x/>
    </i>
    <i>
      <x v="1"/>
      <x v="10"/>
      <x v="42"/>
      <x/>
      <x v="411"/>
    </i>
    <i r="4">
      <x v="412"/>
    </i>
    <i r="3">
      <x v="1"/>
      <x v="409"/>
    </i>
    <i r="4">
      <x v="410"/>
    </i>
    <i r="3">
      <x v="2"/>
      <x v="405"/>
    </i>
    <i r="4">
      <x v="407"/>
    </i>
    <i r="3">
      <x v="3"/>
      <x v="403"/>
    </i>
    <i r="4">
      <x v="404"/>
    </i>
    <i r="3">
      <x v="4"/>
      <x v="402"/>
    </i>
    <i t="default" r="1">
      <x v="10"/>
    </i>
    <i r="1">
      <x v="22"/>
      <x v="32"/>
      <x v="1"/>
      <x v="408"/>
    </i>
    <i r="3">
      <x v="2"/>
      <x v="406"/>
    </i>
    <i t="default" r="1">
      <x v="22"/>
    </i>
    <i r="1">
      <x v="43"/>
      <x v="30"/>
      <x v="4"/>
      <x v="173"/>
    </i>
    <i t="default" r="1">
      <x v="43"/>
    </i>
    <i t="default">
      <x v="1"/>
    </i>
    <i>
      <x v="2"/>
      <x v="1"/>
      <x v="48"/>
      <x/>
      <x v="349"/>
    </i>
    <i t="default" r="1">
      <x v="1"/>
    </i>
    <i r="1">
      <x v="10"/>
      <x v="42"/>
      <x/>
      <x v="401"/>
    </i>
    <i r="3">
      <x v="1"/>
      <x v="400"/>
    </i>
    <i r="3">
      <x v="2"/>
      <x v="399"/>
    </i>
    <i r="3">
      <x v="3"/>
      <x v="396"/>
    </i>
    <i t="default" r="1">
      <x v="10"/>
    </i>
    <i r="1">
      <x v="22"/>
      <x v="32"/>
      <x v="2"/>
      <x v="398"/>
    </i>
    <i r="3">
      <x v="3"/>
      <x v="397"/>
    </i>
    <i t="default" r="1">
      <x v="22"/>
    </i>
    <i r="1">
      <x v="43"/>
      <x v="30"/>
      <x v="4"/>
      <x v="349"/>
    </i>
    <i t="default" r="1">
      <x v="43"/>
    </i>
    <i t="default">
      <x v="2"/>
    </i>
    <i>
      <x v="3"/>
      <x/>
      <x v="5"/>
      <x v="2"/>
      <x v="349"/>
    </i>
    <i r="3">
      <x v="4"/>
      <x v="386"/>
    </i>
    <i t="default" r="1">
      <x/>
    </i>
    <i r="1">
      <x v="10"/>
      <x v="42"/>
      <x/>
      <x v="394"/>
    </i>
    <i r="3">
      <x v="1"/>
      <x v="392"/>
    </i>
    <i r="4">
      <x v="395"/>
    </i>
    <i r="3">
      <x v="2"/>
      <x v="387"/>
    </i>
    <i r="4">
      <x v="390"/>
    </i>
    <i r="3">
      <x v="3"/>
      <x v="388"/>
    </i>
    <i r="4">
      <x v="389"/>
    </i>
    <i r="3">
      <x v="4"/>
      <x v="385"/>
    </i>
    <i t="default" r="1">
      <x v="10"/>
    </i>
    <i r="1">
      <x v="22"/>
      <x v="32"/>
      <x/>
      <x v="393"/>
    </i>
    <i t="default" r="1">
      <x v="22"/>
    </i>
    <i t="default">
      <x v="3"/>
    </i>
    <i>
      <x v="4"/>
      <x/>
      <x v="5"/>
      <x v="2"/>
      <x v="349"/>
    </i>
    <i t="default" r="1">
      <x/>
    </i>
    <i r="1">
      <x v="10"/>
      <x v="42"/>
      <x/>
      <x v="383"/>
    </i>
    <i r="4">
      <x v="384"/>
    </i>
    <i r="3">
      <x v="1"/>
      <x v="381"/>
    </i>
    <i r="4">
      <x v="382"/>
    </i>
    <i r="3">
      <x v="2"/>
      <x v="380"/>
    </i>
    <i r="3">
      <x v="3"/>
      <x v="377"/>
    </i>
    <i r="4">
      <x v="379"/>
    </i>
    <i r="3">
      <x v="4"/>
      <x v="376"/>
    </i>
    <i t="default" r="1">
      <x v="10"/>
    </i>
    <i r="1">
      <x v="22"/>
      <x v="32"/>
      <x v="3"/>
      <x v="378"/>
    </i>
    <i t="default" r="1">
      <x v="22"/>
    </i>
    <i r="1">
      <x v="43"/>
      <x v="30"/>
      <x v="4"/>
      <x v="349"/>
    </i>
    <i t="default" r="1">
      <x v="43"/>
    </i>
    <i t="default">
      <x v="4"/>
    </i>
    <i>
      <x v="5"/>
      <x/>
      <x v="5"/>
      <x/>
      <x v="349"/>
    </i>
    <i r="3">
      <x v="4"/>
      <x v="349"/>
    </i>
    <i t="default" r="1">
      <x/>
    </i>
    <i r="1">
      <x v="10"/>
      <x v="42"/>
      <x/>
      <x v="356"/>
    </i>
    <i r="3">
      <x v="1"/>
      <x v="355"/>
    </i>
    <i r="3">
      <x v="2"/>
      <x v="375"/>
    </i>
    <i r="3">
      <x v="3"/>
      <x v="353"/>
    </i>
    <i r="3">
      <x v="4"/>
      <x v="351"/>
    </i>
    <i r="4">
      <x v="352"/>
    </i>
    <i t="default" r="1">
      <x v="10"/>
    </i>
    <i r="1">
      <x v="22"/>
      <x v="32"/>
      <x v="3"/>
      <x v="354"/>
    </i>
    <i t="default" r="1">
      <x v="22"/>
    </i>
    <i t="default">
      <x v="5"/>
    </i>
    <i>
      <x v="6"/>
      <x/>
      <x v="5"/>
      <x v="3"/>
      <x v="349"/>
    </i>
    <i t="default" r="1">
      <x/>
    </i>
    <i r="1">
      <x v="10"/>
      <x v="42"/>
      <x/>
      <x v="362"/>
    </i>
    <i r="3">
      <x v="1"/>
      <x v="361"/>
    </i>
    <i r="3">
      <x v="2"/>
      <x v="360"/>
    </i>
    <i r="3">
      <x v="3"/>
      <x v="358"/>
    </i>
    <i r="4">
      <x v="359"/>
    </i>
    <i r="3">
      <x v="4"/>
      <x v="357"/>
    </i>
    <i t="default" r="1">
      <x v="10"/>
    </i>
    <i r="1">
      <x v="46"/>
      <x v="49"/>
      <x/>
      <x v="363"/>
    </i>
    <i t="default" r="1">
      <x v="46"/>
    </i>
    <i t="default">
      <x v="6"/>
    </i>
    <i>
      <x v="7"/>
      <x v="10"/>
      <x v="42"/>
      <x/>
      <x v="367"/>
    </i>
    <i r="3">
      <x v="1"/>
      <x v="366"/>
    </i>
    <i r="3">
      <x v="2"/>
      <x v="365"/>
    </i>
    <i r="3">
      <x v="3"/>
      <x v="364"/>
    </i>
    <i t="default" r="1">
      <x v="10"/>
    </i>
    <i r="1">
      <x v="43"/>
      <x v="30"/>
      <x v="4"/>
      <x v="349"/>
    </i>
    <i t="default" r="1">
      <x v="43"/>
    </i>
    <i t="default">
      <x v="7"/>
    </i>
    <i>
      <x v="8"/>
      <x v="10"/>
      <x v="42"/>
      <x/>
      <x v="349"/>
    </i>
    <i t="default" r="1">
      <x v="10"/>
    </i>
    <i t="default">
      <x v="8"/>
    </i>
    <i>
      <x v="9"/>
      <x/>
      <x v="5"/>
      <x v="1"/>
      <x v="349"/>
    </i>
    <i r="3">
      <x v="4"/>
      <x v="349"/>
    </i>
    <i t="default" r="1">
      <x/>
    </i>
    <i r="1">
      <x v="10"/>
      <x v="42"/>
      <x/>
      <x v="369"/>
    </i>
    <i r="3">
      <x v="1"/>
      <x v="372"/>
    </i>
    <i r="3">
      <x v="2"/>
      <x v="370"/>
    </i>
    <i r="4">
      <x v="371"/>
    </i>
    <i r="3">
      <x v="3"/>
      <x v="369"/>
    </i>
    <i r="3">
      <x v="4"/>
      <x v="368"/>
    </i>
    <i t="default" r="1">
      <x v="10"/>
    </i>
    <i r="1">
      <x v="21"/>
      <x v="19"/>
      <x/>
      <x v="374"/>
    </i>
    <i r="3">
      <x v="1"/>
      <x v="373"/>
    </i>
    <i t="default" r="1">
      <x v="21"/>
    </i>
    <i t="default">
      <x v="9"/>
    </i>
    <i>
      <x v="10"/>
      <x/>
      <x v="5"/>
      <x v="4"/>
      <x v="349"/>
    </i>
    <i t="default" r="1">
      <x/>
    </i>
    <i r="1">
      <x v="10"/>
      <x v="42"/>
      <x v="1"/>
      <x v="349"/>
    </i>
    <i r="3">
      <x v="2"/>
      <x v="349"/>
    </i>
    <i r="3">
      <x v="3"/>
      <x v="349"/>
    </i>
    <i r="3">
      <x v="4"/>
      <x v="349"/>
    </i>
    <i t="default" r="1">
      <x v="10"/>
    </i>
    <i r="1">
      <x v="14"/>
      <x v="23"/>
      <x/>
      <x v="325"/>
    </i>
    <i t="default" r="1">
      <x v="14"/>
    </i>
    <i r="1">
      <x v="21"/>
      <x v="19"/>
      <x v="3"/>
      <x v="349"/>
    </i>
    <i t="default" r="1">
      <x v="21"/>
    </i>
    <i t="default">
      <x v="10"/>
    </i>
    <i>
      <x v="11"/>
      <x/>
      <x v="5"/>
      <x v="4"/>
      <x v="349"/>
    </i>
    <i t="default" r="1">
      <x/>
    </i>
    <i r="1">
      <x v="10"/>
      <x v="42"/>
      <x v="2"/>
      <x v="65"/>
    </i>
    <i r="3">
      <x v="3"/>
      <x v="238"/>
    </i>
    <i r="3">
      <x v="4"/>
      <x v="238"/>
    </i>
    <i t="default" r="1">
      <x v="10"/>
    </i>
    <i r="1">
      <x v="14"/>
      <x v="23"/>
      <x v="4"/>
      <x v="325"/>
    </i>
    <i t="default" r="1">
      <x v="14"/>
    </i>
    <i r="1">
      <x v="21"/>
      <x v="19"/>
      <x v="3"/>
      <x v="33"/>
    </i>
    <i t="default" r="1">
      <x v="21"/>
    </i>
    <i r="1">
      <x v="22"/>
      <x v="32"/>
      <x v="1"/>
      <x v="194"/>
    </i>
    <i r="3">
      <x v="2"/>
      <x v="189"/>
    </i>
    <i r="3">
      <x v="3"/>
      <x v="184"/>
    </i>
    <i r="3">
      <x v="4"/>
      <x v="350"/>
    </i>
    <i t="default" r="1">
      <x v="22"/>
    </i>
    <i r="1">
      <x v="42"/>
      <x v="4"/>
      <x/>
      <x v="349"/>
    </i>
    <i t="default" r="1">
      <x v="42"/>
    </i>
    <i t="default">
      <x v="11"/>
    </i>
    <i>
      <x v="12"/>
      <x v="10"/>
      <x v="42"/>
      <x v="1"/>
      <x v="238"/>
    </i>
    <i r="3">
      <x v="2"/>
      <x v="238"/>
    </i>
    <i r="3">
      <x v="3"/>
      <x v="19"/>
    </i>
    <i r="3">
      <x v="4"/>
      <x v="109"/>
    </i>
    <i t="default" r="1">
      <x v="10"/>
    </i>
    <i r="1">
      <x v="18"/>
      <x v="22"/>
      <x v="3"/>
      <x v="68"/>
    </i>
    <i t="default" r="1">
      <x v="18"/>
    </i>
    <i r="1">
      <x v="22"/>
      <x v="32"/>
      <x v="3"/>
      <x v="58"/>
    </i>
    <i r="3">
      <x v="4"/>
      <x v="58"/>
    </i>
    <i t="default" r="1">
      <x v="22"/>
    </i>
    <i r="1">
      <x v="43"/>
      <x v="30"/>
      <x/>
      <x v="349"/>
    </i>
    <i t="default" r="1">
      <x v="43"/>
    </i>
    <i t="default">
      <x v="12"/>
    </i>
    <i>
      <x v="13"/>
      <x v="10"/>
      <x v="42"/>
      <x/>
      <x v="240"/>
    </i>
    <i r="3">
      <x v="1"/>
      <x v="240"/>
    </i>
    <i r="3">
      <x v="2"/>
      <x v="240"/>
    </i>
    <i r="3">
      <x v="3"/>
      <x v="42"/>
    </i>
    <i r="3">
      <x v="4"/>
      <x v="31"/>
    </i>
    <i t="default" r="1">
      <x v="10"/>
    </i>
    <i r="1">
      <x v="22"/>
      <x v="32"/>
      <x v="3"/>
      <x v="196"/>
    </i>
    <i r="3">
      <x v="4"/>
      <x v="196"/>
    </i>
    <i t="default" r="1">
      <x v="22"/>
    </i>
    <i t="default">
      <x v="13"/>
    </i>
    <i>
      <x v="14"/>
      <x v="9"/>
      <x v="43"/>
      <x/>
      <x v="226"/>
    </i>
    <i t="default" r="1">
      <x v="9"/>
    </i>
    <i r="1">
      <x v="10"/>
      <x v="42"/>
      <x v="1"/>
      <x v="240"/>
    </i>
    <i r="3">
      <x v="2"/>
      <x v="240"/>
    </i>
    <i r="3">
      <x v="3"/>
      <x v="240"/>
    </i>
    <i t="default" r="1">
      <x v="10"/>
    </i>
    <i r="1">
      <x v="42"/>
      <x v="4"/>
      <x v="4"/>
      <x v="349"/>
    </i>
    <i t="default" r="1">
      <x v="42"/>
    </i>
    <i t="default">
      <x v="14"/>
    </i>
    <i>
      <x v="15"/>
      <x v="10"/>
      <x v="42"/>
      <x/>
      <x v="225"/>
    </i>
    <i r="3">
      <x v="1"/>
      <x v="120"/>
    </i>
    <i r="3">
      <x v="2"/>
      <x v="120"/>
    </i>
    <i r="3">
      <x v="3"/>
      <x v="224"/>
    </i>
    <i r="3">
      <x v="4"/>
      <x v="224"/>
    </i>
    <i t="default" r="1">
      <x v="10"/>
    </i>
    <i t="default">
      <x v="15"/>
    </i>
    <i>
      <x v="16"/>
      <x v="9"/>
      <x v="43"/>
      <x/>
      <x v="339"/>
    </i>
    <i r="3">
      <x v="1"/>
      <x v="338"/>
    </i>
    <i r="3">
      <x v="2"/>
      <x v="36"/>
    </i>
    <i r="4">
      <x v="338"/>
    </i>
    <i r="3">
      <x v="3"/>
      <x v="338"/>
    </i>
    <i r="3">
      <x v="4"/>
      <x v="338"/>
    </i>
    <i t="default" r="1">
      <x v="9"/>
    </i>
    <i r="1">
      <x v="43"/>
      <x v="30"/>
      <x v="3"/>
      <x v="338"/>
    </i>
    <i t="default" r="1">
      <x v="43"/>
    </i>
    <i t="default">
      <x v="16"/>
    </i>
    <i>
      <x v="17"/>
      <x v="9"/>
      <x v="43"/>
      <x v="1"/>
      <x v="121"/>
    </i>
    <i r="3">
      <x v="2"/>
      <x v="121"/>
    </i>
    <i r="3">
      <x v="3"/>
      <x v="121"/>
    </i>
    <i r="3">
      <x v="4"/>
      <x v="121"/>
    </i>
    <i t="default" r="1">
      <x v="9"/>
    </i>
    <i r="1">
      <x v="42"/>
      <x v="4"/>
      <x/>
      <x v="349"/>
    </i>
    <i t="default" r="1">
      <x v="42"/>
    </i>
    <i t="default">
      <x v="17"/>
    </i>
    <i>
      <x v="18"/>
      <x v="9"/>
      <x v="43"/>
      <x/>
      <x v="121"/>
    </i>
    <i r="3">
      <x v="1"/>
      <x v="121"/>
    </i>
    <i r="3">
      <x v="2"/>
      <x v="121"/>
    </i>
    <i r="3">
      <x v="3"/>
      <x v="121"/>
    </i>
    <i t="default" r="1">
      <x v="9"/>
    </i>
    <i r="1">
      <x v="42"/>
      <x v="4"/>
      <x v="4"/>
      <x v="349"/>
    </i>
    <i t="default" r="1">
      <x v="42"/>
    </i>
    <i t="default">
      <x v="18"/>
    </i>
    <i>
      <x v="19"/>
      <x v="9"/>
      <x v="43"/>
      <x/>
      <x v="122"/>
    </i>
    <i r="3">
      <x v="1"/>
      <x v="122"/>
    </i>
    <i r="3">
      <x v="2"/>
      <x v="122"/>
    </i>
    <i r="3">
      <x v="3"/>
      <x v="122"/>
    </i>
    <i r="3">
      <x v="4"/>
      <x v="122"/>
    </i>
    <i t="default" r="1">
      <x v="9"/>
    </i>
    <i t="default">
      <x v="19"/>
    </i>
    <i>
      <x v="20"/>
      <x v="9"/>
      <x v="43"/>
      <x/>
      <x v="122"/>
    </i>
    <i r="3">
      <x v="1"/>
      <x v="122"/>
    </i>
    <i r="3">
      <x v="2"/>
      <x v="122"/>
    </i>
    <i r="3">
      <x v="3"/>
      <x v="122"/>
    </i>
    <i r="3">
      <x v="4"/>
      <x v="122"/>
    </i>
    <i t="default" r="1">
      <x v="9"/>
    </i>
    <i t="default">
      <x v="20"/>
    </i>
    <i>
      <x v="21"/>
      <x v="9"/>
      <x v="43"/>
      <x/>
      <x v="122"/>
    </i>
    <i r="3">
      <x v="1"/>
      <x v="122"/>
    </i>
    <i r="3">
      <x v="2"/>
      <x v="122"/>
    </i>
    <i r="3">
      <x v="3"/>
      <x v="122"/>
    </i>
    <i r="3">
      <x v="4"/>
      <x v="122"/>
    </i>
    <i t="default" r="1">
      <x v="9"/>
    </i>
    <i r="1">
      <x v="21"/>
      <x v="19"/>
      <x v="1"/>
      <x v="119"/>
    </i>
    <i r="3">
      <x v="4"/>
      <x v="180"/>
    </i>
    <i t="default" r="1">
      <x v="21"/>
    </i>
    <i t="default">
      <x v="21"/>
    </i>
    <i>
      <x v="22"/>
      <x v="9"/>
      <x v="43"/>
      <x/>
      <x v="122"/>
    </i>
    <i r="3">
      <x v="1"/>
      <x v="122"/>
    </i>
    <i r="3">
      <x v="2"/>
      <x v="122"/>
    </i>
    <i r="3">
      <x v="3"/>
      <x v="122"/>
    </i>
    <i r="3">
      <x v="4"/>
      <x v="122"/>
    </i>
    <i t="default" r="1">
      <x v="9"/>
    </i>
    <i r="1">
      <x v="21"/>
      <x v="19"/>
      <x v="4"/>
      <x v="260"/>
    </i>
    <i t="default" r="1">
      <x v="21"/>
    </i>
    <i t="default">
      <x v="22"/>
    </i>
    <i>
      <x v="23"/>
      <x v="9"/>
      <x v="43"/>
      <x/>
      <x v="243"/>
    </i>
    <i r="3">
      <x v="1"/>
      <x v="243"/>
    </i>
    <i r="3">
      <x v="2"/>
      <x v="243"/>
    </i>
    <i r="3">
      <x v="3"/>
      <x v="243"/>
    </i>
    <i r="3">
      <x v="4"/>
      <x v="243"/>
    </i>
    <i t="default" r="1">
      <x v="9"/>
    </i>
    <i t="default">
      <x v="23"/>
    </i>
    <i>
      <x v="24"/>
      <x v="9"/>
      <x v="43"/>
      <x/>
      <x v="337"/>
    </i>
    <i r="3">
      <x v="1"/>
      <x v="337"/>
    </i>
    <i r="3">
      <x v="2"/>
      <x v="337"/>
    </i>
    <i r="3">
      <x v="3"/>
      <x v="337"/>
    </i>
    <i r="3">
      <x v="4"/>
      <x v="337"/>
    </i>
    <i t="default" r="1">
      <x v="9"/>
    </i>
    <i t="default">
      <x v="24"/>
    </i>
    <i>
      <x v="25"/>
      <x v="9"/>
      <x v="43"/>
      <x/>
      <x v="335"/>
    </i>
    <i r="3">
      <x v="1"/>
      <x v="335"/>
    </i>
    <i r="3">
      <x v="2"/>
      <x v="335"/>
    </i>
    <i r="3">
      <x v="3"/>
      <x v="335"/>
    </i>
    <i r="3">
      <x v="4"/>
      <x v="335"/>
    </i>
    <i t="default" r="1">
      <x v="9"/>
    </i>
    <i r="1">
      <x v="21"/>
      <x v="19"/>
      <x/>
      <x v="46"/>
    </i>
    <i r="3">
      <x v="3"/>
      <x v="46"/>
    </i>
    <i t="default" r="1">
      <x v="21"/>
    </i>
    <i t="default">
      <x v="25"/>
    </i>
    <i>
      <x v="26"/>
      <x v="9"/>
      <x v="43"/>
      <x/>
      <x v="293"/>
    </i>
    <i r="3">
      <x v="1"/>
      <x v="335"/>
    </i>
    <i r="3">
      <x v="2"/>
      <x v="336"/>
    </i>
    <i r="3">
      <x v="3"/>
      <x v="335"/>
    </i>
    <i r="3">
      <x v="4"/>
      <x v="144"/>
    </i>
    <i t="default" r="1">
      <x v="9"/>
    </i>
    <i r="1">
      <x v="21"/>
      <x v="19"/>
      <x/>
      <x v="136"/>
    </i>
    <i r="3">
      <x v="4"/>
      <x v="197"/>
    </i>
    <i t="default" r="1">
      <x v="21"/>
    </i>
    <i t="default">
      <x v="26"/>
    </i>
    <i>
      <x v="27"/>
      <x v="9"/>
      <x v="43"/>
      <x/>
      <x v="21"/>
    </i>
    <i r="3">
      <x v="2"/>
      <x v="76"/>
    </i>
    <i r="3">
      <x v="3"/>
      <x v="76"/>
    </i>
    <i r="3">
      <x v="4"/>
      <x v="76"/>
    </i>
    <i t="default" r="1">
      <x v="9"/>
    </i>
    <i r="1">
      <x v="15"/>
      <x v="27"/>
      <x v="1"/>
      <x v="159"/>
    </i>
    <i t="default" r="1">
      <x v="15"/>
    </i>
    <i r="1">
      <x v="21"/>
      <x v="19"/>
      <x v="1"/>
      <x v="44"/>
    </i>
    <i r="3">
      <x v="4"/>
      <x v="114"/>
    </i>
    <i t="default" r="1">
      <x v="21"/>
    </i>
    <i t="default">
      <x v="27"/>
    </i>
    <i>
      <x v="28"/>
      <x v="9"/>
      <x v="43"/>
      <x v="1"/>
      <x v="132"/>
    </i>
    <i r="3">
      <x v="3"/>
      <x v="291"/>
    </i>
    <i t="default" r="1">
      <x v="9"/>
    </i>
    <i r="1">
      <x v="21"/>
      <x v="19"/>
      <x v="2"/>
      <x v="265"/>
    </i>
    <i t="default" r="1">
      <x v="21"/>
    </i>
    <i r="1">
      <x v="37"/>
      <x v="29"/>
      <x/>
      <x v="127"/>
    </i>
    <i r="3">
      <x v="2"/>
      <x v="127"/>
    </i>
    <i r="3">
      <x v="4"/>
      <x v="69"/>
    </i>
    <i t="default" r="1">
      <x v="37"/>
    </i>
    <i t="default">
      <x v="28"/>
    </i>
    <i>
      <x v="29"/>
      <x v="9"/>
      <x v="43"/>
      <x v="2"/>
      <x v="129"/>
    </i>
    <i r="3">
      <x v="3"/>
      <x v="132"/>
    </i>
    <i t="default" r="1">
      <x v="9"/>
    </i>
    <i r="1">
      <x v="37"/>
      <x v="29"/>
      <x/>
      <x v="127"/>
    </i>
    <i r="3">
      <x v="1"/>
      <x v="127"/>
    </i>
    <i r="3">
      <x v="4"/>
      <x v="127"/>
    </i>
    <i t="default" r="1">
      <x v="37"/>
    </i>
    <i t="default">
      <x v="29"/>
    </i>
    <i>
      <x v="30"/>
      <x v="9"/>
      <x v="43"/>
      <x v="2"/>
      <x v="52"/>
    </i>
    <i t="default" r="1">
      <x v="9"/>
    </i>
    <i r="1">
      <x v="37"/>
      <x v="29"/>
      <x/>
      <x v="108"/>
    </i>
    <i r="3">
      <x v="1"/>
      <x v="108"/>
    </i>
    <i r="3">
      <x v="3"/>
      <x v="108"/>
    </i>
    <i r="3">
      <x v="4"/>
      <x v="108"/>
    </i>
    <i t="default" r="1">
      <x v="37"/>
    </i>
    <i t="default">
      <x v="30"/>
    </i>
    <i>
      <x v="31"/>
      <x v="7"/>
      <x v="41"/>
      <x v="1"/>
      <x v="52"/>
    </i>
    <i r="3">
      <x v="2"/>
      <x v="348"/>
    </i>
    <i r="3">
      <x v="3"/>
      <x v="254"/>
    </i>
    <i t="default" r="1">
      <x v="7"/>
    </i>
    <i r="1">
      <x v="37"/>
      <x v="29"/>
      <x/>
      <x v="108"/>
    </i>
    <i r="3">
      <x v="1"/>
      <x v="108"/>
    </i>
    <i r="3">
      <x v="3"/>
      <x v="108"/>
    </i>
    <i r="3">
      <x v="4"/>
      <x v="108"/>
    </i>
    <i t="default" r="1">
      <x v="37"/>
    </i>
    <i t="default">
      <x v="31"/>
    </i>
    <i>
      <x v="32"/>
      <x v="42"/>
      <x v="4"/>
      <x v="2"/>
      <x v="349"/>
    </i>
    <i t="default" r="1">
      <x v="42"/>
    </i>
    <i r="1">
      <x v="43"/>
      <x v="30"/>
      <x/>
      <x v="349"/>
    </i>
    <i r="3">
      <x v="1"/>
      <x v="349"/>
    </i>
    <i r="3">
      <x v="3"/>
      <x v="349"/>
    </i>
    <i r="3">
      <x v="4"/>
      <x v="349"/>
    </i>
    <i t="default" r="1">
      <x v="43"/>
    </i>
    <i t="default">
      <x v="32"/>
    </i>
    <i>
      <x v="33"/>
      <x v="37"/>
      <x v="29"/>
      <x/>
      <x v="17"/>
    </i>
    <i r="3">
      <x v="1"/>
      <x v="17"/>
    </i>
    <i t="default" r="1">
      <x v="37"/>
    </i>
    <i r="1">
      <x v="42"/>
      <x v="4"/>
      <x v="2"/>
      <x v="349"/>
    </i>
    <i r="3">
      <x v="3"/>
      <x v="349"/>
    </i>
    <i t="default" r="1">
      <x v="42"/>
    </i>
    <i r="1">
      <x v="43"/>
      <x v="30"/>
      <x v="4"/>
      <x v="349"/>
    </i>
    <i t="default" r="1">
      <x v="43"/>
    </i>
    <i t="default">
      <x v="33"/>
    </i>
    <i>
      <x v="34"/>
      <x v="7"/>
      <x v="41"/>
      <x v="2"/>
      <x v="84"/>
    </i>
    <i t="default" r="1">
      <x v="7"/>
    </i>
    <i r="1">
      <x v="20"/>
      <x v="31"/>
      <x v="4"/>
      <x v="15"/>
    </i>
    <i t="default" r="1">
      <x v="20"/>
    </i>
    <i r="1">
      <x v="37"/>
      <x v="29"/>
      <x/>
      <x v="18"/>
    </i>
    <i r="4">
      <x v="285"/>
    </i>
    <i r="3">
      <x v="1"/>
      <x v="18"/>
    </i>
    <i r="3">
      <x v="3"/>
      <x v="175"/>
    </i>
    <i r="3">
      <x v="4"/>
      <x v="315"/>
    </i>
    <i t="default" r="1">
      <x v="37"/>
    </i>
    <i t="default">
      <x v="34"/>
    </i>
    <i>
      <x v="35"/>
      <x v="7"/>
      <x v="41"/>
      <x v="2"/>
      <x v="84"/>
    </i>
    <i t="default" r="1">
      <x v="7"/>
    </i>
    <i r="1">
      <x v="20"/>
      <x v="31"/>
      <x v="3"/>
      <x v="15"/>
    </i>
    <i t="default" r="1">
      <x v="20"/>
    </i>
    <i r="1">
      <x v="37"/>
      <x v="29"/>
      <x/>
      <x v="179"/>
    </i>
    <i r="3">
      <x v="1"/>
      <x v="179"/>
    </i>
    <i r="3">
      <x v="4"/>
      <x v="18"/>
    </i>
    <i t="default" r="1">
      <x v="37"/>
    </i>
    <i t="default">
      <x v="35"/>
    </i>
    <i>
      <x v="36"/>
      <x v="7"/>
      <x v="41"/>
      <x v="1"/>
      <x v="139"/>
    </i>
    <i r="4">
      <x v="278"/>
    </i>
    <i r="3">
      <x v="2"/>
      <x v="278"/>
    </i>
    <i r="3">
      <x v="3"/>
      <x v="278"/>
    </i>
    <i r="4">
      <x v="346"/>
    </i>
    <i r="3">
      <x v="4"/>
      <x v="278"/>
    </i>
    <i t="default" r="1">
      <x v="7"/>
    </i>
    <i r="1">
      <x v="37"/>
      <x v="29"/>
      <x/>
      <x v="137"/>
    </i>
    <i r="4">
      <x v="285"/>
    </i>
    <i r="3">
      <x v="1"/>
      <x v="326"/>
    </i>
    <i r="3">
      <x v="2"/>
      <x v="137"/>
    </i>
    <i r="3">
      <x v="3"/>
      <x v="227"/>
    </i>
    <i r="3">
      <x v="4"/>
      <x v="227"/>
    </i>
    <i t="default" r="1">
      <x v="37"/>
    </i>
    <i t="default">
      <x v="36"/>
    </i>
    <i>
      <x v="37"/>
      <x v="3"/>
      <x v="3"/>
      <x v="1"/>
      <x v="16"/>
    </i>
    <i t="default" r="1">
      <x v="3"/>
    </i>
    <i r="1">
      <x v="7"/>
      <x v="41"/>
      <x v="1"/>
      <x v="276"/>
    </i>
    <i r="3">
      <x v="2"/>
      <x v="277"/>
    </i>
    <i r="3">
      <x v="4"/>
      <x v="276"/>
    </i>
    <i t="default" r="1">
      <x v="7"/>
    </i>
    <i r="1">
      <x v="37"/>
      <x v="29"/>
      <x/>
      <x v="137"/>
    </i>
    <i r="4">
      <x v="285"/>
    </i>
    <i r="3">
      <x v="2"/>
      <x v="137"/>
    </i>
    <i r="4">
      <x v="161"/>
    </i>
    <i r="3">
      <x v="3"/>
      <x v="137"/>
    </i>
    <i t="default" r="1">
      <x v="37"/>
    </i>
    <i t="default">
      <x v="37"/>
    </i>
    <i>
      <x v="38"/>
      <x v="3"/>
      <x v="3"/>
      <x v="4"/>
      <x v="349"/>
    </i>
    <i t="default" r="1">
      <x v="3"/>
    </i>
    <i r="1">
      <x v="7"/>
      <x v="41"/>
      <x v="1"/>
      <x v="164"/>
    </i>
    <i r="3">
      <x v="2"/>
      <x v="199"/>
    </i>
    <i r="3">
      <x v="3"/>
      <x v="206"/>
    </i>
    <i t="default" r="1">
      <x v="7"/>
    </i>
    <i r="1">
      <x v="8"/>
      <x v="44"/>
      <x v="1"/>
      <x v="214"/>
    </i>
    <i r="3">
      <x v="2"/>
      <x v="192"/>
    </i>
    <i t="default" r="1">
      <x v="8"/>
    </i>
    <i r="1">
      <x v="37"/>
      <x v="29"/>
      <x/>
      <x v="86"/>
    </i>
    <i r="4">
      <x v="285"/>
    </i>
    <i r="3">
      <x v="3"/>
      <x v="332"/>
    </i>
    <i r="3">
      <x v="4"/>
      <x v="282"/>
    </i>
    <i t="default" r="1">
      <x v="37"/>
    </i>
    <i t="default">
      <x v="38"/>
    </i>
    <i>
      <x v="39"/>
      <x v="7"/>
      <x v="41"/>
      <x/>
      <x v="165"/>
    </i>
    <i r="3">
      <x v="2"/>
      <x v="334"/>
    </i>
    <i t="default" r="1">
      <x v="7"/>
    </i>
    <i r="1">
      <x v="37"/>
      <x v="29"/>
      <x v="1"/>
      <x v="81"/>
    </i>
    <i r="4">
      <x v="174"/>
    </i>
    <i r="3">
      <x v="3"/>
      <x v="287"/>
    </i>
    <i r="3">
      <x v="4"/>
      <x v="287"/>
    </i>
    <i t="default" r="1">
      <x v="37"/>
    </i>
    <i t="default">
      <x v="39"/>
    </i>
    <i>
      <x v="40"/>
      <x v="7"/>
      <x v="41"/>
      <x v="2"/>
      <x v="166"/>
    </i>
    <i r="3">
      <x v="3"/>
      <x v="11"/>
    </i>
    <i r="3">
      <x v="4"/>
      <x v="20"/>
    </i>
    <i t="default" r="1">
      <x v="7"/>
    </i>
    <i r="1">
      <x v="37"/>
      <x v="29"/>
      <x/>
      <x v="47"/>
    </i>
    <i r="4">
      <x v="285"/>
    </i>
    <i r="3">
      <x v="1"/>
      <x v="77"/>
    </i>
    <i r="3">
      <x v="2"/>
      <x v="77"/>
    </i>
    <i r="3">
      <x v="3"/>
      <x v="286"/>
    </i>
    <i r="3">
      <x v="4"/>
      <x v="86"/>
    </i>
    <i t="default" r="1">
      <x v="37"/>
    </i>
    <i r="1">
      <x v="44"/>
      <x v="37"/>
      <x v="1"/>
      <x v="317"/>
    </i>
    <i t="default" r="1">
      <x v="44"/>
    </i>
    <i t="default">
      <x v="40"/>
    </i>
    <i>
      <x v="41"/>
      <x v="7"/>
      <x v="41"/>
      <x v="3"/>
      <x v="75"/>
    </i>
    <i r="4">
      <x v="199"/>
    </i>
    <i t="default" r="1">
      <x v="7"/>
    </i>
    <i r="1">
      <x v="37"/>
      <x v="29"/>
      <x/>
      <x v="79"/>
    </i>
    <i r="4">
      <x v="285"/>
    </i>
    <i r="3">
      <x v="1"/>
      <x v="47"/>
    </i>
    <i r="3">
      <x v="2"/>
      <x v="79"/>
    </i>
    <i r="3">
      <x v="4"/>
      <x v="47"/>
    </i>
    <i t="default" r="1">
      <x v="37"/>
    </i>
    <i t="default">
      <x v="41"/>
    </i>
    <i>
      <x v="42"/>
      <x v="7"/>
      <x v="41"/>
      <x v="3"/>
      <x v="75"/>
    </i>
    <i t="default" r="1">
      <x v="7"/>
    </i>
    <i r="1">
      <x v="33"/>
      <x v="39"/>
      <x v="2"/>
      <x v="313"/>
    </i>
    <i t="default" r="1">
      <x v="33"/>
    </i>
    <i r="1">
      <x v="36"/>
      <x v="28"/>
      <x v="1"/>
      <x v="231"/>
    </i>
    <i t="default" r="1">
      <x v="36"/>
    </i>
    <i r="1">
      <x v="37"/>
      <x v="29"/>
      <x/>
      <x v="79"/>
    </i>
    <i r="3">
      <x v="1"/>
      <x v="79"/>
    </i>
    <i r="3">
      <x v="4"/>
      <x v="79"/>
    </i>
    <i t="default" r="1">
      <x v="37"/>
    </i>
    <i t="default">
      <x v="42"/>
    </i>
    <i>
      <x v="43"/>
      <x v="7"/>
      <x v="41"/>
      <x v="3"/>
      <x v="74"/>
    </i>
    <i r="4">
      <x v="210"/>
    </i>
    <i t="default" r="1">
      <x v="7"/>
    </i>
    <i r="1">
      <x v="11"/>
      <x v="20"/>
      <x v="2"/>
      <x v="247"/>
    </i>
    <i r="3">
      <x v="4"/>
      <x v="247"/>
    </i>
    <i t="default" r="1">
      <x v="11"/>
    </i>
    <i r="1">
      <x v="36"/>
      <x v="28"/>
      <x/>
      <x v="150"/>
    </i>
    <i r="3">
      <x v="1"/>
      <x v="150"/>
    </i>
    <i t="default" r="1">
      <x v="36"/>
    </i>
    <i r="1">
      <x v="37"/>
      <x v="29"/>
      <x/>
      <x v="285"/>
    </i>
    <i r="3">
      <x v="4"/>
      <x v="86"/>
    </i>
    <i t="default" r="1">
      <x v="37"/>
    </i>
    <i t="default">
      <x v="43"/>
    </i>
    <i>
      <x v="44"/>
      <x v="7"/>
      <x v="41"/>
      <x v="1"/>
      <x v="347"/>
    </i>
    <i r="3">
      <x v="3"/>
      <x v="193"/>
    </i>
    <i r="4">
      <x v="266"/>
    </i>
    <i t="default" r="1">
      <x v="7"/>
    </i>
    <i r="1">
      <x v="36"/>
      <x v="28"/>
      <x v="1"/>
      <x v="182"/>
    </i>
    <i r="3">
      <x v="2"/>
      <x v="181"/>
    </i>
    <i r="3">
      <x v="4"/>
      <x v="149"/>
    </i>
    <i r="4">
      <x v="232"/>
    </i>
    <i t="default" r="1">
      <x v="36"/>
    </i>
    <i r="1">
      <x v="37"/>
      <x v="29"/>
      <x/>
      <x v="86"/>
    </i>
    <i r="4">
      <x v="285"/>
    </i>
    <i t="default" r="1">
      <x v="37"/>
    </i>
    <i t="default">
      <x v="44"/>
    </i>
    <i>
      <x v="45"/>
      <x v="7"/>
      <x v="41"/>
      <x v="1"/>
      <x v="12"/>
    </i>
    <i r="4">
      <x v="101"/>
    </i>
    <i r="3">
      <x v="2"/>
      <x v="318"/>
    </i>
    <i r="3">
      <x v="3"/>
      <x v="13"/>
    </i>
    <i r="3">
      <x v="4"/>
      <x v="102"/>
    </i>
    <i t="default" r="1">
      <x v="7"/>
    </i>
    <i r="1">
      <x v="37"/>
      <x v="29"/>
      <x/>
      <x v="86"/>
    </i>
    <i r="4">
      <x v="147"/>
    </i>
    <i r="3">
      <x v="2"/>
      <x v="233"/>
    </i>
    <i r="3">
      <x v="3"/>
      <x v="86"/>
    </i>
    <i r="3">
      <x v="4"/>
      <x v="86"/>
    </i>
    <i t="default" r="1">
      <x v="37"/>
    </i>
    <i t="default">
      <x v="45"/>
    </i>
    <i>
      <x v="46"/>
      <x v="7"/>
      <x v="41"/>
      <x v="1"/>
      <x v="267"/>
    </i>
    <i r="3">
      <x v="3"/>
      <x v="267"/>
    </i>
    <i r="4">
      <x v="311"/>
    </i>
    <i r="3">
      <x v="4"/>
      <x v="85"/>
    </i>
    <i r="4">
      <x v="89"/>
    </i>
    <i t="default" r="1">
      <x v="7"/>
    </i>
    <i r="1">
      <x v="33"/>
      <x v="39"/>
      <x v="2"/>
      <x v="183"/>
    </i>
    <i t="default" r="1">
      <x v="33"/>
    </i>
    <i r="1">
      <x v="37"/>
      <x v="29"/>
      <x/>
      <x v="151"/>
    </i>
    <i r="3">
      <x v="1"/>
      <x v="151"/>
    </i>
    <i r="3">
      <x v="4"/>
      <x v="74"/>
    </i>
    <i t="default" r="1">
      <x v="37"/>
    </i>
    <i t="default">
      <x v="46"/>
    </i>
    <i>
      <x v="47"/>
      <x v="37"/>
      <x v="29"/>
      <x/>
      <x v="319"/>
    </i>
    <i r="3">
      <x v="1"/>
      <x v="319"/>
    </i>
    <i r="3">
      <x v="2"/>
      <x v="321"/>
    </i>
    <i r="3">
      <x v="3"/>
      <x v="321"/>
    </i>
    <i r="3">
      <x v="4"/>
      <x v="321"/>
    </i>
    <i t="default" r="1">
      <x v="37"/>
    </i>
    <i t="default">
      <x v="47"/>
    </i>
    <i>
      <x v="48"/>
      <x v="7"/>
      <x v="41"/>
      <x v="2"/>
      <x v="221"/>
    </i>
    <i r="3">
      <x v="3"/>
      <x v="221"/>
    </i>
    <i t="default" r="1">
      <x v="7"/>
    </i>
    <i r="1">
      <x v="33"/>
      <x v="39"/>
      <x v="1"/>
      <x v="25"/>
    </i>
    <i r="3">
      <x v="4"/>
      <x v="25"/>
    </i>
    <i t="default" r="1">
      <x v="33"/>
    </i>
    <i r="1">
      <x v="37"/>
      <x v="29"/>
      <x/>
      <x v="320"/>
    </i>
    <i t="default" r="1">
      <x v="37"/>
    </i>
    <i t="default">
      <x v="48"/>
    </i>
    <i>
      <x v="49"/>
      <x v="43"/>
      <x v="30"/>
      <x/>
      <x v="349"/>
    </i>
    <i r="3">
      <x v="1"/>
      <x v="349"/>
    </i>
    <i r="3">
      <x v="2"/>
      <x v="349"/>
    </i>
    <i r="3">
      <x v="3"/>
      <x v="349"/>
    </i>
    <i r="3">
      <x v="4"/>
      <x v="349"/>
    </i>
    <i t="default" r="1">
      <x v="43"/>
    </i>
    <i t="default">
      <x v="49"/>
    </i>
    <i>
      <x v="50"/>
      <x v="42"/>
      <x v="4"/>
      <x/>
      <x v="349"/>
    </i>
    <i t="default" r="1">
      <x v="42"/>
    </i>
    <i r="1">
      <x v="43"/>
      <x v="30"/>
      <x v="1"/>
      <x v="349"/>
    </i>
    <i r="3">
      <x v="2"/>
      <x v="349"/>
    </i>
    <i r="3">
      <x v="3"/>
      <x v="349"/>
    </i>
    <i r="3">
      <x v="4"/>
      <x v="349"/>
    </i>
    <i t="default" r="1">
      <x v="43"/>
    </i>
    <i t="default">
      <x v="50"/>
    </i>
    <i>
      <x v="51"/>
      <x v="7"/>
      <x v="41"/>
      <x/>
      <x v="87"/>
    </i>
    <i r="3">
      <x v="2"/>
      <x v="283"/>
    </i>
    <i r="3">
      <x v="3"/>
      <x v="273"/>
    </i>
    <i t="default" r="1">
      <x v="7"/>
    </i>
    <i r="1">
      <x v="33"/>
      <x v="39"/>
      <x v="1"/>
      <x v="272"/>
    </i>
    <i r="3">
      <x v="2"/>
      <x v="83"/>
    </i>
    <i r="3">
      <x v="3"/>
      <x v="83"/>
    </i>
    <i r="3">
      <x v="4"/>
      <x v="28"/>
    </i>
    <i t="default" r="1">
      <x v="33"/>
    </i>
    <i t="default">
      <x v="51"/>
    </i>
    <i>
      <x v="52"/>
      <x v="7"/>
      <x v="41"/>
      <x/>
      <x v="98"/>
    </i>
    <i r="3">
      <x v="1"/>
      <x v="98"/>
    </i>
    <i r="3">
      <x v="2"/>
      <x v="53"/>
    </i>
    <i r="4">
      <x v="98"/>
    </i>
    <i t="default" r="1">
      <x v="7"/>
    </i>
    <i r="1">
      <x v="33"/>
      <x v="39"/>
      <x v="3"/>
      <x v="241"/>
    </i>
    <i r="3">
      <x v="4"/>
      <x v="241"/>
    </i>
    <i t="default" r="1">
      <x v="33"/>
    </i>
    <i r="1">
      <x v="43"/>
      <x v="30"/>
      <x v="1"/>
      <x v="349"/>
    </i>
    <i r="3">
      <x v="4"/>
      <x v="349"/>
    </i>
    <i t="default" r="1">
      <x v="43"/>
    </i>
    <i t="default">
      <x v="52"/>
    </i>
    <i>
      <x v="53"/>
      <x v="7"/>
      <x v="41"/>
      <x v="1"/>
      <x v="91"/>
    </i>
    <i r="3">
      <x v="2"/>
      <x v="99"/>
    </i>
    <i r="3">
      <x v="3"/>
      <x v="97"/>
    </i>
    <i t="default" r="1">
      <x v="7"/>
    </i>
    <i r="1">
      <x v="33"/>
      <x v="39"/>
      <x/>
      <x v="27"/>
    </i>
    <i r="3">
      <x v="4"/>
      <x v="26"/>
    </i>
    <i t="default" r="1">
      <x v="33"/>
    </i>
    <i t="default">
      <x v="53"/>
    </i>
    <i>
      <x v="54"/>
      <x v="7"/>
      <x v="41"/>
      <x/>
      <x v="310"/>
    </i>
    <i r="3">
      <x v="3"/>
      <x v="78"/>
    </i>
    <i t="default" r="1">
      <x v="7"/>
    </i>
    <i r="1">
      <x v="33"/>
      <x v="39"/>
      <x v="1"/>
      <x v="103"/>
    </i>
    <i r="3">
      <x v="2"/>
      <x v="103"/>
    </i>
    <i t="default" r="1">
      <x v="33"/>
    </i>
    <i r="1">
      <x v="43"/>
      <x v="30"/>
      <x v="4"/>
      <x v="349"/>
    </i>
    <i t="default" r="1">
      <x v="43"/>
    </i>
    <i t="default">
      <x v="54"/>
    </i>
    <i>
      <x v="55"/>
      <x v="4"/>
      <x v="7"/>
      <x/>
      <x v="295"/>
    </i>
    <i t="default" r="1">
      <x v="4"/>
    </i>
    <i r="1">
      <x v="7"/>
      <x v="41"/>
      <x v="1"/>
      <x v="86"/>
    </i>
    <i t="default" r="1">
      <x v="7"/>
    </i>
    <i r="1">
      <x v="33"/>
      <x v="39"/>
      <x/>
      <x v="202"/>
    </i>
    <i t="default" r="1">
      <x v="33"/>
    </i>
    <i r="1">
      <x v="38"/>
      <x v="8"/>
      <x v="2"/>
      <x v="333"/>
    </i>
    <i r="3">
      <x v="3"/>
      <x v="333"/>
    </i>
    <i r="3">
      <x v="4"/>
      <x v="333"/>
    </i>
    <i t="default" r="1">
      <x v="38"/>
    </i>
    <i t="default">
      <x v="55"/>
    </i>
    <i>
      <x v="56"/>
      <x v="2"/>
      <x v="6"/>
      <x v="2"/>
      <x v="170"/>
    </i>
    <i t="default" r="1">
      <x v="2"/>
    </i>
    <i r="1">
      <x v="4"/>
      <x v="7"/>
      <x/>
      <x v="295"/>
    </i>
    <i t="default" r="1">
      <x v="4"/>
    </i>
    <i r="1">
      <x v="7"/>
      <x v="41"/>
      <x/>
      <x v="251"/>
    </i>
    <i r="3">
      <x v="1"/>
      <x v="211"/>
    </i>
    <i r="3">
      <x v="2"/>
      <x v="80"/>
    </i>
    <i r="4">
      <x v="104"/>
    </i>
    <i t="default" r="1">
      <x v="7"/>
    </i>
    <i r="1">
      <x v="33"/>
      <x v="39"/>
      <x v="1"/>
      <x v="24"/>
    </i>
    <i r="3">
      <x v="2"/>
      <x v="70"/>
    </i>
    <i r="3">
      <x v="3"/>
      <x v="133"/>
    </i>
    <i t="default" r="1">
      <x v="33"/>
    </i>
    <i r="1">
      <x v="43"/>
      <x v="30"/>
      <x v="4"/>
      <x v="349"/>
    </i>
    <i t="default" r="1">
      <x v="43"/>
    </i>
    <i t="default">
      <x v="56"/>
    </i>
    <i>
      <x v="57"/>
      <x v="7"/>
      <x v="41"/>
      <x v="2"/>
      <x v="297"/>
    </i>
    <i r="3">
      <x v="3"/>
      <x v="212"/>
    </i>
    <i r="3">
      <x v="4"/>
      <x v="213"/>
    </i>
    <i t="default" r="1">
      <x v="7"/>
    </i>
    <i r="1">
      <x v="21"/>
      <x v="19"/>
      <x v="2"/>
      <x v="201"/>
    </i>
    <i t="default" r="1">
      <x v="21"/>
    </i>
    <i r="1">
      <x v="33"/>
      <x v="39"/>
      <x v="1"/>
      <x v="70"/>
    </i>
    <i r="3">
      <x v="2"/>
      <x v="208"/>
    </i>
    <i r="3">
      <x v="3"/>
      <x v="258"/>
    </i>
    <i r="3">
      <x v="4"/>
      <x v="209"/>
    </i>
    <i t="default" r="1">
      <x v="33"/>
    </i>
    <i r="1">
      <x v="43"/>
      <x v="30"/>
      <x/>
      <x v="349"/>
    </i>
    <i t="default" r="1">
      <x v="43"/>
    </i>
    <i t="default">
      <x v="57"/>
    </i>
    <i>
      <x v="58"/>
      <x v="2"/>
      <x v="6"/>
      <x v="1"/>
      <x v="171"/>
    </i>
    <i t="default" r="1">
      <x v="2"/>
    </i>
    <i r="1">
      <x v="7"/>
      <x v="41"/>
      <x v="4"/>
      <x v="167"/>
    </i>
    <i t="default" r="1">
      <x v="7"/>
    </i>
    <i r="1">
      <x v="21"/>
      <x v="19"/>
      <x/>
      <x v="255"/>
    </i>
    <i t="default" r="1">
      <x v="21"/>
    </i>
    <i r="1">
      <x v="33"/>
      <x v="39"/>
      <x v="1"/>
      <x v="216"/>
    </i>
    <i r="3">
      <x v="2"/>
      <x v="281"/>
    </i>
    <i r="3">
      <x v="3"/>
      <x v="51"/>
    </i>
    <i r="4">
      <x v="70"/>
    </i>
    <i r="4">
      <x v="176"/>
    </i>
    <i r="3">
      <x v="4"/>
      <x v="187"/>
    </i>
    <i t="default" r="1">
      <x v="33"/>
    </i>
    <i r="1">
      <x v="45"/>
      <x v="11"/>
      <x/>
      <x v="160"/>
    </i>
    <i t="default" r="1">
      <x v="45"/>
    </i>
    <i t="default">
      <x v="58"/>
    </i>
    <i>
      <x v="59"/>
      <x v="32"/>
      <x v="40"/>
      <x/>
      <x v="106"/>
    </i>
    <i r="3">
      <x v="1"/>
      <x v="106"/>
    </i>
    <i r="3">
      <x v="2"/>
      <x v="106"/>
    </i>
    <i r="3">
      <x v="3"/>
      <x v="106"/>
    </i>
    <i r="3">
      <x v="4"/>
      <x v="106"/>
    </i>
    <i t="default" r="1">
      <x v="32"/>
    </i>
    <i r="1">
      <x v="43"/>
      <x v="30"/>
      <x v="2"/>
      <x v="349"/>
    </i>
    <i r="3">
      <x v="4"/>
      <x v="349"/>
    </i>
    <i t="default" r="1">
      <x v="43"/>
    </i>
    <i t="default">
      <x v="59"/>
    </i>
    <i>
      <x v="60"/>
      <x v="21"/>
      <x v="19"/>
      <x v="1"/>
      <x v="114"/>
    </i>
    <i t="default" r="1">
      <x v="21"/>
    </i>
    <i r="1">
      <x v="32"/>
      <x v="40"/>
      <x v="1"/>
      <x v="177"/>
    </i>
    <i t="default" r="1">
      <x v="32"/>
    </i>
    <i r="1">
      <x v="33"/>
      <x v="39"/>
      <x/>
      <x v="331"/>
    </i>
    <i t="default" r="1">
      <x v="33"/>
    </i>
    <i r="1">
      <x v="38"/>
      <x v="8"/>
      <x v="1"/>
      <x v="246"/>
    </i>
    <i r="3">
      <x v="2"/>
      <x v="246"/>
    </i>
    <i t="default" r="1">
      <x v="38"/>
    </i>
    <i r="1">
      <x v="43"/>
      <x v="30"/>
      <x v="3"/>
      <x v="349"/>
    </i>
    <i r="3">
      <x v="4"/>
      <x v="349"/>
    </i>
    <i t="default" r="1">
      <x v="43"/>
    </i>
    <i r="1">
      <x v="45"/>
      <x v="11"/>
      <x v="1"/>
      <x v="54"/>
    </i>
    <i t="default" r="1">
      <x v="45"/>
    </i>
    <i t="default">
      <x v="60"/>
    </i>
    <i>
      <x v="61"/>
      <x v="2"/>
      <x v="6"/>
      <x/>
      <x v="169"/>
    </i>
    <i r="3">
      <x v="1"/>
      <x v="169"/>
    </i>
    <i t="default" r="1">
      <x v="2"/>
    </i>
    <i r="1">
      <x v="32"/>
      <x v="40"/>
      <x v="2"/>
      <x v="186"/>
    </i>
    <i r="3">
      <x v="3"/>
      <x v="105"/>
    </i>
    <i t="default" r="1">
      <x v="32"/>
    </i>
    <i r="1">
      <x v="33"/>
      <x v="39"/>
      <x v="4"/>
      <x v="176"/>
    </i>
    <i t="default" r="1">
      <x v="33"/>
    </i>
    <i t="default">
      <x v="61"/>
    </i>
    <i>
      <x v="62"/>
      <x v="2"/>
      <x v="6"/>
      <x v="3"/>
      <x v="262"/>
    </i>
    <i r="3">
      <x v="4"/>
      <x v="262"/>
    </i>
    <i t="default" r="1">
      <x v="2"/>
    </i>
    <i r="1">
      <x v="32"/>
      <x v="40"/>
      <x/>
      <x v="239"/>
    </i>
    <i r="3">
      <x v="1"/>
      <x v="239"/>
    </i>
    <i r="3">
      <x v="2"/>
      <x v="239"/>
    </i>
    <i t="default" r="1">
      <x v="32"/>
    </i>
    <i r="1">
      <x v="43"/>
      <x v="30"/>
      <x v="4"/>
      <x v="349"/>
    </i>
    <i t="default" r="1">
      <x v="43"/>
    </i>
    <i r="1">
      <x v="45"/>
      <x v="11"/>
      <x v="3"/>
      <x v="73"/>
    </i>
    <i t="default" r="1">
      <x v="45"/>
    </i>
    <i t="default">
      <x v="62"/>
    </i>
    <i>
      <x v="63"/>
      <x v="27"/>
      <x v="10"/>
      <x v="2"/>
      <x v="64"/>
    </i>
    <i t="default" r="1">
      <x v="27"/>
    </i>
    <i r="1">
      <x v="32"/>
      <x v="40"/>
      <x v="1"/>
      <x v="192"/>
    </i>
    <i r="3">
      <x v="2"/>
      <x v="239"/>
    </i>
    <i r="3">
      <x v="4"/>
      <x v="244"/>
    </i>
    <i t="default" r="1">
      <x v="32"/>
    </i>
    <i r="1">
      <x v="35"/>
      <x v="1"/>
      <x v="3"/>
      <x v="244"/>
    </i>
    <i t="default" r="1">
      <x v="35"/>
    </i>
    <i r="1">
      <x v="42"/>
      <x v="4"/>
      <x/>
      <x v="349"/>
    </i>
    <i t="default" r="1">
      <x v="42"/>
    </i>
    <i t="default">
      <x v="63"/>
    </i>
    <i>
      <x v="64"/>
      <x v="33"/>
      <x v="39"/>
      <x v="1"/>
      <x v="250"/>
    </i>
    <i r="3">
      <x v="2"/>
      <x v="250"/>
    </i>
    <i r="3">
      <x v="3"/>
      <x v="250"/>
    </i>
    <i r="3">
      <x v="4"/>
      <x v="250"/>
    </i>
    <i t="default" r="1">
      <x v="33"/>
    </i>
    <i r="1">
      <x v="38"/>
      <x v="8"/>
      <x/>
      <x v="152"/>
    </i>
    <i t="default" r="1">
      <x v="38"/>
    </i>
    <i r="1">
      <x v="43"/>
      <x v="30"/>
      <x v="4"/>
      <x v="349"/>
    </i>
    <i t="default" r="1">
      <x v="43"/>
    </i>
    <i t="default">
      <x v="64"/>
    </i>
    <i>
      <x v="65"/>
      <x v="31"/>
      <x v="38"/>
      <x v="4"/>
      <x v="153"/>
    </i>
    <i t="default" r="1">
      <x v="31"/>
    </i>
    <i r="1">
      <x v="33"/>
      <x v="39"/>
      <x v="1"/>
      <x v="219"/>
    </i>
    <i r="3">
      <x v="2"/>
      <x v="219"/>
    </i>
    <i r="3">
      <x v="3"/>
      <x v="198"/>
    </i>
    <i r="3">
      <x v="4"/>
      <x v="207"/>
    </i>
    <i t="default" r="1">
      <x v="33"/>
    </i>
    <i r="1">
      <x v="39"/>
      <x v="47"/>
      <x/>
      <x v="345"/>
    </i>
    <i r="3">
      <x v="1"/>
      <x v="345"/>
    </i>
    <i t="default" r="1">
      <x v="39"/>
    </i>
    <i r="1">
      <x v="44"/>
      <x v="37"/>
      <x v="4"/>
      <x v="168"/>
    </i>
    <i t="default" r="1">
      <x v="44"/>
    </i>
    <i t="default">
      <x v="65"/>
    </i>
    <i>
      <x v="66"/>
      <x v="20"/>
      <x v="31"/>
      <x v="4"/>
      <x v="237"/>
    </i>
    <i t="default" r="1">
      <x v="20"/>
    </i>
    <i r="1">
      <x v="33"/>
      <x v="39"/>
      <x v="1"/>
      <x v="210"/>
    </i>
    <i r="3">
      <x v="2"/>
      <x v="235"/>
    </i>
    <i r="3">
      <x v="3"/>
      <x v="235"/>
    </i>
    <i t="default" r="1">
      <x v="33"/>
    </i>
    <i r="1">
      <x v="42"/>
      <x v="4"/>
      <x/>
      <x v="349"/>
    </i>
    <i t="default" r="1">
      <x v="42"/>
    </i>
    <i t="default">
      <x v="66"/>
    </i>
    <i>
      <x v="67"/>
      <x v="32"/>
      <x v="40"/>
      <x/>
      <x v="279"/>
    </i>
    <i r="3">
      <x v="1"/>
      <x v="279"/>
    </i>
    <i r="3">
      <x v="2"/>
      <x v="275"/>
    </i>
    <i r="3">
      <x v="3"/>
      <x v="305"/>
    </i>
    <i r="3">
      <x v="4"/>
      <x v="305"/>
    </i>
    <i t="default" r="1">
      <x v="32"/>
    </i>
    <i r="1">
      <x v="33"/>
      <x v="39"/>
      <x v="3"/>
      <x v="210"/>
    </i>
    <i t="default" r="1">
      <x v="33"/>
    </i>
    <i r="1">
      <x v="43"/>
      <x v="30"/>
      <x v="4"/>
      <x v="349"/>
    </i>
    <i t="default" r="1">
      <x v="43"/>
    </i>
    <i t="default">
      <x v="67"/>
    </i>
    <i>
      <x v="68"/>
      <x v="1"/>
      <x v="48"/>
      <x v="5"/>
      <x v="349"/>
    </i>
    <i t="default" r="1">
      <x v="1"/>
    </i>
    <i r="1">
      <x v="32"/>
      <x v="40"/>
      <x v="1"/>
      <x v="92"/>
    </i>
    <i r="3">
      <x v="2"/>
      <x v="176"/>
    </i>
    <i r="3">
      <x v="3"/>
      <x v="92"/>
    </i>
    <i t="default" r="1">
      <x v="32"/>
    </i>
    <i r="1">
      <x v="33"/>
      <x v="39"/>
      <x v="3"/>
      <x v="23"/>
    </i>
    <i r="3">
      <x v="4"/>
      <x v="23"/>
    </i>
    <i r="4">
      <x v="128"/>
    </i>
    <i t="default" r="1">
      <x v="33"/>
    </i>
    <i r="1">
      <x v="42"/>
      <x v="4"/>
      <x/>
      <x v="349"/>
    </i>
    <i t="default" r="1">
      <x v="42"/>
    </i>
    <i t="default">
      <x v="68"/>
    </i>
    <i>
      <x v="69"/>
      <x v="32"/>
      <x v="40"/>
      <x/>
      <x v="94"/>
    </i>
    <i r="4">
      <x v="292"/>
    </i>
    <i r="3">
      <x v="1"/>
      <x v="4"/>
    </i>
    <i r="4">
      <x v="95"/>
    </i>
    <i r="3">
      <x v="2"/>
      <x v="90"/>
    </i>
    <i r="3">
      <x v="3"/>
      <x v="88"/>
    </i>
    <i r="4">
      <x v="155"/>
    </i>
    <i t="default" r="1">
      <x v="32"/>
    </i>
    <i r="1">
      <x v="43"/>
      <x v="30"/>
      <x v="4"/>
      <x v="349"/>
    </i>
    <i t="default" r="1">
      <x v="43"/>
    </i>
    <i t="default">
      <x v="69"/>
    </i>
    <i>
      <x v="70"/>
      <x v="26"/>
      <x v="34"/>
      <x v="3"/>
      <x v="38"/>
    </i>
    <i r="3">
      <x v="4"/>
      <x v="39"/>
    </i>
    <i t="default" r="1">
      <x v="26"/>
    </i>
    <i r="1">
      <x v="32"/>
      <x v="40"/>
      <x/>
      <x v="274"/>
    </i>
    <i r="3">
      <x v="1"/>
      <x v="312"/>
    </i>
    <i r="3">
      <x v="2"/>
      <x v="96"/>
    </i>
    <i r="4">
      <x v="312"/>
    </i>
    <i r="3">
      <x v="3"/>
      <x v="96"/>
    </i>
    <i r="3">
      <x v="4"/>
      <x v="93"/>
    </i>
    <i t="default" r="1">
      <x v="32"/>
    </i>
    <i t="default">
      <x v="70"/>
    </i>
    <i>
      <x v="71"/>
      <x v="32"/>
      <x v="40"/>
      <x/>
      <x v="154"/>
    </i>
    <i r="4">
      <x v="200"/>
    </i>
    <i r="4">
      <x v="269"/>
    </i>
    <i r="3">
      <x v="1"/>
      <x v="270"/>
    </i>
    <i r="3">
      <x v="2"/>
      <x v="274"/>
    </i>
    <i r="3">
      <x v="3"/>
      <x v="141"/>
    </i>
    <i r="3">
      <x v="4"/>
      <x v="86"/>
    </i>
    <i t="default" r="1">
      <x v="32"/>
    </i>
    <i t="default">
      <x v="71"/>
    </i>
    <i>
      <x v="72"/>
      <x v="26"/>
      <x v="34"/>
      <x v="1"/>
      <x v="37"/>
    </i>
    <i r="3">
      <x v="2"/>
      <x v="37"/>
    </i>
    <i r="3">
      <x v="3"/>
      <x v="37"/>
    </i>
    <i t="default" r="1">
      <x v="26"/>
    </i>
    <i r="1">
      <x v="32"/>
      <x v="40"/>
      <x/>
      <x v="86"/>
    </i>
    <i r="3">
      <x v="1"/>
      <x v="176"/>
    </i>
    <i r="4">
      <x v="264"/>
    </i>
    <i r="3">
      <x v="2"/>
      <x v="312"/>
    </i>
    <i r="3">
      <x v="3"/>
      <x v="107"/>
    </i>
    <i r="3">
      <x v="4"/>
      <x v="220"/>
    </i>
    <i t="default" r="1">
      <x v="32"/>
    </i>
    <i t="default">
      <x v="72"/>
    </i>
    <i>
      <x v="73"/>
      <x v="32"/>
      <x v="40"/>
      <x v="1"/>
      <x v="230"/>
    </i>
    <i r="3">
      <x v="2"/>
      <x v="100"/>
    </i>
    <i r="3">
      <x v="3"/>
      <x v="178"/>
    </i>
    <i t="default" r="1">
      <x v="32"/>
    </i>
    <i r="1">
      <x v="34"/>
      <x/>
      <x/>
      <x v="234"/>
    </i>
    <i r="3">
      <x v="4"/>
      <x v="234"/>
    </i>
    <i t="default" r="1">
      <x v="34"/>
    </i>
    <i t="default">
      <x v="73"/>
    </i>
    <i>
      <x v="74"/>
      <x v="32"/>
      <x v="40"/>
      <x v="2"/>
      <x v="156"/>
    </i>
    <i r="3">
      <x v="3"/>
      <x v="145"/>
    </i>
    <i t="default" r="1">
      <x v="32"/>
    </i>
    <i r="1">
      <x v="34"/>
      <x/>
      <x/>
      <x v="35"/>
    </i>
    <i r="4">
      <x v="157"/>
    </i>
    <i r="3">
      <x v="1"/>
      <x v="123"/>
    </i>
    <i r="3">
      <x v="4"/>
      <x v="162"/>
    </i>
    <i t="default" r="1">
      <x v="34"/>
    </i>
    <i t="default">
      <x v="74"/>
    </i>
    <i>
      <x v="75"/>
      <x v="13"/>
      <x v="33"/>
      <x v="2"/>
      <x v="40"/>
    </i>
    <i t="default" r="1">
      <x v="13"/>
    </i>
    <i r="1">
      <x v="28"/>
      <x v="16"/>
      <x v="1"/>
      <x v="236"/>
    </i>
    <i t="default" r="1">
      <x v="28"/>
    </i>
    <i r="1">
      <x v="32"/>
      <x v="40"/>
      <x v="3"/>
      <x v="280"/>
    </i>
    <i t="default" r="1">
      <x v="32"/>
    </i>
    <i r="1">
      <x v="34"/>
      <x/>
      <x/>
      <x v="304"/>
    </i>
    <i r="4">
      <x v="307"/>
    </i>
    <i r="3">
      <x v="1"/>
      <x v="204"/>
    </i>
    <i r="3">
      <x v="4"/>
      <x v="35"/>
    </i>
    <i r="4">
      <x v="124"/>
    </i>
    <i t="default" r="1">
      <x v="34"/>
    </i>
    <i t="default">
      <x v="75"/>
    </i>
    <i>
      <x v="76"/>
      <x v="13"/>
      <x v="33"/>
      <x/>
      <x v="290"/>
    </i>
    <i r="3">
      <x v="1"/>
      <x v="290"/>
    </i>
    <i t="default" r="1">
      <x v="13"/>
    </i>
    <i r="1">
      <x v="18"/>
      <x v="22"/>
      <x v="3"/>
      <x v="195"/>
    </i>
    <i r="4">
      <x v="237"/>
    </i>
    <i t="default" r="1">
      <x v="18"/>
    </i>
    <i r="1">
      <x v="23"/>
      <x v="45"/>
      <x v="1"/>
      <x v="59"/>
    </i>
    <i t="default" r="1">
      <x v="23"/>
    </i>
    <i r="1">
      <x v="26"/>
      <x v="34"/>
      <x v="3"/>
      <x v="329"/>
    </i>
    <i t="default" r="1">
      <x v="26"/>
    </i>
    <i r="1">
      <x v="29"/>
      <x v="46"/>
      <x/>
      <x v="188"/>
    </i>
    <i t="default" r="1">
      <x v="29"/>
    </i>
    <i r="1">
      <x v="34"/>
      <x/>
      <x/>
      <x v="172"/>
    </i>
    <i r="3">
      <x v="2"/>
      <x v="203"/>
    </i>
    <i r="4">
      <x v="215"/>
    </i>
    <i r="3">
      <x v="4"/>
      <x v="237"/>
    </i>
    <i t="default" r="1">
      <x v="34"/>
    </i>
    <i r="1">
      <x v="45"/>
      <x v="2"/>
      <x/>
      <x v="314"/>
    </i>
    <i r="4">
      <x v="327"/>
    </i>
    <i t="default" r="1">
      <x v="45"/>
    </i>
    <i t="default">
      <x v="76"/>
    </i>
    <i>
      <x v="77"/>
      <x/>
      <x v="26"/>
      <x v="3"/>
      <x v="140"/>
    </i>
    <i t="default" r="1">
      <x/>
    </i>
    <i r="1">
      <x v="20"/>
      <x v="31"/>
      <x v="1"/>
      <x v="130"/>
    </i>
    <i t="default" r="1">
      <x v="20"/>
    </i>
    <i r="1">
      <x v="21"/>
      <x v="19"/>
      <x v="1"/>
      <x v="45"/>
    </i>
    <i t="default" r="1">
      <x v="21"/>
    </i>
    <i r="1">
      <x v="26"/>
      <x v="34"/>
      <x v="2"/>
      <x v="328"/>
    </i>
    <i t="default" r="1">
      <x v="26"/>
    </i>
    <i r="1">
      <x v="29"/>
      <x v="46"/>
      <x v="2"/>
      <x v="253"/>
    </i>
    <i t="default" r="1">
      <x v="29"/>
    </i>
    <i r="1">
      <x v="34"/>
      <x/>
      <x/>
      <x v="210"/>
    </i>
    <i r="3">
      <x v="2"/>
      <x v="123"/>
    </i>
    <i r="3">
      <x v="3"/>
      <x v="48"/>
    </i>
    <i r="3">
      <x v="4"/>
      <x v="34"/>
    </i>
    <i t="default" r="1">
      <x v="34"/>
    </i>
    <i t="default">
      <x v="77"/>
    </i>
    <i>
      <x v="78"/>
      <x v="43"/>
      <x v="30"/>
      <x/>
      <x v="173"/>
    </i>
    <i r="3">
      <x v="1"/>
      <x v="173"/>
    </i>
    <i r="3">
      <x v="2"/>
      <x v="173"/>
    </i>
    <i r="3">
      <x v="3"/>
      <x v="173"/>
    </i>
    <i r="3">
      <x v="4"/>
      <x v="173"/>
    </i>
    <i t="default" r="1">
      <x v="43"/>
    </i>
    <i t="default">
      <x v="78"/>
    </i>
    <i>
      <x v="79"/>
      <x v="6"/>
      <x v="25"/>
      <x v="3"/>
      <x v="126"/>
    </i>
    <i t="default" r="1">
      <x v="6"/>
    </i>
    <i r="1">
      <x v="18"/>
      <x v="22"/>
      <x v="4"/>
      <x v="55"/>
    </i>
    <i r="4">
      <x v="322"/>
    </i>
    <i t="default" r="1">
      <x v="18"/>
    </i>
    <i r="1">
      <x v="20"/>
      <x v="31"/>
      <x/>
      <x v="324"/>
    </i>
    <i t="default" r="1">
      <x v="20"/>
    </i>
    <i r="1">
      <x v="24"/>
      <x v="15"/>
      <x/>
      <x v="56"/>
    </i>
    <i r="3">
      <x v="2"/>
      <x v="245"/>
    </i>
    <i r="3">
      <x v="4"/>
      <x v="116"/>
    </i>
    <i t="default" r="1">
      <x v="24"/>
    </i>
    <i r="1">
      <x v="34"/>
      <x/>
      <x v="1"/>
      <x v="217"/>
    </i>
    <i r="3">
      <x v="4"/>
      <x v="135"/>
    </i>
    <i t="default" r="1">
      <x v="34"/>
    </i>
    <i t="default">
      <x v="79"/>
    </i>
    <i>
      <x v="80"/>
      <x v="18"/>
      <x v="22"/>
      <x/>
      <x v="163"/>
    </i>
    <i t="default" r="1">
      <x v="18"/>
    </i>
    <i r="1">
      <x v="20"/>
      <x v="31"/>
      <x v="2"/>
      <x v="263"/>
    </i>
    <i t="default" r="1">
      <x v="20"/>
    </i>
    <i r="1">
      <x v="34"/>
      <x/>
      <x/>
      <x v="138"/>
    </i>
    <i r="4">
      <x v="222"/>
    </i>
    <i r="3">
      <x v="1"/>
      <x v="67"/>
    </i>
    <i r="3">
      <x v="3"/>
      <x v="112"/>
    </i>
    <i r="3">
      <x v="4"/>
      <x v="110"/>
    </i>
    <i r="4">
      <x v="111"/>
    </i>
    <i t="default" r="1">
      <x v="34"/>
    </i>
    <i r="1">
      <x v="45"/>
      <x v="11"/>
      <x v="3"/>
      <x v="323"/>
    </i>
    <i t="default" r="1">
      <x v="45"/>
    </i>
    <i t="default">
      <x v="80"/>
    </i>
    <i>
      <x v="81"/>
      <x v="18"/>
      <x v="22"/>
      <x v="4"/>
      <x v="259"/>
    </i>
    <i t="default" r="1">
      <x v="18"/>
    </i>
    <i r="1">
      <x v="23"/>
      <x v="45"/>
      <x v="3"/>
      <x v="57"/>
    </i>
    <i t="default" r="1">
      <x v="23"/>
    </i>
    <i r="1">
      <x v="30"/>
      <x v="12"/>
      <x v="2"/>
      <x v="242"/>
    </i>
    <i t="default" r="1">
      <x v="30"/>
    </i>
    <i r="1">
      <x v="34"/>
      <x/>
      <x/>
      <x v="190"/>
    </i>
    <i r="3">
      <x v="4"/>
      <x v="205"/>
    </i>
    <i t="default" r="1">
      <x v="34"/>
    </i>
    <i r="1">
      <x v="45"/>
      <x v="2"/>
      <x v="1"/>
      <x v="314"/>
    </i>
    <i r="3">
      <x v="2"/>
      <x v="314"/>
    </i>
    <i t="default" r="1">
      <x v="45"/>
    </i>
    <i t="default">
      <x v="81"/>
    </i>
    <i>
      <x v="82"/>
      <x v="6"/>
      <x v="25"/>
      <x v="2"/>
      <x v="146"/>
    </i>
    <i r="3">
      <x v="3"/>
      <x v="146"/>
    </i>
    <i r="3">
      <x v="4"/>
      <x v="146"/>
    </i>
    <i t="default" r="1">
      <x v="6"/>
    </i>
    <i r="1">
      <x v="23"/>
      <x v="45"/>
      <x/>
      <x v="303"/>
    </i>
    <i r="3">
      <x v="1"/>
      <x v="303"/>
    </i>
    <i t="default" r="1">
      <x v="23"/>
    </i>
    <i t="default">
      <x v="82"/>
    </i>
    <i>
      <x v="83"/>
      <x v="14"/>
      <x v="23"/>
      <x v="4"/>
      <x v="257"/>
    </i>
    <i t="default" r="1">
      <x v="14"/>
    </i>
    <i r="1">
      <x v="18"/>
      <x v="22"/>
      <x v="3"/>
      <x v="271"/>
    </i>
    <i r="3">
      <x v="4"/>
      <x v="115"/>
    </i>
    <i t="default" r="1">
      <x v="18"/>
    </i>
    <i r="1">
      <x v="20"/>
      <x v="31"/>
      <x/>
      <x v="191"/>
    </i>
    <i t="default" r="1">
      <x v="20"/>
    </i>
    <i r="1">
      <x v="21"/>
      <x v="19"/>
      <x v="3"/>
      <x v="114"/>
    </i>
    <i t="default" r="1">
      <x v="21"/>
    </i>
    <i r="1">
      <x v="23"/>
      <x v="45"/>
      <x v="4"/>
      <x v="296"/>
    </i>
    <i t="default" r="1">
      <x v="23"/>
    </i>
    <i r="1">
      <x v="25"/>
      <x v="14"/>
      <x v="1"/>
      <x v="261"/>
    </i>
    <i t="default" r="1">
      <x v="25"/>
    </i>
    <i r="1">
      <x v="45"/>
      <x v="2"/>
      <x v="1"/>
      <x v="314"/>
    </i>
    <i r="3">
      <x v="2"/>
      <x v="314"/>
    </i>
    <i t="default" r="1">
      <x v="45"/>
    </i>
    <i t="default">
      <x v="83"/>
    </i>
    <i>
      <x v="84"/>
      <x v="14"/>
      <x v="23"/>
      <x v="4"/>
      <x v="256"/>
    </i>
    <i t="default" r="1">
      <x v="14"/>
    </i>
    <i r="1">
      <x v="20"/>
      <x v="31"/>
      <x v="4"/>
      <x v="218"/>
    </i>
    <i t="default" r="1">
      <x v="20"/>
    </i>
    <i r="1">
      <x v="25"/>
      <x v="14"/>
      <x v="3"/>
      <x v="249"/>
    </i>
    <i r="3">
      <x v="4"/>
      <x v="249"/>
    </i>
    <i t="default" r="1">
      <x v="25"/>
    </i>
    <i r="1">
      <x v="42"/>
      <x v="4"/>
      <x v="1"/>
      <x v="29"/>
    </i>
    <i t="default" r="1">
      <x v="42"/>
    </i>
    <i r="1">
      <x v="43"/>
      <x v="30"/>
      <x/>
      <x v="173"/>
    </i>
    <i t="default" r="1">
      <x v="43"/>
    </i>
    <i r="1">
      <x v="45"/>
      <x v="11"/>
      <x v="2"/>
      <x v="308"/>
    </i>
    <i t="default" r="1">
      <x v="45"/>
    </i>
    <i t="default">
      <x v="84"/>
    </i>
    <i>
      <x v="85"/>
      <x v="42"/>
      <x v="4"/>
      <x v="1"/>
      <x v="29"/>
    </i>
    <i r="3">
      <x v="2"/>
      <x v="29"/>
    </i>
    <i t="default" r="1">
      <x v="42"/>
    </i>
    <i r="1">
      <x v="43"/>
      <x v="30"/>
      <x/>
      <x v="173"/>
    </i>
    <i r="3">
      <x v="3"/>
      <x v="173"/>
    </i>
    <i r="3">
      <x v="4"/>
      <x v="173"/>
    </i>
    <i t="default" r="1">
      <x v="43"/>
    </i>
    <i t="default">
      <x v="85"/>
    </i>
    <i>
      <x v="86"/>
      <x v="17"/>
      <x v="21"/>
      <x v="2"/>
      <x v="248"/>
    </i>
    <i t="default" r="1">
      <x v="17"/>
    </i>
    <i r="1">
      <x v="18"/>
      <x v="22"/>
      <x v="2"/>
      <x v="117"/>
    </i>
    <i t="default" r="1">
      <x v="18"/>
    </i>
    <i r="1">
      <x v="23"/>
      <x v="45"/>
      <x/>
      <x v="302"/>
    </i>
    <i r="3">
      <x v="4"/>
      <x v="301"/>
    </i>
    <i t="default" r="1">
      <x v="23"/>
    </i>
    <i r="1">
      <x v="44"/>
      <x v="37"/>
      <x v="2"/>
      <x v="142"/>
    </i>
    <i t="default" r="1">
      <x v="44"/>
    </i>
    <i r="1">
      <x v="45"/>
      <x v="2"/>
      <x/>
      <x v="314"/>
    </i>
    <i r="3">
      <x v="1"/>
      <x v="314"/>
    </i>
    <i r="2">
      <x v="11"/>
      <x v="3"/>
      <x v="113"/>
    </i>
    <i r="3">
      <x v="4"/>
      <x v="309"/>
    </i>
    <i t="default" r="1">
      <x v="45"/>
    </i>
    <i t="default">
      <x v="86"/>
    </i>
    <i>
      <x v="87"/>
      <x v="23"/>
      <x v="45"/>
      <x v="4"/>
      <x v="32"/>
    </i>
    <i t="default" r="1">
      <x v="23"/>
    </i>
    <i r="1">
      <x v="40"/>
      <x v="36"/>
      <x/>
      <x v="229"/>
    </i>
    <i r="3">
      <x v="3"/>
      <x v="316"/>
    </i>
    <i r="3">
      <x v="4"/>
      <x v="131"/>
    </i>
    <i t="default" r="1">
      <x v="40"/>
    </i>
    <i r="1">
      <x v="41"/>
      <x v="17"/>
      <x v="4"/>
      <x v="22"/>
    </i>
    <i t="default" r="1">
      <x v="41"/>
    </i>
    <i r="1">
      <x v="45"/>
      <x v="2"/>
      <x v="1"/>
      <x v="314"/>
    </i>
    <i r="3">
      <x v="2"/>
      <x v="314"/>
    </i>
    <i t="default" r="1">
      <x v="45"/>
    </i>
    <i t="default">
      <x v="87"/>
    </i>
    <i>
      <x v="88"/>
      <x v="2"/>
      <x v="6"/>
      <x v="4"/>
      <x v="50"/>
    </i>
    <i t="default" r="1">
      <x v="2"/>
    </i>
    <i r="1">
      <x v="3"/>
      <x v="3"/>
      <x/>
      <x v="2"/>
    </i>
    <i r="3">
      <x v="4"/>
      <x v="3"/>
    </i>
    <i t="default" r="1">
      <x v="3"/>
    </i>
    <i r="1">
      <x v="12"/>
      <x v="35"/>
      <x v="1"/>
      <x v="143"/>
    </i>
    <i t="default" r="1">
      <x v="12"/>
    </i>
    <i r="1">
      <x v="18"/>
      <x v="22"/>
      <x/>
      <x v="8"/>
    </i>
    <i t="default" r="1">
      <x v="18"/>
    </i>
    <i r="1">
      <x v="25"/>
      <x v="14"/>
      <x v="4"/>
      <x v="300"/>
    </i>
    <i t="default" r="1">
      <x v="25"/>
    </i>
    <i r="1">
      <x v="45"/>
      <x v="2"/>
      <x v="2"/>
      <x v="314"/>
    </i>
    <i r="3">
      <x v="3"/>
      <x v="314"/>
    </i>
    <i t="default" r="1">
      <x v="45"/>
    </i>
    <i t="default">
      <x v="88"/>
    </i>
    <i>
      <x v="89"/>
      <x v="3"/>
      <x v="3"/>
      <x v="4"/>
      <x v="1"/>
    </i>
    <i t="default" r="1">
      <x v="3"/>
    </i>
    <i r="1">
      <x v="5"/>
      <x v="13"/>
      <x/>
      <x v="185"/>
    </i>
    <i t="default" r="1">
      <x v="5"/>
    </i>
    <i r="1">
      <x v="14"/>
      <x v="23"/>
      <x v="1"/>
      <x v="252"/>
    </i>
    <i r="3">
      <x v="4"/>
      <x v="252"/>
    </i>
    <i t="default" r="1">
      <x v="14"/>
    </i>
    <i r="1">
      <x v="16"/>
      <x v="18"/>
      <x v="1"/>
      <x v="49"/>
    </i>
    <i t="default" r="1">
      <x v="16"/>
    </i>
    <i r="1">
      <x v="17"/>
      <x v="21"/>
      <x v="1"/>
      <x v="7"/>
    </i>
    <i r="3">
      <x v="2"/>
      <x v="6"/>
    </i>
    <i t="default" r="1">
      <x v="17"/>
    </i>
    <i r="1">
      <x v="18"/>
      <x v="22"/>
      <x v="1"/>
      <x v="10"/>
    </i>
    <i r="3">
      <x v="4"/>
      <x v="9"/>
    </i>
    <i t="default" r="1">
      <x v="18"/>
    </i>
    <i r="1">
      <x v="26"/>
      <x v="34"/>
      <x v="3"/>
      <x v="288"/>
    </i>
    <i t="default" r="1">
      <x v="26"/>
    </i>
    <i r="1">
      <x v="45"/>
      <x v="11"/>
      <x/>
      <x v="72"/>
    </i>
    <i r="3">
      <x v="3"/>
      <x v="41"/>
    </i>
    <i t="default" r="1">
      <x v="45"/>
    </i>
    <i t="default">
      <x v="89"/>
    </i>
    <i>
      <x v="90"/>
      <x v="2"/>
      <x v="6"/>
      <x v="4"/>
      <x v="50"/>
    </i>
    <i r="4">
      <x v="82"/>
    </i>
    <i t="default" r="1">
      <x v="2"/>
    </i>
    <i r="1">
      <x v="3"/>
      <x v="3"/>
      <x v="3"/>
      <x/>
    </i>
    <i t="default" r="1">
      <x v="3"/>
    </i>
    <i r="1">
      <x v="5"/>
      <x v="13"/>
      <x v="1"/>
      <x v="216"/>
    </i>
    <i r="3">
      <x v="3"/>
      <x v="306"/>
    </i>
    <i r="3">
      <x v="4"/>
      <x v="216"/>
    </i>
    <i t="default" r="1">
      <x v="5"/>
    </i>
    <i r="1">
      <x v="17"/>
      <x v="21"/>
      <x v="2"/>
      <x v="5"/>
    </i>
    <i r="3">
      <x v="3"/>
      <x v="5"/>
    </i>
    <i r="3">
      <x v="4"/>
      <x v="5"/>
    </i>
    <i t="default" r="1">
      <x v="17"/>
    </i>
    <i r="1">
      <x v="19"/>
      <x v="24"/>
      <x/>
      <x v="298"/>
    </i>
    <i r="3">
      <x v="1"/>
      <x v="298"/>
    </i>
    <i t="default" r="1">
      <x v="19"/>
    </i>
    <i r="1">
      <x v="26"/>
      <x v="34"/>
      <x/>
      <x v="289"/>
    </i>
    <i t="default" r="1">
      <x v="26"/>
    </i>
    <i r="1">
      <x v="44"/>
      <x v="37"/>
      <x v="1"/>
      <x v="148"/>
    </i>
    <i t="default" r="1">
      <x v="44"/>
    </i>
    <i t="default">
      <x v="90"/>
    </i>
    <i>
      <x v="91"/>
      <x v="2"/>
      <x v="6"/>
      <x/>
      <x v="299"/>
    </i>
    <i r="3">
      <x v="4"/>
      <x v="294"/>
    </i>
    <i t="default" r="1">
      <x v="2"/>
    </i>
    <i r="1">
      <x v="5"/>
      <x v="13"/>
      <x/>
      <x v="134"/>
    </i>
    <i t="default" r="1">
      <x v="5"/>
    </i>
    <i r="1">
      <x v="26"/>
      <x v="34"/>
      <x v="1"/>
      <x v="330"/>
    </i>
    <i t="default" r="1">
      <x v="26"/>
    </i>
    <i r="1">
      <x v="29"/>
      <x v="46"/>
      <x/>
      <x v="223"/>
    </i>
    <i r="3">
      <x v="2"/>
      <x v="343"/>
    </i>
    <i r="3">
      <x v="3"/>
      <x v="344"/>
    </i>
    <i t="default" r="1">
      <x v="29"/>
    </i>
    <i r="1">
      <x v="44"/>
      <x v="37"/>
      <x v="1"/>
      <x v="66"/>
    </i>
    <i t="default" r="1">
      <x v="44"/>
    </i>
    <i r="1">
      <x v="45"/>
      <x v="11"/>
      <x/>
      <x v="14"/>
    </i>
    <i r="3">
      <x v="4"/>
      <x v="14"/>
    </i>
    <i t="default" r="1">
      <x v="45"/>
    </i>
    <i t="default">
      <x v="91"/>
    </i>
    <i>
      <x v="92"/>
      <x v="2"/>
      <x v="6"/>
      <x v="3"/>
      <x v="30"/>
    </i>
    <i r="4">
      <x v="228"/>
    </i>
    <i r="3">
      <x v="4"/>
      <x v="294"/>
    </i>
    <i t="default" r="1">
      <x v="2"/>
    </i>
    <i r="1">
      <x v="15"/>
      <x v="27"/>
      <x v="4"/>
      <x v="158"/>
    </i>
    <i t="default" r="1">
      <x v="15"/>
    </i>
    <i r="1">
      <x v="26"/>
      <x v="34"/>
      <x/>
      <x v="43"/>
    </i>
    <i r="4">
      <x v="71"/>
    </i>
    <i r="3">
      <x v="1"/>
      <x v="284"/>
    </i>
    <i t="default" r="1">
      <x v="26"/>
    </i>
    <i r="1">
      <x v="29"/>
      <x v="46"/>
      <x v="2"/>
      <x v="341"/>
    </i>
    <i r="3">
      <x v="3"/>
      <x v="341"/>
    </i>
    <i r="3">
      <x v="4"/>
      <x v="340"/>
    </i>
    <i t="default" r="1">
      <x v="29"/>
    </i>
    <i r="1">
      <x v="43"/>
      <x v="30"/>
      <x/>
      <x v="173"/>
    </i>
    <i t="default" r="1">
      <x v="43"/>
    </i>
    <i r="1">
      <x v="45"/>
      <x v="9"/>
      <x v="2"/>
      <x v="60"/>
    </i>
    <i r="4">
      <x v="61"/>
    </i>
    <i t="default" r="1">
      <x v="45"/>
    </i>
    <i t="default">
      <x v="92"/>
    </i>
    <i>
      <x v="93"/>
      <x v="5"/>
      <x v="13"/>
      <x v="3"/>
      <x v="125"/>
    </i>
    <i t="default" r="1">
      <x v="5"/>
    </i>
    <i r="1">
      <x v="26"/>
      <x v="34"/>
      <x v="2"/>
      <x v="268"/>
    </i>
    <i r="3">
      <x v="4"/>
      <x v="71"/>
    </i>
    <i t="default" r="1">
      <x v="26"/>
    </i>
    <i r="1">
      <x v="29"/>
      <x v="46"/>
      <x/>
      <x v="342"/>
    </i>
    <i r="3">
      <x v="3"/>
      <x v="118"/>
    </i>
    <i t="default" r="1">
      <x v="29"/>
    </i>
    <i r="1">
      <x v="45"/>
      <x v="9"/>
      <x/>
      <x v="62"/>
    </i>
    <i r="3">
      <x v="1"/>
      <x v="63"/>
    </i>
    <i t="default" r="1">
      <x v="45"/>
    </i>
    <i t="default">
      <x v="93"/>
    </i>
    <i t="grand">
      <x/>
    </i>
  </rowItems>
  <colItems count="1">
    <i/>
  </colItems>
  <dataFields count="1">
    <dataField name="Sum of Time" fld="4" baseField="0" baseItem="0"/>
  </dataFields>
  <pivotTableStyleInfo name="PivotStyleMedium3"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CC767E0-954B-42D9-B901-3E9ECE9E846B}" name="PivotTable3" cacheId="0" applyNumberFormats="0" applyBorderFormats="0" applyFontFormats="0" applyPatternFormats="0" applyAlignmentFormats="0" applyWidthHeightFormats="1" dataCaption="Values" tag="174ba42b-cdb5-48ef-a0ba-d7776d293987" updatedVersion="6" minRefreshableVersion="3" useAutoFormatting="1" subtotalHiddenItems="1" rowGrandTotals="0" itemPrintTitles="1" createdVersion="5" indent="0" compact="0" compactData="0" multipleFieldFilters="0">
  <location ref="A1:E219" firstHeaderRow="1" firstDataRow="1" firstDataCol="4"/>
  <pivotFields count="5">
    <pivotField axis="axisRow" compact="0" allDrilled="1" outline="0" subtotalTop="0" showAll="0" dataSourceSort="1" defaultAttributeDrillState="1">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Row" compact="0" allDrilled="1" outline="0" subtotalTop="0" showAll="0" dataSourceSort="1" defaultSubtotal="0" defaultAttributeDrillState="1">
      <items count="3">
        <item x="0"/>
        <item x="1"/>
        <item x="2"/>
      </items>
    </pivotField>
    <pivotField dataField="1" compact="0" outline="0" showAll="0" defaultSubtotal="0"/>
    <pivotField axis="axisRow" compact="0" allDrilled="1" outline="0" subtotalTop="0" showAll="0" dataSourceSort="1" defaultAttributeDrillState="1">
      <items count="13">
        <item x="0"/>
        <item x="1"/>
        <item x="2"/>
        <item x="3"/>
        <item x="4"/>
        <item x="5"/>
        <item x="6"/>
        <item x="7"/>
        <item x="8"/>
        <item x="9"/>
        <item x="10"/>
        <item x="11"/>
        <item t="default"/>
      </items>
    </pivotField>
    <pivotField axis="axisRow" compact="0" allDrilled="1" outline="0" subtotalTop="0" showAll="0" dataSourceSort="1"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t="default"/>
      </items>
    </pivotField>
  </pivotFields>
  <rowFields count="4">
    <field x="0"/>
    <field x="4"/>
    <field x="1"/>
    <field x="3"/>
  </rowFields>
  <rowItems count="218">
    <i>
      <x/>
      <x/>
      <x/>
      <x/>
    </i>
    <i r="3">
      <x v="1"/>
    </i>
    <i r="3">
      <x v="2"/>
    </i>
    <i t="default" r="1">
      <x/>
    </i>
    <i t="default">
      <x/>
    </i>
    <i>
      <x v="1"/>
      <x v="1"/>
      <x/>
      <x v="3"/>
    </i>
    <i t="default" r="1">
      <x v="1"/>
    </i>
    <i t="default">
      <x v="1"/>
    </i>
    <i>
      <x v="2"/>
      <x v="2"/>
      <x v="1"/>
      <x v="4"/>
    </i>
    <i r="2">
      <x/>
      <x/>
    </i>
    <i r="3">
      <x v="1"/>
    </i>
    <i t="default" r="1">
      <x v="2"/>
    </i>
    <i t="default">
      <x v="2"/>
    </i>
    <i>
      <x v="3"/>
      <x v="3"/>
      <x v="1"/>
      <x v="5"/>
    </i>
    <i r="3">
      <x v="4"/>
    </i>
    <i r="2">
      <x/>
      <x v="5"/>
    </i>
    <i t="default" r="1">
      <x v="3"/>
    </i>
    <i t="default">
      <x v="3"/>
    </i>
    <i>
      <x v="4"/>
      <x v="4"/>
      <x v="1"/>
      <x v="4"/>
    </i>
    <i r="2">
      <x/>
      <x/>
    </i>
    <i r="3">
      <x v="6"/>
    </i>
    <i r="3">
      <x v="3"/>
    </i>
    <i r="3">
      <x v="7"/>
    </i>
    <i r="3">
      <x v="4"/>
    </i>
    <i r="2">
      <x v="2"/>
      <x/>
    </i>
    <i t="default" r="1">
      <x v="4"/>
    </i>
    <i t="default">
      <x v="4"/>
    </i>
    <i>
      <x v="5"/>
      <x v="5"/>
      <x v="1"/>
      <x v="5"/>
    </i>
    <i r="3">
      <x v="4"/>
    </i>
    <i r="2">
      <x/>
      <x v="8"/>
    </i>
    <i r="3">
      <x v="9"/>
    </i>
    <i r="2">
      <x v="2"/>
      <x v="2"/>
    </i>
    <i t="default" r="1">
      <x v="5"/>
    </i>
    <i t="default">
      <x v="5"/>
    </i>
    <i>
      <x v="6"/>
      <x v="6"/>
      <x/>
      <x v="9"/>
    </i>
    <i t="default" r="1">
      <x v="6"/>
    </i>
    <i t="default">
      <x v="6"/>
    </i>
    <i>
      <x v="7"/>
      <x v="7"/>
      <x/>
      <x v="3"/>
    </i>
    <i r="3">
      <x v="8"/>
    </i>
    <i r="3">
      <x v="9"/>
    </i>
    <i t="default" r="1">
      <x v="7"/>
    </i>
    <i t="default">
      <x v="7"/>
    </i>
    <i>
      <x v="8"/>
      <x v="2"/>
      <x v="1"/>
      <x v="10"/>
    </i>
    <i r="3">
      <x v="5"/>
    </i>
    <i t="default" r="1">
      <x v="2"/>
    </i>
    <i t="default">
      <x v="8"/>
    </i>
    <i>
      <x v="9"/>
      <x v="8"/>
      <x/>
      <x v="3"/>
    </i>
    <i t="default" r="1">
      <x v="8"/>
    </i>
    <i t="default">
      <x v="9"/>
    </i>
    <i>
      <x v="10"/>
      <x v="9"/>
      <x v="1"/>
      <x v="5"/>
    </i>
    <i r="3">
      <x v="4"/>
    </i>
    <i r="2">
      <x/>
      <x/>
    </i>
    <i r="3">
      <x v="8"/>
    </i>
    <i r="3">
      <x v="9"/>
    </i>
    <i t="default" r="1">
      <x v="9"/>
    </i>
    <i t="default">
      <x v="10"/>
    </i>
    <i>
      <x v="11"/>
      <x v="10"/>
      <x/>
      <x/>
    </i>
    <i t="default" r="1">
      <x v="10"/>
    </i>
    <i t="default">
      <x v="11"/>
    </i>
    <i>
      <x v="12"/>
      <x v="11"/>
      <x v="1"/>
      <x v="5"/>
    </i>
    <i t="default" r="1">
      <x v="11"/>
    </i>
    <i t="default">
      <x v="12"/>
    </i>
    <i>
      <x v="13"/>
      <x v="12"/>
      <x v="1"/>
      <x v="4"/>
    </i>
    <i r="2">
      <x/>
      <x/>
    </i>
    <i t="default" r="1">
      <x v="12"/>
    </i>
    <i t="default">
      <x v="13"/>
    </i>
    <i>
      <x v="14"/>
      <x v="13"/>
      <x/>
      <x v="1"/>
    </i>
    <i t="default" r="1">
      <x v="13"/>
    </i>
    <i t="default">
      <x v="14"/>
    </i>
    <i>
      <x v="15"/>
      <x v="14"/>
      <x/>
      <x v="2"/>
    </i>
    <i t="default" r="1">
      <x v="14"/>
    </i>
    <i t="default">
      <x v="15"/>
    </i>
    <i>
      <x v="16"/>
      <x v="15"/>
      <x v="1"/>
      <x v="4"/>
    </i>
    <i t="default" r="1">
      <x v="15"/>
    </i>
    <i t="default">
      <x v="16"/>
    </i>
    <i>
      <x v="17"/>
      <x v="16"/>
      <x v="1"/>
      <x v="5"/>
    </i>
    <i t="default" r="1">
      <x v="16"/>
    </i>
    <i t="default">
      <x v="17"/>
    </i>
    <i>
      <x v="18"/>
      <x v="17"/>
      <x/>
      <x/>
    </i>
    <i r="3">
      <x v="1"/>
    </i>
    <i r="3">
      <x v="8"/>
    </i>
    <i r="3">
      <x v="9"/>
    </i>
    <i r="2">
      <x v="2"/>
      <x/>
    </i>
    <i r="3">
      <x v="1"/>
    </i>
    <i r="3">
      <x v="2"/>
    </i>
    <i t="default" r="1">
      <x v="17"/>
    </i>
    <i t="default">
      <x v="18"/>
    </i>
    <i>
      <x v="19"/>
      <x v="18"/>
      <x/>
      <x v="10"/>
    </i>
    <i t="default" r="1">
      <x v="18"/>
    </i>
    <i t="default">
      <x v="19"/>
    </i>
    <i>
      <x v="20"/>
      <x v="19"/>
      <x v="1"/>
      <x v="5"/>
    </i>
    <i r="3">
      <x v="4"/>
    </i>
    <i t="default" r="1">
      <x v="19"/>
    </i>
    <i t="default">
      <x v="20"/>
    </i>
    <i>
      <x v="21"/>
      <x v="20"/>
      <x v="1"/>
      <x v="5"/>
    </i>
    <i r="3">
      <x v="4"/>
    </i>
    <i r="2">
      <x/>
      <x/>
    </i>
    <i r="3">
      <x v="1"/>
    </i>
    <i t="default" r="1">
      <x v="20"/>
    </i>
    <i t="default">
      <x v="21"/>
    </i>
    <i>
      <x v="22"/>
      <x v="21"/>
      <x v="1"/>
      <x v="5"/>
    </i>
    <i r="2">
      <x/>
      <x/>
    </i>
    <i t="default" r="1">
      <x v="21"/>
    </i>
    <i t="default">
      <x v="22"/>
    </i>
    <i>
      <x v="23"/>
      <x v="22"/>
      <x v="1"/>
      <x v="5"/>
    </i>
    <i t="default" r="1">
      <x v="22"/>
    </i>
    <i t="default">
      <x v="23"/>
    </i>
    <i>
      <x v="24"/>
      <x v="23"/>
      <x/>
      <x/>
    </i>
    <i r="3">
      <x v="1"/>
    </i>
    <i t="default" r="1">
      <x v="23"/>
    </i>
    <i t="default">
      <x v="24"/>
    </i>
    <i>
      <x v="25"/>
      <x v="24"/>
      <x/>
      <x v="1"/>
    </i>
    <i t="default" r="1">
      <x v="24"/>
    </i>
    <i t="default">
      <x v="25"/>
    </i>
    <i>
      <x v="26"/>
      <x v="25"/>
      <x v="1"/>
      <x v="5"/>
    </i>
    <i r="2">
      <x v="2"/>
      <x v="1"/>
    </i>
    <i t="default" r="1">
      <x v="25"/>
    </i>
    <i t="default">
      <x v="26"/>
    </i>
    <i>
      <x v="27"/>
      <x v="26"/>
      <x/>
      <x v="10"/>
    </i>
    <i t="default" r="1">
      <x v="26"/>
    </i>
    <i t="default">
      <x v="27"/>
    </i>
    <i>
      <x v="28"/>
      <x v="27"/>
      <x/>
      <x v="11"/>
    </i>
    <i r="3">
      <x v="10"/>
    </i>
    <i r="3">
      <x v="5"/>
    </i>
    <i r="3">
      <x v="4"/>
    </i>
    <i r="2">
      <x v="2"/>
      <x/>
    </i>
    <i t="default" r="1">
      <x v="27"/>
    </i>
    <i t="default">
      <x v="28"/>
    </i>
    <i>
      <x v="29"/>
      <x v="28"/>
      <x v="1"/>
      <x v="5"/>
    </i>
    <i r="3">
      <x v="4"/>
    </i>
    <i r="2">
      <x/>
      <x v="1"/>
    </i>
    <i r="3">
      <x v="6"/>
    </i>
    <i r="3">
      <x v="3"/>
    </i>
    <i r="3">
      <x v="8"/>
    </i>
    <i r="3">
      <x v="9"/>
    </i>
    <i r="3">
      <x v="7"/>
    </i>
    <i r="3">
      <x v="11"/>
    </i>
    <i r="3">
      <x v="4"/>
    </i>
    <i r="2">
      <x v="2"/>
      <x/>
    </i>
    <i t="default" r="1">
      <x v="28"/>
    </i>
    <i t="default">
      <x v="29"/>
    </i>
    <i>
      <x v="30"/>
      <x v="29"/>
      <x/>
      <x/>
    </i>
    <i r="3">
      <x v="1"/>
    </i>
    <i r="3">
      <x v="3"/>
    </i>
    <i r="3">
      <x v="4"/>
    </i>
    <i t="default" r="1">
      <x v="29"/>
    </i>
    <i t="default">
      <x v="30"/>
    </i>
    <i>
      <x v="31"/>
      <x v="30"/>
      <x/>
      <x v="1"/>
    </i>
    <i r="3">
      <x v="2"/>
    </i>
    <i t="default" r="1">
      <x v="30"/>
    </i>
    <i t="default">
      <x v="31"/>
    </i>
    <i>
      <x v="32"/>
      <x v="31"/>
      <x v="1"/>
      <x v="10"/>
    </i>
    <i r="3">
      <x v="5"/>
    </i>
    <i r="2">
      <x/>
      <x v="1"/>
    </i>
    <i r="3">
      <x v="2"/>
    </i>
    <i r="3">
      <x v="6"/>
    </i>
    <i t="default" r="1">
      <x v="31"/>
    </i>
    <i t="default">
      <x v="32"/>
    </i>
    <i>
      <x v="33"/>
      <x v="32"/>
      <x v="1"/>
      <x v="4"/>
    </i>
    <i t="default" r="1">
      <x v="32"/>
    </i>
    <i t="default">
      <x v="33"/>
    </i>
    <i>
      <x v="34"/>
      <x v="33"/>
      <x v="1"/>
      <x v="4"/>
    </i>
    <i t="default" r="1">
      <x v="33"/>
    </i>
    <i t="default">
      <x v="34"/>
    </i>
    <i>
      <x v="35"/>
      <x v="34"/>
      <x v="1"/>
      <x v="5"/>
    </i>
    <i r="3">
      <x v="4"/>
    </i>
    <i r="2">
      <x/>
      <x v="3"/>
    </i>
    <i r="3">
      <x v="5"/>
    </i>
    <i t="default" r="1">
      <x v="34"/>
    </i>
    <i t="default">
      <x v="35"/>
    </i>
    <i>
      <x v="36"/>
      <x v="35"/>
      <x/>
      <x v="3"/>
    </i>
    <i t="default" r="1">
      <x v="35"/>
    </i>
    <i t="default">
      <x v="36"/>
    </i>
    <i>
      <x v="37"/>
      <x v="36"/>
      <x/>
      <x v="6"/>
    </i>
    <i r="3">
      <x v="3"/>
    </i>
    <i r="3">
      <x v="8"/>
    </i>
    <i r="3">
      <x v="9"/>
    </i>
    <i r="3">
      <x v="7"/>
    </i>
    <i r="3">
      <x v="11"/>
    </i>
    <i r="3">
      <x v="10"/>
    </i>
    <i t="default" r="1">
      <x v="36"/>
    </i>
    <i t="default">
      <x v="37"/>
    </i>
    <i>
      <x v="38"/>
      <x v="37"/>
      <x/>
      <x v="2"/>
    </i>
    <i r="3">
      <x v="6"/>
    </i>
    <i r="3">
      <x v="3"/>
    </i>
    <i r="3">
      <x v="8"/>
    </i>
    <i t="default" r="1">
      <x v="37"/>
    </i>
    <i t="default">
      <x v="38"/>
    </i>
    <i>
      <x v="39"/>
      <x v="38"/>
      <x/>
      <x v="9"/>
    </i>
    <i r="3">
      <x v="7"/>
    </i>
    <i r="3">
      <x v="11"/>
    </i>
    <i r="3">
      <x v="10"/>
    </i>
    <i r="3">
      <x v="5"/>
    </i>
    <i r="3">
      <x v="4"/>
    </i>
    <i r="2">
      <x v="2"/>
      <x/>
    </i>
    <i t="default" r="1">
      <x v="38"/>
    </i>
    <i t="default">
      <x v="39"/>
    </i>
    <i>
      <x v="40"/>
      <x v="39"/>
      <x v="2"/>
      <x/>
    </i>
    <i r="3">
      <x v="1"/>
    </i>
    <i r="3">
      <x v="2"/>
    </i>
    <i t="default" r="1">
      <x v="39"/>
    </i>
    <i t="default">
      <x v="40"/>
    </i>
    <i>
      <x v="41"/>
      <x v="40"/>
      <x/>
      <x v="5"/>
    </i>
    <i t="default" r="1">
      <x v="40"/>
    </i>
    <i t="default">
      <x v="41"/>
    </i>
    <i>
      <x v="42"/>
      <x v="41"/>
      <x v="1"/>
      <x v="4"/>
    </i>
    <i r="2">
      <x/>
      <x/>
    </i>
    <i r="3">
      <x v="1"/>
    </i>
    <i t="default" r="1">
      <x v="41"/>
    </i>
    <i t="default">
      <x v="42"/>
    </i>
    <i>
      <x v="43"/>
      <x v="42"/>
      <x v="1"/>
      <x v="10"/>
    </i>
    <i r="3">
      <x v="5"/>
    </i>
    <i r="2">
      <x/>
      <x v="1"/>
    </i>
    <i t="default" r="1">
      <x v="42"/>
    </i>
    <i t="default">
      <x v="43"/>
    </i>
    <i>
      <x v="44"/>
      <x v="43"/>
      <x/>
      <x v="3"/>
    </i>
    <i t="default" r="1">
      <x v="43"/>
    </i>
    <i t="default">
      <x v="44"/>
    </i>
  </rowItems>
  <colItems count="1">
    <i/>
  </colItems>
  <dataFields count="1">
    <dataField name="Sum of time" fld="2" baseField="0" baseItem="0"/>
  </dataFields>
  <pivotHierarchies count="2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Medium13" showRowHeaders="1" showColHeaders="1" showRowStripes="0" showColStripes="0" showLastColumn="1"/>
  <rowHierarchiesUsage count="4">
    <rowHierarchyUsage hierarchyUsage="6"/>
    <rowHierarchyUsage hierarchyUsage="7"/>
    <rowHierarchyUsage hierarchyUsage="3"/>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BE01AB-733D-468A-8AE4-A6A089838260}" name="PivotTable3" cacheId="1" applyNumberFormats="0" applyBorderFormats="0" applyFontFormats="0" applyPatternFormats="0" applyAlignmentFormats="0" applyWidthHeightFormats="1" dataCaption="Values" tag="f811e6f9-b2e4-4aa3-955c-cfd866fdaa14" updatedVersion="6" minRefreshableVersion="3" useAutoFormatting="1" subtotalHiddenItems="1" rowGrandTotals="0" itemPrintTitles="1" createdVersion="5" indent="0" compact="0" compactData="0" multipleFieldFilters="0">
  <location ref="A1:C46" firstHeaderRow="1" firstDataRow="1" firstDataCol="2"/>
  <pivotFields count="3">
    <pivotField axis="axisRow" compact="0" allDrilled="1" outline="0" subtotalTop="0" showAll="0" dataSourceSort="1" defaultSubtotal="0"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dataField="1" compact="0" outline="0" showAll="0" defaultSubtotal="0"/>
    <pivotField axis="axisRow" compact="0" allDrilled="1" outline="0" subtotalTop="0" showAll="0" dataSourceSort="1"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t="default"/>
      </items>
    </pivotField>
  </pivotFields>
  <rowFields count="2">
    <field x="0"/>
    <field x="2"/>
  </rowFields>
  <rowItems count="45">
    <i>
      <x/>
      <x/>
    </i>
    <i>
      <x v="1"/>
      <x v="1"/>
    </i>
    <i>
      <x v="2"/>
      <x v="2"/>
    </i>
    <i>
      <x v="3"/>
      <x v="3"/>
    </i>
    <i>
      <x v="4"/>
      <x v="4"/>
    </i>
    <i>
      <x v="5"/>
      <x v="5"/>
    </i>
    <i>
      <x v="6"/>
      <x v="6"/>
    </i>
    <i>
      <x v="7"/>
      <x v="7"/>
    </i>
    <i>
      <x v="8"/>
      <x v="2"/>
    </i>
    <i>
      <x v="9"/>
      <x v="8"/>
    </i>
    <i>
      <x v="10"/>
      <x v="9"/>
    </i>
    <i>
      <x v="11"/>
      <x v="10"/>
    </i>
    <i>
      <x v="12"/>
      <x v="11"/>
    </i>
    <i>
      <x v="13"/>
      <x v="12"/>
    </i>
    <i>
      <x v="14"/>
      <x v="13"/>
    </i>
    <i>
      <x v="15"/>
      <x v="14"/>
    </i>
    <i>
      <x v="16"/>
      <x v="15"/>
    </i>
    <i>
      <x v="17"/>
      <x v="16"/>
    </i>
    <i>
      <x v="18"/>
      <x v="17"/>
    </i>
    <i>
      <x v="19"/>
      <x v="18"/>
    </i>
    <i>
      <x v="20"/>
      <x v="19"/>
    </i>
    <i>
      <x v="21"/>
      <x v="20"/>
    </i>
    <i>
      <x v="22"/>
      <x v="21"/>
    </i>
    <i>
      <x v="23"/>
      <x v="22"/>
    </i>
    <i>
      <x v="24"/>
      <x v="23"/>
    </i>
    <i>
      <x v="25"/>
      <x v="24"/>
    </i>
    <i>
      <x v="26"/>
      <x v="25"/>
    </i>
    <i>
      <x v="27"/>
      <x v="26"/>
    </i>
    <i>
      <x v="28"/>
      <x v="27"/>
    </i>
    <i>
      <x v="29"/>
      <x v="28"/>
    </i>
    <i>
      <x v="30"/>
      <x v="29"/>
    </i>
    <i>
      <x v="31"/>
      <x v="30"/>
    </i>
    <i>
      <x v="32"/>
      <x v="31"/>
    </i>
    <i>
      <x v="33"/>
      <x v="32"/>
    </i>
    <i>
      <x v="34"/>
      <x v="33"/>
    </i>
    <i>
      <x v="35"/>
      <x v="34"/>
    </i>
    <i>
      <x v="36"/>
      <x v="35"/>
    </i>
    <i>
      <x v="37"/>
      <x v="36"/>
    </i>
    <i>
      <x v="38"/>
      <x v="37"/>
    </i>
    <i>
      <x v="39"/>
      <x v="38"/>
    </i>
    <i>
      <x v="40"/>
      <x v="39"/>
    </i>
    <i>
      <x v="41"/>
      <x v="40"/>
    </i>
    <i>
      <x v="42"/>
      <x v="41"/>
    </i>
    <i>
      <x v="43"/>
      <x v="42"/>
    </i>
    <i>
      <x v="44"/>
      <x v="43"/>
    </i>
  </rowItems>
  <colItems count="1">
    <i/>
  </colItems>
  <dataFields count="1">
    <dataField name="Sum of time" fld="1" baseField="0" baseItem="0"/>
  </dataFields>
  <pivotHierarchies count="2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Medium13" showRowHeaders="1" showColHeaders="1" showRowStripes="0" showColStripes="0" showLastColumn="1"/>
  <rowHierarchiesUsage count="2">
    <rowHierarchyUsage hierarchyUsage="6"/>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1" xr10:uid="{77EBC1FF-756B-402F-8CE0-1B8F5359C6A6}" sourceName="[Table2].[job]">
  <pivotTables>
    <pivotTable tabId="3" name="PivotTable3"/>
  </pivotTables>
  <data>
    <olap pivotCacheId="1406580103">
      <levels count="2">
        <level uniqueName="[Table2].[job].[(All)]" sourceCaption="(All)" count="0"/>
        <level uniqueName="[Table2].[job].[job]" sourceCaption="job" count="46">
          <ranges>
            <range startItem="0">
              <i n="[Table2].[job].&amp;[A465]" c="A465"/>
              <i n="[Table2].[job].&amp;[A465 updates]" c="A465 updates"/>
              <i n="[Table2].[job].&amp;[AMS support]" c="AMS support"/>
              <i n="[Table2].[job].&amp;[Appraisal]" c="Appraisal"/>
              <i n="[Table2].[job].&amp;[Bank Holiday]" c="Bank Holiday"/>
              <i n="[Table2].[job].&amp;[BCS - promotional]" c="BCS - promotional"/>
              <i n="[Table2].[job].&amp;[BCS - resource 2019]" c="BCS - resource 2019"/>
              <i n="[Table2].[job].&amp;[Brisa]" c="Brisa"/>
              <i n="[Table2].[job].&amp;[CAFA]" c="CAFA"/>
              <i n="[Table2].[job].&amp;[CAFA Span 31]" c="CAFA Span 31"/>
              <i n="[Table2].[job].&amp;[CP - Assessment]" c="CP - Assessment"/>
              <i n="[Table2].[job].&amp;[de Locht]" c="de Locht"/>
              <i n="[Table2].[job].&amp;[Engagement cohort]" c="Engagement cohort"/>
              <i n="[Table2].[job].&amp;[Galecopper]" c="Galecopper"/>
              <i n="[Table2].[job].&amp;[Galecopper - joints and bearings]" c="Galecopper - joints and bearings"/>
              <i n="[Table2].[job].&amp;[Gatwick]" c="Gatwick"/>
              <i n="[Table2].[job].&amp;[Hatta]" c="Hatta"/>
              <i n="[Table2].[job].&amp;[HCC - Asset management]" c="HCC - Asset management"/>
              <i n="[Table2].[job].&amp;[HCC - Lower Kings Rd]" c="HCC - Lower Kings Rd"/>
              <i n="[Table2].[job].&amp;[HCC - Nazeing]" c="HCC - Nazeing"/>
              <i n="[Table2].[job].&amp;[HCC - Nursery Ln]" c="HCC - Nursery Ln"/>
              <i n="[Table2].[job].&amp;[HCC - Paul Cully]" c="HCC - Paul Cully"/>
              <i n="[Table2].[job].&amp;[HCC - Weston Hills Tunnel]" c="HCC - Weston Hills Tunnel"/>
              <i n="[Table2].[job].&amp;[HS2 Ph2b]" c="HS2 Ph2b"/>
              <i n="[Table2].[job].&amp;[Infra BIM]" c="Infra BIM"/>
              <i n="[Table2].[job].&amp;[Interview]" c="Interview"/>
              <i n="[Table2].[job].&amp;[Intro to bridges]" c="Intro to bridges"/>
              <i n="[Table2].[job].&amp;[KSC - PM]" c="KSC - PM"/>
              <i n="[Table2].[job].&amp;[KSC - Tunnel]" c="KSC - Tunnel"/>
              <i n="[Table2].[job].&amp;[Leave]" c="Leave"/>
              <i n="[Table2].[job].&amp;[M25 West MSA]" c="M25 West MSA"/>
              <i n="[Table2].[job].&amp;[SHB - Existing]" c="SHB - Existing"/>
              <i n="[Table2].[job].&amp;[SMP]" c="SMP"/>
              <i n="[Table2].[job].&amp;[Suurhoffbrug]" c="Suurhoffbrug"/>
              <i n="[Table2].[job].&amp;[swindon d&amp;b]" c="swindon d&amp;b"/>
              <i n="[Table2].[job].&amp;[Training]" c="Training"/>
              <i n="[Table2].[job].&amp;[VBB -  extra fatgiue work]" c="VBB -  extra fatgiue work"/>
              <i n="[Table2].[job].&amp;[VBB - Assessment]" c="VBB - Assessment"/>
              <i n="[Table2].[job].&amp;[VBB - Design Basis]" c="VBB - Design Basis"/>
              <i n="[Table2].[job].&amp;[VBB 3rd - new bridge]" c="VBB 3rd - new bridge"/>
              <i n="[Table2].[job].&amp;[VBB 3rd - new bridge VO]" c="VBB 3rd - new bridge VO"/>
              <i n="[Table2].[job].&amp;[VBB Afkeurmemo Oostbrug]" c="VBB Afkeurmemo Oostbrug"/>
              <i n="[Table2].[job].&amp;[Waalbrug]" c="Waalbrug"/>
              <i n="[Table2].[job].&amp;[WLW]" c="WLW"/>
              <i n="[Table2].[job].&amp;[WMRE lot 6]" c="WMRE lot 6"/>
              <i n="[Table2].[job].&amp;" c="(blank)" nd="1"/>
            </range>
          </ranges>
        </level>
      </levels>
      <selections count="1">
        <selection n="[Table2].[job].[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11" xr10:uid="{52DB1BEB-2F52-408A-922B-BA1E151BEEC8}" sourceName="[Table2].[job]">
  <pivotTables>
    <pivotTable tabId="6" name="PivotTable3"/>
  </pivotTables>
  <data>
    <olap pivotCacheId="1124903500">
      <levels count="2">
        <level uniqueName="[Table2].[job].[(All)]" sourceCaption="(All)" count="0"/>
        <level uniqueName="[Table2].[job].[job]" sourceCaption="job" count="46">
          <ranges>
            <range startItem="0">
              <i n="[Table2].[job].&amp;[A465]" c="A465"/>
              <i n="[Table2].[job].&amp;[A465 updates]" c="A465 updates"/>
              <i n="[Table2].[job].&amp;[AMS support]" c="AMS support"/>
              <i n="[Table2].[job].&amp;[Appraisal]" c="Appraisal"/>
              <i n="[Table2].[job].&amp;[Bank Holiday]" c="Bank Holiday"/>
              <i n="[Table2].[job].&amp;[BCS - promotional]" c="BCS - promotional"/>
              <i n="[Table2].[job].&amp;[BCS - resource 2019]" c="BCS - resource 2019"/>
              <i n="[Table2].[job].&amp;[Brisa]" c="Brisa"/>
              <i n="[Table2].[job].&amp;[CAFA]" c="CAFA"/>
              <i n="[Table2].[job].&amp;[CAFA Span 31]" c="CAFA Span 31"/>
              <i n="[Table2].[job].&amp;[CP - Assessment]" c="CP - Assessment"/>
              <i n="[Table2].[job].&amp;[de Locht]" c="de Locht"/>
              <i n="[Table2].[job].&amp;[Engagement cohort]" c="Engagement cohort"/>
              <i n="[Table2].[job].&amp;[Galecopper]" c="Galecopper"/>
              <i n="[Table2].[job].&amp;[Galecopper - joints and bearings]" c="Galecopper - joints and bearings"/>
              <i n="[Table2].[job].&amp;[Gatwick]" c="Gatwick"/>
              <i n="[Table2].[job].&amp;[Hatta]" c="Hatta"/>
              <i n="[Table2].[job].&amp;[HCC - Asset management]" c="HCC - Asset management"/>
              <i n="[Table2].[job].&amp;[HCC - Lower Kings Rd]" c="HCC - Lower Kings Rd"/>
              <i n="[Table2].[job].&amp;[HCC - Nazeing]" c="HCC - Nazeing"/>
              <i n="[Table2].[job].&amp;[HCC - Nursery Ln]" c="HCC - Nursery Ln"/>
              <i n="[Table2].[job].&amp;[HCC - Paul Cully]" c="HCC - Paul Cully"/>
              <i n="[Table2].[job].&amp;[HCC - Weston Hills Tunnel]" c="HCC - Weston Hills Tunnel"/>
              <i n="[Table2].[job].&amp;[HS2 Ph2b]" c="HS2 Ph2b"/>
              <i n="[Table2].[job].&amp;[Infra BIM]" c="Infra BIM"/>
              <i n="[Table2].[job].&amp;[Interview]" c="Interview"/>
              <i n="[Table2].[job].&amp;[Intro to bridges]" c="Intro to bridges"/>
              <i n="[Table2].[job].&amp;[KSC - PM]" c="KSC - PM"/>
              <i n="[Table2].[job].&amp;[KSC - Tunnel]" c="KSC - Tunnel"/>
              <i n="[Table2].[job].&amp;[Leave]" c="Leave"/>
              <i n="[Table2].[job].&amp;[M25 West MSA]" c="M25 West MSA"/>
              <i n="[Table2].[job].&amp;[SHB - Existing]" c="SHB - Existing"/>
              <i n="[Table2].[job].&amp;[SMP]" c="SMP"/>
              <i n="[Table2].[job].&amp;[Suurhoffbrug]" c="Suurhoffbrug"/>
              <i n="[Table2].[job].&amp;[swindon d&amp;b]" c="swindon d&amp;b"/>
              <i n="[Table2].[job].&amp;[Training]" c="Training"/>
              <i n="[Table2].[job].&amp;[VBB -  extra fatgiue work]" c="VBB -  extra fatgiue work"/>
              <i n="[Table2].[job].&amp;[VBB - Assessment]" c="VBB - Assessment"/>
              <i n="[Table2].[job].&amp;[VBB - Design Basis]" c="VBB - Design Basis"/>
              <i n="[Table2].[job].&amp;[VBB 3rd - new bridge]" c="VBB 3rd - new bridge"/>
              <i n="[Table2].[job].&amp;[VBB 3rd - new bridge VO]" c="VBB 3rd - new bridge VO"/>
              <i n="[Table2].[job].&amp;[VBB Afkeurmemo Oostbrug]" c="VBB Afkeurmemo Oostbrug"/>
              <i n="[Table2].[job].&amp;[Waalbrug]" c="Waalbrug"/>
              <i n="[Table2].[job].&amp;[WLW]" c="WLW"/>
              <i n="[Table2].[job].&amp;[WMRE lot 6]" c="WMRE lot 6"/>
              <i n="[Table2].[job].&amp;" c="(blank)" nd="1"/>
            </range>
          </ranges>
        </level>
      </levels>
      <selections count="1">
        <selection n="[Table2].[job].[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 xr10:uid="{EBF4A0B9-694D-4679-BDBF-46D09C34F7B0}" sourceName="Project">
  <extLst>
    <x:ext xmlns:x15="http://schemas.microsoft.com/office/spreadsheetml/2010/11/main" uri="{2F2917AC-EB37-4324-AD4E-5DD8C200BD13}">
      <x15:tableSlicerCache tableId="2"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xr10:uid="{8CD4A731-C4C9-496F-89BB-75EC99C362D7}" cache="Slicer_job" caption="Project" columnCount="10" style="SlicerStyleLight3"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1" xr10:uid="{B3B240FC-96A0-434D-ABA3-F9964E6960AA}" cache="Slicer_job1" caption="job" columnCount="4"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2" xr10:uid="{7B398095-6B5E-4566-8EA5-CE9B6ACCABA6}" cache="Slicer_job11" caption="job" columnCount="4"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0:Q699" totalsRowCount="1" headerRowDxfId="44" dataDxfId="43" totalsRowDxfId="42">
  <autoFilter ref="A10:Q698" xr:uid="{EB5332B6-601E-4625-9EF6-A60FF4BD909E}"/>
  <tableColumns count="17">
    <tableColumn id="10" xr3:uid="{E51F7EC0-9AC2-4AC1-817A-0EA9CC4D64F3}" name="format" totalsRowLabel="Total" dataDxfId="41" totalsRowDxfId="40">
      <calculatedColumnFormula>MOD(IF(ROW()=11,0.1,IF(INDEX(TimeEntry[WkEnd],ROW()-10)            =            INDEX(TimeEntry[WkEnd],ROW()-11),               INDEX(TimeEntry[format],ROW()-11),               INDEX(TimeEntry[format],ROW()-11)    +1)),2)</calculatedColumnFormula>
    </tableColumn>
    <tableColumn id="14" xr3:uid="{50CD47E3-97CC-477E-9E3B-E665D51125DC}" name="Timestamp" dataDxfId="39" totalsRowDxfId="38"/>
    <tableColumn id="2" xr3:uid="{6357A6A7-5F11-452B-862B-C4221C8E55FA}" name="Date" dataDxfId="37" totalsRowDxfId="36"/>
    <tableColumn id="15" xr3:uid="{D0DC4DC8-23A8-4E1F-B7FE-8D5E1FCDC0FE}" name="Day" dataDxfId="35" totalsRowDxfId="34"/>
    <tableColumn id="16" xr3:uid="{09E666AD-8516-410F-95E9-98466D5FB913}" name="time" dataDxfId="33" totalsRowDxfId="32"/>
    <tableColumn id="3" xr3:uid="{C6F2B0EF-284B-4616-BB6C-C0BA87E819EE}" name="Project" dataDxfId="31" totalsRowDxfId="30"/>
    <tableColumn id="13" xr3:uid="{F7E865F1-34C1-4D0E-BDC4-A91EE12BD054}" name="Diary" dataDxfId="29" totalsRowDxfId="28"/>
    <tableColumn id="1" xr3:uid="{19A113A4-0E4F-4EBD-B866-C3E3F7BC294A}" name="WkEnd" dataDxfId="27" totalsRowDxfId="26">
      <calculatedColumnFormula>IF(TimeEntry[[#This Row],[Date]]=0,H10,C11+(7-N11))</calculatedColumnFormula>
    </tableColumn>
    <tableColumn id="17" xr3:uid="{57F5D6C8-CFD3-403D-9621-95BC3CD2A613}" name="Column1" dataDxfId="25" totalsRowDxfId="24">
      <calculatedColumnFormula>TimeEntry[[#This Row],[Date]]</calculatedColumnFormula>
    </tableColumn>
    <tableColumn id="11" xr3:uid="{89C644BD-E512-4A5C-88B2-27E85ECA9B35}" name="WkDay" dataDxfId="23" totalsRowDxfId="22">
      <calculatedColumnFormula>IF(TimeEntry[[#This Row],[Date]]=0,"",TEXT(TimeEntry[[#This Row],[Date]],"ddd"))</calculatedColumnFormula>
    </tableColumn>
    <tableColumn id="4" xr3:uid="{AF9A17D3-9ACB-42B2-A0FA-D248DF226A97}" name="JobNo" dataDxfId="21" totalsRowDxfId="20">
      <calculatedColumnFormula>IF(TimeEntry[[#This Row],[Project]]=0,"",INDEX(ProjectsAll[job number],MATCH(TimeEntry[[#This Row],[Project]],ProjectsAll[Project],0)))</calculatedColumnFormula>
    </tableColumn>
    <tableColumn id="6" xr3:uid="{08CC308E-493E-4C53-B8D3-8EA3EE399C49}" name="Narrative" dataDxfId="19" totalsRowDxfId="18"/>
    <tableColumn id="5" xr3:uid="{8DF5DBEB-13FD-4E46-9673-FA6E9BDF80E1}" name="hours" dataDxfId="17" totalsRowDxfId="16"/>
    <tableColumn id="12" xr3:uid="{2325AD90-5F25-47B2-A1F0-34AE04FCE79A}" name="DayNo" dataDxfId="15" totalsRowDxfId="14">
      <calculatedColumnFormula>IF(TimeEntry[[#This Row],[Date]]=0,"",WEEKDAY(C11,2))</calculatedColumnFormula>
    </tableColumn>
    <tableColumn id="8" xr3:uid="{78A43BBB-FECB-48D3-A57A-5761EF931243}" name="Year" dataDxfId="13" totalsRowDxfId="12">
      <calculatedColumnFormula>YEAR(TimeEntry[[#This Row],[WkEnd]])</calculatedColumnFormula>
    </tableColumn>
    <tableColumn id="7" xr3:uid="{872206BF-F491-4085-B40B-B53C5F5580E8}" name="WkNo" dataDxfId="11" totalsRowDxfId="10">
      <calculatedColumnFormula>WEEKNUM(TimeEntry[[#This Row],[WkEnd]])</calculatedColumnFormula>
    </tableColumn>
    <tableColumn id="9" xr3:uid="{0EB44527-DD4D-454A-A785-F391C4D3C698}" name="WkRef" totalsRowFunction="count" dataDxfId="9" totalsRowDxfId="8">
      <calculatedColumnFormula>TimeEntry[[#This Row],[Year]]&amp;"-"&amp;TimeEntry[[#This Row],[WkNo]]</calculatedColumnFormula>
    </tableColumn>
  </tableColumns>
  <tableStyleInfo name="TableStyleMedium4"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20D7E0-CA29-4E65-BA8D-C474D9D258EC}" name="ProjectsCurrent" displayName="ProjectsCurrent" ref="S10:V31" totalsRowShown="0" headerRowDxfId="7" dataDxfId="6">
  <autoFilter ref="S10:V31" xr:uid="{E72D8C40-DA84-4220-9F9C-840D86A25B96}"/>
  <sortState xmlns:xlrd2="http://schemas.microsoft.com/office/spreadsheetml/2017/richdata2" ref="S11:V31">
    <sortCondition ref="S10:S31"/>
  </sortState>
  <tableColumns count="4">
    <tableColumn id="1" xr3:uid="{7B9BE41D-0BA4-4C3B-A61C-5E6DA740D546}" name="Project" dataDxfId="5"/>
    <tableColumn id="2" xr3:uid="{026A2813-85BE-4114-BFD4-96237742CCF6}" name="JobNo" dataDxfId="4"/>
    <tableColumn id="3" xr3:uid="{91239D5F-241A-40A3-BE68-5825F9E8DC0D}" name="narrative" dataDxfId="3"/>
    <tableColumn id="4" xr3:uid="{9CD0B0E8-1ECC-44CA-A579-75D46F39DB84}" name="Status" dataDxfId="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All" displayName="ProjectsAll" ref="X10:AA58" totalsRowShown="0" headerRowDxfId="1">
  <autoFilter ref="X10:AA58" xr:uid="{256666F0-DEAB-4DE3-AEAA-B00CA95AA684}"/>
  <sortState xmlns:xlrd2="http://schemas.microsoft.com/office/spreadsheetml/2017/richdata2" ref="X11:AA58">
    <sortCondition ref="AA10:AA58"/>
  </sortState>
  <tableColumns count="4">
    <tableColumn id="1" xr3:uid="{B01689E6-EE99-498A-854C-6EA6339F4A97}" name="Project"/>
    <tableColumn id="2" xr3:uid="{D215AD8B-BA29-45CC-A83B-1E9D8ACD26E4}" name="job number"/>
    <tableColumn id="3" xr3:uid="{EFFFFDC1-93AA-4EAD-A82B-977E0583ABDC}" name="narrative"/>
    <tableColumn id="4" xr3:uid="{9D593771-EAC6-42D2-86A2-E263DFA509FB}" name="Status"/>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9:AA699"/>
  <sheetViews>
    <sheetView tabSelected="1" zoomScaleNormal="100" workbookViewId="0">
      <selection activeCell="G13" sqref="G13"/>
    </sheetView>
  </sheetViews>
  <sheetFormatPr defaultRowHeight="15" x14ac:dyDescent="0.25"/>
  <cols>
    <col min="1" max="1" width="4.140625" style="19" customWidth="1"/>
    <col min="2" max="2" width="18.85546875" style="19" customWidth="1"/>
    <col min="3" max="3" width="10.140625" style="22" bestFit="1" customWidth="1"/>
    <col min="4" max="4" width="6.5703125" style="19" bestFit="1" customWidth="1"/>
    <col min="5" max="5" width="7.42578125" style="19" bestFit="1" customWidth="1"/>
    <col min="6" max="6" width="24.28515625" style="19" customWidth="1"/>
    <col min="7" max="7" width="58.5703125" style="19" customWidth="1"/>
    <col min="8" max="8" width="11.140625" style="19" customWidth="1"/>
    <col min="9" max="9" width="11.85546875" style="19" customWidth="1"/>
    <col min="10" max="11" width="9.5703125" style="19" bestFit="1" customWidth="1"/>
    <col min="12" max="12" width="37.42578125" style="19" customWidth="1"/>
    <col min="13" max="13" width="7.28515625" style="19" bestFit="1" customWidth="1"/>
    <col min="14" max="14" width="8.85546875" style="19" bestFit="1" customWidth="1"/>
    <col min="15" max="15" width="9.28515625" style="19" bestFit="1" customWidth="1"/>
    <col min="16" max="16" width="3" style="19" customWidth="1"/>
    <col min="17" max="17" width="25.140625" style="19" customWidth="1"/>
    <col min="18" max="18" width="3.28515625" style="13" customWidth="1"/>
    <col min="19" max="19" width="21.140625" customWidth="1"/>
    <col min="20" max="20" width="14.28515625" bestFit="1" customWidth="1"/>
    <col min="21" max="21" width="42.85546875" bestFit="1" customWidth="1"/>
    <col min="22" max="22" width="14.28515625" bestFit="1" customWidth="1"/>
    <col min="23" max="23" width="7.85546875" customWidth="1"/>
    <col min="24" max="24" width="29.85546875" customWidth="1"/>
    <col min="25" max="25" width="14.28515625" bestFit="1" customWidth="1"/>
    <col min="26" max="26" width="35.5703125" bestFit="1" customWidth="1"/>
    <col min="27" max="27" width="8.7109375" bestFit="1" customWidth="1"/>
  </cols>
  <sheetData>
    <row r="9" spans="1:27" s="23" customFormat="1" x14ac:dyDescent="0.25">
      <c r="B9" s="23" t="s">
        <v>653</v>
      </c>
      <c r="C9" s="24"/>
      <c r="D9" s="25"/>
      <c r="H9" s="23" t="s">
        <v>643</v>
      </c>
      <c r="Q9" s="26"/>
      <c r="R9" s="27"/>
      <c r="S9" s="26"/>
      <c r="T9" s="26"/>
      <c r="U9" s="26"/>
      <c r="V9" s="26"/>
      <c r="W9" s="26"/>
      <c r="X9" s="26"/>
      <c r="Y9" s="26"/>
    </row>
    <row r="10" spans="1:27" s="26" customFormat="1" x14ac:dyDescent="0.25">
      <c r="A10" s="26" t="s">
        <v>101</v>
      </c>
      <c r="B10" s="26" t="s">
        <v>736</v>
      </c>
      <c r="C10" s="26" t="s">
        <v>652</v>
      </c>
      <c r="D10" s="26" t="s">
        <v>737</v>
      </c>
      <c r="E10" s="26" t="s">
        <v>738</v>
      </c>
      <c r="F10" s="26" t="s">
        <v>642</v>
      </c>
      <c r="G10" s="26" t="s">
        <v>650</v>
      </c>
      <c r="H10" s="28" t="s">
        <v>651</v>
      </c>
      <c r="I10" s="28" t="s">
        <v>820</v>
      </c>
      <c r="J10" s="28" t="s">
        <v>645</v>
      </c>
      <c r="K10" s="28" t="s">
        <v>641</v>
      </c>
      <c r="L10" s="28" t="s">
        <v>102</v>
      </c>
      <c r="M10" s="28" t="s">
        <v>741</v>
      </c>
      <c r="N10" s="28" t="s">
        <v>646</v>
      </c>
      <c r="O10" s="29" t="s">
        <v>647</v>
      </c>
      <c r="P10" s="28" t="s">
        <v>648</v>
      </c>
      <c r="Q10" s="28" t="s">
        <v>649</v>
      </c>
      <c r="R10" s="27"/>
      <c r="S10" s="26" t="s">
        <v>642</v>
      </c>
      <c r="T10" s="26" t="s">
        <v>641</v>
      </c>
      <c r="U10" s="26" t="s">
        <v>2</v>
      </c>
      <c r="V10" s="26" t="s">
        <v>3</v>
      </c>
      <c r="X10" s="26" t="s">
        <v>642</v>
      </c>
      <c r="Y10" s="26" t="s">
        <v>1</v>
      </c>
      <c r="Z10" s="26" t="s">
        <v>2</v>
      </c>
      <c r="AA10" s="26" t="s">
        <v>3</v>
      </c>
    </row>
    <row r="11" spans="1:27" x14ac:dyDescent="0.25">
      <c r="A11" s="9">
        <f>MOD(IF(ROW()=11,0.1,IF(INDEX(TimeEntry[WkEnd],ROW()-10)            =            INDEX(TimeEntry[WkEnd],ROW()-11),               INDEX(TimeEntry[format],ROW()-11),               INDEX(TimeEntry[format],ROW()-11)    +1)),2)</f>
        <v>0.1</v>
      </c>
      <c r="B11" s="14"/>
      <c r="C11" s="7"/>
      <c r="D11" s="7"/>
      <c r="E11" s="7"/>
      <c r="F11" s="6"/>
      <c r="G11" s="6"/>
      <c r="H11" s="7"/>
      <c r="I11" s="7">
        <f>TimeEntry[[#This Row],[Date]]</f>
        <v>0</v>
      </c>
      <c r="J11" s="10"/>
      <c r="K11" s="9" t="str">
        <f>IF(TimeEntry[[#This Row],[Project]]=0,"",INDEX(ProjectsAll[job number],MATCH(TimeEntry[[#This Row],[Project]],ProjectsAll[Project],0)))</f>
        <v/>
      </c>
      <c r="L11" s="6"/>
      <c r="M11" s="6"/>
      <c r="N11" s="9"/>
      <c r="O11" s="10"/>
      <c r="P11" s="10"/>
      <c r="Q11" s="10"/>
      <c r="S11" s="5" t="s">
        <v>10</v>
      </c>
      <c r="T11" s="5" t="s">
        <v>11</v>
      </c>
      <c r="U11" s="5"/>
      <c r="V11" s="5" t="s">
        <v>6</v>
      </c>
      <c r="X11" t="s">
        <v>4</v>
      </c>
      <c r="Y11" t="s">
        <v>5</v>
      </c>
      <c r="AA11" t="s">
        <v>27</v>
      </c>
    </row>
    <row r="12" spans="1:27" ht="30" x14ac:dyDescent="0.25">
      <c r="A12" s="9">
        <f>MOD(IF(ROW()=11,0.1,IF(INDEX(TimeEntry[WkEnd],ROW()-10)            =            INDEX(TimeEntry[WkEnd],ROW()-11),               INDEX(TimeEntry[format],ROW()-11),               INDEX(TimeEntry[format],ROW()-11)    +1)),2)</f>
        <v>1.1000000000000001</v>
      </c>
      <c r="B12" s="14">
        <v>44053.500509259262</v>
      </c>
      <c r="C12" s="7">
        <v>44053</v>
      </c>
      <c r="D12" s="7" t="s">
        <v>433</v>
      </c>
      <c r="E12" s="17">
        <v>0.5</v>
      </c>
      <c r="F12" s="6" t="s">
        <v>630</v>
      </c>
      <c r="G12" s="6" t="s">
        <v>823</v>
      </c>
      <c r="H12" s="7">
        <f>IF(TimeEntry[[#This Row],[Date]]=0,H11,C12+(7-N12))</f>
        <v>44059</v>
      </c>
      <c r="I12" s="7">
        <f>TimeEntry[[#This Row],[Date]]</f>
        <v>44053</v>
      </c>
      <c r="J12" s="10" t="str">
        <f>IF(TimeEntry[[#This Row],[Date]]=0,"",TEXT(TimeEntry[[#This Row],[Date]],"ddd"))</f>
        <v>Mon</v>
      </c>
      <c r="K12" s="9" t="str">
        <f>IF(TimeEntry[[#This Row],[Project]]=0,"",INDEX(ProjectsAll[job number],MATCH(TimeEntry[[#This Row],[Project]],ProjectsAll[Project],0)))</f>
        <v>210035-65</v>
      </c>
      <c r="L12" s="9"/>
      <c r="M12" s="9"/>
      <c r="N12" s="9">
        <f>IF(TimeEntry[[#This Row],[Date]]=0,"",WEEKDAY(C12,2))</f>
        <v>1</v>
      </c>
      <c r="O12" s="10">
        <f>YEAR(TimeEntry[[#This Row],[WkEnd]])</f>
        <v>2020</v>
      </c>
      <c r="P12" s="10">
        <f>WEEKNUM(TimeEntry[[#This Row],[WkEnd]])</f>
        <v>34</v>
      </c>
      <c r="Q12" s="10" t="str">
        <f>TimeEntry[[#This Row],[Year]]&amp;"-"&amp;TimeEntry[[#This Row],[WkNo]]</f>
        <v>2020-34</v>
      </c>
      <c r="S12" s="5" t="s">
        <v>12</v>
      </c>
      <c r="T12" s="5" t="s">
        <v>13</v>
      </c>
      <c r="U12" s="5"/>
      <c r="V12" s="5" t="s">
        <v>6</v>
      </c>
      <c r="X12" t="s">
        <v>7</v>
      </c>
      <c r="Y12" t="s">
        <v>8</v>
      </c>
      <c r="Z12" t="s">
        <v>9</v>
      </c>
      <c r="AA12" t="s">
        <v>27</v>
      </c>
    </row>
    <row r="13" spans="1:27" x14ac:dyDescent="0.25">
      <c r="A13" s="9">
        <f>MOD(IF(ROW()=11,0.1,IF(INDEX(TimeEntry[WkEnd],ROW()-10)            =            INDEX(TimeEntry[WkEnd],ROW()-11),               INDEX(TimeEntry[format],ROW()-11),               INDEX(TimeEntry[format],ROW()-11)    +1)),2)</f>
        <v>0.10000000000000009</v>
      </c>
      <c r="B13" s="14">
        <v>44050.500509259262</v>
      </c>
      <c r="C13" s="7">
        <v>44050</v>
      </c>
      <c r="D13" s="7" t="s">
        <v>437</v>
      </c>
      <c r="E13" s="17">
        <v>0.5</v>
      </c>
      <c r="F13" s="6" t="s">
        <v>68</v>
      </c>
      <c r="G13" s="6" t="s">
        <v>68</v>
      </c>
      <c r="H13" s="7">
        <f>IF(TimeEntry[[#This Row],[Date]]=0,H10,C13+(7-N13))</f>
        <v>44052</v>
      </c>
      <c r="I13" s="7">
        <f>TimeEntry[[#This Row],[Date]]</f>
        <v>44050</v>
      </c>
      <c r="J13" s="10" t="str">
        <f>IF(TimeEntry[[#This Row],[Date]]=0,"",TEXT(TimeEntry[[#This Row],[Date]],"ddd"))</f>
        <v>Fri</v>
      </c>
      <c r="K13" s="9" t="str">
        <f>IF(TimeEntry[[#This Row],[Project]]=0,"",INDEX(ProjectsAll[job number],MATCH(TimeEntry[[#This Row],[Project]],ProjectsAll[Project],0)))</f>
        <v>LEAVE</v>
      </c>
      <c r="L13" s="6" t="s">
        <v>68</v>
      </c>
      <c r="M13" s="9">
        <v>3.75</v>
      </c>
      <c r="N13" s="9">
        <f>IF(TimeEntry[[#This Row],[Date]]=0,"",WEEKDAY(C13,2))</f>
        <v>5</v>
      </c>
      <c r="O13" s="10">
        <f>YEAR(TimeEntry[[#This Row],[WkEnd]])</f>
        <v>2020</v>
      </c>
      <c r="P13" s="10">
        <f>WEEKNUM(TimeEntry[[#This Row],[WkEnd]])</f>
        <v>33</v>
      </c>
      <c r="Q13" s="10" t="str">
        <f>TimeEntry[[#This Row],[Year]]&amp;"-"&amp;TimeEntry[[#This Row],[WkNo]]</f>
        <v>2020-33</v>
      </c>
      <c r="S13" s="5" t="s">
        <v>669</v>
      </c>
      <c r="T13" s="5"/>
      <c r="U13" s="5"/>
      <c r="V13" s="5" t="s">
        <v>6</v>
      </c>
      <c r="X13" t="s">
        <v>18</v>
      </c>
      <c r="Y13" t="s">
        <v>19</v>
      </c>
      <c r="AA13" t="s">
        <v>27</v>
      </c>
    </row>
    <row r="14" spans="1:27" ht="30" x14ac:dyDescent="0.25">
      <c r="A14" s="9">
        <f>MOD(IF(ROW()=11,0.1,IF(INDEX(TimeEntry[WkEnd],ROW()-10)            =            INDEX(TimeEntry[WkEnd],ROW()-11),               INDEX(TimeEntry[format],ROW()-11),               INDEX(TimeEntry[format],ROW()-11)    +1)),2)</f>
        <v>0.10000000000000009</v>
      </c>
      <c r="B14" s="14">
        <v>44050.500509259262</v>
      </c>
      <c r="C14" s="7">
        <v>44050</v>
      </c>
      <c r="D14" s="7" t="s">
        <v>437</v>
      </c>
      <c r="E14" s="17">
        <v>0.5</v>
      </c>
      <c r="F14" s="6" t="s">
        <v>630</v>
      </c>
      <c r="G14" s="6" t="s">
        <v>816</v>
      </c>
      <c r="H14" s="7">
        <f>IF(TimeEntry[[#This Row],[Date]]=0,H11,C14+(7-N14))</f>
        <v>44052</v>
      </c>
      <c r="I14" s="7">
        <f>TimeEntry[[#This Row],[Date]]</f>
        <v>44050</v>
      </c>
      <c r="J14" s="10" t="str">
        <f>IF(TimeEntry[[#This Row],[Date]]=0,"",TEXT(TimeEntry[[#This Row],[Date]],"ddd"))</f>
        <v>Fri</v>
      </c>
      <c r="K14" s="9" t="str">
        <f>IF(TimeEntry[[#This Row],[Project]]=0,"",INDEX(ProjectsAll[job number],MATCH(TimeEntry[[#This Row],[Project]],ProjectsAll[Project],0)))</f>
        <v>210035-65</v>
      </c>
      <c r="L14" s="6" t="s">
        <v>816</v>
      </c>
      <c r="M14" s="9">
        <v>3.75</v>
      </c>
      <c r="N14" s="9">
        <f>IF(TimeEntry[[#This Row],[Date]]=0,"",WEEKDAY(C14,2))</f>
        <v>5</v>
      </c>
      <c r="O14" s="10">
        <f>YEAR(TimeEntry[[#This Row],[WkEnd]])</f>
        <v>2020</v>
      </c>
      <c r="P14" s="10">
        <f>WEEKNUM(TimeEntry[[#This Row],[WkEnd]])</f>
        <v>33</v>
      </c>
      <c r="Q14" s="10" t="str">
        <f>TimeEntry[[#This Row],[Year]]&amp;"-"&amp;TimeEntry[[#This Row],[WkNo]]</f>
        <v>2020-33</v>
      </c>
      <c r="S14" s="5" t="s">
        <v>669</v>
      </c>
      <c r="T14" s="5"/>
      <c r="U14" s="5"/>
      <c r="V14" s="5" t="s">
        <v>6</v>
      </c>
      <c r="X14" t="s">
        <v>18</v>
      </c>
      <c r="Y14" t="s">
        <v>19</v>
      </c>
      <c r="AA14" t="s">
        <v>27</v>
      </c>
    </row>
    <row r="15" spans="1:27" ht="30" x14ac:dyDescent="0.25">
      <c r="A15" s="9">
        <f>MOD(IF(ROW()=11,0.1,IF(INDEX(TimeEntry[WkEnd],ROW()-10)            =            INDEX(TimeEntry[WkEnd],ROW()-11),               INDEX(TimeEntry[format],ROW()-11),               INDEX(TimeEntry[format],ROW()-11)    +1)),2)</f>
        <v>0.10000000000000009</v>
      </c>
      <c r="B15" s="14">
        <v>44049.669606481482</v>
      </c>
      <c r="C15" s="7">
        <v>44049</v>
      </c>
      <c r="D15" s="7" t="s">
        <v>430</v>
      </c>
      <c r="E15" s="17">
        <v>0.6694444444444444</v>
      </c>
      <c r="F15" s="6" t="s">
        <v>630</v>
      </c>
      <c r="G15" s="6" t="s">
        <v>815</v>
      </c>
      <c r="H15" s="7">
        <f>IF(TimeEntry[[#This Row],[Date]]=0,H11,C15+(7-N15))</f>
        <v>44052</v>
      </c>
      <c r="I15" s="7">
        <f>TimeEntry[[#This Row],[Date]]</f>
        <v>44049</v>
      </c>
      <c r="J15" s="10" t="str">
        <f>IF(TimeEntry[[#This Row],[Date]]=0,"",TEXT(TimeEntry[[#This Row],[Date]],"ddd"))</f>
        <v>Thu</v>
      </c>
      <c r="K15" s="9" t="str">
        <f>IF(TimeEntry[[#This Row],[Project]]=0,"",INDEX(ProjectsAll[job number],MATCH(TimeEntry[[#This Row],[Project]],ProjectsAll[Project],0)))</f>
        <v>210035-65</v>
      </c>
      <c r="L15" s="6" t="s">
        <v>815</v>
      </c>
      <c r="M15" s="9">
        <v>3.75</v>
      </c>
      <c r="N15" s="9">
        <f>IF(TimeEntry[[#This Row],[Date]]=0,"",WEEKDAY(C15,2))</f>
        <v>4</v>
      </c>
      <c r="O15" s="10">
        <f>YEAR(TimeEntry[[#This Row],[WkEnd]])</f>
        <v>2020</v>
      </c>
      <c r="P15" s="10">
        <f>WEEKNUM(TimeEntry[[#This Row],[WkEnd]])</f>
        <v>33</v>
      </c>
      <c r="Q15" s="10" t="str">
        <f>TimeEntry[[#This Row],[Year]]&amp;"-"&amp;TimeEntry[[#This Row],[WkNo]]</f>
        <v>2020-33</v>
      </c>
      <c r="S15" s="5" t="s">
        <v>16</v>
      </c>
      <c r="T15" s="5" t="s">
        <v>17</v>
      </c>
      <c r="U15" s="5"/>
      <c r="V15" s="5" t="s">
        <v>6</v>
      </c>
      <c r="X15" t="s">
        <v>25</v>
      </c>
      <c r="Y15" t="s">
        <v>26</v>
      </c>
      <c r="AA15" t="s">
        <v>27</v>
      </c>
    </row>
    <row r="16" spans="1:27" ht="30" x14ac:dyDescent="0.25">
      <c r="A16" s="9">
        <f>MOD(IF(ROW()=11,0.1,IF(INDEX(TimeEntry[WkEnd],ROW()-10)            =            INDEX(TimeEntry[WkEnd],ROW()-11),               INDEX(TimeEntry[format],ROW()-11),               INDEX(TimeEntry[format],ROW()-11)    +1)),2)</f>
        <v>0.10000000000000009</v>
      </c>
      <c r="B16" s="14">
        <v>44049.517881944441</v>
      </c>
      <c r="C16" s="7">
        <v>44049</v>
      </c>
      <c r="D16" s="7" t="s">
        <v>430</v>
      </c>
      <c r="E16" s="17">
        <v>0.51736111111111105</v>
      </c>
      <c r="F16" s="6" t="s">
        <v>630</v>
      </c>
      <c r="G16" s="6" t="s">
        <v>814</v>
      </c>
      <c r="H16" s="7">
        <f>IF(TimeEntry[[#This Row],[Date]]=0,H11,C16+(7-N16))</f>
        <v>44052</v>
      </c>
      <c r="I16" s="7">
        <f>TimeEntry[[#This Row],[Date]]</f>
        <v>44049</v>
      </c>
      <c r="J16" s="10" t="str">
        <f>IF(TimeEntry[[#This Row],[Date]]=0,"",TEXT(TimeEntry[[#This Row],[Date]],"ddd"))</f>
        <v>Thu</v>
      </c>
      <c r="K16" s="9" t="str">
        <f>IF(TimeEntry[[#This Row],[Project]]=0,"",INDEX(ProjectsAll[job number],MATCH(TimeEntry[[#This Row],[Project]],ProjectsAll[Project],0)))</f>
        <v>210035-65</v>
      </c>
      <c r="L16" s="6" t="s">
        <v>814</v>
      </c>
      <c r="M16" s="9">
        <v>3.75</v>
      </c>
      <c r="N16" s="9">
        <f>IF(TimeEntry[[#This Row],[Date]]=0,"",WEEKDAY(C16,2))</f>
        <v>4</v>
      </c>
      <c r="O16" s="10">
        <f>YEAR(TimeEntry[[#This Row],[WkEnd]])</f>
        <v>2020</v>
      </c>
      <c r="P16" s="10">
        <f>WEEKNUM(TimeEntry[[#This Row],[WkEnd]])</f>
        <v>33</v>
      </c>
      <c r="Q16" s="10" t="str">
        <f>TimeEntry[[#This Row],[Year]]&amp;"-"&amp;TimeEntry[[#This Row],[WkNo]]</f>
        <v>2020-33</v>
      </c>
      <c r="S16" s="5" t="s">
        <v>20</v>
      </c>
      <c r="T16" s="5" t="s">
        <v>21</v>
      </c>
      <c r="U16" s="5" t="s">
        <v>22</v>
      </c>
      <c r="V16" s="5" t="s">
        <v>6</v>
      </c>
      <c r="X16" t="s">
        <v>732</v>
      </c>
      <c r="Y16" t="s">
        <v>733</v>
      </c>
      <c r="Z16" t="s">
        <v>734</v>
      </c>
      <c r="AA16" t="s">
        <v>6</v>
      </c>
    </row>
    <row r="17" spans="1:27" ht="90" x14ac:dyDescent="0.25">
      <c r="A17" s="9">
        <f>MOD(IF(ROW()=11,0.1,IF(INDEX(TimeEntry[WkEnd],ROW()-10)            =            INDEX(TimeEntry[WkEnd],ROW()-11),               INDEX(TimeEntry[format],ROW()-11),               INDEX(TimeEntry[format],ROW()-11)    +1)),2)</f>
        <v>0.10000000000000009</v>
      </c>
      <c r="B17" s="14">
        <v>44048.670601851853</v>
      </c>
      <c r="C17" s="7">
        <v>44048</v>
      </c>
      <c r="D17" s="7" t="s">
        <v>428</v>
      </c>
      <c r="E17" s="17">
        <v>0.67013888888888884</v>
      </c>
      <c r="F17" s="6" t="s">
        <v>630</v>
      </c>
      <c r="G17" s="6" t="s">
        <v>813</v>
      </c>
      <c r="H17" s="7">
        <f>IF(TimeEntry[[#This Row],[Date]]=0,H11,C17+(7-N17))</f>
        <v>44052</v>
      </c>
      <c r="I17" s="7">
        <f>TimeEntry[[#This Row],[Date]]</f>
        <v>44048</v>
      </c>
      <c r="J17" s="10" t="str">
        <f>IF(TimeEntry[[#This Row],[Date]]=0,"",TEXT(TimeEntry[[#This Row],[Date]],"ddd"))</f>
        <v>Wed</v>
      </c>
      <c r="K17" s="9" t="str">
        <f>IF(TimeEntry[[#This Row],[Project]]=0,"",INDEX(ProjectsAll[job number],MATCH(TimeEntry[[#This Row],[Project]],ProjectsAll[Project],0)))</f>
        <v>210035-65</v>
      </c>
      <c r="L17" s="6" t="s">
        <v>821</v>
      </c>
      <c r="M17" s="9">
        <v>3</v>
      </c>
      <c r="N17" s="9">
        <f>IF(TimeEntry[[#This Row],[Date]]=0,"",WEEKDAY(C17,2))</f>
        <v>3</v>
      </c>
      <c r="O17" s="10">
        <f>YEAR(TimeEntry[[#This Row],[WkEnd]])</f>
        <v>2020</v>
      </c>
      <c r="P17" s="10">
        <f>WEEKNUM(TimeEntry[[#This Row],[WkEnd]])</f>
        <v>33</v>
      </c>
      <c r="Q17" s="10" t="str">
        <f>TimeEntry[[#This Row],[Year]]&amp;"-"&amp;TimeEntry[[#This Row],[WkNo]]</f>
        <v>2020-33</v>
      </c>
      <c r="S17" t="s">
        <v>732</v>
      </c>
      <c r="T17" t="s">
        <v>733</v>
      </c>
      <c r="U17" t="s">
        <v>734</v>
      </c>
      <c r="V17" t="s">
        <v>6</v>
      </c>
      <c r="X17" t="s">
        <v>28</v>
      </c>
      <c r="Y17" t="s">
        <v>29</v>
      </c>
      <c r="AA17" t="s">
        <v>27</v>
      </c>
    </row>
    <row r="18" spans="1:27" ht="30" x14ac:dyDescent="0.25">
      <c r="A18" s="9">
        <f>MOD(IF(ROW()=11,0.1,IF(INDEX(TimeEntry[WkEnd],ROW()-10)            =            INDEX(TimeEntry[WkEnd],ROW()-11),               INDEX(TimeEntry[format],ROW()-11),               INDEX(TimeEntry[format],ROW()-11)    +1)),2)</f>
        <v>0.10000000000000009</v>
      </c>
      <c r="B18" s="14">
        <v>44048.570092592592</v>
      </c>
      <c r="C18" s="7">
        <v>44048</v>
      </c>
      <c r="D18" s="7" t="s">
        <v>428</v>
      </c>
      <c r="E18" s="17">
        <v>0.56944444444444442</v>
      </c>
      <c r="F18" s="6" t="s">
        <v>637</v>
      </c>
      <c r="G18" s="6" t="s">
        <v>818</v>
      </c>
      <c r="H18" s="7">
        <f>IF(TimeEntry[[#This Row],[Date]]=0,H17,C18+(7-N18))</f>
        <v>44052</v>
      </c>
      <c r="I18" s="7">
        <f>TimeEntry[[#This Row],[Date]]</f>
        <v>44048</v>
      </c>
      <c r="J18" s="10" t="str">
        <f>IF(TimeEntry[[#This Row],[Date]]=0,"",TEXT(TimeEntry[[#This Row],[Date]],"ddd"))</f>
        <v>Wed</v>
      </c>
      <c r="K18" s="9" t="str">
        <f>IF(TimeEntry[[#This Row],[Project]]=0,"",INDEX(ProjectsAll[job number],MATCH(TimeEntry[[#This Row],[Project]],ProjectsAll[Project],0)))</f>
        <v xml:space="preserve">257677-59 </v>
      </c>
      <c r="L18" s="6" t="s">
        <v>818</v>
      </c>
      <c r="M18" s="9">
        <v>2.5</v>
      </c>
      <c r="N18" s="9">
        <f>IF(TimeEntry[[#This Row],[Date]]=0,"",WEEKDAY(C18,2))</f>
        <v>3</v>
      </c>
      <c r="O18" s="10">
        <f>YEAR(TimeEntry[[#This Row],[WkEnd]])</f>
        <v>2020</v>
      </c>
      <c r="P18" s="10">
        <f>WEEKNUM(TimeEntry[[#This Row],[WkEnd]])</f>
        <v>33</v>
      </c>
      <c r="Q18" s="10" t="str">
        <f>TimeEntry[[#This Row],[Year]]&amp;"-"&amp;TimeEntry[[#This Row],[WkNo]]</f>
        <v>2020-33</v>
      </c>
      <c r="S18" s="5" t="s">
        <v>40</v>
      </c>
      <c r="T18" s="5" t="s">
        <v>41</v>
      </c>
      <c r="U18" s="5" t="s">
        <v>42</v>
      </c>
      <c r="V18" s="5" t="s">
        <v>6</v>
      </c>
      <c r="X18" t="s">
        <v>30</v>
      </c>
      <c r="Y18" t="s">
        <v>31</v>
      </c>
      <c r="AA18" t="s">
        <v>27</v>
      </c>
    </row>
    <row r="19" spans="1:27" ht="30" x14ac:dyDescent="0.25">
      <c r="A19" s="9">
        <f>MOD(IF(ROW()=11,0.1,IF(INDEX(TimeEntry[WkEnd],ROW()-10)            =            INDEX(TimeEntry[WkEnd],ROW()-11),               INDEX(TimeEntry[format],ROW()-11),               INDEX(TimeEntry[format],ROW()-11)    +1)),2)</f>
        <v>0.10000000000000009</v>
      </c>
      <c r="B19" s="14">
        <v>44048.570092592592</v>
      </c>
      <c r="C19" s="7">
        <v>44048</v>
      </c>
      <c r="D19" s="7" t="s">
        <v>428</v>
      </c>
      <c r="E19" s="17">
        <v>0.56944444444444442</v>
      </c>
      <c r="F19" s="6" t="s">
        <v>630</v>
      </c>
      <c r="G19" s="6" t="s">
        <v>812</v>
      </c>
      <c r="H19" s="7">
        <f>IF(TimeEntry[[#This Row],[Date]]=0,H11,C19+(7-N19))</f>
        <v>44052</v>
      </c>
      <c r="I19" s="7">
        <f>TimeEntry[[#This Row],[Date]]</f>
        <v>44048</v>
      </c>
      <c r="J19" s="10" t="str">
        <f>IF(TimeEntry[[#This Row],[Date]]=0,"",TEXT(TimeEntry[[#This Row],[Date]],"ddd"))</f>
        <v>Wed</v>
      </c>
      <c r="K19" s="9" t="str">
        <f>IF(TimeEntry[[#This Row],[Project]]=0,"",INDEX(ProjectsAll[job number],MATCH(TimeEntry[[#This Row],[Project]],ProjectsAll[Project],0)))</f>
        <v>210035-65</v>
      </c>
      <c r="L19" s="6" t="s">
        <v>812</v>
      </c>
      <c r="M19" s="9">
        <v>2</v>
      </c>
      <c r="N19" s="9">
        <f>IF(TimeEntry[[#This Row],[Date]]=0,"",WEEKDAY(C19,2))</f>
        <v>3</v>
      </c>
      <c r="O19" s="10">
        <f>YEAR(TimeEntry[[#This Row],[WkEnd]])</f>
        <v>2020</v>
      </c>
      <c r="P19" s="10">
        <f>WEEKNUM(TimeEntry[[#This Row],[WkEnd]])</f>
        <v>33</v>
      </c>
      <c r="Q19" s="10" t="str">
        <f>TimeEntry[[#This Row],[Year]]&amp;"-"&amp;TimeEntry[[#This Row],[WkNo]]</f>
        <v>2020-33</v>
      </c>
      <c r="S19" s="5" t="s">
        <v>43</v>
      </c>
      <c r="T19" s="5" t="s">
        <v>44</v>
      </c>
      <c r="U19" s="5" t="s">
        <v>644</v>
      </c>
      <c r="V19" s="5" t="s">
        <v>6</v>
      </c>
      <c r="X19" t="s">
        <v>32</v>
      </c>
      <c r="Y19" t="s">
        <v>33</v>
      </c>
      <c r="AA19" t="s">
        <v>27</v>
      </c>
    </row>
    <row r="20" spans="1:27" ht="30" x14ac:dyDescent="0.25">
      <c r="A20" s="9">
        <f>MOD(IF(ROW()=11,0.1,IF(INDEX(TimeEntry[WkEnd],ROW()-10)            =            INDEX(TimeEntry[WkEnd],ROW()-11),               INDEX(TimeEntry[format],ROW()-11),               INDEX(TimeEntry[format],ROW()-11)    +1)),2)</f>
        <v>0.10000000000000009</v>
      </c>
      <c r="B20" s="14">
        <v>44047.667245370372</v>
      </c>
      <c r="C20" s="7">
        <v>44047</v>
      </c>
      <c r="D20" s="7" t="s">
        <v>429</v>
      </c>
      <c r="E20" s="17">
        <v>0.66666666666666663</v>
      </c>
      <c r="F20" s="6" t="s">
        <v>637</v>
      </c>
      <c r="G20" s="6" t="s">
        <v>819</v>
      </c>
      <c r="H20" s="7">
        <f>IF(TimeEntry[[#This Row],[Date]]=0,H19,C20+(7-N20))</f>
        <v>44052</v>
      </c>
      <c r="I20" s="7">
        <f>TimeEntry[[#This Row],[Date]]</f>
        <v>44047</v>
      </c>
      <c r="J20" s="10" t="str">
        <f>IF(TimeEntry[[#This Row],[Date]]=0,"",TEXT(TimeEntry[[#This Row],[Date]],"ddd"))</f>
        <v>Tue</v>
      </c>
      <c r="K20" s="9" t="str">
        <f>IF(TimeEntry[[#This Row],[Project]]=0,"",INDEX(ProjectsAll[job number],MATCH(TimeEntry[[#This Row],[Project]],ProjectsAll[Project],0)))</f>
        <v xml:space="preserve">257677-59 </v>
      </c>
      <c r="L20" s="6" t="s">
        <v>819</v>
      </c>
      <c r="M20" s="9">
        <v>2.5</v>
      </c>
      <c r="N20" s="9">
        <f>IF(TimeEntry[[#This Row],[Date]]=0,"",WEEKDAY(C20,2))</f>
        <v>2</v>
      </c>
      <c r="O20" s="10">
        <f>YEAR(TimeEntry[[#This Row],[WkEnd]])</f>
        <v>2020</v>
      </c>
      <c r="P20" s="10">
        <f>WEEKNUM(TimeEntry[[#This Row],[WkEnd]])</f>
        <v>33</v>
      </c>
      <c r="Q20" s="10" t="str">
        <f>TimeEntry[[#This Row],[Year]]&amp;"-"&amp;TimeEntry[[#This Row],[WkNo]]</f>
        <v>2020-33</v>
      </c>
      <c r="S20" s="5" t="s">
        <v>45</v>
      </c>
      <c r="T20" s="5" t="s">
        <v>46</v>
      </c>
      <c r="U20" s="5" t="s">
        <v>47</v>
      </c>
      <c r="V20" s="5" t="s">
        <v>6</v>
      </c>
      <c r="X20" t="s">
        <v>34</v>
      </c>
      <c r="Y20" t="s">
        <v>35</v>
      </c>
      <c r="AA20" t="s">
        <v>27</v>
      </c>
    </row>
    <row r="21" spans="1:27" ht="30" x14ac:dyDescent="0.25">
      <c r="A21" s="9">
        <f>MOD(IF(ROW()=11,0.1,IF(INDEX(TimeEntry[WkEnd],ROW()-10)            =            INDEX(TimeEntry[WkEnd],ROW()-11),               INDEX(TimeEntry[format],ROW()-11),               INDEX(TimeEntry[format],ROW()-11)    +1)),2)</f>
        <v>0.10000000000000009</v>
      </c>
      <c r="B21" s="14">
        <v>44047.667245370372</v>
      </c>
      <c r="C21" s="7">
        <v>44047</v>
      </c>
      <c r="D21" s="7" t="s">
        <v>429</v>
      </c>
      <c r="E21" s="17">
        <v>0.66666666666666663</v>
      </c>
      <c r="F21" s="6" t="s">
        <v>630</v>
      </c>
      <c r="G21" s="6" t="s">
        <v>817</v>
      </c>
      <c r="H21" s="7">
        <f>IF(TimeEntry[[#This Row],[Date]]=0,H11,C21+(7-N21))</f>
        <v>44052</v>
      </c>
      <c r="I21" s="7">
        <f>TimeEntry[[#This Row],[Date]]</f>
        <v>44047</v>
      </c>
      <c r="J21" s="10" t="str">
        <f>IF(TimeEntry[[#This Row],[Date]]=0,"",TEXT(TimeEntry[[#This Row],[Date]],"ddd"))</f>
        <v>Tue</v>
      </c>
      <c r="K21" s="9" t="str">
        <f>IF(TimeEntry[[#This Row],[Project]]=0,"",INDEX(ProjectsAll[job number],MATCH(TimeEntry[[#This Row],[Project]],ProjectsAll[Project],0)))</f>
        <v>210035-65</v>
      </c>
      <c r="L21" s="6" t="s">
        <v>817</v>
      </c>
      <c r="M21" s="9">
        <v>2</v>
      </c>
      <c r="N21" s="9">
        <f>IF(TimeEntry[[#This Row],[Date]]=0,"",WEEKDAY(C21,2))</f>
        <v>2</v>
      </c>
      <c r="O21" s="10">
        <f>YEAR(TimeEntry[[#This Row],[WkEnd]])</f>
        <v>2020</v>
      </c>
      <c r="P21" s="10">
        <f>WEEKNUM(TimeEntry[[#This Row],[WkEnd]])</f>
        <v>33</v>
      </c>
      <c r="Q21" s="10" t="str">
        <f>TimeEntry[[#This Row],[Year]]&amp;"-"&amp;TimeEntry[[#This Row],[WkNo]]</f>
        <v>2020-33</v>
      </c>
      <c r="S21" s="5" t="s">
        <v>48</v>
      </c>
      <c r="T21" s="5" t="s">
        <v>49</v>
      </c>
      <c r="U21" s="5" t="s">
        <v>50</v>
      </c>
      <c r="V21" s="5" t="s">
        <v>6</v>
      </c>
      <c r="X21" t="s">
        <v>36</v>
      </c>
      <c r="Y21" t="s">
        <v>37</v>
      </c>
      <c r="AA21" t="s">
        <v>27</v>
      </c>
    </row>
    <row r="22" spans="1:27" ht="30" x14ac:dyDescent="0.25">
      <c r="A22" s="9">
        <f>MOD(IF(ROW()=11,0.1,IF(INDEX(TimeEntry[WkEnd],ROW()-10)            =            INDEX(TimeEntry[WkEnd],ROW()-11),               INDEX(TimeEntry[format],ROW()-11),               INDEX(TimeEntry[format],ROW()-11)    +1)),2)</f>
        <v>0.10000000000000009</v>
      </c>
      <c r="B22" s="14">
        <v>44047.501493055555</v>
      </c>
      <c r="C22" s="7">
        <v>44047</v>
      </c>
      <c r="D22" s="7" t="s">
        <v>429</v>
      </c>
      <c r="E22" s="17">
        <v>0.50138888888888888</v>
      </c>
      <c r="F22" s="6" t="s">
        <v>630</v>
      </c>
      <c r="G22" s="6" t="s">
        <v>811</v>
      </c>
      <c r="H22" s="7">
        <f>IF(TimeEntry[[#This Row],[Date]]=0,H11,C22+(7-N22))</f>
        <v>44052</v>
      </c>
      <c r="I22" s="7">
        <f>TimeEntry[[#This Row],[Date]]</f>
        <v>44047</v>
      </c>
      <c r="J22" s="10" t="str">
        <f>IF(TimeEntry[[#This Row],[Date]]=0,"",TEXT(TimeEntry[[#This Row],[Date]],"ddd"))</f>
        <v>Tue</v>
      </c>
      <c r="K22" s="9" t="str">
        <f>IF(TimeEntry[[#This Row],[Project]]=0,"",INDEX(ProjectsAll[job number],MATCH(TimeEntry[[#This Row],[Project]],ProjectsAll[Project],0)))</f>
        <v>210035-65</v>
      </c>
      <c r="L22" s="6" t="s">
        <v>811</v>
      </c>
      <c r="M22" s="9">
        <v>3</v>
      </c>
      <c r="N22" s="9">
        <f>IF(TimeEntry[[#This Row],[Date]]=0,"",WEEKDAY(C22,2))</f>
        <v>2</v>
      </c>
      <c r="O22" s="10">
        <f>YEAR(TimeEntry[[#This Row],[WkEnd]])</f>
        <v>2020</v>
      </c>
      <c r="P22" s="10">
        <f>WEEKNUM(TimeEntry[[#This Row],[WkEnd]])</f>
        <v>33</v>
      </c>
      <c r="Q22" s="10" t="str">
        <f>TimeEntry[[#This Row],[Year]]&amp;"-"&amp;TimeEntry[[#This Row],[WkNo]]</f>
        <v>2020-33</v>
      </c>
      <c r="S22" s="5" t="s">
        <v>51</v>
      </c>
      <c r="T22" s="5" t="s">
        <v>52</v>
      </c>
      <c r="U22" s="5"/>
      <c r="V22" s="5" t="s">
        <v>6</v>
      </c>
      <c r="X22" t="s">
        <v>38</v>
      </c>
      <c r="Y22" t="s">
        <v>39</v>
      </c>
      <c r="AA22" t="s">
        <v>27</v>
      </c>
    </row>
    <row r="23" spans="1:27" ht="30" x14ac:dyDescent="0.25">
      <c r="A23" s="9">
        <f>MOD(IF(ROW()=11,0.1,IF(INDEX(TimeEntry[WkEnd],ROW()-10)            =            INDEX(TimeEntry[WkEnd],ROW()-11),               INDEX(TimeEntry[format],ROW()-11),               INDEX(TimeEntry[format],ROW()-11)    +1)),2)</f>
        <v>0.10000000000000009</v>
      </c>
      <c r="B23" s="14">
        <v>44046.686666666668</v>
      </c>
      <c r="C23" s="7">
        <v>44046</v>
      </c>
      <c r="D23" s="7" t="s">
        <v>433</v>
      </c>
      <c r="E23" s="17">
        <v>0.68611111111111101</v>
      </c>
      <c r="F23" s="6" t="s">
        <v>630</v>
      </c>
      <c r="G23" s="6" t="s">
        <v>810</v>
      </c>
      <c r="H23" s="7">
        <f>IF(TimeEntry[[#This Row],[Date]]=0,H11,C23+(7-N23))</f>
        <v>44052</v>
      </c>
      <c r="I23" s="7">
        <f>TimeEntry[[#This Row],[Date]]</f>
        <v>44046</v>
      </c>
      <c r="J23" s="10" t="str">
        <f>IF(TimeEntry[[#This Row],[Date]]=0,"",TEXT(TimeEntry[[#This Row],[Date]],"ddd"))</f>
        <v>Mon</v>
      </c>
      <c r="K23" s="9" t="str">
        <f>IF(TimeEntry[[#This Row],[Project]]=0,"",INDEX(ProjectsAll[job number],MATCH(TimeEntry[[#This Row],[Project]],ProjectsAll[Project],0)))</f>
        <v>210035-65</v>
      </c>
      <c r="L23" s="6" t="s">
        <v>810</v>
      </c>
      <c r="M23" s="9">
        <v>3.75</v>
      </c>
      <c r="N23" s="9">
        <f>IF(TimeEntry[[#This Row],[Date]]=0,"",WEEKDAY(C23,2))</f>
        <v>1</v>
      </c>
      <c r="O23" s="10">
        <f>YEAR(TimeEntry[[#This Row],[WkEnd]])</f>
        <v>2020</v>
      </c>
      <c r="P23" s="10">
        <f>WEEKNUM(TimeEntry[[#This Row],[WkEnd]])</f>
        <v>33</v>
      </c>
      <c r="Q23" s="10" t="str">
        <f>TimeEntry[[#This Row],[Year]]&amp;"-"&amp;TimeEntry[[#This Row],[WkNo]]</f>
        <v>2020-33</v>
      </c>
      <c r="S23" s="5" t="s">
        <v>57</v>
      </c>
      <c r="T23" s="5" t="s">
        <v>58</v>
      </c>
      <c r="U23" s="5" t="s">
        <v>59</v>
      </c>
      <c r="V23" s="5" t="s">
        <v>6</v>
      </c>
      <c r="X23" t="s">
        <v>53</v>
      </c>
      <c r="Y23" t="s">
        <v>54</v>
      </c>
      <c r="AA23" t="s">
        <v>27</v>
      </c>
    </row>
    <row r="24" spans="1:27" ht="30" x14ac:dyDescent="0.25">
      <c r="A24" s="9">
        <f>MOD(IF(ROW()=11,0.1,IF(INDEX(TimeEntry[WkEnd],ROW()-10)            =            INDEX(TimeEntry[WkEnd],ROW()-11),               INDEX(TimeEntry[format],ROW()-11),               INDEX(TimeEntry[format],ROW()-11)    +1)),2)</f>
        <v>0.10000000000000009</v>
      </c>
      <c r="B24" s="14">
        <v>44046.5003125</v>
      </c>
      <c r="C24" s="7">
        <v>44046</v>
      </c>
      <c r="D24" s="7" t="s">
        <v>433</v>
      </c>
      <c r="E24" s="17">
        <v>0.5</v>
      </c>
      <c r="F24" s="6" t="s">
        <v>630</v>
      </c>
      <c r="G24" s="6" t="s">
        <v>809</v>
      </c>
      <c r="H24" s="7">
        <f>IF(TimeEntry[[#This Row],[Date]]=0,H11,C24+(7-N24))</f>
        <v>44052</v>
      </c>
      <c r="I24" s="7">
        <f>TimeEntry[[#This Row],[Date]]</f>
        <v>44046</v>
      </c>
      <c r="J24" s="10" t="str">
        <f>IF(TimeEntry[[#This Row],[Date]]=0,"",TEXT(TimeEntry[[#This Row],[Date]],"ddd"))</f>
        <v>Mon</v>
      </c>
      <c r="K24" s="9" t="str">
        <f>IF(TimeEntry[[#This Row],[Project]]=0,"",INDEX(ProjectsAll[job number],MATCH(TimeEntry[[#This Row],[Project]],ProjectsAll[Project],0)))</f>
        <v>210035-65</v>
      </c>
      <c r="L24" s="6" t="s">
        <v>809</v>
      </c>
      <c r="M24" s="9">
        <v>3.75</v>
      </c>
      <c r="N24" s="9">
        <f>IF(TimeEntry[[#This Row],[Date]]=0,"",WEEKDAY(C24,2))</f>
        <v>1</v>
      </c>
      <c r="O24" s="10">
        <f>YEAR(TimeEntry[[#This Row],[WkEnd]])</f>
        <v>2020</v>
      </c>
      <c r="P24" s="10">
        <f>WEEKNUM(TimeEntry[[#This Row],[WkEnd]])</f>
        <v>33</v>
      </c>
      <c r="Q24" s="10" t="str">
        <f>TimeEntry[[#This Row],[Year]]&amp;"-"&amp;TimeEntry[[#This Row],[WkNo]]</f>
        <v>2020-33</v>
      </c>
      <c r="S24" s="5" t="s">
        <v>63</v>
      </c>
      <c r="T24" s="5" t="s">
        <v>64</v>
      </c>
      <c r="U24" s="5"/>
      <c r="V24" s="5" t="s">
        <v>6</v>
      </c>
      <c r="X24" t="s">
        <v>55</v>
      </c>
      <c r="Y24" t="s">
        <v>56</v>
      </c>
      <c r="AA24" t="s">
        <v>27</v>
      </c>
    </row>
    <row r="25" spans="1:27" x14ac:dyDescent="0.25">
      <c r="A25" s="9">
        <f>MOD(IF(ROW()=11,0.1,IF(INDEX(TimeEntry[WkEnd],ROW()-10)            =            INDEX(TimeEntry[WkEnd],ROW()-11),               INDEX(TimeEntry[format],ROW()-11),               INDEX(TimeEntry[format],ROW()-11)    +1)),2)</f>
        <v>1.1000000000000001</v>
      </c>
      <c r="B25" s="14">
        <v>44043</v>
      </c>
      <c r="C25" s="7">
        <v>44043</v>
      </c>
      <c r="D25" s="7" t="s">
        <v>437</v>
      </c>
      <c r="E25" s="17">
        <v>0</v>
      </c>
      <c r="F25" s="6" t="s">
        <v>68</v>
      </c>
      <c r="G25" s="6"/>
      <c r="H25" s="7">
        <f>IF(TimeEntry[[#This Row],[Date]]=0,H11,C25+(7-N25))</f>
        <v>44045</v>
      </c>
      <c r="I25" s="7">
        <f>TimeEntry[[#This Row],[Date]]</f>
        <v>44043</v>
      </c>
      <c r="J25" s="10" t="str">
        <f>IF(TimeEntry[[#This Row],[Date]]=0,"",TEXT(TimeEntry[[#This Row],[Date]],"ddd"))</f>
        <v>Fri</v>
      </c>
      <c r="K25" s="9" t="str">
        <f>IF(TimeEntry[[#This Row],[Project]]=0,"",INDEX(ProjectsAll[job number],MATCH(TimeEntry[[#This Row],[Project]],ProjectsAll[Project],0)))</f>
        <v>LEAVE</v>
      </c>
      <c r="L25" s="9"/>
      <c r="M25" s="9">
        <v>7.5</v>
      </c>
      <c r="N25" s="9">
        <f>IF(TimeEntry[[#This Row],[Date]]=0,"",WEEKDAY(C25,2))</f>
        <v>5</v>
      </c>
      <c r="O25" s="10">
        <f>YEAR(TimeEntry[[#This Row],[WkEnd]])</f>
        <v>2020</v>
      </c>
      <c r="P25" s="10">
        <f>WEEKNUM(TimeEntry[[#This Row],[WkEnd]])</f>
        <v>32</v>
      </c>
      <c r="Q25" s="10" t="str">
        <f>TimeEntry[[#This Row],[Year]]&amp;"-"&amp;TimeEntry[[#This Row],[WkNo]]</f>
        <v>2020-32</v>
      </c>
      <c r="S25" s="5" t="s">
        <v>65</v>
      </c>
      <c r="T25" s="5" t="s">
        <v>66</v>
      </c>
      <c r="U25" s="5" t="s">
        <v>67</v>
      </c>
      <c r="V25" s="5" t="s">
        <v>6</v>
      </c>
      <c r="X25" t="s">
        <v>60</v>
      </c>
      <c r="AA25" t="s">
        <v>27</v>
      </c>
    </row>
    <row r="26" spans="1:27" ht="30" x14ac:dyDescent="0.25">
      <c r="A26" s="9">
        <f>MOD(IF(ROW()=11,0.1,IF(INDEX(TimeEntry[WkEnd],ROW()-10)            =            INDEX(TimeEntry[WkEnd],ROW()-11),               INDEX(TimeEntry[format],ROW()-11),               INDEX(TimeEntry[format],ROW()-11)    +1)),2)</f>
        <v>1.1000000000000001</v>
      </c>
      <c r="B26" s="14">
        <v>44042.680509259262</v>
      </c>
      <c r="C26" s="7">
        <v>44042</v>
      </c>
      <c r="D26" s="7" t="s">
        <v>430</v>
      </c>
      <c r="E26" s="17">
        <v>0.67986111111111114</v>
      </c>
      <c r="F26" s="6" t="s">
        <v>630</v>
      </c>
      <c r="G26" s="6" t="s">
        <v>803</v>
      </c>
      <c r="H26" s="7">
        <f>IF(TimeEntry[[#This Row],[Date]]=0,H11,C26+(7-N26))</f>
        <v>44045</v>
      </c>
      <c r="I26" s="7">
        <f>TimeEntry[[#This Row],[Date]]</f>
        <v>44042</v>
      </c>
      <c r="J26" s="10" t="str">
        <f>IF(TimeEntry[[#This Row],[Date]]=0,"",TEXT(TimeEntry[[#This Row],[Date]],"ddd"))</f>
        <v>Thu</v>
      </c>
      <c r="K26" s="9" t="str">
        <f>IF(TimeEntry[[#This Row],[Project]]=0,"",INDEX(ProjectsAll[job number],MATCH(TimeEntry[[#This Row],[Project]],ProjectsAll[Project],0)))</f>
        <v>210035-65</v>
      </c>
      <c r="L26" s="6" t="s">
        <v>803</v>
      </c>
      <c r="M26" s="9">
        <v>3.75</v>
      </c>
      <c r="N26" s="9">
        <f>IF(TimeEntry[[#This Row],[Date]]=0,"",WEEKDAY(C26,2))</f>
        <v>4</v>
      </c>
      <c r="O26" s="10">
        <f>YEAR(TimeEntry[[#This Row],[WkEnd]])</f>
        <v>2020</v>
      </c>
      <c r="P26" s="10">
        <f>WEEKNUM(TimeEntry[[#This Row],[WkEnd]])</f>
        <v>32</v>
      </c>
      <c r="Q26" s="10" t="str">
        <f>TimeEntry[[#This Row],[Year]]&amp;"-"&amp;TimeEntry[[#This Row],[WkNo]]</f>
        <v>2020-32</v>
      </c>
      <c r="S26" s="5" t="s">
        <v>68</v>
      </c>
      <c r="T26" s="5" t="s">
        <v>69</v>
      </c>
      <c r="U26" s="5"/>
      <c r="V26" s="5" t="s">
        <v>6</v>
      </c>
      <c r="X26" t="s">
        <v>61</v>
      </c>
      <c r="Y26" t="s">
        <v>62</v>
      </c>
      <c r="AA26" t="s">
        <v>27</v>
      </c>
    </row>
    <row r="27" spans="1:27" ht="30" x14ac:dyDescent="0.25">
      <c r="A27" s="9">
        <f>MOD(IF(ROW()=11,0.1,IF(INDEX(TimeEntry[WkEnd],ROW()-10)            =            INDEX(TimeEntry[WkEnd],ROW()-11),               INDEX(TimeEntry[format],ROW()-11),               INDEX(TimeEntry[format],ROW()-11)    +1)),2)</f>
        <v>1.1000000000000001</v>
      </c>
      <c r="B27" s="14">
        <v>44042.67224537037</v>
      </c>
      <c r="C27" s="7">
        <v>44042</v>
      </c>
      <c r="D27" s="7" t="s">
        <v>430</v>
      </c>
      <c r="E27" s="17">
        <v>0.67222222222222217</v>
      </c>
      <c r="F27" s="6" t="s">
        <v>637</v>
      </c>
      <c r="G27" s="6" t="s">
        <v>802</v>
      </c>
      <c r="H27" s="7">
        <f>IF(TimeEntry[[#This Row],[Date]]=0,H11,C27+(7-N27))</f>
        <v>44045</v>
      </c>
      <c r="I27" s="7">
        <f>TimeEntry[[#This Row],[Date]]</f>
        <v>44042</v>
      </c>
      <c r="J27" s="10" t="str">
        <f>IF(TimeEntry[[#This Row],[Date]]=0,"",TEXT(TimeEntry[[#This Row],[Date]],"ddd"))</f>
        <v>Thu</v>
      </c>
      <c r="K27" s="9" t="str">
        <f>IF(TimeEntry[[#This Row],[Project]]=0,"",INDEX(ProjectsAll[job number],MATCH(TimeEntry[[#This Row],[Project]],ProjectsAll[Project],0)))</f>
        <v xml:space="preserve">257677-59 </v>
      </c>
      <c r="L27" s="6" t="s">
        <v>802</v>
      </c>
      <c r="M27" s="9">
        <v>3.75</v>
      </c>
      <c r="N27" s="9">
        <f>IF(TimeEntry[[#This Row],[Date]]=0,"",WEEKDAY(C27,2))</f>
        <v>4</v>
      </c>
      <c r="O27" s="10">
        <f>YEAR(TimeEntry[[#This Row],[WkEnd]])</f>
        <v>2020</v>
      </c>
      <c r="P27" s="10">
        <f>WEEKNUM(TimeEntry[[#This Row],[WkEnd]])</f>
        <v>32</v>
      </c>
      <c r="Q27" s="10" t="str">
        <f>TimeEntry[[#This Row],[Year]]&amp;"-"&amp;TimeEntry[[#This Row],[WkNo]]</f>
        <v>2020-32</v>
      </c>
      <c r="S27" s="5" t="s">
        <v>70</v>
      </c>
      <c r="T27" s="5" t="s">
        <v>71</v>
      </c>
      <c r="U27" s="5"/>
      <c r="V27" s="5" t="s">
        <v>6</v>
      </c>
      <c r="X27" t="s">
        <v>72</v>
      </c>
      <c r="Y27" t="s">
        <v>73</v>
      </c>
      <c r="AA27" t="s">
        <v>27</v>
      </c>
    </row>
    <row r="28" spans="1:27" ht="30" x14ac:dyDescent="0.25">
      <c r="A28" s="9">
        <f>MOD(IF(ROW()=11,0.1,IF(INDEX(TimeEntry[WkEnd],ROW()-10)            =            INDEX(TimeEntry[WkEnd],ROW()-11),               INDEX(TimeEntry[format],ROW()-11),               INDEX(TimeEntry[format],ROW()-11)    +1)),2)</f>
        <v>1.1000000000000001</v>
      </c>
      <c r="B28" s="14">
        <v>44041.675949074073</v>
      </c>
      <c r="C28" s="7">
        <v>44041</v>
      </c>
      <c r="D28" s="7" t="s">
        <v>428</v>
      </c>
      <c r="E28" s="17">
        <v>0.67569444444444438</v>
      </c>
      <c r="F28" s="6" t="s">
        <v>637</v>
      </c>
      <c r="G28" s="6" t="s">
        <v>804</v>
      </c>
      <c r="H28" s="7">
        <f>IF(TimeEntry[[#This Row],[Date]]=0,H27,C28+(7-N28))</f>
        <v>44045</v>
      </c>
      <c r="I28" s="7">
        <f>TimeEntry[[#This Row],[Date]]</f>
        <v>44041</v>
      </c>
      <c r="J28" s="10" t="str">
        <f>IF(TimeEntry[[#This Row],[Date]]=0,"",TEXT(TimeEntry[[#This Row],[Date]],"ddd"))</f>
        <v>Wed</v>
      </c>
      <c r="K28" s="9" t="str">
        <f>IF(TimeEntry[[#This Row],[Project]]=0,"",INDEX(ProjectsAll[job number],MATCH(TimeEntry[[#This Row],[Project]],ProjectsAll[Project],0)))</f>
        <v xml:space="preserve">257677-59 </v>
      </c>
      <c r="L28" s="6" t="s">
        <v>804</v>
      </c>
      <c r="M28" s="9">
        <v>3.75</v>
      </c>
      <c r="N28" s="9">
        <f>IF(TimeEntry[[#This Row],[Date]]=0,"",WEEKDAY(C28,2))</f>
        <v>3</v>
      </c>
      <c r="O28" s="10">
        <f>YEAR(TimeEntry[[#This Row],[WkEnd]])</f>
        <v>2020</v>
      </c>
      <c r="P28" s="10">
        <f>WEEKNUM(TimeEntry[[#This Row],[WkEnd]])</f>
        <v>32</v>
      </c>
      <c r="Q28" s="10" t="str">
        <f>TimeEntry[[#This Row],[Year]]&amp;"-"&amp;TimeEntry[[#This Row],[WkNo]]</f>
        <v>2020-32</v>
      </c>
      <c r="S28" s="5" t="s">
        <v>80</v>
      </c>
      <c r="T28" s="5" t="s">
        <v>81</v>
      </c>
      <c r="U28" s="5"/>
      <c r="V28" s="5" t="s">
        <v>6</v>
      </c>
      <c r="X28" t="s">
        <v>74</v>
      </c>
      <c r="Y28" t="s">
        <v>75</v>
      </c>
      <c r="AA28" t="s">
        <v>27</v>
      </c>
    </row>
    <row r="29" spans="1:27" ht="30" x14ac:dyDescent="0.25">
      <c r="A29" s="9">
        <f>MOD(IF(ROW()=11,0.1,IF(INDEX(TimeEntry[WkEnd],ROW()-10)            =            INDEX(TimeEntry[WkEnd],ROW()-11),               INDEX(TimeEntry[format],ROW()-11),               INDEX(TimeEntry[format],ROW()-11)    +1)),2)</f>
        <v>1.1000000000000001</v>
      </c>
      <c r="B29" s="14">
        <v>44041.675949074073</v>
      </c>
      <c r="C29" s="7">
        <v>44041</v>
      </c>
      <c r="D29" s="7" t="s">
        <v>428</v>
      </c>
      <c r="E29" s="17">
        <v>0.67569444444444438</v>
      </c>
      <c r="F29" s="6" t="s">
        <v>630</v>
      </c>
      <c r="G29" s="6" t="s">
        <v>805</v>
      </c>
      <c r="H29" s="7">
        <f>IF(TimeEntry[[#This Row],[Date]]=0,H11,C29+(7-N29))</f>
        <v>44045</v>
      </c>
      <c r="I29" s="7">
        <f>TimeEntry[[#This Row],[Date]]</f>
        <v>44041</v>
      </c>
      <c r="J29" s="10" t="str">
        <f>IF(TimeEntry[[#This Row],[Date]]=0,"",TEXT(TimeEntry[[#This Row],[Date]],"ddd"))</f>
        <v>Wed</v>
      </c>
      <c r="K29" s="9" t="str">
        <f>IF(TimeEntry[[#This Row],[Project]]=0,"",INDEX(ProjectsAll[job number],MATCH(TimeEntry[[#This Row],[Project]],ProjectsAll[Project],0)))</f>
        <v>210035-65</v>
      </c>
      <c r="L29" s="6" t="s">
        <v>805</v>
      </c>
      <c r="M29" s="9">
        <v>3.75</v>
      </c>
      <c r="N29" s="9">
        <f>IF(TimeEntry[[#This Row],[Date]]=0,"",WEEKDAY(C29,2))</f>
        <v>3</v>
      </c>
      <c r="O29" s="10">
        <f>YEAR(TimeEntry[[#This Row],[WkEnd]])</f>
        <v>2020</v>
      </c>
      <c r="P29" s="10">
        <f>WEEKNUM(TimeEntry[[#This Row],[WkEnd]])</f>
        <v>32</v>
      </c>
      <c r="Q29" s="10" t="str">
        <f>TimeEntry[[#This Row],[Year]]&amp;"-"&amp;TimeEntry[[#This Row],[WkNo]]</f>
        <v>2020-32</v>
      </c>
      <c r="S29" s="5" t="s">
        <v>90</v>
      </c>
      <c r="T29" s="5" t="s">
        <v>91</v>
      </c>
      <c r="U29" s="5"/>
      <c r="V29" s="5" t="s">
        <v>6</v>
      </c>
      <c r="X29" t="s">
        <v>76</v>
      </c>
      <c r="Y29" t="s">
        <v>77</v>
      </c>
      <c r="AA29" t="s">
        <v>27</v>
      </c>
    </row>
    <row r="30" spans="1:27" ht="30" x14ac:dyDescent="0.25">
      <c r="A30" s="9">
        <f>MOD(IF(ROW()=11,0.1,IF(INDEX(TimeEntry[WkEnd],ROW()-10)            =            INDEX(TimeEntry[WkEnd],ROW()-11),               INDEX(TimeEntry[format],ROW()-11),               INDEX(TimeEntry[format],ROW()-11)    +1)),2)</f>
        <v>1.1000000000000001</v>
      </c>
      <c r="B30" s="14">
        <v>44040.502893518518</v>
      </c>
      <c r="C30" s="7">
        <v>44040</v>
      </c>
      <c r="D30" s="7" t="s">
        <v>429</v>
      </c>
      <c r="E30" s="17">
        <v>0.50277777777777777</v>
      </c>
      <c r="F30" s="6" t="s">
        <v>630</v>
      </c>
      <c r="G30" s="6" t="s">
        <v>800</v>
      </c>
      <c r="H30" s="7">
        <f>IF(TimeEntry[[#This Row],[Date]]=0,H11,C30+(7-N30))</f>
        <v>44045</v>
      </c>
      <c r="I30" s="7">
        <f>TimeEntry[[#This Row],[Date]]</f>
        <v>44040</v>
      </c>
      <c r="J30" s="10" t="str">
        <f>IF(TimeEntry[[#This Row],[Date]]=0,"",TEXT(TimeEntry[[#This Row],[Date]],"ddd"))</f>
        <v>Tue</v>
      </c>
      <c r="K30" s="9" t="str">
        <f>IF(TimeEntry[[#This Row],[Project]]=0,"",INDEX(ProjectsAll[job number],MATCH(TimeEntry[[#This Row],[Project]],ProjectsAll[Project],0)))</f>
        <v>210035-65</v>
      </c>
      <c r="L30" s="6" t="s">
        <v>800</v>
      </c>
      <c r="M30" s="9">
        <v>7.5</v>
      </c>
      <c r="N30" s="9">
        <f>IF(TimeEntry[[#This Row],[Date]]=0,"",WEEKDAY(C30,2))</f>
        <v>2</v>
      </c>
      <c r="O30" s="10">
        <f>YEAR(TimeEntry[[#This Row],[WkEnd]])</f>
        <v>2020</v>
      </c>
      <c r="P30" s="10">
        <f>WEEKNUM(TimeEntry[[#This Row],[WkEnd]])</f>
        <v>32</v>
      </c>
      <c r="Q30" s="10" t="str">
        <f>TimeEntry[[#This Row],[Year]]&amp;"-"&amp;TimeEntry[[#This Row],[WkNo]]</f>
        <v>2020-32</v>
      </c>
      <c r="S30" s="5" t="s">
        <v>630</v>
      </c>
      <c r="T30" s="5" t="s">
        <v>629</v>
      </c>
      <c r="U30" s="5"/>
      <c r="V30" s="5" t="s">
        <v>6</v>
      </c>
      <c r="X30" t="s">
        <v>78</v>
      </c>
      <c r="Y30" t="s">
        <v>79</v>
      </c>
      <c r="AA30" t="s">
        <v>27</v>
      </c>
    </row>
    <row r="31" spans="1:27" ht="75" x14ac:dyDescent="0.25">
      <c r="A31" s="9">
        <f>MOD(IF(ROW()=11,0.1,IF(INDEX(TimeEntry[WkEnd],ROW()-10)            =            INDEX(TimeEntry[WkEnd],ROW()-11),               INDEX(TimeEntry[format],ROW()-11),               INDEX(TimeEntry[format],ROW()-11)    +1)),2)</f>
        <v>1.1000000000000001</v>
      </c>
      <c r="B31" s="14">
        <v>44039.50545138889</v>
      </c>
      <c r="C31" s="7">
        <v>44039</v>
      </c>
      <c r="D31" s="7" t="s">
        <v>433</v>
      </c>
      <c r="E31" s="17">
        <v>0.50486111111111109</v>
      </c>
      <c r="F31" s="6" t="s">
        <v>630</v>
      </c>
      <c r="G31" s="6" t="s">
        <v>808</v>
      </c>
      <c r="H31" s="7">
        <f>IF(TimeEntry[[#This Row],[Date]]=0,#REF!,C31+(7-N31))</f>
        <v>44045</v>
      </c>
      <c r="I31" s="7">
        <f>TimeEntry[[#This Row],[Date]]</f>
        <v>44039</v>
      </c>
      <c r="J31" s="10" t="str">
        <f>IF(TimeEntry[[#This Row],[Date]]=0,"",TEXT(TimeEntry[[#This Row],[Date]],"ddd"))</f>
        <v>Mon</v>
      </c>
      <c r="K31" s="9" t="str">
        <f>IF(TimeEntry[[#This Row],[Project]]=0,"",INDEX(ProjectsAll[job number],MATCH(TimeEntry[[#This Row],[Project]],ProjectsAll[Project],0)))</f>
        <v>210035-65</v>
      </c>
      <c r="L31" s="6" t="s">
        <v>806</v>
      </c>
      <c r="M31" s="9">
        <v>7.5</v>
      </c>
      <c r="N31" s="9">
        <f>IF(TimeEntry[[#This Row],[Date]]=0,"",WEEKDAY(C31,2))</f>
        <v>1</v>
      </c>
      <c r="O31" s="10">
        <f>YEAR(TimeEntry[[#This Row],[WkEnd]])</f>
        <v>2020</v>
      </c>
      <c r="P31" s="10">
        <f>WEEKNUM(TimeEntry[[#This Row],[WkEnd]])</f>
        <v>32</v>
      </c>
      <c r="Q31" s="10" t="str">
        <f>TimeEntry[[#This Row],[Year]]&amp;"-"&amp;TimeEntry[[#This Row],[WkNo]]</f>
        <v>2020-32</v>
      </c>
      <c r="S31" s="5" t="s">
        <v>637</v>
      </c>
      <c r="T31" s="8" t="s">
        <v>639</v>
      </c>
      <c r="U31" s="5" t="s">
        <v>640</v>
      </c>
      <c r="V31" s="5" t="s">
        <v>6</v>
      </c>
      <c r="X31" t="s">
        <v>82</v>
      </c>
      <c r="Y31" t="s">
        <v>83</v>
      </c>
      <c r="AA31" t="s">
        <v>27</v>
      </c>
    </row>
    <row r="32" spans="1:27" ht="30" x14ac:dyDescent="0.25">
      <c r="A32" s="9">
        <f>MOD(IF(ROW()=11,0.1,IF(INDEX(TimeEntry[WkEnd],ROW()-10)            =            INDEX(TimeEntry[WkEnd],ROW()-11),               INDEX(TimeEntry[format],ROW()-11),               INDEX(TimeEntry[format],ROW()-11)    +1)),2)</f>
        <v>1.1000000000000001</v>
      </c>
      <c r="B32" s="14">
        <v>44039.50545138889</v>
      </c>
      <c r="C32" s="7">
        <v>44039</v>
      </c>
      <c r="D32" s="7" t="s">
        <v>433</v>
      </c>
      <c r="E32" s="17">
        <v>0.50486111111111109</v>
      </c>
      <c r="F32" s="6"/>
      <c r="G32" s="6" t="s">
        <v>807</v>
      </c>
      <c r="H32" s="7">
        <f>IF(TimeEntry[[#This Row],[Date]]=0,H11,C32+(7-N32))</f>
        <v>44045</v>
      </c>
      <c r="I32" s="7">
        <f>TimeEntry[[#This Row],[Date]]</f>
        <v>44039</v>
      </c>
      <c r="J32" s="10" t="str">
        <f>IF(TimeEntry[[#This Row],[Date]]=0,"",TEXT(TimeEntry[[#This Row],[Date]],"ddd"))</f>
        <v>Mon</v>
      </c>
      <c r="K32" s="9" t="str">
        <f>IF(TimeEntry[[#This Row],[Project]]=0,"",INDEX(ProjectsAll[job number],MATCH(TimeEntry[[#This Row],[Project]],ProjectsAll[Project],0)))</f>
        <v/>
      </c>
      <c r="L32" s="9"/>
      <c r="M32" s="9"/>
      <c r="N32" s="9">
        <f>IF(TimeEntry[[#This Row],[Date]]=0,"",WEEKDAY(C32,2))</f>
        <v>1</v>
      </c>
      <c r="O32" s="10">
        <f>YEAR(TimeEntry[[#This Row],[WkEnd]])</f>
        <v>2020</v>
      </c>
      <c r="P32" s="10">
        <f>WEEKNUM(TimeEntry[[#This Row],[WkEnd]])</f>
        <v>32</v>
      </c>
      <c r="Q32" s="10" t="str">
        <f>TimeEntry[[#This Row],[Year]]&amp;"-"&amp;TimeEntry[[#This Row],[WkNo]]</f>
        <v>2020-32</v>
      </c>
      <c r="X32" t="s">
        <v>84</v>
      </c>
      <c r="Y32" t="s">
        <v>85</v>
      </c>
      <c r="AA32" t="s">
        <v>27</v>
      </c>
    </row>
    <row r="33" spans="1:27" ht="30" x14ac:dyDescent="0.25">
      <c r="A33" s="9">
        <f>MOD(IF(ROW()=11,0.1,IF(INDEX(TimeEntry[WkEnd],ROW()-10)            =            INDEX(TimeEntry[WkEnd],ROW()-11),               INDEX(TimeEntry[format],ROW()-11),               INDEX(TimeEntry[format],ROW()-11)    +1)),2)</f>
        <v>0.10000000000000009</v>
      </c>
      <c r="B33" s="14">
        <v>44036.668043981481</v>
      </c>
      <c r="C33" s="7">
        <v>44036</v>
      </c>
      <c r="D33" s="7" t="s">
        <v>437</v>
      </c>
      <c r="E33" s="17">
        <v>0.66736111111111107</v>
      </c>
      <c r="F33" s="6" t="s">
        <v>630</v>
      </c>
      <c r="G33" s="6" t="s">
        <v>794</v>
      </c>
      <c r="H33" s="7">
        <f>IF(TimeEntry[[#This Row],[Date]]=0,H11,C33+(7-N33))</f>
        <v>44038</v>
      </c>
      <c r="I33" s="7">
        <f>TimeEntry[[#This Row],[Date]]</f>
        <v>44036</v>
      </c>
      <c r="J33" s="10" t="str">
        <f>IF(TimeEntry[[#This Row],[Date]]=0,"",TEXT(TimeEntry[[#This Row],[Date]],"ddd"))</f>
        <v>Fri</v>
      </c>
      <c r="K33" s="9" t="str">
        <f>IF(TimeEntry[[#This Row],[Project]]=0,"",INDEX(ProjectsAll[job number],MATCH(TimeEntry[[#This Row],[Project]],ProjectsAll[Project],0)))</f>
        <v>210035-65</v>
      </c>
      <c r="L33" s="9" t="s">
        <v>794</v>
      </c>
      <c r="M33" s="9">
        <v>7.5</v>
      </c>
      <c r="N33" s="9">
        <f>IF(TimeEntry[[#This Row],[Date]]=0,"",WEEKDAY(C33,2))</f>
        <v>5</v>
      </c>
      <c r="O33" s="10">
        <f>YEAR(TimeEntry[[#This Row],[WkEnd]])</f>
        <v>2020</v>
      </c>
      <c r="P33" s="10">
        <f>WEEKNUM(TimeEntry[[#This Row],[WkEnd]])</f>
        <v>31</v>
      </c>
      <c r="Q33" s="10" t="str">
        <f>TimeEntry[[#This Row],[Year]]&amp;"-"&amp;TimeEntry[[#This Row],[WkNo]]</f>
        <v>2020-31</v>
      </c>
      <c r="X33" t="s">
        <v>86</v>
      </c>
      <c r="Y33" t="s">
        <v>87</v>
      </c>
      <c r="AA33" t="s">
        <v>27</v>
      </c>
    </row>
    <row r="34" spans="1:27" x14ac:dyDescent="0.25">
      <c r="A34" s="9">
        <f>MOD(IF(ROW()=11,0.1,IF(INDEX(TimeEntry[WkEnd],ROW()-10)            =            INDEX(TimeEntry[WkEnd],ROW()-11),               INDEX(TimeEntry[format],ROW()-11),               INDEX(TimeEntry[format],ROW()-11)    +1)),2)</f>
        <v>0.10000000000000009</v>
      </c>
      <c r="B34" s="14">
        <v>44036.668043981481</v>
      </c>
      <c r="C34" s="7">
        <v>44036</v>
      </c>
      <c r="D34" s="7" t="s">
        <v>437</v>
      </c>
      <c r="E34" s="17">
        <v>0.66736111111111107</v>
      </c>
      <c r="F34" s="6" t="s">
        <v>669</v>
      </c>
      <c r="G34" s="6" t="s">
        <v>754</v>
      </c>
      <c r="H34" s="7">
        <f>IF(TimeEntry[[#This Row],[Date]]=0,H33,C34+(7-N34))</f>
        <v>44038</v>
      </c>
      <c r="I34" s="7">
        <f>TimeEntry[[#This Row],[Date]]</f>
        <v>44036</v>
      </c>
      <c r="J34" s="10" t="str">
        <f>IF(TimeEntry[[#This Row],[Date]]=0,"",TEXT(TimeEntry[[#This Row],[Date]],"ddd"))</f>
        <v>Fri</v>
      </c>
      <c r="K34" s="9">
        <f>IF(TimeEntry[[#This Row],[Project]]=0,"",INDEX(ProjectsAll[job number],MATCH(TimeEntry[[#This Row],[Project]],ProjectsAll[Project],0)))</f>
        <v>0</v>
      </c>
      <c r="L34" s="9" t="s">
        <v>754</v>
      </c>
      <c r="M34" s="9"/>
      <c r="N34" s="9">
        <f>IF(TimeEntry[[#This Row],[Date]]=0,"",WEEKDAY(C34,2))</f>
        <v>5</v>
      </c>
      <c r="O34" s="10">
        <f>YEAR(TimeEntry[[#This Row],[WkEnd]])</f>
        <v>2020</v>
      </c>
      <c r="P34" s="10">
        <f>WEEKNUM(TimeEntry[[#This Row],[WkEnd]])</f>
        <v>31</v>
      </c>
      <c r="Q34" s="10" t="str">
        <f>TimeEntry[[#This Row],[Year]]&amp;"-"&amp;TimeEntry[[#This Row],[WkNo]]</f>
        <v>2020-31</v>
      </c>
      <c r="X34" t="s">
        <v>88</v>
      </c>
      <c r="Y34" t="s">
        <v>89</v>
      </c>
      <c r="AA34" t="s">
        <v>27</v>
      </c>
    </row>
    <row r="35" spans="1:27" ht="60" x14ac:dyDescent="0.25">
      <c r="A35" s="9">
        <f>MOD(IF(ROW()=11,0.1,IF(INDEX(TimeEntry[WkEnd],ROW()-10)            =            INDEX(TimeEntry[WkEnd],ROW()-11),               INDEX(TimeEntry[format],ROW()-11),               INDEX(TimeEntry[format],ROW()-11)    +1)),2)</f>
        <v>0.10000000000000009</v>
      </c>
      <c r="B35" s="14">
        <v>44035.668495370373</v>
      </c>
      <c r="C35" s="7">
        <v>44035</v>
      </c>
      <c r="D35" s="7" t="s">
        <v>430</v>
      </c>
      <c r="E35" s="17">
        <v>0.66805555555555562</v>
      </c>
      <c r="F35" s="6" t="s">
        <v>630</v>
      </c>
      <c r="G35" s="6" t="s">
        <v>790</v>
      </c>
      <c r="H35" s="7">
        <f>IF(TimeEntry[[#This Row],[Date]]=0,H11,C35+(7-N35))</f>
        <v>44038</v>
      </c>
      <c r="I35" s="7">
        <f>TimeEntry[[#This Row],[Date]]</f>
        <v>44035</v>
      </c>
      <c r="J35" s="10" t="str">
        <f>IF(TimeEntry[[#This Row],[Date]]=0,"",TEXT(TimeEntry[[#This Row],[Date]],"ddd"))</f>
        <v>Thu</v>
      </c>
      <c r="K35" s="9" t="str">
        <f>IF(TimeEntry[[#This Row],[Project]]=0,"",INDEX(ProjectsAll[job number],MATCH(TimeEntry[[#This Row],[Project]],ProjectsAll[Project],0)))</f>
        <v>210035-65</v>
      </c>
      <c r="L35" s="9" t="s">
        <v>795</v>
      </c>
      <c r="M35" s="9">
        <v>3.75</v>
      </c>
      <c r="N35" s="9">
        <f>IF(TimeEntry[[#This Row],[Date]]=0,"",WEEKDAY(C35,2))</f>
        <v>4</v>
      </c>
      <c r="O35" s="10">
        <f>YEAR(TimeEntry[[#This Row],[WkEnd]])</f>
        <v>2020</v>
      </c>
      <c r="P35" s="10">
        <f>WEEKNUM(TimeEntry[[#This Row],[WkEnd]])</f>
        <v>31</v>
      </c>
      <c r="Q35" s="10" t="str">
        <f>TimeEntry[[#This Row],[Year]]&amp;"-"&amp;TimeEntry[[#This Row],[WkNo]]</f>
        <v>2020-31</v>
      </c>
      <c r="X35" t="s">
        <v>92</v>
      </c>
      <c r="Y35" t="s">
        <v>93</v>
      </c>
      <c r="Z35" t="s">
        <v>94</v>
      </c>
      <c r="AA35" t="s">
        <v>27</v>
      </c>
    </row>
    <row r="36" spans="1:27" ht="30" x14ac:dyDescent="0.25">
      <c r="A36" s="9">
        <f>MOD(IF(ROW()=11,0.1,IF(INDEX(TimeEntry[WkEnd],ROW()-10)            =            INDEX(TimeEntry[WkEnd],ROW()-11),               INDEX(TimeEntry[format],ROW()-11),               INDEX(TimeEntry[format],ROW()-11)    +1)),2)</f>
        <v>0.10000000000000009</v>
      </c>
      <c r="B36" s="14">
        <v>44035.500486111108</v>
      </c>
      <c r="C36" s="7">
        <v>44035</v>
      </c>
      <c r="D36" s="7" t="s">
        <v>430</v>
      </c>
      <c r="E36" s="17">
        <v>0.5</v>
      </c>
      <c r="F36" s="6" t="s">
        <v>630</v>
      </c>
      <c r="G36" s="6" t="s">
        <v>789</v>
      </c>
      <c r="H36" s="7">
        <f>IF(TimeEntry[[#This Row],[Date]]=0,H11,C36+(7-N36))</f>
        <v>44038</v>
      </c>
      <c r="I36" s="7">
        <f>TimeEntry[[#This Row],[Date]]</f>
        <v>44035</v>
      </c>
      <c r="J36" s="10" t="str">
        <f>IF(TimeEntry[[#This Row],[Date]]=0,"",TEXT(TimeEntry[[#This Row],[Date]],"ddd"))</f>
        <v>Thu</v>
      </c>
      <c r="K36" s="9" t="str">
        <f>IF(TimeEntry[[#This Row],[Project]]=0,"",INDEX(ProjectsAll[job number],MATCH(TimeEntry[[#This Row],[Project]],ProjectsAll[Project],0)))</f>
        <v>210035-65</v>
      </c>
      <c r="L36" s="9" t="s">
        <v>789</v>
      </c>
      <c r="M36" s="9">
        <v>3.75</v>
      </c>
      <c r="N36" s="9">
        <f>IF(TimeEntry[[#This Row],[Date]]=0,"",WEEKDAY(C36,2))</f>
        <v>4</v>
      </c>
      <c r="O36" s="10">
        <f>YEAR(TimeEntry[[#This Row],[WkEnd]])</f>
        <v>2020</v>
      </c>
      <c r="P36" s="10">
        <f>WEEKNUM(TimeEntry[[#This Row],[WkEnd]])</f>
        <v>31</v>
      </c>
      <c r="Q36" s="10" t="str">
        <f>TimeEntry[[#This Row],[Year]]&amp;"-"&amp;TimeEntry[[#This Row],[WkNo]]</f>
        <v>2020-31</v>
      </c>
      <c r="X36" t="s">
        <v>95</v>
      </c>
      <c r="Y36" t="s">
        <v>96</v>
      </c>
      <c r="AA36" t="s">
        <v>27</v>
      </c>
    </row>
    <row r="37" spans="1:27" ht="45" x14ac:dyDescent="0.25">
      <c r="A37" s="9">
        <f>MOD(IF(ROW()=11,0.1,IF(INDEX(TimeEntry[WkEnd],ROW()-10)            =            INDEX(TimeEntry[WkEnd],ROW()-11),               INDEX(TimeEntry[format],ROW()-11),               INDEX(TimeEntry[format],ROW()-11)    +1)),2)</f>
        <v>0.10000000000000009</v>
      </c>
      <c r="B37" s="14">
        <v>44034.667268518519</v>
      </c>
      <c r="C37" s="7">
        <v>44034</v>
      </c>
      <c r="D37" s="7" t="s">
        <v>428</v>
      </c>
      <c r="E37" s="17">
        <v>0.66666666666666663</v>
      </c>
      <c r="F37" s="6" t="s">
        <v>630</v>
      </c>
      <c r="G37" s="6" t="s">
        <v>788</v>
      </c>
      <c r="H37" s="7">
        <f>IF(TimeEntry[[#This Row],[Date]]=0,H11,C37+(7-N37))</f>
        <v>44038</v>
      </c>
      <c r="I37" s="7">
        <f>TimeEntry[[#This Row],[Date]]</f>
        <v>44034</v>
      </c>
      <c r="J37" s="10" t="str">
        <f>IF(TimeEntry[[#This Row],[Date]]=0,"",TEXT(TimeEntry[[#This Row],[Date]],"ddd"))</f>
        <v>Wed</v>
      </c>
      <c r="K37" s="9" t="str">
        <f>IF(TimeEntry[[#This Row],[Project]]=0,"",INDEX(ProjectsAll[job number],MATCH(TimeEntry[[#This Row],[Project]],ProjectsAll[Project],0)))</f>
        <v>210035-65</v>
      </c>
      <c r="L37" s="9" t="s">
        <v>796</v>
      </c>
      <c r="M37" s="9">
        <v>2</v>
      </c>
      <c r="N37" s="9">
        <f>IF(TimeEntry[[#This Row],[Date]]=0,"",WEEKDAY(C37,2))</f>
        <v>3</v>
      </c>
      <c r="O37" s="10">
        <f>YEAR(TimeEntry[[#This Row],[WkEnd]])</f>
        <v>2020</v>
      </c>
      <c r="P37" s="10">
        <f>WEEKNUM(TimeEntry[[#This Row],[WkEnd]])</f>
        <v>31</v>
      </c>
      <c r="Q37" s="10" t="str">
        <f>TimeEntry[[#This Row],[Year]]&amp;"-"&amp;TimeEntry[[#This Row],[WkNo]]</f>
        <v>2020-31</v>
      </c>
      <c r="X37" t="s">
        <v>97</v>
      </c>
      <c r="Y37" t="s">
        <v>98</v>
      </c>
      <c r="AA37" t="s">
        <v>27</v>
      </c>
    </row>
    <row r="38" spans="1:27" ht="45" x14ac:dyDescent="0.25">
      <c r="A38" s="9">
        <f>MOD(IF(ROW()=11,0.1,IF(INDEX(TimeEntry[WkEnd],ROW()-10)            =            INDEX(TimeEntry[WkEnd],ROW()-11),               INDEX(TimeEntry[format],ROW()-11),               INDEX(TimeEntry[format],ROW()-11)    +1)),2)</f>
        <v>0.10000000000000009</v>
      </c>
      <c r="B38" s="14">
        <v>44034.500914351855</v>
      </c>
      <c r="C38" s="7">
        <v>44034</v>
      </c>
      <c r="D38" s="7" t="s">
        <v>428</v>
      </c>
      <c r="E38" s="17">
        <v>0.50069444444444444</v>
      </c>
      <c r="F38" s="6" t="s">
        <v>630</v>
      </c>
      <c r="G38" s="6" t="s">
        <v>798</v>
      </c>
      <c r="H38" s="7">
        <f>IF(TimeEntry[[#This Row],[Date]]=0,H11,C38+(7-N38))</f>
        <v>44038</v>
      </c>
      <c r="I38" s="7">
        <f>TimeEntry[[#This Row],[Date]]</f>
        <v>44034</v>
      </c>
      <c r="J38" s="10" t="str">
        <f>IF(TimeEntry[[#This Row],[Date]]=0,"",TEXT(TimeEntry[[#This Row],[Date]],"ddd"))</f>
        <v>Wed</v>
      </c>
      <c r="K38" s="9" t="str">
        <f>IF(TimeEntry[[#This Row],[Project]]=0,"",INDEX(ProjectsAll[job number],MATCH(TimeEntry[[#This Row],[Project]],ProjectsAll[Project],0)))</f>
        <v>210035-65</v>
      </c>
      <c r="L38" s="9" t="s">
        <v>793</v>
      </c>
      <c r="M38" s="9">
        <v>5.5</v>
      </c>
      <c r="N38" s="9">
        <f>IF(TimeEntry[[#This Row],[Date]]=0,"",WEEKDAY(C38,2))</f>
        <v>3</v>
      </c>
      <c r="O38" s="10">
        <f>YEAR(TimeEntry[[#This Row],[WkEnd]])</f>
        <v>2020</v>
      </c>
      <c r="P38" s="10">
        <f>WEEKNUM(TimeEntry[[#This Row],[WkEnd]])</f>
        <v>31</v>
      </c>
      <c r="Q38" s="10" t="str">
        <f>TimeEntry[[#This Row],[Year]]&amp;"-"&amp;TimeEntry[[#This Row],[WkNo]]</f>
        <v>2020-31</v>
      </c>
      <c r="X38" t="s">
        <v>99</v>
      </c>
      <c r="Y38" t="s">
        <v>100</v>
      </c>
      <c r="AA38" t="s">
        <v>27</v>
      </c>
    </row>
    <row r="39" spans="1:27" x14ac:dyDescent="0.25">
      <c r="A39" s="9">
        <f>MOD(IF(ROW()=11,0.1,IF(INDEX(TimeEntry[WkEnd],ROW()-10)            =            INDEX(TimeEntry[WkEnd],ROW()-11),               INDEX(TimeEntry[format],ROW()-11),               INDEX(TimeEntry[format],ROW()-11)    +1)),2)</f>
        <v>0.10000000000000009</v>
      </c>
      <c r="B39" s="14">
        <v>44034.500914351855</v>
      </c>
      <c r="C39" s="7">
        <v>44034</v>
      </c>
      <c r="D39" s="7" t="s">
        <v>428</v>
      </c>
      <c r="E39" s="17">
        <v>0.50069444444444444</v>
      </c>
      <c r="F39" s="6" t="s">
        <v>669</v>
      </c>
      <c r="G39" s="6" t="s">
        <v>797</v>
      </c>
      <c r="H39" s="7">
        <f>IF(TimeEntry[[#This Row],[Date]]=0,H38,C39+(7-N39))</f>
        <v>44038</v>
      </c>
      <c r="I39" s="7">
        <f>TimeEntry[[#This Row],[Date]]</f>
        <v>44034</v>
      </c>
      <c r="J39" s="10" t="str">
        <f>IF(TimeEntry[[#This Row],[Date]]=0,"",TEXT(TimeEntry[[#This Row],[Date]],"ddd"))</f>
        <v>Wed</v>
      </c>
      <c r="K39" s="9">
        <f>IF(TimeEntry[[#This Row],[Project]]=0,"",INDEX(ProjectsAll[job number],MATCH(TimeEntry[[#This Row],[Project]],ProjectsAll[Project],0)))</f>
        <v>0</v>
      </c>
      <c r="L39" s="9"/>
      <c r="M39" s="9"/>
      <c r="N39" s="9">
        <f>IF(TimeEntry[[#This Row],[Date]]=0,"",WEEKDAY(C39,2))</f>
        <v>3</v>
      </c>
      <c r="O39" s="10">
        <f>YEAR(TimeEntry[[#This Row],[WkEnd]])</f>
        <v>2020</v>
      </c>
      <c r="P39" s="10">
        <f>WEEKNUM(TimeEntry[[#This Row],[WkEnd]])</f>
        <v>31</v>
      </c>
      <c r="Q39" s="10" t="str">
        <f>TimeEntry[[#This Row],[Year]]&amp;"-"&amp;TimeEntry[[#This Row],[WkNo]]</f>
        <v>2020-31</v>
      </c>
      <c r="X39" t="s">
        <v>10</v>
      </c>
      <c r="Y39" t="s">
        <v>11</v>
      </c>
      <c r="AA39" t="s">
        <v>6</v>
      </c>
    </row>
    <row r="40" spans="1:27" ht="30" x14ac:dyDescent="0.25">
      <c r="A40" s="9">
        <f>MOD(IF(ROW()=11,0.1,IF(INDEX(TimeEntry[WkEnd],ROW()-10)            =            INDEX(TimeEntry[WkEnd],ROW()-11),               INDEX(TimeEntry[format],ROW()-11),               INDEX(TimeEntry[format],ROW()-11)    +1)),2)</f>
        <v>0.10000000000000009</v>
      </c>
      <c r="B40" s="14">
        <v>44033.678564814814</v>
      </c>
      <c r="C40" s="7">
        <v>44033</v>
      </c>
      <c r="D40" s="7" t="s">
        <v>429</v>
      </c>
      <c r="E40" s="17">
        <v>0.67847222222222225</v>
      </c>
      <c r="F40" s="6" t="s">
        <v>630</v>
      </c>
      <c r="G40" s="6" t="s">
        <v>786</v>
      </c>
      <c r="H40" s="7">
        <f>IF(TimeEntry[[#This Row],[Date]]=0,H11,C40+(7-N40))</f>
        <v>44038</v>
      </c>
      <c r="I40" s="7">
        <f>TimeEntry[[#This Row],[Date]]</f>
        <v>44033</v>
      </c>
      <c r="J40" s="10" t="str">
        <f>IF(TimeEntry[[#This Row],[Date]]=0,"",TEXT(TimeEntry[[#This Row],[Date]],"ddd"))</f>
        <v>Tue</v>
      </c>
      <c r="K40" s="9" t="str">
        <f>IF(TimeEntry[[#This Row],[Project]]=0,"",INDEX(ProjectsAll[job number],MATCH(TimeEntry[[#This Row],[Project]],ProjectsAll[Project],0)))</f>
        <v>210035-65</v>
      </c>
      <c r="L40" s="9" t="s">
        <v>799</v>
      </c>
      <c r="M40" s="9">
        <v>2.5</v>
      </c>
      <c r="N40" s="9">
        <f>IF(TimeEntry[[#This Row],[Date]]=0,"",WEEKDAY(C40,2))</f>
        <v>2</v>
      </c>
      <c r="O40" s="10">
        <f>YEAR(TimeEntry[[#This Row],[WkEnd]])</f>
        <v>2020</v>
      </c>
      <c r="P40" s="10">
        <f>WEEKNUM(TimeEntry[[#This Row],[WkEnd]])</f>
        <v>31</v>
      </c>
      <c r="Q40" s="10" t="str">
        <f>TimeEntry[[#This Row],[Year]]&amp;"-"&amp;TimeEntry[[#This Row],[WkNo]]</f>
        <v>2020-31</v>
      </c>
      <c r="X40" t="s">
        <v>12</v>
      </c>
      <c r="Y40" t="s">
        <v>13</v>
      </c>
      <c r="AA40" t="s">
        <v>6</v>
      </c>
    </row>
    <row r="41" spans="1:27" ht="30" x14ac:dyDescent="0.25">
      <c r="A41" s="9">
        <f>MOD(IF(ROW()=11,0.1,IF(INDEX(TimeEntry[WkEnd],ROW()-10)            =            INDEX(TimeEntry[WkEnd],ROW()-11),               INDEX(TimeEntry[format],ROW()-11),               INDEX(TimeEntry[format],ROW()-11)    +1)),2)</f>
        <v>0.10000000000000009</v>
      </c>
      <c r="B41" s="14">
        <v>44033.500358796293</v>
      </c>
      <c r="C41" s="7">
        <v>44033</v>
      </c>
      <c r="D41" s="7" t="s">
        <v>429</v>
      </c>
      <c r="E41" s="17">
        <v>0.5</v>
      </c>
      <c r="F41" s="6" t="s">
        <v>630</v>
      </c>
      <c r="G41" s="6" t="s">
        <v>785</v>
      </c>
      <c r="H41" s="7">
        <f>IF(TimeEntry[[#This Row],[Date]]=0,H11,C41+(7-N41))</f>
        <v>44038</v>
      </c>
      <c r="I41" s="7">
        <f>TimeEntry[[#This Row],[Date]]</f>
        <v>44033</v>
      </c>
      <c r="J41" s="10" t="str">
        <f>IF(TimeEntry[[#This Row],[Date]]=0,"",TEXT(TimeEntry[[#This Row],[Date]],"ddd"))</f>
        <v>Tue</v>
      </c>
      <c r="K41" s="9" t="str">
        <f>IF(TimeEntry[[#This Row],[Project]]=0,"",INDEX(ProjectsAll[job number],MATCH(TimeEntry[[#This Row],[Project]],ProjectsAll[Project],0)))</f>
        <v>210035-65</v>
      </c>
      <c r="L41" s="9" t="s">
        <v>785</v>
      </c>
      <c r="M41" s="9">
        <v>5</v>
      </c>
      <c r="N41" s="9">
        <f>IF(TimeEntry[[#This Row],[Date]]=0,"",WEEKDAY(C41,2))</f>
        <v>2</v>
      </c>
      <c r="O41" s="10">
        <f>YEAR(TimeEntry[[#This Row],[WkEnd]])</f>
        <v>2020</v>
      </c>
      <c r="P41" s="10">
        <f>WEEKNUM(TimeEntry[[#This Row],[WkEnd]])</f>
        <v>31</v>
      </c>
      <c r="Q41" s="10" t="str">
        <f>TimeEntry[[#This Row],[Year]]&amp;"-"&amp;TimeEntry[[#This Row],[WkNo]]</f>
        <v>2020-31</v>
      </c>
      <c r="X41" t="s">
        <v>669</v>
      </c>
      <c r="AA41" t="s">
        <v>6</v>
      </c>
    </row>
    <row r="42" spans="1:27" ht="30" x14ac:dyDescent="0.25">
      <c r="A42" s="9">
        <f>MOD(IF(ROW()=11,0.1,IF(INDEX(TimeEntry[WkEnd],ROW()-10)            =            INDEX(TimeEntry[WkEnd],ROW()-11),               INDEX(TimeEntry[format],ROW()-11),               INDEX(TimeEntry[format],ROW()-11)    +1)),2)</f>
        <v>0.10000000000000009</v>
      </c>
      <c r="B42" s="14">
        <v>44032.501064814816</v>
      </c>
      <c r="C42" s="7">
        <v>44032</v>
      </c>
      <c r="D42" s="7" t="s">
        <v>433</v>
      </c>
      <c r="E42" s="17">
        <v>0.50069444444444444</v>
      </c>
      <c r="F42" s="6" t="s">
        <v>637</v>
      </c>
      <c r="G42" s="6" t="s">
        <v>791</v>
      </c>
      <c r="H42" s="7">
        <f>IF(TimeEntry[[#This Row],[Date]]=0,#REF!,C42+(7-N42))</f>
        <v>44038</v>
      </c>
      <c r="I42" s="7">
        <f>TimeEntry[[#This Row],[Date]]</f>
        <v>44032</v>
      </c>
      <c r="J42" s="10" t="str">
        <f>IF(TimeEntry[[#This Row],[Date]]=0,"",TEXT(TimeEntry[[#This Row],[Date]],"ddd"))</f>
        <v>Mon</v>
      </c>
      <c r="K42" s="9" t="str">
        <f>IF(TimeEntry[[#This Row],[Project]]=0,"",INDEX(ProjectsAll[job number],MATCH(TimeEntry[[#This Row],[Project]],ProjectsAll[Project],0)))</f>
        <v xml:space="preserve">257677-59 </v>
      </c>
      <c r="L42" s="9" t="s">
        <v>791</v>
      </c>
      <c r="M42" s="9">
        <v>3.75</v>
      </c>
      <c r="N42" s="9">
        <f>IF(TimeEntry[[#This Row],[Date]]=0,"",WEEKDAY(C42,2))</f>
        <v>1</v>
      </c>
      <c r="O42" s="10">
        <f>YEAR(TimeEntry[[#This Row],[WkEnd]])</f>
        <v>2020</v>
      </c>
      <c r="P42" s="10">
        <f>WEEKNUM(TimeEntry[[#This Row],[WkEnd]])</f>
        <v>31</v>
      </c>
      <c r="Q42" s="10" t="str">
        <f>TimeEntry[[#This Row],[Year]]&amp;"-"&amp;TimeEntry[[#This Row],[WkNo]]</f>
        <v>2020-31</v>
      </c>
      <c r="X42" t="s">
        <v>14</v>
      </c>
      <c r="Y42" t="s">
        <v>15</v>
      </c>
      <c r="AA42" t="s">
        <v>6</v>
      </c>
    </row>
    <row r="43" spans="1:27" ht="30" x14ac:dyDescent="0.25">
      <c r="A43" s="9">
        <f>MOD(IF(ROW()=11,0.1,IF(INDEX(TimeEntry[WkEnd],ROW()-10)            =            INDEX(TimeEntry[WkEnd],ROW()-11),               INDEX(TimeEntry[format],ROW()-11),               INDEX(TimeEntry[format],ROW()-11)    +1)),2)</f>
        <v>0.10000000000000009</v>
      </c>
      <c r="B43" s="14">
        <v>44032.501064814816</v>
      </c>
      <c r="C43" s="7">
        <v>44032</v>
      </c>
      <c r="D43" s="7" t="s">
        <v>433</v>
      </c>
      <c r="E43" s="17">
        <v>0.50069444444444444</v>
      </c>
      <c r="F43" s="6" t="s">
        <v>630</v>
      </c>
      <c r="G43" s="6" t="s">
        <v>792</v>
      </c>
      <c r="H43" s="7">
        <f>IF(TimeEntry[[#This Row],[Date]]=0,H11,C43+(7-N43))</f>
        <v>44038</v>
      </c>
      <c r="I43" s="7">
        <f>TimeEntry[[#This Row],[Date]]</f>
        <v>44032</v>
      </c>
      <c r="J43" s="10" t="str">
        <f>IF(TimeEntry[[#This Row],[Date]]=0,"",TEXT(TimeEntry[[#This Row],[Date]],"ddd"))</f>
        <v>Mon</v>
      </c>
      <c r="K43" s="9" t="str">
        <f>IF(TimeEntry[[#This Row],[Project]]=0,"",INDEX(ProjectsAll[job number],MATCH(TimeEntry[[#This Row],[Project]],ProjectsAll[Project],0)))</f>
        <v>210035-65</v>
      </c>
      <c r="L43" s="9" t="s">
        <v>792</v>
      </c>
      <c r="M43" s="9">
        <v>3.75</v>
      </c>
      <c r="N43" s="9">
        <f>IF(TimeEntry[[#This Row],[Date]]=0,"",WEEKDAY(C43,2))</f>
        <v>1</v>
      </c>
      <c r="O43" s="10">
        <f>YEAR(TimeEntry[[#This Row],[WkEnd]])</f>
        <v>2020</v>
      </c>
      <c r="P43" s="10">
        <f>WEEKNUM(TimeEntry[[#This Row],[WkEnd]])</f>
        <v>31</v>
      </c>
      <c r="Q43" s="10" t="str">
        <f>TimeEntry[[#This Row],[Year]]&amp;"-"&amp;TimeEntry[[#This Row],[WkNo]]</f>
        <v>2020-31</v>
      </c>
      <c r="X43" t="s">
        <v>16</v>
      </c>
      <c r="Y43" t="s">
        <v>17</v>
      </c>
      <c r="AA43" t="s">
        <v>6</v>
      </c>
    </row>
    <row r="44" spans="1:27" x14ac:dyDescent="0.25">
      <c r="A44" s="9">
        <f>MOD(IF(ROW()=11,0.1,IF(INDEX(TimeEntry[WkEnd],ROW()-10)            =            INDEX(TimeEntry[WkEnd],ROW()-11),               INDEX(TimeEntry[format],ROW()-11),               INDEX(TimeEntry[format],ROW()-11)    +1)),2)</f>
        <v>1.1000000000000001</v>
      </c>
      <c r="B44" s="14">
        <v>44029.500648148147</v>
      </c>
      <c r="C44" s="7">
        <v>44029</v>
      </c>
      <c r="D44" s="7" t="s">
        <v>437</v>
      </c>
      <c r="E44" s="17">
        <v>0.5</v>
      </c>
      <c r="F44" s="6" t="s">
        <v>68</v>
      </c>
      <c r="G44" s="6"/>
      <c r="H44" s="7">
        <f>IF(TimeEntry[[#This Row],[Date]]=0,H11,C44+(7-N44))</f>
        <v>44031</v>
      </c>
      <c r="I44" s="7">
        <f>TimeEntry[[#This Row],[Date]]</f>
        <v>44029</v>
      </c>
      <c r="J44" s="10" t="str">
        <f>IF(TimeEntry[[#This Row],[Date]]=0,"",TEXT(TimeEntry[[#This Row],[Date]],"ddd"))</f>
        <v>Fri</v>
      </c>
      <c r="K44" s="9" t="str">
        <f>IF(TimeEntry[[#This Row],[Project]]=0,"",INDEX(ProjectsAll[job number],MATCH(TimeEntry[[#This Row],[Project]],ProjectsAll[Project],0)))</f>
        <v>LEAVE</v>
      </c>
      <c r="L44" s="9"/>
      <c r="M44" s="9">
        <v>3.75</v>
      </c>
      <c r="N44" s="9">
        <f>IF(TimeEntry[[#This Row],[Date]]=0,"",WEEKDAY(C44,2))</f>
        <v>5</v>
      </c>
      <c r="O44" s="10">
        <f>YEAR(TimeEntry[[#This Row],[WkEnd]])</f>
        <v>2020</v>
      </c>
      <c r="P44" s="10">
        <f>WEEKNUM(TimeEntry[[#This Row],[WkEnd]])</f>
        <v>30</v>
      </c>
      <c r="Q44" s="10" t="str">
        <f>TimeEntry[[#This Row],[Year]]&amp;"-"&amp;TimeEntry[[#This Row],[WkNo]]</f>
        <v>2020-30</v>
      </c>
      <c r="X44" t="s">
        <v>20</v>
      </c>
      <c r="Y44" t="s">
        <v>21</v>
      </c>
      <c r="Z44" t="s">
        <v>22</v>
      </c>
      <c r="AA44" t="s">
        <v>6</v>
      </c>
    </row>
    <row r="45" spans="1:27" ht="60" x14ac:dyDescent="0.25">
      <c r="A45" s="9">
        <f>MOD(IF(ROW()=11,0.1,IF(INDEX(TimeEntry[WkEnd],ROW()-10)            =            INDEX(TimeEntry[WkEnd],ROW()-11),               INDEX(TimeEntry[format],ROW()-11),               INDEX(TimeEntry[format],ROW()-11)    +1)),2)</f>
        <v>1.1000000000000001</v>
      </c>
      <c r="B45" s="14">
        <v>44029.500648148147</v>
      </c>
      <c r="C45" s="7">
        <v>44029</v>
      </c>
      <c r="D45" s="7" t="s">
        <v>437</v>
      </c>
      <c r="E45" s="17">
        <v>0.5</v>
      </c>
      <c r="F45" s="6" t="s">
        <v>630</v>
      </c>
      <c r="G45" s="6" t="s">
        <v>779</v>
      </c>
      <c r="H45" s="7">
        <f>IF(TimeEntry[[#This Row],[Date]]=0,H11,C45+(7-N45))</f>
        <v>44031</v>
      </c>
      <c r="I45" s="7">
        <f>TimeEntry[[#This Row],[Date]]</f>
        <v>44029</v>
      </c>
      <c r="J45" s="10" t="str">
        <f>IF(TimeEntry[[#This Row],[Date]]=0,"",TEXT(TimeEntry[[#This Row],[Date]],"ddd"))</f>
        <v>Fri</v>
      </c>
      <c r="K45" s="9" t="str">
        <f>IF(TimeEntry[[#This Row],[Project]]=0,"",INDEX(ProjectsAll[job number],MATCH(TimeEntry[[#This Row],[Project]],ProjectsAll[Project],0)))</f>
        <v>210035-65</v>
      </c>
      <c r="L45" s="6" t="s">
        <v>780</v>
      </c>
      <c r="M45" s="9">
        <v>3.75</v>
      </c>
      <c r="N45" s="9">
        <f>IF(TimeEntry[[#This Row],[Date]]=0,"",WEEKDAY(C45,2))</f>
        <v>5</v>
      </c>
      <c r="O45" s="10">
        <f>YEAR(TimeEntry[[#This Row],[WkEnd]])</f>
        <v>2020</v>
      </c>
      <c r="P45" s="10">
        <f>WEEKNUM(TimeEntry[[#This Row],[WkEnd]])</f>
        <v>30</v>
      </c>
      <c r="Q45" s="10" t="str">
        <f>TimeEntry[[#This Row],[Year]]&amp;"-"&amp;TimeEntry[[#This Row],[WkNo]]</f>
        <v>2020-30</v>
      </c>
      <c r="X45" t="s">
        <v>40</v>
      </c>
      <c r="Y45" t="s">
        <v>41</v>
      </c>
      <c r="Z45" t="s">
        <v>42</v>
      </c>
      <c r="AA45" t="s">
        <v>6</v>
      </c>
    </row>
    <row r="46" spans="1:27" ht="45" x14ac:dyDescent="0.25">
      <c r="A46" s="9">
        <f>MOD(IF(ROW()=11,0.1,IF(INDEX(TimeEntry[WkEnd],ROW()-10)            =            INDEX(TimeEntry[WkEnd],ROW()-11),               INDEX(TimeEntry[format],ROW()-11),               INDEX(TimeEntry[format],ROW()-11)    +1)),2)</f>
        <v>1.1000000000000001</v>
      </c>
      <c r="B46" s="14">
        <v>44028.690949074073</v>
      </c>
      <c r="C46" s="7">
        <v>44028</v>
      </c>
      <c r="D46" s="7" t="s">
        <v>430</v>
      </c>
      <c r="E46" s="17">
        <v>0.69027777777777777</v>
      </c>
      <c r="F46" s="6" t="s">
        <v>630</v>
      </c>
      <c r="G46" s="6" t="s">
        <v>774</v>
      </c>
      <c r="H46" s="7">
        <f>IF(TimeEntry[[#This Row],[Date]]=0,H11,C46+(7-N46))</f>
        <v>44031</v>
      </c>
      <c r="I46" s="7">
        <f>TimeEntry[[#This Row],[Date]]</f>
        <v>44028</v>
      </c>
      <c r="J46" s="10" t="str">
        <f>IF(TimeEntry[[#This Row],[Date]]=0,"",TEXT(TimeEntry[[#This Row],[Date]],"ddd"))</f>
        <v>Thu</v>
      </c>
      <c r="K46" s="9" t="str">
        <f>IF(TimeEntry[[#This Row],[Project]]=0,"",INDEX(ProjectsAll[job number],MATCH(TimeEntry[[#This Row],[Project]],ProjectsAll[Project],0)))</f>
        <v>210035-65</v>
      </c>
      <c r="L46" s="6" t="s">
        <v>778</v>
      </c>
      <c r="M46" s="9">
        <v>5.5</v>
      </c>
      <c r="N46" s="9">
        <f>IF(TimeEntry[[#This Row],[Date]]=0,"",WEEKDAY(C46,2))</f>
        <v>4</v>
      </c>
      <c r="O46" s="10">
        <f>YEAR(TimeEntry[[#This Row],[WkEnd]])</f>
        <v>2020</v>
      </c>
      <c r="P46" s="10">
        <f>WEEKNUM(TimeEntry[[#This Row],[WkEnd]])</f>
        <v>30</v>
      </c>
      <c r="Q46" s="10" t="str">
        <f>TimeEntry[[#This Row],[Year]]&amp;"-"&amp;TimeEntry[[#This Row],[WkNo]]</f>
        <v>2020-30</v>
      </c>
      <c r="X46" t="s">
        <v>43</v>
      </c>
      <c r="Y46" t="s">
        <v>44</v>
      </c>
      <c r="Z46" t="s">
        <v>644</v>
      </c>
      <c r="AA46" t="s">
        <v>6</v>
      </c>
    </row>
    <row r="47" spans="1:27" ht="30" x14ac:dyDescent="0.25">
      <c r="A47" s="9">
        <f>MOD(IF(ROW()=11,0.1,IF(INDEX(TimeEntry[WkEnd],ROW()-10)            =            INDEX(TimeEntry[WkEnd],ROW()-11),               INDEX(TimeEntry[format],ROW()-11),               INDEX(TimeEntry[format],ROW()-11)    +1)),2)</f>
        <v>1.1000000000000001</v>
      </c>
      <c r="B47" s="14">
        <v>44028.690949074073</v>
      </c>
      <c r="C47" s="7">
        <v>44028</v>
      </c>
      <c r="D47" s="7" t="s">
        <v>430</v>
      </c>
      <c r="E47" s="17">
        <v>0.69027777777777777</v>
      </c>
      <c r="F47" s="6" t="s">
        <v>637</v>
      </c>
      <c r="G47" s="6" t="s">
        <v>776</v>
      </c>
      <c r="H47" s="7">
        <f>IF(TimeEntry[[#This Row],[Date]]=0,H46,C47+(7-N47))</f>
        <v>44031</v>
      </c>
      <c r="I47" s="7">
        <f>TimeEntry[[#This Row],[Date]]</f>
        <v>44028</v>
      </c>
      <c r="J47" s="10" t="str">
        <f>IF(TimeEntry[[#This Row],[Date]]=0,"",TEXT(TimeEntry[[#This Row],[Date]],"ddd"))</f>
        <v>Thu</v>
      </c>
      <c r="K47" s="9" t="str">
        <f>IF(TimeEntry[[#This Row],[Project]]=0,"",INDEX(ProjectsAll[job number],MATCH(TimeEntry[[#This Row],[Project]],ProjectsAll[Project],0)))</f>
        <v xml:space="preserve">257677-59 </v>
      </c>
      <c r="L47" s="9" t="s">
        <v>777</v>
      </c>
      <c r="M47" s="9">
        <v>2</v>
      </c>
      <c r="N47" s="9">
        <f>IF(TimeEntry[[#This Row],[Date]]=0,"",WEEKDAY(C47,2))</f>
        <v>4</v>
      </c>
      <c r="O47" s="10">
        <f>YEAR(TimeEntry[[#This Row],[WkEnd]])</f>
        <v>2020</v>
      </c>
      <c r="P47" s="10">
        <f>WEEKNUM(TimeEntry[[#This Row],[WkEnd]])</f>
        <v>30</v>
      </c>
      <c r="Q47" s="10" t="str">
        <f>TimeEntry[[#This Row],[Year]]&amp;"-"&amp;TimeEntry[[#This Row],[WkNo]]</f>
        <v>2020-30</v>
      </c>
      <c r="X47" t="s">
        <v>45</v>
      </c>
      <c r="Y47" t="s">
        <v>46</v>
      </c>
      <c r="Z47" t="s">
        <v>47</v>
      </c>
      <c r="AA47" t="s">
        <v>6</v>
      </c>
    </row>
    <row r="48" spans="1:27" ht="30" x14ac:dyDescent="0.25">
      <c r="A48" s="9">
        <f>MOD(IF(ROW()=11,0.1,IF(INDEX(TimeEntry[WkEnd],ROW()-10)            =            INDEX(TimeEntry[WkEnd],ROW()-11),               INDEX(TimeEntry[format],ROW()-11),               INDEX(TimeEntry[format],ROW()-11)    +1)),2)</f>
        <v>1.1000000000000001</v>
      </c>
      <c r="B48" s="14">
        <v>44028.500416666669</v>
      </c>
      <c r="C48" s="7">
        <v>44028</v>
      </c>
      <c r="D48" s="7" t="s">
        <v>430</v>
      </c>
      <c r="E48" s="17">
        <v>0.5</v>
      </c>
      <c r="F48" s="6" t="s">
        <v>630</v>
      </c>
      <c r="G48" s="6" t="s">
        <v>772</v>
      </c>
      <c r="H48" s="7">
        <f>IF(TimeEntry[[#This Row],[Date]]=0,H11,C48+(7-N48))</f>
        <v>44031</v>
      </c>
      <c r="I48" s="7">
        <f>TimeEntry[[#This Row],[Date]]</f>
        <v>44028</v>
      </c>
      <c r="J48" s="10" t="str">
        <f>IF(TimeEntry[[#This Row],[Date]]=0,"",TEXT(TimeEntry[[#This Row],[Date]],"ddd"))</f>
        <v>Thu</v>
      </c>
      <c r="K48" s="9" t="str">
        <f>IF(TimeEntry[[#This Row],[Project]]=0,"",INDEX(ProjectsAll[job number],MATCH(TimeEntry[[#This Row],[Project]],ProjectsAll[Project],0)))</f>
        <v>210035-65</v>
      </c>
      <c r="L48" s="6" t="s">
        <v>772</v>
      </c>
      <c r="M48" s="9"/>
      <c r="N48" s="9">
        <f>IF(TimeEntry[[#This Row],[Date]]=0,"",WEEKDAY(C48,2))</f>
        <v>4</v>
      </c>
      <c r="O48" s="10">
        <f>YEAR(TimeEntry[[#This Row],[WkEnd]])</f>
        <v>2020</v>
      </c>
      <c r="P48" s="10">
        <f>WEEKNUM(TimeEntry[[#This Row],[WkEnd]])</f>
        <v>30</v>
      </c>
      <c r="Q48" s="10" t="str">
        <f>TimeEntry[[#This Row],[Year]]&amp;"-"&amp;TimeEntry[[#This Row],[WkNo]]</f>
        <v>2020-30</v>
      </c>
      <c r="X48" t="s">
        <v>48</v>
      </c>
      <c r="Y48" t="s">
        <v>49</v>
      </c>
      <c r="Z48" t="s">
        <v>50</v>
      </c>
      <c r="AA48" t="s">
        <v>6</v>
      </c>
    </row>
    <row r="49" spans="1:27" x14ac:dyDescent="0.25">
      <c r="A49" s="9">
        <f>MOD(IF(ROW()=11,0.1,IF(INDEX(TimeEntry[WkEnd],ROW()-10)            =            INDEX(TimeEntry[WkEnd],ROW()-11),               INDEX(TimeEntry[format],ROW()-11),               INDEX(TimeEntry[format],ROW()-11)    +1)),2)</f>
        <v>1.1000000000000001</v>
      </c>
      <c r="B49" s="14">
        <v>44027.50037037037</v>
      </c>
      <c r="C49" s="7">
        <v>44027</v>
      </c>
      <c r="D49" s="7" t="s">
        <v>428</v>
      </c>
      <c r="E49" s="17">
        <v>0.5</v>
      </c>
      <c r="F49" s="6" t="s">
        <v>669</v>
      </c>
      <c r="G49" s="6" t="s">
        <v>781</v>
      </c>
      <c r="H49" s="7">
        <f>IF(TimeEntry[[#This Row],[Date]]=0,#REF!,C49+(7-N49))</f>
        <v>44031</v>
      </c>
      <c r="I49" s="7">
        <f>TimeEntry[[#This Row],[Date]]</f>
        <v>44027</v>
      </c>
      <c r="J49" s="10" t="str">
        <f>IF(TimeEntry[[#This Row],[Date]]=0,"",TEXT(TimeEntry[[#This Row],[Date]],"ddd"))</f>
        <v>Wed</v>
      </c>
      <c r="K49" s="9">
        <f>IF(TimeEntry[[#This Row],[Project]]=0,"",INDEX(ProjectsAll[job number],MATCH(TimeEntry[[#This Row],[Project]],ProjectsAll[Project],0)))</f>
        <v>0</v>
      </c>
      <c r="L49" s="9"/>
      <c r="M49" s="9"/>
      <c r="N49" s="9">
        <f>IF(TimeEntry[[#This Row],[Date]]=0,"",WEEKDAY(C49,2))</f>
        <v>3</v>
      </c>
      <c r="O49" s="10">
        <f>YEAR(TimeEntry[[#This Row],[WkEnd]])</f>
        <v>2020</v>
      </c>
      <c r="P49" s="10">
        <f>WEEKNUM(TimeEntry[[#This Row],[WkEnd]])</f>
        <v>30</v>
      </c>
      <c r="Q49" s="10" t="str">
        <f>TimeEntry[[#This Row],[Year]]&amp;"-"&amp;TimeEntry[[#This Row],[WkNo]]</f>
        <v>2020-30</v>
      </c>
      <c r="X49" t="s">
        <v>51</v>
      </c>
      <c r="Y49" t="s">
        <v>52</v>
      </c>
      <c r="AA49" t="s">
        <v>6</v>
      </c>
    </row>
    <row r="50" spans="1:27" ht="30" x14ac:dyDescent="0.25">
      <c r="A50" s="9">
        <f>MOD(IF(ROW()=11,0.1,IF(INDEX(TimeEntry[WkEnd],ROW()-10)            =            INDEX(TimeEntry[WkEnd],ROW()-11),               INDEX(TimeEntry[format],ROW()-11),               INDEX(TimeEntry[format],ROW()-11)    +1)),2)</f>
        <v>1.1000000000000001</v>
      </c>
      <c r="B50" s="14">
        <v>44027.50037037037</v>
      </c>
      <c r="C50" s="7">
        <v>44027</v>
      </c>
      <c r="D50" s="7" t="s">
        <v>428</v>
      </c>
      <c r="E50" s="17">
        <v>0.5</v>
      </c>
      <c r="F50" s="6" t="s">
        <v>630</v>
      </c>
      <c r="G50" s="6" t="s">
        <v>782</v>
      </c>
      <c r="H50" s="7">
        <f>IF(TimeEntry[[#This Row],[Date]]=0,H11,C50+(7-N50))</f>
        <v>44031</v>
      </c>
      <c r="I50" s="7">
        <f>TimeEntry[[#This Row],[Date]]</f>
        <v>44027</v>
      </c>
      <c r="J50" s="10" t="str">
        <f>IF(TimeEntry[[#This Row],[Date]]=0,"",TEXT(TimeEntry[[#This Row],[Date]],"ddd"))</f>
        <v>Wed</v>
      </c>
      <c r="K50" s="9" t="str">
        <f>IF(TimeEntry[[#This Row],[Project]]=0,"",INDEX(ProjectsAll[job number],MATCH(TimeEntry[[#This Row],[Project]],ProjectsAll[Project],0)))</f>
        <v>210035-65</v>
      </c>
      <c r="L50" s="6" t="s">
        <v>782</v>
      </c>
      <c r="M50" s="9">
        <v>7.5</v>
      </c>
      <c r="N50" s="9">
        <f>IF(TimeEntry[[#This Row],[Date]]=0,"",WEEKDAY(C50,2))</f>
        <v>3</v>
      </c>
      <c r="O50" s="10">
        <f>YEAR(TimeEntry[[#This Row],[WkEnd]])</f>
        <v>2020</v>
      </c>
      <c r="P50" s="10">
        <f>WEEKNUM(TimeEntry[[#This Row],[WkEnd]])</f>
        <v>30</v>
      </c>
      <c r="Q50" s="10" t="str">
        <f>TimeEntry[[#This Row],[Year]]&amp;"-"&amp;TimeEntry[[#This Row],[WkNo]]</f>
        <v>2020-30</v>
      </c>
      <c r="X50" t="s">
        <v>57</v>
      </c>
      <c r="Y50" t="s">
        <v>58</v>
      </c>
      <c r="Z50" t="s">
        <v>59</v>
      </c>
      <c r="AA50" t="s">
        <v>6</v>
      </c>
    </row>
    <row r="51" spans="1:27" ht="60" x14ac:dyDescent="0.25">
      <c r="A51" s="9">
        <f>MOD(IF(ROW()=11,0.1,IF(INDEX(TimeEntry[WkEnd],ROW()-10)            =            INDEX(TimeEntry[WkEnd],ROW()-11),               INDEX(TimeEntry[format],ROW()-11),               INDEX(TimeEntry[format],ROW()-11)    +1)),2)</f>
        <v>1.1000000000000001</v>
      </c>
      <c r="B51" s="14">
        <v>44026.701990740738</v>
      </c>
      <c r="C51" s="7">
        <v>44026</v>
      </c>
      <c r="D51" s="7" t="s">
        <v>429</v>
      </c>
      <c r="E51" s="17">
        <v>0.70138888888888884</v>
      </c>
      <c r="F51" s="6" t="s">
        <v>630</v>
      </c>
      <c r="G51" s="6" t="s">
        <v>770</v>
      </c>
      <c r="H51" s="7">
        <f>IF(TimeEntry[[#This Row],[Date]]=0,H11,C51+(7-N51))</f>
        <v>44031</v>
      </c>
      <c r="I51" s="7">
        <f>TimeEntry[[#This Row],[Date]]</f>
        <v>44026</v>
      </c>
      <c r="J51" s="10" t="str">
        <f>IF(TimeEntry[[#This Row],[Date]]=0,"",TEXT(TimeEntry[[#This Row],[Date]],"ddd"))</f>
        <v>Tue</v>
      </c>
      <c r="K51" s="9" t="str">
        <f>IF(TimeEntry[[#This Row],[Project]]=0,"",INDEX(ProjectsAll[job number],MATCH(TimeEntry[[#This Row],[Project]],ProjectsAll[Project],0)))</f>
        <v>210035-65</v>
      </c>
      <c r="L51" s="6" t="s">
        <v>770</v>
      </c>
      <c r="M51" s="9">
        <v>3.5</v>
      </c>
      <c r="N51" s="9">
        <f>IF(TimeEntry[[#This Row],[Date]]=0,"",WEEKDAY(C51,2))</f>
        <v>2</v>
      </c>
      <c r="O51" s="10">
        <f>YEAR(TimeEntry[[#This Row],[WkEnd]])</f>
        <v>2020</v>
      </c>
      <c r="P51" s="10">
        <f>WEEKNUM(TimeEntry[[#This Row],[WkEnd]])</f>
        <v>30</v>
      </c>
      <c r="Q51" s="10" t="str">
        <f>TimeEntry[[#This Row],[Year]]&amp;"-"&amp;TimeEntry[[#This Row],[WkNo]]</f>
        <v>2020-30</v>
      </c>
      <c r="X51" t="s">
        <v>63</v>
      </c>
      <c r="Y51" t="s">
        <v>64</v>
      </c>
      <c r="AA51" t="s">
        <v>6</v>
      </c>
    </row>
    <row r="52" spans="1:27" ht="45" x14ac:dyDescent="0.25">
      <c r="A52" s="9">
        <f>MOD(IF(ROW()=11,0.1,IF(INDEX(TimeEntry[WkEnd],ROW()-10)            =            INDEX(TimeEntry[WkEnd],ROW()-11),               INDEX(TimeEntry[format],ROW()-11),               INDEX(TimeEntry[format],ROW()-11)    +1)),2)</f>
        <v>1.1000000000000001</v>
      </c>
      <c r="B52" s="14">
        <v>44026.502349537041</v>
      </c>
      <c r="C52" s="7">
        <v>44026</v>
      </c>
      <c r="D52" s="7" t="s">
        <v>429</v>
      </c>
      <c r="E52" s="17">
        <v>0.50208333333333333</v>
      </c>
      <c r="F52" s="6" t="s">
        <v>630</v>
      </c>
      <c r="G52" s="6" t="s">
        <v>775</v>
      </c>
      <c r="H52" s="7">
        <f>IF(TimeEntry[[#This Row],[Date]]=0,H11,C52+(7-N52))</f>
        <v>44031</v>
      </c>
      <c r="I52" s="7">
        <f>TimeEntry[[#This Row],[Date]]</f>
        <v>44026</v>
      </c>
      <c r="J52" s="10" t="str">
        <f>IF(TimeEntry[[#This Row],[Date]]=0,"",TEXT(TimeEntry[[#This Row],[Date]],"ddd"))</f>
        <v>Tue</v>
      </c>
      <c r="K52" s="9" t="str">
        <f>IF(TimeEntry[[#This Row],[Project]]=0,"",INDEX(ProjectsAll[job number],MATCH(TimeEntry[[#This Row],[Project]],ProjectsAll[Project],0)))</f>
        <v>210035-65</v>
      </c>
      <c r="L52" s="6" t="s">
        <v>783</v>
      </c>
      <c r="M52" s="9">
        <v>4</v>
      </c>
      <c r="N52" s="9">
        <f>IF(TimeEntry[[#This Row],[Date]]=0,"",WEEKDAY(C52,2))</f>
        <v>2</v>
      </c>
      <c r="O52" s="10">
        <f>YEAR(TimeEntry[[#This Row],[WkEnd]])</f>
        <v>2020</v>
      </c>
      <c r="P52" s="10">
        <f>WEEKNUM(TimeEntry[[#This Row],[WkEnd]])</f>
        <v>30</v>
      </c>
      <c r="Q52" s="10" t="str">
        <f>TimeEntry[[#This Row],[Year]]&amp;"-"&amp;TimeEntry[[#This Row],[WkNo]]</f>
        <v>2020-30</v>
      </c>
      <c r="X52" t="s">
        <v>65</v>
      </c>
      <c r="Y52" t="s">
        <v>66</v>
      </c>
      <c r="Z52" t="s">
        <v>67</v>
      </c>
      <c r="AA52" t="s">
        <v>6</v>
      </c>
    </row>
    <row r="53" spans="1:27" ht="60" x14ac:dyDescent="0.25">
      <c r="A53" s="9">
        <f>MOD(IF(ROW()=11,0.1,IF(INDEX(TimeEntry[WkEnd],ROW()-10)            =            INDEX(TimeEntry[WkEnd],ROW()-11),               INDEX(TimeEntry[format],ROW()-11),               INDEX(TimeEntry[format],ROW()-11)    +1)),2)</f>
        <v>1.1000000000000001</v>
      </c>
      <c r="B53" s="14">
        <v>44025.669178240743</v>
      </c>
      <c r="C53" s="7">
        <v>44025</v>
      </c>
      <c r="D53" s="7" t="s">
        <v>433</v>
      </c>
      <c r="E53" s="17">
        <v>0.66875000000000007</v>
      </c>
      <c r="F53" s="6" t="s">
        <v>630</v>
      </c>
      <c r="G53" s="6" t="s">
        <v>771</v>
      </c>
      <c r="H53" s="7">
        <f>IF(TimeEntry[[#This Row],[Date]]=0,H11,C53+(7-N53))</f>
        <v>44031</v>
      </c>
      <c r="I53" s="7">
        <f>TimeEntry[[#This Row],[Date]]</f>
        <v>44025</v>
      </c>
      <c r="J53" s="10" t="str">
        <f>IF(TimeEntry[[#This Row],[Date]]=0,"",TEXT(TimeEntry[[#This Row],[Date]],"ddd"))</f>
        <v>Mon</v>
      </c>
      <c r="K53" s="9" t="str">
        <f>IF(TimeEntry[[#This Row],[Project]]=0,"",INDEX(ProjectsAll[job number],MATCH(TimeEntry[[#This Row],[Project]],ProjectsAll[Project],0)))</f>
        <v>210035-65</v>
      </c>
      <c r="L53" s="6" t="s">
        <v>771</v>
      </c>
      <c r="M53" s="9">
        <v>5.5</v>
      </c>
      <c r="N53" s="9">
        <f>IF(TimeEntry[[#This Row],[Date]]=0,"",WEEKDAY(C53,2))</f>
        <v>1</v>
      </c>
      <c r="O53" s="10">
        <f>YEAR(TimeEntry[[#This Row],[WkEnd]])</f>
        <v>2020</v>
      </c>
      <c r="P53" s="10">
        <f>WEEKNUM(TimeEntry[[#This Row],[WkEnd]])</f>
        <v>30</v>
      </c>
      <c r="Q53" s="10" t="str">
        <f>TimeEntry[[#This Row],[Year]]&amp;"-"&amp;TimeEntry[[#This Row],[WkNo]]</f>
        <v>2020-30</v>
      </c>
      <c r="X53" t="s">
        <v>68</v>
      </c>
      <c r="Y53" t="s">
        <v>69</v>
      </c>
      <c r="AA53" t="s">
        <v>6</v>
      </c>
    </row>
    <row r="54" spans="1:27" ht="30" x14ac:dyDescent="0.25">
      <c r="A54" s="9">
        <f>MOD(IF(ROW()=11,0.1,IF(INDEX(TimeEntry[WkEnd],ROW()-10)            =            INDEX(TimeEntry[WkEnd],ROW()-11),               INDEX(TimeEntry[format],ROW()-11),               INDEX(TimeEntry[format],ROW()-11)    +1)),2)</f>
        <v>1.1000000000000001</v>
      </c>
      <c r="B54" s="14">
        <v>44025.500428240739</v>
      </c>
      <c r="C54" s="7">
        <v>44025</v>
      </c>
      <c r="D54" s="7" t="s">
        <v>433</v>
      </c>
      <c r="E54" s="17">
        <v>0.5</v>
      </c>
      <c r="F54" s="6" t="s">
        <v>630</v>
      </c>
      <c r="G54" s="6" t="s">
        <v>784</v>
      </c>
      <c r="H54" s="7">
        <f>IF(TimeEntry[[#This Row],[Date]]=0,H11,C54+(7-N54))</f>
        <v>44031</v>
      </c>
      <c r="I54" s="7">
        <f>TimeEntry[[#This Row],[Date]]</f>
        <v>44025</v>
      </c>
      <c r="J54" s="10" t="str">
        <f>IF(TimeEntry[[#This Row],[Date]]=0,"",TEXT(TimeEntry[[#This Row],[Date]],"ddd"))</f>
        <v>Mon</v>
      </c>
      <c r="K54" s="9" t="str">
        <f>IF(TimeEntry[[#This Row],[Project]]=0,"",INDEX(ProjectsAll[job number],MATCH(TimeEntry[[#This Row],[Project]],ProjectsAll[Project],0)))</f>
        <v>210035-65</v>
      </c>
      <c r="L54" s="6" t="s">
        <v>784</v>
      </c>
      <c r="M54" s="9">
        <v>2</v>
      </c>
      <c r="N54" s="9">
        <f>IF(TimeEntry[[#This Row],[Date]]=0,"",WEEKDAY(C54,2))</f>
        <v>1</v>
      </c>
      <c r="O54" s="10">
        <f>YEAR(TimeEntry[[#This Row],[WkEnd]])</f>
        <v>2020</v>
      </c>
      <c r="P54" s="10">
        <f>WEEKNUM(TimeEntry[[#This Row],[WkEnd]])</f>
        <v>30</v>
      </c>
      <c r="Q54" s="10" t="str">
        <f>TimeEntry[[#This Row],[Year]]&amp;"-"&amp;TimeEntry[[#This Row],[WkNo]]</f>
        <v>2020-30</v>
      </c>
      <c r="X54" t="s">
        <v>70</v>
      </c>
      <c r="Y54" t="s">
        <v>71</v>
      </c>
      <c r="AA54" t="s">
        <v>6</v>
      </c>
    </row>
    <row r="55" spans="1:27" ht="30" x14ac:dyDescent="0.25">
      <c r="A55" s="9">
        <f>MOD(IF(ROW()=11,0.1,IF(INDEX(TimeEntry[WkEnd],ROW()-10)            =            INDEX(TimeEntry[WkEnd],ROW()-11),               INDEX(TimeEntry[format],ROW()-11),               INDEX(TimeEntry[format],ROW()-11)    +1)),2)</f>
        <v>0.10000000000000009</v>
      </c>
      <c r="B55" s="14">
        <v>44022.669074074074</v>
      </c>
      <c r="C55" s="7">
        <v>44022</v>
      </c>
      <c r="D55" s="7" t="s">
        <v>437</v>
      </c>
      <c r="E55" s="17">
        <v>0.66875000000000007</v>
      </c>
      <c r="F55" s="6" t="s">
        <v>630</v>
      </c>
      <c r="G55" s="6" t="s">
        <v>752</v>
      </c>
      <c r="H55" s="7">
        <f>IF(TimeEntry[[#This Row],[Date]]=0,H11,C55+(7-N55))</f>
        <v>44024</v>
      </c>
      <c r="I55" s="7">
        <f>TimeEntry[[#This Row],[Date]]</f>
        <v>44022</v>
      </c>
      <c r="J55" s="10" t="str">
        <f>IF(TimeEntry[[#This Row],[Date]]=0,"",TEXT(TimeEntry[[#This Row],[Date]],"ddd"))</f>
        <v>Fri</v>
      </c>
      <c r="K55" s="9" t="str">
        <f>IF(TimeEntry[[#This Row],[Project]]=0,"",INDEX(ProjectsAll[job number],MATCH(TimeEntry[[#This Row],[Project]],ProjectsAll[Project],0)))</f>
        <v>210035-65</v>
      </c>
      <c r="L55" s="6" t="s">
        <v>752</v>
      </c>
      <c r="M55" s="9">
        <v>3.75</v>
      </c>
      <c r="N55" s="9">
        <f>IF(TimeEntry[[#This Row],[Date]]=0,"",WEEKDAY(C55,2))</f>
        <v>5</v>
      </c>
      <c r="O55" s="10">
        <f>YEAR(TimeEntry[[#This Row],[WkEnd]])</f>
        <v>2020</v>
      </c>
      <c r="P55" s="10">
        <f>WEEKNUM(TimeEntry[[#This Row],[WkEnd]])</f>
        <v>29</v>
      </c>
      <c r="Q55" s="10" t="str">
        <f>TimeEntry[[#This Row],[Year]]&amp;"-"&amp;TimeEntry[[#This Row],[WkNo]]</f>
        <v>2020-29</v>
      </c>
      <c r="X55" t="s">
        <v>80</v>
      </c>
      <c r="Y55" t="s">
        <v>81</v>
      </c>
      <c r="AA55" t="s">
        <v>6</v>
      </c>
    </row>
    <row r="56" spans="1:27" ht="30" x14ac:dyDescent="0.25">
      <c r="A56" s="9">
        <f>MOD(IF(ROW()=11,0.1,IF(INDEX(TimeEntry[WkEnd],ROW()-10)            =            INDEX(TimeEntry[WkEnd],ROW()-11),               INDEX(TimeEntry[format],ROW()-11),               INDEX(TimeEntry[format],ROW()-11)    +1)),2)</f>
        <v>0.10000000000000009</v>
      </c>
      <c r="B56" s="14">
        <v>44022.50240740741</v>
      </c>
      <c r="C56" s="7">
        <v>44022</v>
      </c>
      <c r="D56" s="7" t="s">
        <v>437</v>
      </c>
      <c r="E56" s="17">
        <v>0.50208333333333333</v>
      </c>
      <c r="F56" s="6" t="s">
        <v>630</v>
      </c>
      <c r="G56" s="6" t="s">
        <v>756</v>
      </c>
      <c r="H56" s="7">
        <f>IF(TimeEntry[[#This Row],[Date]]=0,H11,C56+(7-N56))</f>
        <v>44024</v>
      </c>
      <c r="I56" s="7">
        <f>TimeEntry[[#This Row],[Date]]</f>
        <v>44022</v>
      </c>
      <c r="J56" s="10" t="str">
        <f>IF(TimeEntry[[#This Row],[Date]]=0,"",TEXT(TimeEntry[[#This Row],[Date]],"ddd"))</f>
        <v>Fri</v>
      </c>
      <c r="K56" s="9" t="str">
        <f>IF(TimeEntry[[#This Row],[Project]]=0,"",INDEX(ProjectsAll[job number],MATCH(TimeEntry[[#This Row],[Project]],ProjectsAll[Project],0)))</f>
        <v>210035-65</v>
      </c>
      <c r="L56" s="6" t="s">
        <v>755</v>
      </c>
      <c r="M56" s="9">
        <v>3.75</v>
      </c>
      <c r="N56" s="9">
        <f>IF(TimeEntry[[#This Row],[Date]]=0,"",WEEKDAY(C56,2))</f>
        <v>5</v>
      </c>
      <c r="O56" s="10">
        <f>YEAR(TimeEntry[[#This Row],[WkEnd]])</f>
        <v>2020</v>
      </c>
      <c r="P56" s="10">
        <f>WEEKNUM(TimeEntry[[#This Row],[WkEnd]])</f>
        <v>29</v>
      </c>
      <c r="Q56" s="10" t="str">
        <f>TimeEntry[[#This Row],[Year]]&amp;"-"&amp;TimeEntry[[#This Row],[WkNo]]</f>
        <v>2020-29</v>
      </c>
      <c r="X56" t="s">
        <v>90</v>
      </c>
      <c r="Y56" t="s">
        <v>91</v>
      </c>
      <c r="AA56" t="s">
        <v>6</v>
      </c>
    </row>
    <row r="57" spans="1:27" x14ac:dyDescent="0.25">
      <c r="A57" s="9">
        <f>MOD(IF(ROW()=11,0.1,IF(INDEX(TimeEntry[WkEnd],ROW()-10)            =            INDEX(TimeEntry[WkEnd],ROW()-11),               INDEX(TimeEntry[format],ROW()-11),               INDEX(TimeEntry[format],ROW()-11)    +1)),2)</f>
        <v>0.10000000000000009</v>
      </c>
      <c r="B57" s="14">
        <v>44022.50240740741</v>
      </c>
      <c r="C57" s="7">
        <v>44022</v>
      </c>
      <c r="D57" s="7" t="s">
        <v>437</v>
      </c>
      <c r="E57" s="17">
        <v>0.50208333333333333</v>
      </c>
      <c r="F57" s="6" t="s">
        <v>669</v>
      </c>
      <c r="G57" s="6" t="s">
        <v>754</v>
      </c>
      <c r="H57" s="7">
        <f>IF(TimeEntry[[#This Row],[Date]]=0,H55,C57+(7-N57))</f>
        <v>44024</v>
      </c>
      <c r="I57" s="7">
        <f>TimeEntry[[#This Row],[Date]]</f>
        <v>44022</v>
      </c>
      <c r="J57" s="10" t="str">
        <f>IF(TimeEntry[[#This Row],[Date]]=0,"",TEXT(TimeEntry[[#This Row],[Date]],"ddd"))</f>
        <v>Fri</v>
      </c>
      <c r="K57" s="9">
        <f>IF(TimeEntry[[#This Row],[Project]]=0,"",INDEX(ProjectsAll[job number],MATCH(TimeEntry[[#This Row],[Project]],ProjectsAll[Project],0)))</f>
        <v>0</v>
      </c>
      <c r="L57" s="6"/>
      <c r="M57" s="9"/>
      <c r="N57" s="9">
        <f>IF(TimeEntry[[#This Row],[Date]]=0,"",WEEKDAY(C57,2))</f>
        <v>5</v>
      </c>
      <c r="O57" s="10">
        <f>YEAR(TimeEntry[[#This Row],[WkEnd]])</f>
        <v>2020</v>
      </c>
      <c r="P57" s="10">
        <f>WEEKNUM(TimeEntry[[#This Row],[WkEnd]])</f>
        <v>29</v>
      </c>
      <c r="Q57" s="10" t="str">
        <f>TimeEntry[[#This Row],[Year]]&amp;"-"&amp;TimeEntry[[#This Row],[WkNo]]</f>
        <v>2020-29</v>
      </c>
      <c r="X57" t="s">
        <v>630</v>
      </c>
      <c r="Y57" t="s">
        <v>629</v>
      </c>
      <c r="AA57" t="s">
        <v>6</v>
      </c>
    </row>
    <row r="58" spans="1:27" ht="30" x14ac:dyDescent="0.25">
      <c r="A58" s="9">
        <f>MOD(IF(ROW()=11,0.1,IF(INDEX(TimeEntry[WkEnd],ROW()-10)            =            INDEX(TimeEntry[WkEnd],ROW()-11),               INDEX(TimeEntry[format],ROW()-11),               INDEX(TimeEntry[format],ROW()-11)    +1)),2)</f>
        <v>0.10000000000000009</v>
      </c>
      <c r="B58" s="14">
        <v>44021.585833333331</v>
      </c>
      <c r="C58" s="7">
        <v>44021</v>
      </c>
      <c r="D58" s="7" t="s">
        <v>430</v>
      </c>
      <c r="E58" s="17">
        <v>0.5854166666666667</v>
      </c>
      <c r="F58" s="6" t="s">
        <v>630</v>
      </c>
      <c r="G58" s="6" t="s">
        <v>762</v>
      </c>
      <c r="H58" s="7">
        <f>IF(TimeEntry[[#This Row],[Date]]=0,H11,C58+(7-N58))</f>
        <v>44024</v>
      </c>
      <c r="I58" s="7">
        <f>TimeEntry[[#This Row],[Date]]</f>
        <v>44021</v>
      </c>
      <c r="J58" s="10" t="str">
        <f>IF(TimeEntry[[#This Row],[Date]]=0,"",TEXT(TimeEntry[[#This Row],[Date]],"ddd"))</f>
        <v>Thu</v>
      </c>
      <c r="K58" s="9" t="str">
        <f>IF(TimeEntry[[#This Row],[Project]]=0,"",INDEX(ProjectsAll[job number],MATCH(TimeEntry[[#This Row],[Project]],ProjectsAll[Project],0)))</f>
        <v>210035-65</v>
      </c>
      <c r="L58" s="6" t="s">
        <v>762</v>
      </c>
      <c r="M58" s="9">
        <v>5.5</v>
      </c>
      <c r="N58" s="9">
        <f>IF(TimeEntry[[#This Row],[Date]]=0,"",WEEKDAY(C58,2))</f>
        <v>4</v>
      </c>
      <c r="O58" s="10">
        <f>YEAR(TimeEntry[[#This Row],[WkEnd]])</f>
        <v>2020</v>
      </c>
      <c r="P58" s="10">
        <f>WEEKNUM(TimeEntry[[#This Row],[WkEnd]])</f>
        <v>29</v>
      </c>
      <c r="Q58" s="10" t="str">
        <f>TimeEntry[[#This Row],[Year]]&amp;"-"&amp;TimeEntry[[#This Row],[WkNo]]</f>
        <v>2020-29</v>
      </c>
      <c r="X58" t="s">
        <v>637</v>
      </c>
      <c r="Y58" s="4" t="s">
        <v>639</v>
      </c>
      <c r="Z58" t="s">
        <v>640</v>
      </c>
      <c r="AA58" t="s">
        <v>6</v>
      </c>
    </row>
    <row r="59" spans="1:27" ht="30" x14ac:dyDescent="0.25">
      <c r="A59" s="9">
        <f>MOD(IF(ROW()=11,0.1,IF(INDEX(TimeEntry[WkEnd],ROW()-10)            =            INDEX(TimeEntry[WkEnd],ROW()-11),               INDEX(TimeEntry[format],ROW()-11),               INDEX(TimeEntry[format],ROW()-11)    +1)),2)</f>
        <v>0.10000000000000009</v>
      </c>
      <c r="B59" s="14">
        <v>44021.521122685182</v>
      </c>
      <c r="C59" s="7">
        <v>44021</v>
      </c>
      <c r="D59" s="7" t="s">
        <v>430</v>
      </c>
      <c r="E59" s="17">
        <v>0.52083333333333337</v>
      </c>
      <c r="F59" s="6" t="s">
        <v>637</v>
      </c>
      <c r="G59" s="6" t="s">
        <v>761</v>
      </c>
      <c r="H59" s="7">
        <f>IF(TimeEntry[[#This Row],[Date]]=0,H11,C59+(7-N59))</f>
        <v>44024</v>
      </c>
      <c r="I59" s="7">
        <f>TimeEntry[[#This Row],[Date]]</f>
        <v>44021</v>
      </c>
      <c r="J59" s="10" t="str">
        <f>IF(TimeEntry[[#This Row],[Date]]=0,"",TEXT(TimeEntry[[#This Row],[Date]],"ddd"))</f>
        <v>Thu</v>
      </c>
      <c r="K59" s="9" t="str">
        <f>IF(TimeEntry[[#This Row],[Project]]=0,"",INDEX(ProjectsAll[job number],MATCH(TimeEntry[[#This Row],[Project]],ProjectsAll[Project],0)))</f>
        <v xml:space="preserve">257677-59 </v>
      </c>
      <c r="L59" s="9" t="s">
        <v>753</v>
      </c>
      <c r="M59" s="9">
        <v>2</v>
      </c>
      <c r="N59" s="9">
        <f>IF(TimeEntry[[#This Row],[Date]]=0,"",WEEKDAY(C59,2))</f>
        <v>4</v>
      </c>
      <c r="O59" s="10">
        <f>YEAR(TimeEntry[[#This Row],[WkEnd]])</f>
        <v>2020</v>
      </c>
      <c r="P59" s="10">
        <f>WEEKNUM(TimeEntry[[#This Row],[WkEnd]])</f>
        <v>29</v>
      </c>
      <c r="Q59" s="10" t="str">
        <f>TimeEntry[[#This Row],[Year]]&amp;"-"&amp;TimeEntry[[#This Row],[WkNo]]</f>
        <v>2020-29</v>
      </c>
    </row>
    <row r="60" spans="1:27" ht="30" x14ac:dyDescent="0.25">
      <c r="A60" s="9">
        <f>MOD(IF(ROW()=11,0.1,IF(INDEX(TimeEntry[WkEnd],ROW()-10)            =            INDEX(TimeEntry[WkEnd],ROW()-11),               INDEX(TimeEntry[format],ROW()-11),               INDEX(TimeEntry[format],ROW()-11)    +1)),2)</f>
        <v>0.10000000000000009</v>
      </c>
      <c r="B60" s="14">
        <v>44020.811620370368</v>
      </c>
      <c r="C60" s="7">
        <v>44020</v>
      </c>
      <c r="D60" s="7" t="s">
        <v>428</v>
      </c>
      <c r="E60" s="17">
        <v>0.81111111111111101</v>
      </c>
      <c r="F60" s="6" t="s">
        <v>630</v>
      </c>
      <c r="G60" s="6" t="s">
        <v>769</v>
      </c>
      <c r="H60" s="7">
        <f>IF(TimeEntry[[#This Row],[Date]]=0,H11,C60+(7-N60))</f>
        <v>44024</v>
      </c>
      <c r="I60" s="7">
        <f>TimeEntry[[#This Row],[Date]]</f>
        <v>44020</v>
      </c>
      <c r="J60" s="10" t="str">
        <f>IF(TimeEntry[[#This Row],[Date]]=0,"",TEXT(TimeEntry[[#This Row],[Date]],"ddd"))</f>
        <v>Wed</v>
      </c>
      <c r="K60" s="9" t="str">
        <f>IF(TimeEntry[[#This Row],[Project]]=0,"",INDEX(ProjectsAll[job number],MATCH(TimeEntry[[#This Row],[Project]],ProjectsAll[Project],0)))</f>
        <v>210035-65</v>
      </c>
      <c r="L60" s="6" t="s">
        <v>769</v>
      </c>
      <c r="M60" s="9">
        <v>7.5</v>
      </c>
      <c r="N60" s="9">
        <f>IF(TimeEntry[[#This Row],[Date]]=0,"",WEEKDAY(C60,2))</f>
        <v>3</v>
      </c>
      <c r="O60" s="10">
        <f>YEAR(TimeEntry[[#This Row],[WkEnd]])</f>
        <v>2020</v>
      </c>
      <c r="P60" s="10">
        <f>WEEKNUM(TimeEntry[[#This Row],[WkEnd]])</f>
        <v>29</v>
      </c>
      <c r="Q60" s="10" t="str">
        <f>TimeEntry[[#This Row],[Year]]&amp;"-"&amp;TimeEntry[[#This Row],[WkNo]]</f>
        <v>2020-29</v>
      </c>
    </row>
    <row r="61" spans="1:27" ht="30" x14ac:dyDescent="0.25">
      <c r="A61" s="9">
        <f>MOD(IF(ROW()=11,0.1,IF(INDEX(TimeEntry[WkEnd],ROW()-10)            =            INDEX(TimeEntry[WkEnd],ROW()-11),               INDEX(TimeEntry[format],ROW()-11),               INDEX(TimeEntry[format],ROW()-11)    +1)),2)</f>
        <v>0.10000000000000009</v>
      </c>
      <c r="B61" s="14">
        <v>44019.687847222223</v>
      </c>
      <c r="C61" s="7">
        <v>44019</v>
      </c>
      <c r="D61" s="7" t="s">
        <v>428</v>
      </c>
      <c r="E61" s="17">
        <v>0.6875</v>
      </c>
      <c r="F61" s="6" t="s">
        <v>630</v>
      </c>
      <c r="G61" s="6" t="s">
        <v>751</v>
      </c>
      <c r="H61" s="7">
        <f>IF(TimeEntry[[#This Row],[Date]]=0,H11,C61+(7-N61))</f>
        <v>44024</v>
      </c>
      <c r="I61" s="7">
        <f>TimeEntry[[#This Row],[Date]]</f>
        <v>44019</v>
      </c>
      <c r="J61" s="10" t="str">
        <f>IF(TimeEntry[[#This Row],[Date]]=0,"",TEXT(TimeEntry[[#This Row],[Date]],"ddd"))</f>
        <v>Tue</v>
      </c>
      <c r="K61" s="9" t="str">
        <f>IF(TimeEntry[[#This Row],[Project]]=0,"",INDEX(ProjectsAll[job number],MATCH(TimeEntry[[#This Row],[Project]],ProjectsAll[Project],0)))</f>
        <v>210035-65</v>
      </c>
      <c r="L61" s="9" t="s">
        <v>759</v>
      </c>
      <c r="M61" s="9">
        <v>7.5</v>
      </c>
      <c r="N61" s="9">
        <f>IF(TimeEntry[[#This Row],[Date]]=0,"",WEEKDAY(C61,2))</f>
        <v>2</v>
      </c>
      <c r="O61" s="10">
        <f>YEAR(TimeEntry[[#This Row],[WkEnd]])</f>
        <v>2020</v>
      </c>
      <c r="P61" s="10">
        <f>WEEKNUM(TimeEntry[[#This Row],[WkEnd]])</f>
        <v>29</v>
      </c>
      <c r="Q61" s="10" t="str">
        <f>TimeEntry[[#This Row],[Year]]&amp;"-"&amp;TimeEntry[[#This Row],[WkNo]]</f>
        <v>2020-29</v>
      </c>
    </row>
    <row r="62" spans="1:27" ht="30" x14ac:dyDescent="0.25">
      <c r="A62" s="9">
        <f>MOD(IF(ROW()=11,0.1,IF(INDEX(TimeEntry[WkEnd],ROW()-10)            =            INDEX(TimeEntry[WkEnd],ROW()-11),               INDEX(TimeEntry[format],ROW()-11),               INDEX(TimeEntry[format],ROW()-11)    +1)),2)</f>
        <v>0.10000000000000009</v>
      </c>
      <c r="B62" s="14">
        <v>44018.439849537041</v>
      </c>
      <c r="C62" s="7">
        <v>44018</v>
      </c>
      <c r="D62" s="7" t="s">
        <v>433</v>
      </c>
      <c r="E62" s="17">
        <v>0.43958333333333338</v>
      </c>
      <c r="F62" s="6" t="s">
        <v>630</v>
      </c>
      <c r="G62" s="6" t="s">
        <v>757</v>
      </c>
      <c r="H62" s="7">
        <f>IF(TimeEntry[[#This Row],[Date]]=0,H11,C62+(7-N62))</f>
        <v>44024</v>
      </c>
      <c r="I62" s="7">
        <f>TimeEntry[[#This Row],[Date]]</f>
        <v>44018</v>
      </c>
      <c r="J62" s="10" t="str">
        <f>IF(TimeEntry[[#This Row],[Date]]=0,"",TEXT(TimeEntry[[#This Row],[Date]],"ddd"))</f>
        <v>Mon</v>
      </c>
      <c r="K62" s="9" t="str">
        <f>IF(TimeEntry[[#This Row],[Project]]=0,"",INDEX(ProjectsAll[job number],MATCH(TimeEntry[[#This Row],[Project]],ProjectsAll[Project],0)))</f>
        <v>210035-65</v>
      </c>
      <c r="L62" s="9" t="s">
        <v>760</v>
      </c>
      <c r="M62" s="9">
        <v>7.5</v>
      </c>
      <c r="N62" s="9">
        <f>IF(TimeEntry[[#This Row],[Date]]=0,"",WEEKDAY(C62,2))</f>
        <v>1</v>
      </c>
      <c r="O62" s="10">
        <f>YEAR(TimeEntry[[#This Row],[WkEnd]])</f>
        <v>2020</v>
      </c>
      <c r="P62" s="10">
        <f>WEEKNUM(TimeEntry[[#This Row],[WkEnd]])</f>
        <v>29</v>
      </c>
      <c r="Q62" s="10" t="str">
        <f>TimeEntry[[#This Row],[Year]]&amp;"-"&amp;TimeEntry[[#This Row],[WkNo]]</f>
        <v>2020-29</v>
      </c>
    </row>
    <row r="63" spans="1:27" x14ac:dyDescent="0.25">
      <c r="A63" s="9">
        <f>MOD(IF(ROW()=11,0.1,IF(INDEX(TimeEntry[WkEnd],ROW()-10)            =            INDEX(TimeEntry[WkEnd],ROW()-11),               INDEX(TimeEntry[format],ROW()-11),               INDEX(TimeEntry[format],ROW()-11)    +1)),2)</f>
        <v>0.10000000000000009</v>
      </c>
      <c r="B63" s="14">
        <v>44018.439849537041</v>
      </c>
      <c r="C63" s="7">
        <v>44018</v>
      </c>
      <c r="D63" s="7" t="s">
        <v>433</v>
      </c>
      <c r="E63" s="17">
        <v>0.43958333333333338</v>
      </c>
      <c r="F63" s="6" t="s">
        <v>669</v>
      </c>
      <c r="G63" s="6" t="s">
        <v>758</v>
      </c>
      <c r="H63" s="7">
        <f>IF(TimeEntry[[#This Row],[Date]]=0,H62,C63+(7-N63))</f>
        <v>44024</v>
      </c>
      <c r="I63" s="7">
        <f>TimeEntry[[#This Row],[Date]]</f>
        <v>44018</v>
      </c>
      <c r="J63" s="10" t="str">
        <f>IF(TimeEntry[[#This Row],[Date]]=0,"",TEXT(TimeEntry[[#This Row],[Date]],"ddd"))</f>
        <v>Mon</v>
      </c>
      <c r="K63" s="9">
        <f>IF(TimeEntry[[#This Row],[Project]]=0,"",INDEX(ProjectsAll[job number],MATCH(TimeEntry[[#This Row],[Project]],ProjectsAll[Project],0)))</f>
        <v>0</v>
      </c>
      <c r="L63" s="9"/>
      <c r="M63" s="9"/>
      <c r="N63" s="9">
        <f>IF(TimeEntry[[#This Row],[Date]]=0,"",WEEKDAY(C63,2))</f>
        <v>1</v>
      </c>
      <c r="O63" s="10">
        <f>YEAR(TimeEntry[[#This Row],[WkEnd]])</f>
        <v>2020</v>
      </c>
      <c r="P63" s="10">
        <f>WEEKNUM(TimeEntry[[#This Row],[WkEnd]])</f>
        <v>29</v>
      </c>
      <c r="Q63" s="10" t="str">
        <f>TimeEntry[[#This Row],[Year]]&amp;"-"&amp;TimeEntry[[#This Row],[WkNo]]</f>
        <v>2020-29</v>
      </c>
    </row>
    <row r="64" spans="1:27" ht="75" x14ac:dyDescent="0.25">
      <c r="A64" s="9">
        <f>MOD(IF(ROW()=11,0.1,IF(INDEX(TimeEntry[WkEnd],ROW()-10)            =            INDEX(TimeEntry[WkEnd],ROW()-11),               INDEX(TimeEntry[format],ROW()-11),               INDEX(TimeEntry[format],ROW()-11)    +1)),2)</f>
        <v>1.1000000000000001</v>
      </c>
      <c r="B64" s="14">
        <v>44015.439502314817</v>
      </c>
      <c r="C64" s="7">
        <v>44015</v>
      </c>
      <c r="D64" s="7" t="s">
        <v>437</v>
      </c>
      <c r="E64" s="17">
        <v>0.43888888888888888</v>
      </c>
      <c r="F64" s="6" t="s">
        <v>630</v>
      </c>
      <c r="G64" s="6" t="s">
        <v>743</v>
      </c>
      <c r="H64" s="7">
        <f>IF(TimeEntry[[#This Row],[Date]]=0,H11,C64+(7-N64))</f>
        <v>44017</v>
      </c>
      <c r="I64" s="7">
        <f>TimeEntry[[#This Row],[Date]]</f>
        <v>44015</v>
      </c>
      <c r="J64" s="10" t="str">
        <f>IF(TimeEntry[[#This Row],[Date]]=0,"",TEXT(TimeEntry[[#This Row],[Date]],"ddd"))</f>
        <v>Fri</v>
      </c>
      <c r="K64" s="9" t="str">
        <f>IF(TimeEntry[[#This Row],[Project]]=0,"",INDEX(ProjectsAll[job number],MATCH(TimeEntry[[#This Row],[Project]],ProjectsAll[Project],0)))</f>
        <v>210035-65</v>
      </c>
      <c r="L64" s="9" t="s">
        <v>744</v>
      </c>
      <c r="M64" s="9">
        <v>7.5</v>
      </c>
      <c r="N64" s="9">
        <f>IF(TimeEntry[[#This Row],[Date]]=0,"",WEEKDAY(C64,2))</f>
        <v>5</v>
      </c>
      <c r="O64" s="10">
        <f>YEAR(TimeEntry[[#This Row],[WkEnd]])</f>
        <v>2020</v>
      </c>
      <c r="P64" s="10">
        <f>WEEKNUM(TimeEntry[[#This Row],[WkEnd]])</f>
        <v>28</v>
      </c>
      <c r="Q64" s="10" t="str">
        <f>TimeEntry[[#This Row],[Year]]&amp;"-"&amp;TimeEntry[[#This Row],[WkNo]]</f>
        <v>2020-28</v>
      </c>
    </row>
    <row r="65" spans="1:17" x14ac:dyDescent="0.25">
      <c r="A65" s="9">
        <f>MOD(IF(ROW()=11,0.1,IF(INDEX(TimeEntry[WkEnd],ROW()-10)            =            INDEX(TimeEntry[WkEnd],ROW()-11),               INDEX(TimeEntry[format],ROW()-11),               INDEX(TimeEntry[format],ROW()-11)    +1)),2)</f>
        <v>1.1000000000000001</v>
      </c>
      <c r="B65" s="14">
        <v>44014.848182870373</v>
      </c>
      <c r="C65" s="7">
        <v>44014</v>
      </c>
      <c r="D65" s="7" t="s">
        <v>430</v>
      </c>
      <c r="E65" s="17">
        <v>0.84791666666666676</v>
      </c>
      <c r="F65" s="6" t="s">
        <v>669</v>
      </c>
      <c r="G65" s="6" t="s">
        <v>669</v>
      </c>
      <c r="H65" s="7">
        <f>IF(TimeEntry[[#This Row],[Date]]=0,H64,C65+(7-N65))</f>
        <v>44017</v>
      </c>
      <c r="I65" s="7">
        <f>TimeEntry[[#This Row],[Date]]</f>
        <v>44014</v>
      </c>
      <c r="J65" s="10" t="str">
        <f>IF(TimeEntry[[#This Row],[Date]]=0,"",TEXT(TimeEntry[[#This Row],[Date]],"ddd"))</f>
        <v>Thu</v>
      </c>
      <c r="K65" s="9">
        <f>IF(TimeEntry[[#This Row],[Project]]=0,"",INDEX(ProjectsAll[job number],MATCH(TimeEntry[[#This Row],[Project]],ProjectsAll[Project],0)))</f>
        <v>0</v>
      </c>
      <c r="L65" s="9"/>
      <c r="M65" s="9"/>
      <c r="N65" s="9">
        <f>IF(TimeEntry[[#This Row],[Date]]=0,"",WEEKDAY(C65,2))</f>
        <v>4</v>
      </c>
      <c r="O65" s="10">
        <f>YEAR(TimeEntry[[#This Row],[WkEnd]])</f>
        <v>2020</v>
      </c>
      <c r="P65" s="10">
        <f>WEEKNUM(TimeEntry[[#This Row],[WkEnd]])</f>
        <v>28</v>
      </c>
      <c r="Q65" s="10" t="str">
        <f>TimeEntry[[#This Row],[Year]]&amp;"-"&amp;TimeEntry[[#This Row],[WkNo]]</f>
        <v>2020-28</v>
      </c>
    </row>
    <row r="66" spans="1:17" ht="60" x14ac:dyDescent="0.25">
      <c r="A66" s="9">
        <f>MOD(IF(ROW()=11,0.1,IF(INDEX(TimeEntry[WkEnd],ROW()-10)            =            INDEX(TimeEntry[WkEnd],ROW()-11),               INDEX(TimeEntry[format],ROW()-11),               INDEX(TimeEntry[format],ROW()-11)    +1)),2)</f>
        <v>1.1000000000000001</v>
      </c>
      <c r="B66" s="14">
        <v>44014.687638888892</v>
      </c>
      <c r="C66" s="7">
        <v>44014</v>
      </c>
      <c r="D66" s="7" t="s">
        <v>430</v>
      </c>
      <c r="E66" s="17">
        <v>0.6875</v>
      </c>
      <c r="F66" s="6" t="s">
        <v>630</v>
      </c>
      <c r="G66" s="6" t="s">
        <v>742</v>
      </c>
      <c r="H66" s="7">
        <f>IF(TimeEntry[[#This Row],[Date]]=0,H65,C66+(7-N66))</f>
        <v>44017</v>
      </c>
      <c r="I66" s="7">
        <f>TimeEntry[[#This Row],[Date]]</f>
        <v>44014</v>
      </c>
      <c r="J66" s="10" t="str">
        <f>IF(TimeEntry[[#This Row],[Date]]=0,"",TEXT(TimeEntry[[#This Row],[Date]],"ddd"))</f>
        <v>Thu</v>
      </c>
      <c r="K66" s="9" t="str">
        <f>IF(TimeEntry[[#This Row],[Project]]=0,"",INDEX(ProjectsAll[job number],MATCH(TimeEntry[[#This Row],[Project]],ProjectsAll[Project],0)))</f>
        <v>210035-65</v>
      </c>
      <c r="L66" s="9" t="s">
        <v>745</v>
      </c>
      <c r="M66" s="9">
        <v>5</v>
      </c>
      <c r="N66" s="9">
        <f>IF(TimeEntry[[#This Row],[Date]]=0,"",WEEKDAY(C66,2))</f>
        <v>4</v>
      </c>
      <c r="O66" s="10">
        <f>YEAR(TimeEntry[[#This Row],[WkEnd]])</f>
        <v>2020</v>
      </c>
      <c r="P66" s="10">
        <f>WEEKNUM(TimeEntry[[#This Row],[WkEnd]])</f>
        <v>28</v>
      </c>
      <c r="Q66" s="10" t="str">
        <f>TimeEntry[[#This Row],[Year]]&amp;"-"&amp;TimeEntry[[#This Row],[WkNo]]</f>
        <v>2020-28</v>
      </c>
    </row>
    <row r="67" spans="1:17" ht="45" x14ac:dyDescent="0.25">
      <c r="A67" s="9">
        <f>MOD(IF(ROW()=11,0.1,IF(INDEX(TimeEntry[WkEnd],ROW()-10)            =            INDEX(TimeEntry[WkEnd],ROW()-11),               INDEX(TimeEntry[format],ROW()-11),               INDEX(TimeEntry[format],ROW()-11)    +1)),2)</f>
        <v>1.1000000000000001</v>
      </c>
      <c r="B67" s="14">
        <v>44014.56355324074</v>
      </c>
      <c r="C67" s="7">
        <v>44014</v>
      </c>
      <c r="D67" s="7" t="s">
        <v>430</v>
      </c>
      <c r="E67" s="17">
        <v>0.56319444444444444</v>
      </c>
      <c r="F67" s="6" t="s">
        <v>630</v>
      </c>
      <c r="G67" s="6" t="s">
        <v>740</v>
      </c>
      <c r="H67" s="7">
        <f>IF(TimeEntry[[#This Row],[Date]]=0,H66,C67+(7-N67))</f>
        <v>44017</v>
      </c>
      <c r="I67" s="7">
        <f>TimeEntry[[#This Row],[Date]]</f>
        <v>44014</v>
      </c>
      <c r="J67" s="10" t="str">
        <f>IF(TimeEntry[[#This Row],[Date]]=0,"",TEXT(TimeEntry[[#This Row],[Date]],"ddd"))</f>
        <v>Thu</v>
      </c>
      <c r="K67" s="9" t="str">
        <f>IF(TimeEntry[[#This Row],[Project]]=0,"",INDEX(ProjectsAll[job number],MATCH(TimeEntry[[#This Row],[Project]],ProjectsAll[Project],0)))</f>
        <v>210035-65</v>
      </c>
      <c r="L67" s="9" t="s">
        <v>746</v>
      </c>
      <c r="M67" s="9">
        <v>2.5</v>
      </c>
      <c r="N67" s="9">
        <f>IF(TimeEntry[[#This Row],[Date]]=0,"",WEEKDAY(C67,2))</f>
        <v>4</v>
      </c>
      <c r="O67" s="10">
        <f>YEAR(TimeEntry[[#This Row],[WkEnd]])</f>
        <v>2020</v>
      </c>
      <c r="P67" s="10">
        <f>WEEKNUM(TimeEntry[[#This Row],[WkEnd]])</f>
        <v>28</v>
      </c>
      <c r="Q67" s="10" t="str">
        <f>TimeEntry[[#This Row],[Year]]&amp;"-"&amp;TimeEntry[[#This Row],[WkNo]]</f>
        <v>2020-28</v>
      </c>
    </row>
    <row r="68" spans="1:17" ht="105" x14ac:dyDescent="0.25">
      <c r="A68" s="9">
        <f>MOD(IF(ROW()=11,0.1,IF(INDEX(TimeEntry[WkEnd],ROW()-10)            =            INDEX(TimeEntry[WkEnd],ROW()-11),               INDEX(TimeEntry[format],ROW()-11),               INDEX(TimeEntry[format],ROW()-11)    +1)),2)</f>
        <v>1.1000000000000001</v>
      </c>
      <c r="B68" s="14"/>
      <c r="C68" s="7">
        <v>44013</v>
      </c>
      <c r="D68" s="7"/>
      <c r="E68" s="7"/>
      <c r="F68" s="6" t="s">
        <v>630</v>
      </c>
      <c r="G68" s="6" t="s">
        <v>739</v>
      </c>
      <c r="H68" s="7">
        <f>IF(TimeEntry[[#This Row],[Date]]=0,H67,C68+(7-N68))</f>
        <v>44017</v>
      </c>
      <c r="I68" s="7">
        <f>TimeEntry[[#This Row],[Date]]</f>
        <v>44013</v>
      </c>
      <c r="J68" s="10" t="str">
        <f>IF(TimeEntry[[#This Row],[Date]]=0,"",TEXT(TimeEntry[[#This Row],[Date]],"ddd"))</f>
        <v>Wed</v>
      </c>
      <c r="K68" s="9" t="str">
        <f>IF(TimeEntry[[#This Row],[Project]]=0,"",INDEX(ProjectsAll[job number],MATCH(TimeEntry[[#This Row],[Project]],ProjectsAll[Project],0)))</f>
        <v>210035-65</v>
      </c>
      <c r="L68" s="9" t="s">
        <v>747</v>
      </c>
      <c r="M68" s="9">
        <v>7.5</v>
      </c>
      <c r="N68" s="9">
        <f>IF(TimeEntry[[#This Row],[Date]]=0,"",WEEKDAY(C68,2))</f>
        <v>3</v>
      </c>
      <c r="O68" s="10">
        <f>YEAR(TimeEntry[[#This Row],[WkEnd]])</f>
        <v>2020</v>
      </c>
      <c r="P68" s="10">
        <f>WEEKNUM(TimeEntry[[#This Row],[WkEnd]])</f>
        <v>28</v>
      </c>
      <c r="Q68" s="10" t="str">
        <f>TimeEntry[[#This Row],[Year]]&amp;"-"&amp;TimeEntry[[#This Row],[WkNo]]</f>
        <v>2020-28</v>
      </c>
    </row>
    <row r="69" spans="1:17" ht="75" x14ac:dyDescent="0.25">
      <c r="A69" s="9">
        <f>MOD(IF(ROW()=11,0.1,IF(INDEX(TimeEntry[WkEnd],ROW()-10)            =            INDEX(TimeEntry[WkEnd],ROW()-11),               INDEX(TimeEntry[format],ROW()-11),               INDEX(TimeEntry[format],ROW()-11)    +1)),2)</f>
        <v>1.1000000000000001</v>
      </c>
      <c r="B69" s="14"/>
      <c r="C69" s="7">
        <v>44012</v>
      </c>
      <c r="D69" s="7"/>
      <c r="E69" s="7"/>
      <c r="F69" s="6" t="s">
        <v>630</v>
      </c>
      <c r="G69" s="6" t="s">
        <v>735</v>
      </c>
      <c r="H69" s="7">
        <f>IF(TimeEntry[[#This Row],[Date]]=0,H68,C69+(7-N69))</f>
        <v>44017</v>
      </c>
      <c r="I69" s="7">
        <f>TimeEntry[[#This Row],[Date]]</f>
        <v>44012</v>
      </c>
      <c r="J69" s="10" t="str">
        <f>IF(TimeEntry[[#This Row],[Date]]=0,"",TEXT(TimeEntry[[#This Row],[Date]],"ddd"))</f>
        <v>Tue</v>
      </c>
      <c r="K69" s="9" t="str">
        <f>IF(TimeEntry[[#This Row],[Project]]=0,"",INDEX(ProjectsAll[job number],MATCH(TimeEntry[[#This Row],[Project]],ProjectsAll[Project],0)))</f>
        <v>210035-65</v>
      </c>
      <c r="L69" s="9" t="s">
        <v>748</v>
      </c>
      <c r="M69" s="9">
        <v>7.5</v>
      </c>
      <c r="N69" s="9">
        <f>IF(TimeEntry[[#This Row],[Date]]=0,"",WEEKDAY(C69,2))</f>
        <v>2</v>
      </c>
      <c r="O69" s="10">
        <f>YEAR(TimeEntry[[#This Row],[WkEnd]])</f>
        <v>2020</v>
      </c>
      <c r="P69" s="10">
        <f>WEEKNUM(TimeEntry[[#This Row],[WkEnd]])</f>
        <v>28</v>
      </c>
      <c r="Q69" s="10" t="str">
        <f>TimeEntry[[#This Row],[Year]]&amp;"-"&amp;TimeEntry[[#This Row],[WkNo]]</f>
        <v>2020-28</v>
      </c>
    </row>
    <row r="70" spans="1:17" ht="105" x14ac:dyDescent="0.25">
      <c r="A70" s="9">
        <f>MOD(IF(ROW()=11,0.1,IF(INDEX(TimeEntry[WkEnd],ROW()-10)            =            INDEX(TimeEntry[WkEnd],ROW()-11),               INDEX(TimeEntry[format],ROW()-11),               INDEX(TimeEntry[format],ROW()-11)    +1)),2)</f>
        <v>1.1000000000000001</v>
      </c>
      <c r="B70" s="14"/>
      <c r="C70" s="7">
        <v>44011</v>
      </c>
      <c r="D70" s="7"/>
      <c r="E70" s="7"/>
      <c r="F70" s="6" t="s">
        <v>630</v>
      </c>
      <c r="G70" s="6" t="s">
        <v>731</v>
      </c>
      <c r="H70" s="7">
        <f>IF(TimeEntry[[#This Row],[Date]]=0,H69,C70+(7-N70))</f>
        <v>44017</v>
      </c>
      <c r="I70" s="7">
        <f>TimeEntry[[#This Row],[Date]]</f>
        <v>44011</v>
      </c>
      <c r="J70" s="10" t="str">
        <f>IF(TimeEntry[[#This Row],[Date]]=0,"",TEXT(TimeEntry[[#This Row],[Date]],"ddd"))</f>
        <v>Mon</v>
      </c>
      <c r="K70" s="9" t="str">
        <f>IF(TimeEntry[[#This Row],[Project]]=0,"",INDEX(ProjectsAll[job number],MATCH(TimeEntry[[#This Row],[Project]],ProjectsAll[Project],0)))</f>
        <v>210035-65</v>
      </c>
      <c r="L70" s="9" t="s">
        <v>749</v>
      </c>
      <c r="M70" s="9">
        <v>5</v>
      </c>
      <c r="N70" s="9">
        <f>IF(TimeEntry[[#This Row],[Date]]=0,"",WEEKDAY(C70,2))</f>
        <v>1</v>
      </c>
      <c r="O70" s="10">
        <f>YEAR(TimeEntry[[#This Row],[WkEnd]])</f>
        <v>2020</v>
      </c>
      <c r="P70" s="10">
        <f>WEEKNUM(TimeEntry[[#This Row],[WkEnd]])</f>
        <v>28</v>
      </c>
      <c r="Q70" s="10" t="str">
        <f>TimeEntry[[#This Row],[Year]]&amp;"-"&amp;TimeEntry[[#This Row],[WkNo]]</f>
        <v>2020-28</v>
      </c>
    </row>
    <row r="71" spans="1:17" ht="30" x14ac:dyDescent="0.25">
      <c r="A71" s="9">
        <f>MOD(IF(ROW()=11,0.1,IF(INDEX(TimeEntry[WkEnd],ROW()-10)            =            INDEX(TimeEntry[WkEnd],ROW()-11),               INDEX(TimeEntry[format],ROW()-11),               INDEX(TimeEntry[format],ROW()-11)    +1)),2)</f>
        <v>1.1000000000000001</v>
      </c>
      <c r="B71" s="14"/>
      <c r="C71" s="7">
        <v>44011</v>
      </c>
      <c r="D71" s="7"/>
      <c r="E71" s="7"/>
      <c r="F71" s="6" t="s">
        <v>732</v>
      </c>
      <c r="G71" s="6" t="s">
        <v>750</v>
      </c>
      <c r="H71" s="7">
        <f>IF(TimeEntry[[#This Row],[Date]]=0,H70,C71+(7-N71))</f>
        <v>44017</v>
      </c>
      <c r="I71" s="7">
        <f>TimeEntry[[#This Row],[Date]]</f>
        <v>44011</v>
      </c>
      <c r="J71" s="10" t="str">
        <f>IF(TimeEntry[[#This Row],[Date]]=0,"",TEXT(TimeEntry[[#This Row],[Date]],"ddd"))</f>
        <v>Mon</v>
      </c>
      <c r="K71" s="9" t="str">
        <f>IF(TimeEntry[[#This Row],[Project]]=0,"",INDEX(ProjectsAll[job number],MATCH(TimeEntry[[#This Row],[Project]],ProjectsAll[Project],0)))</f>
        <v>249980-13</v>
      </c>
      <c r="L71" s="6" t="s">
        <v>734</v>
      </c>
      <c r="M71" s="9">
        <v>2.5</v>
      </c>
      <c r="N71" s="9">
        <f>IF(TimeEntry[[#This Row],[Date]]=0,"",WEEKDAY(C71,2))</f>
        <v>1</v>
      </c>
      <c r="O71" s="10">
        <f>YEAR(TimeEntry[[#This Row],[WkEnd]])</f>
        <v>2020</v>
      </c>
      <c r="P71" s="10">
        <f>WEEKNUM(TimeEntry[[#This Row],[WkEnd]])</f>
        <v>28</v>
      </c>
      <c r="Q71" s="10" t="str">
        <f>TimeEntry[[#This Row],[Year]]&amp;"-"&amp;TimeEntry[[#This Row],[WkNo]]</f>
        <v>2020-28</v>
      </c>
    </row>
    <row r="72" spans="1:17" x14ac:dyDescent="0.25">
      <c r="A72" s="9">
        <f>MOD(IF(ROW()=11,0.1,IF(INDEX(TimeEntry[WkEnd],ROW()-10)            =            INDEX(TimeEntry[WkEnd],ROW()-11),               INDEX(TimeEntry[format],ROW()-11),               INDEX(TimeEntry[format],ROW()-11)    +1)),2)</f>
        <v>0.10000000000000009</v>
      </c>
      <c r="B72" s="14"/>
      <c r="C72" s="7">
        <v>44008</v>
      </c>
      <c r="D72" s="7"/>
      <c r="E72" s="7"/>
      <c r="F72" s="6" t="s">
        <v>68</v>
      </c>
      <c r="G72" s="6"/>
      <c r="H72" s="7">
        <f>IF(TimeEntry[[#This Row],[Date]]=0,H71,C72+(7-N72))</f>
        <v>44010</v>
      </c>
      <c r="I72" s="7">
        <f>TimeEntry[[#This Row],[Date]]</f>
        <v>44008</v>
      </c>
      <c r="J72" s="10" t="str">
        <f>IF(TimeEntry[[#This Row],[Date]]=0,"",TEXT(TimeEntry[[#This Row],[Date]],"ddd"))</f>
        <v>Fri</v>
      </c>
      <c r="K72" s="9" t="str">
        <f>IF(TimeEntry[[#This Row],[Project]]=0,"",INDEX(ProjectsAll[job number],MATCH(TimeEntry[[#This Row],[Project]],ProjectsAll[Project],0)))</f>
        <v>LEAVE</v>
      </c>
      <c r="L72" s="9"/>
      <c r="M72" s="9">
        <v>7.5</v>
      </c>
      <c r="N72" s="9">
        <f>IF(TimeEntry[[#This Row],[Date]]=0,"",WEEKDAY(C72,2))</f>
        <v>5</v>
      </c>
      <c r="O72" s="10">
        <f>YEAR(TimeEntry[[#This Row],[WkEnd]])</f>
        <v>2020</v>
      </c>
      <c r="P72" s="10">
        <f>WEEKNUM(TimeEntry[[#This Row],[WkEnd]])</f>
        <v>27</v>
      </c>
      <c r="Q72" s="10" t="str">
        <f>TimeEntry[[#This Row],[Year]]&amp;"-"&amp;TimeEntry[[#This Row],[WkNo]]</f>
        <v>2020-27</v>
      </c>
    </row>
    <row r="73" spans="1:17" ht="30" x14ac:dyDescent="0.25">
      <c r="A73" s="9">
        <f>MOD(IF(ROW()=11,0.1,IF(INDEX(TimeEntry[WkEnd],ROW()-10)            =            INDEX(TimeEntry[WkEnd],ROW()-11),               INDEX(TimeEntry[format],ROW()-11),               INDEX(TimeEntry[format],ROW()-11)    +1)),2)</f>
        <v>0.10000000000000009</v>
      </c>
      <c r="B73" s="14"/>
      <c r="C73" s="7">
        <v>44007</v>
      </c>
      <c r="D73" s="7"/>
      <c r="E73" s="7"/>
      <c r="F73" s="6" t="s">
        <v>630</v>
      </c>
      <c r="G73" s="6" t="s">
        <v>728</v>
      </c>
      <c r="H73" s="7">
        <f>IF(TimeEntry[[#This Row],[Date]]=0,H72,C73+(7-N73))</f>
        <v>44010</v>
      </c>
      <c r="I73" s="7">
        <f>TimeEntry[[#This Row],[Date]]</f>
        <v>44007</v>
      </c>
      <c r="J73" s="10" t="str">
        <f>IF(TimeEntry[[#This Row],[Date]]=0,"",TEXT(TimeEntry[[#This Row],[Date]],"ddd"))</f>
        <v>Thu</v>
      </c>
      <c r="K73" s="9" t="str">
        <f>IF(TimeEntry[[#This Row],[Project]]=0,"",INDEX(ProjectsAll[job number],MATCH(TimeEntry[[#This Row],[Project]],ProjectsAll[Project],0)))</f>
        <v>210035-65</v>
      </c>
      <c r="L73" s="9" t="s">
        <v>728</v>
      </c>
      <c r="M73" s="9"/>
      <c r="N73" s="9">
        <f>IF(TimeEntry[[#This Row],[Date]]=0,"",WEEKDAY(C73,2))</f>
        <v>4</v>
      </c>
      <c r="O73" s="10">
        <f>YEAR(TimeEntry[[#This Row],[WkEnd]])</f>
        <v>2020</v>
      </c>
      <c r="P73" s="10">
        <f>WEEKNUM(TimeEntry[[#This Row],[WkEnd]])</f>
        <v>27</v>
      </c>
      <c r="Q73" s="10" t="str">
        <f>TimeEntry[[#This Row],[Year]]&amp;"-"&amp;TimeEntry[[#This Row],[WkNo]]</f>
        <v>2020-27</v>
      </c>
    </row>
    <row r="74" spans="1:17" ht="45" x14ac:dyDescent="0.25">
      <c r="A74" s="9">
        <f>MOD(IF(ROW()=11,0.1,IF(INDEX(TimeEntry[WkEnd],ROW()-10)            =            INDEX(TimeEntry[WkEnd],ROW()-11),               INDEX(TimeEntry[format],ROW()-11),               INDEX(TimeEntry[format],ROW()-11)    +1)),2)</f>
        <v>0.10000000000000009</v>
      </c>
      <c r="B74" s="14"/>
      <c r="C74" s="7">
        <v>44006</v>
      </c>
      <c r="D74" s="7"/>
      <c r="E74" s="7"/>
      <c r="F74" s="6" t="s">
        <v>630</v>
      </c>
      <c r="G74" s="6" t="s">
        <v>727</v>
      </c>
      <c r="H74" s="7">
        <f>IF(TimeEntry[[#This Row],[Date]]=0,H73,C74+(7-N74))</f>
        <v>44010</v>
      </c>
      <c r="I74" s="7">
        <f>TimeEntry[[#This Row],[Date]]</f>
        <v>44006</v>
      </c>
      <c r="J74" s="10" t="str">
        <f>IF(TimeEntry[[#This Row],[Date]]=0,"",TEXT(TimeEntry[[#This Row],[Date]],"ddd"))</f>
        <v>Wed</v>
      </c>
      <c r="K74" s="9" t="str">
        <f>IF(TimeEntry[[#This Row],[Project]]=0,"",INDEX(ProjectsAll[job number],MATCH(TimeEntry[[#This Row],[Project]],ProjectsAll[Project],0)))</f>
        <v>210035-65</v>
      </c>
      <c r="L74" s="9" t="s">
        <v>730</v>
      </c>
      <c r="M74" s="9"/>
      <c r="N74" s="9">
        <f>IF(TimeEntry[[#This Row],[Date]]=0,"",WEEKDAY(C74,2))</f>
        <v>3</v>
      </c>
      <c r="O74" s="10">
        <f>YEAR(TimeEntry[[#This Row],[WkEnd]])</f>
        <v>2020</v>
      </c>
      <c r="P74" s="10">
        <f>WEEKNUM(TimeEntry[[#This Row],[WkEnd]])</f>
        <v>27</v>
      </c>
      <c r="Q74" s="10" t="str">
        <f>TimeEntry[[#This Row],[Year]]&amp;"-"&amp;TimeEntry[[#This Row],[WkNo]]</f>
        <v>2020-27</v>
      </c>
    </row>
    <row r="75" spans="1:17" ht="45" x14ac:dyDescent="0.25">
      <c r="A75" s="9">
        <f>MOD(IF(ROW()=11,0.1,IF(INDEX(TimeEntry[WkEnd],ROW()-10)            =            INDEX(TimeEntry[WkEnd],ROW()-11),               INDEX(TimeEntry[format],ROW()-11),               INDEX(TimeEntry[format],ROW()-11)    +1)),2)</f>
        <v>0.10000000000000009</v>
      </c>
      <c r="B75" s="14"/>
      <c r="C75" s="7">
        <v>44005</v>
      </c>
      <c r="D75" s="7"/>
      <c r="E75" s="7"/>
      <c r="F75" s="6" t="s">
        <v>630</v>
      </c>
      <c r="G75" s="6" t="s">
        <v>729</v>
      </c>
      <c r="H75" s="7">
        <f>IF(TimeEntry[[#This Row],[Date]]=0,H74,C75+(7-N75))</f>
        <v>44010</v>
      </c>
      <c r="I75" s="7">
        <f>TimeEntry[[#This Row],[Date]]</f>
        <v>44005</v>
      </c>
      <c r="J75" s="10" t="str">
        <f>IF(TimeEntry[[#This Row],[Date]]=0,"",TEXT(TimeEntry[[#This Row],[Date]],"ddd"))</f>
        <v>Tue</v>
      </c>
      <c r="K75" s="9" t="str">
        <f>IF(TimeEntry[[#This Row],[Project]]=0,"",INDEX(ProjectsAll[job number],MATCH(TimeEntry[[#This Row],[Project]],ProjectsAll[Project],0)))</f>
        <v>210035-65</v>
      </c>
      <c r="L75" s="9" t="s">
        <v>729</v>
      </c>
      <c r="M75" s="9"/>
      <c r="N75" s="9">
        <f>IF(TimeEntry[[#This Row],[Date]]=0,"",WEEKDAY(C75,2))</f>
        <v>2</v>
      </c>
      <c r="O75" s="10">
        <f>YEAR(TimeEntry[[#This Row],[WkEnd]])</f>
        <v>2020</v>
      </c>
      <c r="P75" s="10">
        <f>WEEKNUM(TimeEntry[[#This Row],[WkEnd]])</f>
        <v>27</v>
      </c>
      <c r="Q75" s="10" t="str">
        <f>TimeEntry[[#This Row],[Year]]&amp;"-"&amp;TimeEntry[[#This Row],[WkNo]]</f>
        <v>2020-27</v>
      </c>
    </row>
    <row r="76" spans="1:17" ht="30" x14ac:dyDescent="0.25">
      <c r="A76" s="9">
        <f>MOD(IF(ROW()=11,0.1,IF(INDEX(TimeEntry[WkEnd],ROW()-10)            =            INDEX(TimeEntry[WkEnd],ROW()-11),               INDEX(TimeEntry[format],ROW()-11),               INDEX(TimeEntry[format],ROW()-11)    +1)),2)</f>
        <v>0.10000000000000009</v>
      </c>
      <c r="B76" s="14"/>
      <c r="C76" s="7">
        <v>44004</v>
      </c>
      <c r="D76" s="7"/>
      <c r="E76" s="7"/>
      <c r="F76" s="6" t="s">
        <v>630</v>
      </c>
      <c r="G76" s="6" t="s">
        <v>726</v>
      </c>
      <c r="H76" s="7">
        <f>IF(TimeEntry[[#This Row],[Date]]=0,H75,C76+(7-N76))</f>
        <v>44010</v>
      </c>
      <c r="I76" s="7">
        <f>TimeEntry[[#This Row],[Date]]</f>
        <v>44004</v>
      </c>
      <c r="J76" s="10" t="str">
        <f>IF(TimeEntry[[#This Row],[Date]]=0,"",TEXT(TimeEntry[[#This Row],[Date]],"ddd"))</f>
        <v>Mon</v>
      </c>
      <c r="K76" s="9" t="str">
        <f>IF(TimeEntry[[#This Row],[Project]]=0,"",INDEX(ProjectsAll[job number],MATCH(TimeEntry[[#This Row],[Project]],ProjectsAll[Project],0)))</f>
        <v>210035-65</v>
      </c>
      <c r="L76" s="9" t="s">
        <v>726</v>
      </c>
      <c r="M76" s="9"/>
      <c r="N76" s="9">
        <f>IF(TimeEntry[[#This Row],[Date]]=0,"",WEEKDAY(C76,2))</f>
        <v>1</v>
      </c>
      <c r="O76" s="10">
        <f>YEAR(TimeEntry[[#This Row],[WkEnd]])</f>
        <v>2020</v>
      </c>
      <c r="P76" s="10">
        <f>WEEKNUM(TimeEntry[[#This Row],[WkEnd]])</f>
        <v>27</v>
      </c>
      <c r="Q76" s="10" t="str">
        <f>TimeEntry[[#This Row],[Year]]&amp;"-"&amp;TimeEntry[[#This Row],[WkNo]]</f>
        <v>2020-27</v>
      </c>
    </row>
    <row r="77" spans="1:17" ht="30" x14ac:dyDescent="0.25">
      <c r="A77" s="9">
        <f>MOD(IF(ROW()=11,0.1,IF(INDEX(TimeEntry[WkEnd],ROW()-10)            =            INDEX(TimeEntry[WkEnd],ROW()-11),               INDEX(TimeEntry[format],ROW()-11),               INDEX(TimeEntry[format],ROW()-11)    +1)),2)</f>
        <v>1.1000000000000001</v>
      </c>
      <c r="B77" s="14"/>
      <c r="C77" s="7">
        <v>43997</v>
      </c>
      <c r="D77" s="7"/>
      <c r="E77" s="7"/>
      <c r="F77" s="6" t="s">
        <v>630</v>
      </c>
      <c r="G77" s="6" t="s">
        <v>725</v>
      </c>
      <c r="H77" s="7">
        <f>IF(TimeEntry[[#This Row],[Date]]=0,H76,C77+(7-N77))</f>
        <v>44003</v>
      </c>
      <c r="I77" s="7">
        <f>TimeEntry[[#This Row],[Date]]</f>
        <v>43997</v>
      </c>
      <c r="J77" s="10" t="str">
        <f>IF(TimeEntry[[#This Row],[Date]]=0,"",TEXT(TimeEntry[[#This Row],[Date]],"ddd"))</f>
        <v>Mon</v>
      </c>
      <c r="K77" s="9" t="str">
        <f>IF(TimeEntry[[#This Row],[Project]]=0,"",INDEX(ProjectsAll[job number],MATCH(TimeEntry[[#This Row],[Project]],ProjectsAll[Project],0)))</f>
        <v>210035-65</v>
      </c>
      <c r="L77" s="9"/>
      <c r="M77" s="9"/>
      <c r="N77" s="9">
        <f>IF(TimeEntry[[#This Row],[Date]]=0,"",WEEKDAY(C77,2))</f>
        <v>1</v>
      </c>
      <c r="O77" s="10">
        <f>YEAR(TimeEntry[[#This Row],[WkEnd]])</f>
        <v>2020</v>
      </c>
      <c r="P77" s="10">
        <f>WEEKNUM(TimeEntry[[#This Row],[WkEnd]])</f>
        <v>26</v>
      </c>
      <c r="Q77" s="10" t="str">
        <f>TimeEntry[[#This Row],[Year]]&amp;"-"&amp;TimeEntry[[#This Row],[WkNo]]</f>
        <v>2020-26</v>
      </c>
    </row>
    <row r="78" spans="1:17" ht="30" x14ac:dyDescent="0.25">
      <c r="A78" s="9">
        <f>MOD(IF(ROW()=11,0.1,IF(INDEX(TimeEntry[WkEnd],ROW()-10)            =            INDEX(TimeEntry[WkEnd],ROW()-11),               INDEX(TimeEntry[format],ROW()-11),               INDEX(TimeEntry[format],ROW()-11)    +1)),2)</f>
        <v>0.10000000000000009</v>
      </c>
      <c r="B78" s="14"/>
      <c r="C78" s="7">
        <v>43994</v>
      </c>
      <c r="D78" s="7"/>
      <c r="E78" s="7"/>
      <c r="F78" s="6" t="s">
        <v>630</v>
      </c>
      <c r="G78" s="6" t="s">
        <v>716</v>
      </c>
      <c r="H78" s="7">
        <f>IF(TimeEntry[[#This Row],[Date]]=0,H77,C78+(7-N78))</f>
        <v>43996</v>
      </c>
      <c r="I78" s="7">
        <f>TimeEntry[[#This Row],[Date]]</f>
        <v>43994</v>
      </c>
      <c r="J78" s="10" t="str">
        <f>IF(TimeEntry[[#This Row],[Date]]=0,"",TEXT(TimeEntry[[#This Row],[Date]],"ddd"))</f>
        <v>Fri</v>
      </c>
      <c r="K78" s="9" t="str">
        <f>IF(TimeEntry[[#This Row],[Project]]=0,"",INDEX(ProjectsAll[job number],MATCH(TimeEntry[[#This Row],[Project]],ProjectsAll[Project],0)))</f>
        <v>210035-65</v>
      </c>
      <c r="L78" s="9" t="s">
        <v>717</v>
      </c>
      <c r="M78" s="9">
        <v>7.5</v>
      </c>
      <c r="N78" s="9">
        <f>IF(TimeEntry[[#This Row],[Date]]=0,"",WEEKDAY(C78,2))</f>
        <v>5</v>
      </c>
      <c r="O78" s="10">
        <f>YEAR(TimeEntry[[#This Row],[WkEnd]])</f>
        <v>2020</v>
      </c>
      <c r="P78" s="10">
        <f>WEEKNUM(TimeEntry[[#This Row],[WkEnd]])</f>
        <v>25</v>
      </c>
      <c r="Q78" s="10" t="str">
        <f>TimeEntry[[#This Row],[Year]]&amp;"-"&amp;TimeEntry[[#This Row],[WkNo]]</f>
        <v>2020-25</v>
      </c>
    </row>
    <row r="79" spans="1:17" x14ac:dyDescent="0.25">
      <c r="A79" s="9">
        <f>MOD(IF(ROW()=11,0.1,IF(INDEX(TimeEntry[WkEnd],ROW()-10)            =            INDEX(TimeEntry[WkEnd],ROW()-11),               INDEX(TimeEntry[format],ROW()-11),               INDEX(TimeEntry[format],ROW()-11)    +1)),2)</f>
        <v>0.10000000000000009</v>
      </c>
      <c r="B79" s="14"/>
      <c r="C79" s="7">
        <v>43994</v>
      </c>
      <c r="D79" s="7"/>
      <c r="E79" s="7"/>
      <c r="F79" s="6" t="s">
        <v>669</v>
      </c>
      <c r="G79" s="6" t="s">
        <v>715</v>
      </c>
      <c r="H79" s="7">
        <f>IF(TimeEntry[[#This Row],[Date]]=0,H78,C79+(7-N79))</f>
        <v>43996</v>
      </c>
      <c r="I79" s="7">
        <f>TimeEntry[[#This Row],[Date]]</f>
        <v>43994</v>
      </c>
      <c r="J79" s="10" t="str">
        <f>IF(TimeEntry[[#This Row],[Date]]=0,"",TEXT(TimeEntry[[#This Row],[Date]],"ddd"))</f>
        <v>Fri</v>
      </c>
      <c r="K79" s="9">
        <f>IF(TimeEntry[[#This Row],[Project]]=0,"",INDEX(ProjectsAll[job number],MATCH(TimeEntry[[#This Row],[Project]],ProjectsAll[Project],0)))</f>
        <v>0</v>
      </c>
      <c r="L79" s="9"/>
      <c r="M79" s="9">
        <v>0</v>
      </c>
      <c r="N79" s="9">
        <f>IF(TimeEntry[[#This Row],[Date]]=0,"",WEEKDAY(C79,2))</f>
        <v>5</v>
      </c>
      <c r="O79" s="10">
        <f>YEAR(TimeEntry[[#This Row],[WkEnd]])</f>
        <v>2020</v>
      </c>
      <c r="P79" s="10">
        <f>WEEKNUM(TimeEntry[[#This Row],[WkEnd]])</f>
        <v>25</v>
      </c>
      <c r="Q79" s="10" t="str">
        <f>TimeEntry[[#This Row],[Year]]&amp;"-"&amp;TimeEntry[[#This Row],[WkNo]]</f>
        <v>2020-25</v>
      </c>
    </row>
    <row r="80" spans="1:17" ht="75" x14ac:dyDescent="0.25">
      <c r="A80" s="9">
        <f>MOD(IF(ROW()=11,0.1,IF(INDEX(TimeEntry[WkEnd],ROW()-10)            =            INDEX(TimeEntry[WkEnd],ROW()-11),               INDEX(TimeEntry[format],ROW()-11),               INDEX(TimeEntry[format],ROW()-11)    +1)),2)</f>
        <v>0.10000000000000009</v>
      </c>
      <c r="B80" s="14"/>
      <c r="C80" s="7">
        <v>43993</v>
      </c>
      <c r="D80" s="7"/>
      <c r="E80" s="7"/>
      <c r="F80" s="6" t="s">
        <v>630</v>
      </c>
      <c r="G80" s="6" t="s">
        <v>708</v>
      </c>
      <c r="H80" s="7">
        <f>IF(TimeEntry[[#This Row],[Date]]=0,H79,C80+(7-N80))</f>
        <v>43996</v>
      </c>
      <c r="I80" s="7">
        <f>TimeEntry[[#This Row],[Date]]</f>
        <v>43993</v>
      </c>
      <c r="J80" s="10" t="str">
        <f>IF(TimeEntry[[#This Row],[Date]]=0,"",TEXT(TimeEntry[[#This Row],[Date]],"ddd"))</f>
        <v>Thu</v>
      </c>
      <c r="K80" s="9" t="str">
        <f>IF(TimeEntry[[#This Row],[Project]]=0,"",INDEX(ProjectsAll[job number],MATCH(TimeEntry[[#This Row],[Project]],ProjectsAll[Project],0)))</f>
        <v>210035-65</v>
      </c>
      <c r="L80" s="9" t="s">
        <v>718</v>
      </c>
      <c r="M80" s="9">
        <v>7.5</v>
      </c>
      <c r="N80" s="9">
        <f>IF(TimeEntry[[#This Row],[Date]]=0,"",WEEKDAY(C80,2))</f>
        <v>4</v>
      </c>
      <c r="O80" s="10">
        <f>YEAR(TimeEntry[[#This Row],[WkEnd]])</f>
        <v>2020</v>
      </c>
      <c r="P80" s="10">
        <f>WEEKNUM(TimeEntry[[#This Row],[WkEnd]])</f>
        <v>25</v>
      </c>
      <c r="Q80" s="10" t="str">
        <f>TimeEntry[[#This Row],[Year]]&amp;"-"&amp;TimeEntry[[#This Row],[WkNo]]</f>
        <v>2020-25</v>
      </c>
    </row>
    <row r="81" spans="1:17" ht="45" x14ac:dyDescent="0.25">
      <c r="A81" s="9">
        <f>MOD(IF(ROW()=11,0.1,IF(INDEX(TimeEntry[WkEnd],ROW()-10)            =            INDEX(TimeEntry[WkEnd],ROW()-11),               INDEX(TimeEntry[format],ROW()-11),               INDEX(TimeEntry[format],ROW()-11)    +1)),2)</f>
        <v>0.10000000000000009</v>
      </c>
      <c r="B81" s="14"/>
      <c r="C81" s="7">
        <v>43992</v>
      </c>
      <c r="D81" s="7"/>
      <c r="E81" s="7"/>
      <c r="F81" s="6" t="s">
        <v>630</v>
      </c>
      <c r="G81" s="6" t="s">
        <v>711</v>
      </c>
      <c r="H81" s="7">
        <f>IF(TimeEntry[[#This Row],[Date]]=0,H80,C81+(7-N81))</f>
        <v>43996</v>
      </c>
      <c r="I81" s="7">
        <f>TimeEntry[[#This Row],[Date]]</f>
        <v>43992</v>
      </c>
      <c r="J81" s="10" t="str">
        <f>IF(TimeEntry[[#This Row],[Date]]=0,"",TEXT(TimeEntry[[#This Row],[Date]],"ddd"))</f>
        <v>Wed</v>
      </c>
      <c r="K81" s="9" t="str">
        <f>IF(TimeEntry[[#This Row],[Project]]=0,"",INDEX(ProjectsAll[job number],MATCH(TimeEntry[[#This Row],[Project]],ProjectsAll[Project],0)))</f>
        <v>210035-65</v>
      </c>
      <c r="L81" s="9" t="s">
        <v>719</v>
      </c>
      <c r="M81" s="9">
        <v>2.5</v>
      </c>
      <c r="N81" s="9">
        <f>IF(TimeEntry[[#This Row],[Date]]=0,"",WEEKDAY(C81,2))</f>
        <v>3</v>
      </c>
      <c r="O81" s="10">
        <f>YEAR(TimeEntry[[#This Row],[WkEnd]])</f>
        <v>2020</v>
      </c>
      <c r="P81" s="10">
        <f>WEEKNUM(TimeEntry[[#This Row],[WkEnd]])</f>
        <v>25</v>
      </c>
      <c r="Q81" s="10" t="str">
        <f>TimeEntry[[#This Row],[Year]]&amp;"-"&amp;TimeEntry[[#This Row],[WkNo]]</f>
        <v>2020-25</v>
      </c>
    </row>
    <row r="82" spans="1:17" ht="30" x14ac:dyDescent="0.25">
      <c r="A82" s="9">
        <f>MOD(IF(ROW()=11,0.1,IF(INDEX(TimeEntry[WkEnd],ROW()-10)            =            INDEX(TimeEntry[WkEnd],ROW()-11),               INDEX(TimeEntry[format],ROW()-11),               INDEX(TimeEntry[format],ROW()-11)    +1)),2)</f>
        <v>0.10000000000000009</v>
      </c>
      <c r="B82" s="14"/>
      <c r="C82" s="7">
        <v>43992</v>
      </c>
      <c r="D82" s="7"/>
      <c r="E82" s="7"/>
      <c r="F82" s="6" t="s">
        <v>630</v>
      </c>
      <c r="G82" s="6" t="s">
        <v>720</v>
      </c>
      <c r="H82" s="7">
        <f>IF(TimeEntry[[#This Row],[Date]]=0,H81,C82+(7-N82))</f>
        <v>43996</v>
      </c>
      <c r="I82" s="7">
        <f>TimeEntry[[#This Row],[Date]]</f>
        <v>43992</v>
      </c>
      <c r="J82" s="10" t="str">
        <f>IF(TimeEntry[[#This Row],[Date]]=0,"",TEXT(TimeEntry[[#This Row],[Date]],"ddd"))</f>
        <v>Wed</v>
      </c>
      <c r="K82" s="9" t="str">
        <f>IF(TimeEntry[[#This Row],[Project]]=0,"",INDEX(ProjectsAll[job number],MATCH(TimeEntry[[#This Row],[Project]],ProjectsAll[Project],0)))</f>
        <v>210035-65</v>
      </c>
      <c r="L82" s="9" t="str">
        <f>TimeEntry[[#This Row],[Diary]]</f>
        <v xml:space="preserve">arch model review with andrea. </v>
      </c>
      <c r="M82" s="9">
        <v>5</v>
      </c>
      <c r="N82" s="9">
        <f>IF(TimeEntry[[#This Row],[Date]]=0,"",WEEKDAY(C82,2))</f>
        <v>3</v>
      </c>
      <c r="O82" s="10">
        <f>YEAR(TimeEntry[[#This Row],[WkEnd]])</f>
        <v>2020</v>
      </c>
      <c r="P82" s="10">
        <f>WEEKNUM(TimeEntry[[#This Row],[WkEnd]])</f>
        <v>25</v>
      </c>
      <c r="Q82" s="10" t="str">
        <f>TimeEntry[[#This Row],[Year]]&amp;"-"&amp;TimeEntry[[#This Row],[WkNo]]</f>
        <v>2020-25</v>
      </c>
    </row>
    <row r="83" spans="1:17" ht="30" x14ac:dyDescent="0.25">
      <c r="A83" s="9">
        <f>MOD(IF(ROW()=11,0.1,IF(INDEX(TimeEntry[WkEnd],ROW()-10)            =            INDEX(TimeEntry[WkEnd],ROW()-11),               INDEX(TimeEntry[format],ROW()-11),               INDEX(TimeEntry[format],ROW()-11)    +1)),2)</f>
        <v>0.10000000000000009</v>
      </c>
      <c r="B83" s="14"/>
      <c r="C83" s="7">
        <v>43991</v>
      </c>
      <c r="D83" s="7"/>
      <c r="E83" s="7"/>
      <c r="F83" s="6" t="s">
        <v>630</v>
      </c>
      <c r="G83" s="9" t="s">
        <v>724</v>
      </c>
      <c r="H83" s="7">
        <f>IF(TimeEntry[[#This Row],[Date]]=0,H82,C83+(7-N83))</f>
        <v>43996</v>
      </c>
      <c r="I83" s="7">
        <f>TimeEntry[[#This Row],[Date]]</f>
        <v>43991</v>
      </c>
      <c r="J83" s="10" t="str">
        <f>IF(TimeEntry[[#This Row],[Date]]=0,"",TEXT(TimeEntry[[#This Row],[Date]],"ddd"))</f>
        <v>Tue</v>
      </c>
      <c r="K83" s="9" t="str">
        <f>IF(TimeEntry[[#This Row],[Project]]=0,"",INDEX(ProjectsAll[job number],MATCH(TimeEntry[[#This Row],[Project]],ProjectsAll[Project],0)))</f>
        <v>210035-65</v>
      </c>
      <c r="L83" s="9" t="s">
        <v>724</v>
      </c>
      <c r="M83" s="9">
        <v>4.5</v>
      </c>
      <c r="N83" s="9">
        <f>IF(TimeEntry[[#This Row],[Date]]=0,"",WEEKDAY(C83,2))</f>
        <v>2</v>
      </c>
      <c r="O83" s="10">
        <f>YEAR(TimeEntry[[#This Row],[WkEnd]])</f>
        <v>2020</v>
      </c>
      <c r="P83" s="10">
        <f>WEEKNUM(TimeEntry[[#This Row],[WkEnd]])</f>
        <v>25</v>
      </c>
      <c r="Q83" s="10" t="str">
        <f>TimeEntry[[#This Row],[Year]]&amp;"-"&amp;TimeEntry[[#This Row],[WkNo]]</f>
        <v>2020-25</v>
      </c>
    </row>
    <row r="84" spans="1:17" ht="30" x14ac:dyDescent="0.25">
      <c r="A84" s="9">
        <f>MOD(IF(ROW()=11,0.1,IF(INDEX(TimeEntry[WkEnd],ROW()-10)            =            INDEX(TimeEntry[WkEnd],ROW()-11),               INDEX(TimeEntry[format],ROW()-11),               INDEX(TimeEntry[format],ROW()-11)    +1)),2)</f>
        <v>0.10000000000000009</v>
      </c>
      <c r="B84" s="14"/>
      <c r="C84" s="7">
        <v>43991</v>
      </c>
      <c r="D84" s="7"/>
      <c r="E84" s="7"/>
      <c r="F84" s="6" t="s">
        <v>40</v>
      </c>
      <c r="G84" s="6" t="s">
        <v>709</v>
      </c>
      <c r="H84" s="7">
        <f>IF(TimeEntry[[#This Row],[Date]]=0,H83,C84+(7-N84))</f>
        <v>43996</v>
      </c>
      <c r="I84" s="7">
        <f>TimeEntry[[#This Row],[Date]]</f>
        <v>43991</v>
      </c>
      <c r="J84" s="10" t="str">
        <f>IF(TimeEntry[[#This Row],[Date]]=0,"",TEXT(TimeEntry[[#This Row],[Date]],"ddd"))</f>
        <v>Tue</v>
      </c>
      <c r="K84" s="9" t="str">
        <f>IF(TimeEntry[[#This Row],[Project]]=0,"",INDEX(ProjectsAll[job number],MATCH(TimeEntry[[#This Row],[Project]],ProjectsAll[Project],0)))</f>
        <v>255670-17</v>
      </c>
      <c r="L84" s="9" t="s">
        <v>722</v>
      </c>
      <c r="M84" s="9">
        <v>3</v>
      </c>
      <c r="N84" s="9">
        <f>IF(TimeEntry[[#This Row],[Date]]=0,"",WEEKDAY(C84,2))</f>
        <v>2</v>
      </c>
      <c r="O84" s="10">
        <f>YEAR(TimeEntry[[#This Row],[WkEnd]])</f>
        <v>2020</v>
      </c>
      <c r="P84" s="10">
        <f>WEEKNUM(TimeEntry[[#This Row],[WkEnd]])</f>
        <v>25</v>
      </c>
      <c r="Q84" s="10" t="str">
        <f>TimeEntry[[#This Row],[Year]]&amp;"-"&amp;TimeEntry[[#This Row],[WkNo]]</f>
        <v>2020-25</v>
      </c>
    </row>
    <row r="85" spans="1:17" x14ac:dyDescent="0.25">
      <c r="A85" s="9">
        <f>MOD(IF(ROW()=11,0.1,IF(INDEX(TimeEntry[WkEnd],ROW()-10)            =            INDEX(TimeEntry[WkEnd],ROW()-11),               INDEX(TimeEntry[format],ROW()-11),               INDEX(TimeEntry[format],ROW()-11)    +1)),2)</f>
        <v>0.10000000000000009</v>
      </c>
      <c r="B85" s="14"/>
      <c r="C85" s="7">
        <v>43991</v>
      </c>
      <c r="D85" s="7"/>
      <c r="E85" s="7"/>
      <c r="F85" s="6" t="s">
        <v>669</v>
      </c>
      <c r="G85" s="6" t="s">
        <v>710</v>
      </c>
      <c r="H85" s="7">
        <f>IF(TimeEntry[[#This Row],[Date]]=0,H84,C85+(7-N85))</f>
        <v>43996</v>
      </c>
      <c r="I85" s="7">
        <f>TimeEntry[[#This Row],[Date]]</f>
        <v>43991</v>
      </c>
      <c r="J85" s="10" t="str">
        <f>IF(TimeEntry[[#This Row],[Date]]=0,"",TEXT(TimeEntry[[#This Row],[Date]],"ddd"))</f>
        <v>Tue</v>
      </c>
      <c r="K85" s="9">
        <f>IF(TimeEntry[[#This Row],[Project]]=0,"",INDEX(ProjectsAll[job number],MATCH(TimeEntry[[#This Row],[Project]],ProjectsAll[Project],0)))</f>
        <v>0</v>
      </c>
      <c r="L85" s="9"/>
      <c r="M85" s="9">
        <v>0</v>
      </c>
      <c r="N85" s="9">
        <f>IF(TimeEntry[[#This Row],[Date]]=0,"",WEEKDAY(C85,2))</f>
        <v>2</v>
      </c>
      <c r="O85" s="10">
        <f>YEAR(TimeEntry[[#This Row],[WkEnd]])</f>
        <v>2020</v>
      </c>
      <c r="P85" s="10">
        <f>WEEKNUM(TimeEntry[[#This Row],[WkEnd]])</f>
        <v>25</v>
      </c>
      <c r="Q85" s="10" t="str">
        <f>TimeEntry[[#This Row],[Year]]&amp;"-"&amp;TimeEntry[[#This Row],[WkNo]]</f>
        <v>2020-25</v>
      </c>
    </row>
    <row r="86" spans="1:17" ht="75" x14ac:dyDescent="0.25">
      <c r="A86" s="9">
        <f>MOD(IF(ROW()=11,0.1,IF(INDEX(TimeEntry[WkEnd],ROW()-10)            =            INDEX(TimeEntry[WkEnd],ROW()-11),               INDEX(TimeEntry[format],ROW()-11),               INDEX(TimeEntry[format],ROW()-11)    +1)),2)</f>
        <v>0.10000000000000009</v>
      </c>
      <c r="B86" s="14"/>
      <c r="C86" s="7">
        <v>43990</v>
      </c>
      <c r="D86" s="7"/>
      <c r="E86" s="7"/>
      <c r="F86" s="6" t="s">
        <v>40</v>
      </c>
      <c r="G86" s="6" t="s">
        <v>721</v>
      </c>
      <c r="H86" s="7">
        <f>IF(TimeEntry[[#This Row],[Date]]=0,H85,C86+(7-N86))</f>
        <v>43996</v>
      </c>
      <c r="I86" s="7">
        <f>TimeEntry[[#This Row],[Date]]</f>
        <v>43990</v>
      </c>
      <c r="J86" s="10" t="str">
        <f>IF(TimeEntry[[#This Row],[Date]]=0,"",TEXT(TimeEntry[[#This Row],[Date]],"ddd"))</f>
        <v>Mon</v>
      </c>
      <c r="K86" s="9" t="str">
        <f>IF(TimeEntry[[#This Row],[Project]]=0,"",INDEX(ProjectsAll[job number],MATCH(TimeEntry[[#This Row],[Project]],ProjectsAll[Project],0)))</f>
        <v>255670-17</v>
      </c>
      <c r="L86" s="9" t="s">
        <v>723</v>
      </c>
      <c r="M86" s="9">
        <v>1</v>
      </c>
      <c r="N86" s="9">
        <f>IF(TimeEntry[[#This Row],[Date]]=0,"",WEEKDAY(C86,2))</f>
        <v>1</v>
      </c>
      <c r="O86" s="10">
        <f>YEAR(TimeEntry[[#This Row],[WkEnd]])</f>
        <v>2020</v>
      </c>
      <c r="P86" s="10">
        <f>WEEKNUM(TimeEntry[[#This Row],[WkEnd]])</f>
        <v>25</v>
      </c>
      <c r="Q86" s="10" t="str">
        <f>TimeEntry[[#This Row],[Year]]&amp;"-"&amp;TimeEntry[[#This Row],[WkNo]]</f>
        <v>2020-25</v>
      </c>
    </row>
    <row r="87" spans="1:17" ht="120" x14ac:dyDescent="0.25">
      <c r="A87" s="9">
        <f>MOD(IF(ROW()=11,0.1,IF(INDEX(TimeEntry[WkEnd],ROW()-10)            =            INDEX(TimeEntry[WkEnd],ROW()-11),               INDEX(TimeEntry[format],ROW()-11),               INDEX(TimeEntry[format],ROW()-11)    +1)),2)</f>
        <v>0.10000000000000009</v>
      </c>
      <c r="B87" s="14"/>
      <c r="C87" s="7">
        <v>43990</v>
      </c>
      <c r="D87" s="7"/>
      <c r="E87" s="7"/>
      <c r="F87" s="6" t="s">
        <v>630</v>
      </c>
      <c r="G87" s="6" t="s">
        <v>707</v>
      </c>
      <c r="H87" s="7">
        <f>IF(TimeEntry[[#This Row],[Date]]=0,H86,C87+(7-N87))</f>
        <v>43996</v>
      </c>
      <c r="I87" s="7">
        <f>TimeEntry[[#This Row],[Date]]</f>
        <v>43990</v>
      </c>
      <c r="J87" s="10" t="str">
        <f>IF(TimeEntry[[#This Row],[Date]]=0,"",TEXT(TimeEntry[[#This Row],[Date]],"ddd"))</f>
        <v>Mon</v>
      </c>
      <c r="K87" s="9" t="str">
        <f>IF(TimeEntry[[#This Row],[Project]]=0,"",INDEX(ProjectsAll[job number],MATCH(TimeEntry[[#This Row],[Project]],ProjectsAll[Project],0)))</f>
        <v>210035-65</v>
      </c>
      <c r="L87" s="9" t="s">
        <v>718</v>
      </c>
      <c r="M87" s="9">
        <v>6.5</v>
      </c>
      <c r="N87" s="9">
        <f>IF(TimeEntry[[#This Row],[Date]]=0,"",WEEKDAY(C87,2))</f>
        <v>1</v>
      </c>
      <c r="O87" s="10">
        <f>YEAR(TimeEntry[[#This Row],[WkEnd]])</f>
        <v>2020</v>
      </c>
      <c r="P87" s="10">
        <f>WEEKNUM(TimeEntry[[#This Row],[WkEnd]])</f>
        <v>25</v>
      </c>
      <c r="Q87" s="10" t="str">
        <f>TimeEntry[[#This Row],[Year]]&amp;"-"&amp;TimeEntry[[#This Row],[WkNo]]</f>
        <v>2020-25</v>
      </c>
    </row>
    <row r="88" spans="1:17" x14ac:dyDescent="0.25">
      <c r="A88" s="9">
        <f>MOD(IF(ROW()=11,0.1,IF(INDEX(TimeEntry[WkEnd],ROW()-10)            =            INDEX(TimeEntry[WkEnd],ROW()-11),               INDEX(TimeEntry[format],ROW()-11),               INDEX(TimeEntry[format],ROW()-11)    +1)),2)</f>
        <v>1.1000000000000001</v>
      </c>
      <c r="B88" s="14"/>
      <c r="C88" s="7">
        <v>43987</v>
      </c>
      <c r="D88" s="7"/>
      <c r="E88" s="7"/>
      <c r="F88" s="6" t="s">
        <v>669</v>
      </c>
      <c r="G88" s="6" t="s">
        <v>701</v>
      </c>
      <c r="H88" s="7">
        <f>IF(TimeEntry[[#This Row],[Date]]=0,H87,C88+(7-N88))</f>
        <v>43989</v>
      </c>
      <c r="I88" s="7">
        <f>TimeEntry[[#This Row],[Date]]</f>
        <v>43987</v>
      </c>
      <c r="J88" s="10" t="str">
        <f>IF(TimeEntry[[#This Row],[Date]]=0,"",TEXT(TimeEntry[[#This Row],[Date]],"ddd"))</f>
        <v>Fri</v>
      </c>
      <c r="K88" s="9">
        <f>IF(TimeEntry[[#This Row],[Project]]=0,"",INDEX(ProjectsAll[job number],MATCH(TimeEntry[[#This Row],[Project]],ProjectsAll[Project],0)))</f>
        <v>0</v>
      </c>
      <c r="L88" s="9"/>
      <c r="M88" s="9">
        <v>2</v>
      </c>
      <c r="N88" s="9">
        <f>IF(TimeEntry[[#This Row],[Date]]=0,"",WEEKDAY(C88,2))</f>
        <v>5</v>
      </c>
      <c r="O88" s="10">
        <f>YEAR(TimeEntry[[#This Row],[WkEnd]])</f>
        <v>2020</v>
      </c>
      <c r="P88" s="10">
        <f>WEEKNUM(TimeEntry[[#This Row],[WkEnd]])</f>
        <v>24</v>
      </c>
      <c r="Q88" s="10" t="str">
        <f>TimeEntry[[#This Row],[Year]]&amp;"-"&amp;TimeEntry[[#This Row],[WkNo]]</f>
        <v>2020-24</v>
      </c>
    </row>
    <row r="89" spans="1:17" ht="30" x14ac:dyDescent="0.25">
      <c r="A89" s="9">
        <f>MOD(IF(ROW()=11,0.1,IF(INDEX(TimeEntry[WkEnd],ROW()-10)            =            INDEX(TimeEntry[WkEnd],ROW()-11),               INDEX(TimeEntry[format],ROW()-11),               INDEX(TimeEntry[format],ROW()-11)    +1)),2)</f>
        <v>1.1000000000000001</v>
      </c>
      <c r="B89" s="14"/>
      <c r="C89" s="7">
        <v>43987</v>
      </c>
      <c r="D89" s="7"/>
      <c r="E89" s="7"/>
      <c r="F89" s="6" t="s">
        <v>630</v>
      </c>
      <c r="G89" s="6" t="s">
        <v>703</v>
      </c>
      <c r="H89" s="7">
        <f>IF(TimeEntry[[#This Row],[Date]]=0,H88,C89+(7-N89))</f>
        <v>43989</v>
      </c>
      <c r="I89" s="7">
        <f>TimeEntry[[#This Row],[Date]]</f>
        <v>43987</v>
      </c>
      <c r="J89" s="10" t="str">
        <f>IF(TimeEntry[[#This Row],[Date]]=0,"",TEXT(TimeEntry[[#This Row],[Date]],"ddd"))</f>
        <v>Fri</v>
      </c>
      <c r="K89" s="9" t="str">
        <f>IF(TimeEntry[[#This Row],[Project]]=0,"",INDEX(ProjectsAll[job number],MATCH(TimeEntry[[#This Row],[Project]],ProjectsAll[Project],0)))</f>
        <v>210035-65</v>
      </c>
      <c r="L89" s="9"/>
      <c r="M89" s="9">
        <v>7.5</v>
      </c>
      <c r="N89" s="9">
        <f>IF(TimeEntry[[#This Row],[Date]]=0,"",WEEKDAY(C89,2))</f>
        <v>5</v>
      </c>
      <c r="O89" s="10">
        <f>YEAR(TimeEntry[[#This Row],[WkEnd]])</f>
        <v>2020</v>
      </c>
      <c r="P89" s="10">
        <f>WEEKNUM(TimeEntry[[#This Row],[WkEnd]])</f>
        <v>24</v>
      </c>
      <c r="Q89" s="10" t="str">
        <f>TimeEntry[[#This Row],[Year]]&amp;"-"&amp;TimeEntry[[#This Row],[WkNo]]</f>
        <v>2020-24</v>
      </c>
    </row>
    <row r="90" spans="1:17" ht="30" x14ac:dyDescent="0.25">
      <c r="A90" s="9">
        <f>MOD(IF(ROW()=11,0.1,IF(INDEX(TimeEntry[WkEnd],ROW()-10)            =            INDEX(TimeEntry[WkEnd],ROW()-11),               INDEX(TimeEntry[format],ROW()-11),               INDEX(TimeEntry[format],ROW()-11)    +1)),2)</f>
        <v>1.1000000000000001</v>
      </c>
      <c r="B90" s="14"/>
      <c r="C90" s="7">
        <v>43986</v>
      </c>
      <c r="D90" s="7"/>
      <c r="E90" s="7"/>
      <c r="F90" s="6" t="s">
        <v>40</v>
      </c>
      <c r="G90" s="6" t="s">
        <v>706</v>
      </c>
      <c r="H90" s="7">
        <f>IF(TimeEntry[[#This Row],[Date]]=0,H89,C90+(7-N90))</f>
        <v>43989</v>
      </c>
      <c r="I90" s="7">
        <f>TimeEntry[[#This Row],[Date]]</f>
        <v>43986</v>
      </c>
      <c r="J90" s="10" t="str">
        <f>IF(TimeEntry[[#This Row],[Date]]=0,"",TEXT(TimeEntry[[#This Row],[Date]],"ddd"))</f>
        <v>Thu</v>
      </c>
      <c r="K90" s="9" t="str">
        <f>IF(TimeEntry[[#This Row],[Project]]=0,"",INDEX(ProjectsAll[job number],MATCH(TimeEntry[[#This Row],[Project]],ProjectsAll[Project],0)))</f>
        <v>255670-17</v>
      </c>
      <c r="L90" s="9"/>
      <c r="M90" s="9">
        <v>1</v>
      </c>
      <c r="N90" s="9">
        <f>IF(TimeEntry[[#This Row],[Date]]=0,"",WEEKDAY(C90,2))</f>
        <v>4</v>
      </c>
      <c r="O90" s="10">
        <f>YEAR(TimeEntry[[#This Row],[WkEnd]])</f>
        <v>2020</v>
      </c>
      <c r="P90" s="10">
        <f>WEEKNUM(TimeEntry[[#This Row],[WkEnd]])</f>
        <v>24</v>
      </c>
      <c r="Q90" s="10" t="str">
        <f>TimeEntry[[#This Row],[Year]]&amp;"-"&amp;TimeEntry[[#This Row],[WkNo]]</f>
        <v>2020-24</v>
      </c>
    </row>
    <row r="91" spans="1:17" ht="45" x14ac:dyDescent="0.25">
      <c r="A91" s="9">
        <f>MOD(IF(ROW()=11,0.1,IF(INDEX(TimeEntry[WkEnd],ROW()-10)            =            INDEX(TimeEntry[WkEnd],ROW()-11),               INDEX(TimeEntry[format],ROW()-11),               INDEX(TimeEntry[format],ROW()-11)    +1)),2)</f>
        <v>1.1000000000000001</v>
      </c>
      <c r="B91" s="14"/>
      <c r="C91" s="7">
        <v>43986</v>
      </c>
      <c r="D91" s="7"/>
      <c r="E91" s="7"/>
      <c r="F91" s="6" t="s">
        <v>630</v>
      </c>
      <c r="G91" s="6" t="s">
        <v>704</v>
      </c>
      <c r="H91" s="7">
        <f>IF(TimeEntry[[#This Row],[Date]]=0,H90,C91+(7-N91))</f>
        <v>43989</v>
      </c>
      <c r="I91" s="7">
        <f>TimeEntry[[#This Row],[Date]]</f>
        <v>43986</v>
      </c>
      <c r="J91" s="10" t="str">
        <f>IF(TimeEntry[[#This Row],[Date]]=0,"",TEXT(TimeEntry[[#This Row],[Date]],"ddd"))</f>
        <v>Thu</v>
      </c>
      <c r="K91" s="9" t="str">
        <f>IF(TimeEntry[[#This Row],[Project]]=0,"",INDEX(ProjectsAll[job number],MATCH(TimeEntry[[#This Row],[Project]],ProjectsAll[Project],0)))</f>
        <v>210035-65</v>
      </c>
      <c r="L91" s="9"/>
      <c r="M91" s="9">
        <v>6.5</v>
      </c>
      <c r="N91" s="9">
        <f>IF(TimeEntry[[#This Row],[Date]]=0,"",WEEKDAY(C91,2))</f>
        <v>4</v>
      </c>
      <c r="O91" s="10">
        <f>YEAR(TimeEntry[[#This Row],[WkEnd]])</f>
        <v>2020</v>
      </c>
      <c r="P91" s="10">
        <f>WEEKNUM(TimeEntry[[#This Row],[WkEnd]])</f>
        <v>24</v>
      </c>
      <c r="Q91" s="10" t="str">
        <f>TimeEntry[[#This Row],[Year]]&amp;"-"&amp;TimeEntry[[#This Row],[WkNo]]</f>
        <v>2020-24</v>
      </c>
    </row>
    <row r="92" spans="1:17" ht="30" x14ac:dyDescent="0.25">
      <c r="A92" s="9">
        <f>MOD(IF(ROW()=11,0.1,IF(INDEX(TimeEntry[WkEnd],ROW()-10)            =            INDEX(TimeEntry[WkEnd],ROW()-11),               INDEX(TimeEntry[format],ROW()-11),               INDEX(TimeEntry[format],ROW()-11)    +1)),2)</f>
        <v>1.1000000000000001</v>
      </c>
      <c r="B92" s="14"/>
      <c r="C92" s="7">
        <v>43985</v>
      </c>
      <c r="D92" s="7"/>
      <c r="E92" s="7"/>
      <c r="F92" s="6" t="s">
        <v>630</v>
      </c>
      <c r="G92" s="6" t="s">
        <v>705</v>
      </c>
      <c r="H92" s="7">
        <f>IF(TimeEntry[[#This Row],[Date]]=0,H91,C92+(7-N92))</f>
        <v>43989</v>
      </c>
      <c r="I92" s="7">
        <f>TimeEntry[[#This Row],[Date]]</f>
        <v>43985</v>
      </c>
      <c r="J92" s="10" t="str">
        <f>IF(TimeEntry[[#This Row],[Date]]=0,"",TEXT(TimeEntry[[#This Row],[Date]],"ddd"))</f>
        <v>Wed</v>
      </c>
      <c r="K92" s="9" t="str">
        <f>IF(TimeEntry[[#This Row],[Project]]=0,"",INDEX(ProjectsAll[job number],MATCH(TimeEntry[[#This Row],[Project]],ProjectsAll[Project],0)))</f>
        <v>210035-65</v>
      </c>
      <c r="L92" s="9"/>
      <c r="M92" s="9">
        <v>7.5</v>
      </c>
      <c r="N92" s="9">
        <f>IF(TimeEntry[[#This Row],[Date]]=0,"",WEEKDAY(C92,2))</f>
        <v>3</v>
      </c>
      <c r="O92" s="10">
        <f>YEAR(TimeEntry[[#This Row],[WkEnd]])</f>
        <v>2020</v>
      </c>
      <c r="P92" s="10">
        <f>WEEKNUM(TimeEntry[[#This Row],[WkEnd]])</f>
        <v>24</v>
      </c>
      <c r="Q92" s="10" t="str">
        <f>TimeEntry[[#This Row],[Year]]&amp;"-"&amp;TimeEntry[[#This Row],[WkNo]]</f>
        <v>2020-24</v>
      </c>
    </row>
    <row r="93" spans="1:17" ht="90" x14ac:dyDescent="0.25">
      <c r="A93" s="9">
        <f>MOD(IF(ROW()=11,0.1,IF(INDEX(TimeEntry[WkEnd],ROW()-10)            =            INDEX(TimeEntry[WkEnd],ROW()-11),               INDEX(TimeEntry[format],ROW()-11),               INDEX(TimeEntry[format],ROW()-11)    +1)),2)</f>
        <v>1.1000000000000001</v>
      </c>
      <c r="B93" s="14"/>
      <c r="C93" s="7">
        <v>43984</v>
      </c>
      <c r="D93" s="7"/>
      <c r="E93" s="7"/>
      <c r="F93" s="6" t="s">
        <v>630</v>
      </c>
      <c r="G93" s="6" t="s">
        <v>702</v>
      </c>
      <c r="H93" s="7">
        <f>IF(TimeEntry[[#This Row],[Date]]=0,H92,C93+(7-N93))</f>
        <v>43989</v>
      </c>
      <c r="I93" s="7">
        <f>TimeEntry[[#This Row],[Date]]</f>
        <v>43984</v>
      </c>
      <c r="J93" s="10" t="str">
        <f>IF(TimeEntry[[#This Row],[Date]]=0,"",TEXT(TimeEntry[[#This Row],[Date]],"ddd"))</f>
        <v>Tue</v>
      </c>
      <c r="K93" s="9" t="str">
        <f>IF(TimeEntry[[#This Row],[Project]]=0,"",INDEX(ProjectsAll[job number],MATCH(TimeEntry[[#This Row],[Project]],ProjectsAll[Project],0)))</f>
        <v>210035-65</v>
      </c>
      <c r="L93" s="9"/>
      <c r="M93" s="9">
        <v>7.5</v>
      </c>
      <c r="N93" s="9">
        <f>IF(TimeEntry[[#This Row],[Date]]=0,"",WEEKDAY(C93,2))</f>
        <v>2</v>
      </c>
      <c r="O93" s="10">
        <f>YEAR(TimeEntry[[#This Row],[WkEnd]])</f>
        <v>2020</v>
      </c>
      <c r="P93" s="10">
        <f>WEEKNUM(TimeEntry[[#This Row],[WkEnd]])</f>
        <v>24</v>
      </c>
      <c r="Q93" s="10" t="str">
        <f>TimeEntry[[#This Row],[Year]]&amp;"-"&amp;TimeEntry[[#This Row],[WkNo]]</f>
        <v>2020-24</v>
      </c>
    </row>
    <row r="94" spans="1:17" ht="30" x14ac:dyDescent="0.25">
      <c r="A94" s="9">
        <f>MOD(IF(ROW()=11,0.1,IF(INDEX(TimeEntry[WkEnd],ROW()-10)            =            INDEX(TimeEntry[WkEnd],ROW()-11),               INDEX(TimeEntry[format],ROW()-11),               INDEX(TimeEntry[format],ROW()-11)    +1)),2)</f>
        <v>1.1000000000000001</v>
      </c>
      <c r="B94" s="14"/>
      <c r="C94" s="7">
        <v>43983</v>
      </c>
      <c r="D94" s="7"/>
      <c r="E94" s="7"/>
      <c r="F94" s="6" t="s">
        <v>51</v>
      </c>
      <c r="G94" s="6" t="s">
        <v>699</v>
      </c>
      <c r="H94" s="7">
        <f>IF(TimeEntry[[#This Row],[Date]]=0,H93,C94+(7-N94))</f>
        <v>43989</v>
      </c>
      <c r="I94" s="7">
        <f>TimeEntry[[#This Row],[Date]]</f>
        <v>43983</v>
      </c>
      <c r="J94" s="10" t="str">
        <f>IF(TimeEntry[[#This Row],[Date]]=0,"",TEXT(TimeEntry[[#This Row],[Date]],"ddd"))</f>
        <v>Mon</v>
      </c>
      <c r="K94" s="9" t="str">
        <f>IF(TimeEntry[[#This Row],[Project]]=0,"",INDEX(ProjectsAll[job number],MATCH(TimeEntry[[#This Row],[Project]],ProjectsAll[Project],0)))</f>
        <v>246233-56</v>
      </c>
      <c r="L94" s="9" t="s">
        <v>678</v>
      </c>
      <c r="M94" s="9">
        <v>7.5</v>
      </c>
      <c r="N94" s="9">
        <f>IF(TimeEntry[[#This Row],[Date]]=0,"",WEEKDAY(C94,2))</f>
        <v>1</v>
      </c>
      <c r="O94" s="10">
        <f>YEAR(TimeEntry[[#This Row],[WkEnd]])</f>
        <v>2020</v>
      </c>
      <c r="P94" s="10">
        <f>WEEKNUM(TimeEntry[[#This Row],[WkEnd]])</f>
        <v>24</v>
      </c>
      <c r="Q94" s="10" t="str">
        <f>TimeEntry[[#This Row],[Year]]&amp;"-"&amp;TimeEntry[[#This Row],[WkNo]]</f>
        <v>2020-24</v>
      </c>
    </row>
    <row r="95" spans="1:17" ht="45" x14ac:dyDescent="0.25">
      <c r="A95" s="9">
        <f>MOD(IF(ROW()=11,0.1,IF(INDEX(TimeEntry[WkEnd],ROW()-10)            =            INDEX(TimeEntry[WkEnd],ROW()-11),               INDEX(TimeEntry[format],ROW()-11),               INDEX(TimeEntry[format],ROW()-11)    +1)),2)</f>
        <v>0.10000000000000009</v>
      </c>
      <c r="B95" s="14"/>
      <c r="C95" s="7">
        <v>43980</v>
      </c>
      <c r="D95" s="7"/>
      <c r="E95" s="7"/>
      <c r="F95" s="6" t="s">
        <v>637</v>
      </c>
      <c r="G95" s="6" t="s">
        <v>700</v>
      </c>
      <c r="H95" s="7">
        <f>IF(TimeEntry[[#This Row],[Date]]=0,H94,C95+(7-N95))</f>
        <v>43982</v>
      </c>
      <c r="I95" s="7">
        <f>TimeEntry[[#This Row],[Date]]</f>
        <v>43980</v>
      </c>
      <c r="J95" s="10" t="str">
        <f>IF(TimeEntry[[#This Row],[Date]]=0,"",TEXT(TimeEntry[[#This Row],[Date]],"ddd"))</f>
        <v>Fri</v>
      </c>
      <c r="K95" s="9" t="str">
        <f>IF(TimeEntry[[#This Row],[Project]]=0,"",INDEX(ProjectsAll[job number],MATCH(TimeEntry[[#This Row],[Project]],ProjectsAll[Project],0)))</f>
        <v xml:space="preserve">257677-59 </v>
      </c>
      <c r="L95" s="9" t="s">
        <v>698</v>
      </c>
      <c r="M95" s="9">
        <v>2</v>
      </c>
      <c r="N95" s="9">
        <f>IF(TimeEntry[[#This Row],[Date]]=0,"",WEEKDAY(C95,2))</f>
        <v>5</v>
      </c>
      <c r="O95" s="10">
        <f>YEAR(TimeEntry[[#This Row],[WkEnd]])</f>
        <v>2020</v>
      </c>
      <c r="P95" s="10">
        <f>WEEKNUM(TimeEntry[[#This Row],[WkEnd]])</f>
        <v>23</v>
      </c>
      <c r="Q95" s="10" t="str">
        <f>TimeEntry[[#This Row],[Year]]&amp;"-"&amp;TimeEntry[[#This Row],[WkNo]]</f>
        <v>2020-23</v>
      </c>
    </row>
    <row r="96" spans="1:17" ht="45" x14ac:dyDescent="0.25">
      <c r="A96" s="9">
        <f>MOD(IF(ROW()=11,0.1,IF(INDEX(TimeEntry[WkEnd],ROW()-10)            =            INDEX(TimeEntry[WkEnd],ROW()-11),               INDEX(TimeEntry[format],ROW()-11),               INDEX(TimeEntry[format],ROW()-11)    +1)),2)</f>
        <v>0.10000000000000009</v>
      </c>
      <c r="B96" s="14"/>
      <c r="C96" s="7">
        <v>43980</v>
      </c>
      <c r="D96" s="7"/>
      <c r="E96" s="7"/>
      <c r="F96" s="6" t="s">
        <v>630</v>
      </c>
      <c r="G96" s="6" t="s">
        <v>672</v>
      </c>
      <c r="H96" s="7">
        <f>IF(TimeEntry[[#This Row],[Date]]=0,H95,C96+(7-N96))</f>
        <v>43982</v>
      </c>
      <c r="I96" s="7">
        <f>TimeEntry[[#This Row],[Date]]</f>
        <v>43980</v>
      </c>
      <c r="J96" s="10" t="str">
        <f>IF(TimeEntry[[#This Row],[Date]]=0,"",TEXT(TimeEntry[[#This Row],[Date]],"ddd"))</f>
        <v>Fri</v>
      </c>
      <c r="K96" s="9" t="str">
        <f>IF(TimeEntry[[#This Row],[Project]]=0,"",INDEX(ProjectsAll[job number],MATCH(TimeEntry[[#This Row],[Project]],ProjectsAll[Project],0)))</f>
        <v>210035-65</v>
      </c>
      <c r="L96" s="6" t="s">
        <v>661</v>
      </c>
      <c r="M96" s="9">
        <v>5.5</v>
      </c>
      <c r="N96" s="9">
        <f>IF(TimeEntry[[#This Row],[Date]]=0,"",WEEKDAY(C96,2))</f>
        <v>5</v>
      </c>
      <c r="O96" s="10">
        <f>YEAR(TimeEntry[[#This Row],[WkEnd]])</f>
        <v>2020</v>
      </c>
      <c r="P96" s="10">
        <f>WEEKNUM(TimeEntry[[#This Row],[WkEnd]])</f>
        <v>23</v>
      </c>
      <c r="Q96" s="10" t="str">
        <f>TimeEntry[[#This Row],[Year]]&amp;"-"&amp;TimeEntry[[#This Row],[WkNo]]</f>
        <v>2020-23</v>
      </c>
    </row>
    <row r="97" spans="1:17" ht="30" x14ac:dyDescent="0.25">
      <c r="A97" s="9">
        <f>MOD(IF(ROW()=11,0.1,IF(INDEX(TimeEntry[WkEnd],ROW()-10)            =            INDEX(TimeEntry[WkEnd],ROW()-11),               INDEX(TimeEntry[format],ROW()-11),               INDEX(TimeEntry[format],ROW()-11)    +1)),2)</f>
        <v>0.10000000000000009</v>
      </c>
      <c r="B97" s="14"/>
      <c r="C97" s="7">
        <v>43980</v>
      </c>
      <c r="D97" s="7"/>
      <c r="E97" s="7"/>
      <c r="F97" s="6" t="s">
        <v>51</v>
      </c>
      <c r="G97" s="6" t="s">
        <v>671</v>
      </c>
      <c r="H97" s="7">
        <f>IF(TimeEntry[[#This Row],[Date]]=0,H96,C97+(7-N97))</f>
        <v>43982</v>
      </c>
      <c r="I97" s="7">
        <f>TimeEntry[[#This Row],[Date]]</f>
        <v>43980</v>
      </c>
      <c r="J97" s="10" t="str">
        <f>IF(TimeEntry[[#This Row],[Date]]=0,"",TEXT(TimeEntry[[#This Row],[Date]],"ddd"))</f>
        <v>Fri</v>
      </c>
      <c r="K97" s="9" t="str">
        <f>IF(TimeEntry[[#This Row],[Project]]=0,"",INDEX(ProjectsAll[job number],MATCH(TimeEntry[[#This Row],[Project]],ProjectsAll[Project],0)))</f>
        <v>246233-56</v>
      </c>
      <c r="L97" s="9" t="s">
        <v>678</v>
      </c>
      <c r="M97" s="9">
        <v>0</v>
      </c>
      <c r="N97" s="9">
        <f>IF(TimeEntry[[#This Row],[Date]]=0,"",WEEKDAY(C97,2))</f>
        <v>5</v>
      </c>
      <c r="O97" s="10">
        <f>YEAR(TimeEntry[[#This Row],[WkEnd]])</f>
        <v>2020</v>
      </c>
      <c r="P97" s="10">
        <f>WEEKNUM(TimeEntry[[#This Row],[WkEnd]])</f>
        <v>23</v>
      </c>
      <c r="Q97" s="10" t="str">
        <f>TimeEntry[[#This Row],[Year]]&amp;"-"&amp;TimeEntry[[#This Row],[WkNo]]</f>
        <v>2020-23</v>
      </c>
    </row>
    <row r="98" spans="1:17" x14ac:dyDescent="0.25">
      <c r="A98" s="9">
        <f>MOD(IF(ROW()=11,0.1,IF(INDEX(TimeEntry[WkEnd],ROW()-10)            =            INDEX(TimeEntry[WkEnd],ROW()-11),               INDEX(TimeEntry[format],ROW()-11),               INDEX(TimeEntry[format],ROW()-11)    +1)),2)</f>
        <v>0.10000000000000009</v>
      </c>
      <c r="B98" s="14"/>
      <c r="C98" s="7">
        <v>43980</v>
      </c>
      <c r="D98" s="7"/>
      <c r="E98" s="7"/>
      <c r="F98" s="6" t="s">
        <v>669</v>
      </c>
      <c r="G98" s="6" t="s">
        <v>670</v>
      </c>
      <c r="H98" s="7">
        <f>IF(TimeEntry[[#This Row],[Date]]=0,H97,C98+(7-N98))</f>
        <v>43982</v>
      </c>
      <c r="I98" s="7">
        <f>TimeEntry[[#This Row],[Date]]</f>
        <v>43980</v>
      </c>
      <c r="J98" s="10" t="str">
        <f>IF(TimeEntry[[#This Row],[Date]]=0,"",TEXT(TimeEntry[[#This Row],[Date]],"ddd"))</f>
        <v>Fri</v>
      </c>
      <c r="K98" s="9">
        <f>IF(TimeEntry[[#This Row],[Project]]=0,"",INDEX(ProjectsAll[job number],MATCH(TimeEntry[[#This Row],[Project]],ProjectsAll[Project],0)))</f>
        <v>0</v>
      </c>
      <c r="L98" s="9"/>
      <c r="M98" s="9"/>
      <c r="N98" s="9">
        <f>IF(TimeEntry[[#This Row],[Date]]=0,"",WEEKDAY(C98,2))</f>
        <v>5</v>
      </c>
      <c r="O98" s="10">
        <f>YEAR(TimeEntry[[#This Row],[WkEnd]])</f>
        <v>2020</v>
      </c>
      <c r="P98" s="10">
        <f>WEEKNUM(TimeEntry[[#This Row],[WkEnd]])</f>
        <v>23</v>
      </c>
      <c r="Q98" s="10" t="str">
        <f>TimeEntry[[#This Row],[Year]]&amp;"-"&amp;TimeEntry[[#This Row],[WkNo]]</f>
        <v>2020-23</v>
      </c>
    </row>
    <row r="99" spans="1:17" ht="75" x14ac:dyDescent="0.25">
      <c r="A99" s="9">
        <f>MOD(IF(ROW()=11,0.1,IF(INDEX(TimeEntry[WkEnd],ROW()-10)            =            INDEX(TimeEntry[WkEnd],ROW()-11),               INDEX(TimeEntry[format],ROW()-11),               INDEX(TimeEntry[format],ROW()-11)    +1)),2)</f>
        <v>0.10000000000000009</v>
      </c>
      <c r="B99" s="14"/>
      <c r="C99" s="7">
        <v>43979</v>
      </c>
      <c r="D99" s="7"/>
      <c r="E99" s="7"/>
      <c r="F99" s="6" t="s">
        <v>40</v>
      </c>
      <c r="G99" s="6" t="s">
        <v>668</v>
      </c>
      <c r="H99" s="7">
        <f>IF(TimeEntry[[#This Row],[Date]]=0,H98,C99+(7-N99))</f>
        <v>43982</v>
      </c>
      <c r="I99" s="7">
        <f>TimeEntry[[#This Row],[Date]]</f>
        <v>43979</v>
      </c>
      <c r="J99" s="10" t="str">
        <f>IF(TimeEntry[[#This Row],[Date]]=0,"",TEXT(TimeEntry[[#This Row],[Date]],"ddd"))</f>
        <v>Thu</v>
      </c>
      <c r="K99" s="9" t="str">
        <f>IF(TimeEntry[[#This Row],[Project]]=0,"",INDEX(ProjectsAll[job number],MATCH(TimeEntry[[#This Row],[Project]],ProjectsAll[Project],0)))</f>
        <v>255670-17</v>
      </c>
      <c r="L99" s="9" t="s">
        <v>677</v>
      </c>
      <c r="M99" s="9">
        <v>2</v>
      </c>
      <c r="N99" s="9">
        <f>IF(TimeEntry[[#This Row],[Date]]=0,"",WEEKDAY(C99,2))</f>
        <v>4</v>
      </c>
      <c r="O99" s="10">
        <f>YEAR(TimeEntry[[#This Row],[WkEnd]])</f>
        <v>2020</v>
      </c>
      <c r="P99" s="10">
        <f>WEEKNUM(TimeEntry[[#This Row],[WkEnd]])</f>
        <v>23</v>
      </c>
      <c r="Q99" s="10" t="str">
        <f>TimeEntry[[#This Row],[Year]]&amp;"-"&amp;TimeEntry[[#This Row],[WkNo]]</f>
        <v>2020-23</v>
      </c>
    </row>
    <row r="100" spans="1:17" ht="30" x14ac:dyDescent="0.25">
      <c r="A100" s="9">
        <f>MOD(IF(ROW()=11,0.1,IF(INDEX(TimeEntry[WkEnd],ROW()-10)            =            INDEX(TimeEntry[WkEnd],ROW()-11),               INDEX(TimeEntry[format],ROW()-11),               INDEX(TimeEntry[format],ROW()-11)    +1)),2)</f>
        <v>0.10000000000000009</v>
      </c>
      <c r="B100" s="14"/>
      <c r="C100" s="7">
        <v>43979</v>
      </c>
      <c r="D100" s="7"/>
      <c r="E100" s="7"/>
      <c r="F100" s="6" t="s">
        <v>630</v>
      </c>
      <c r="G100" s="6" t="s">
        <v>661</v>
      </c>
      <c r="H100" s="7">
        <f>IF(TimeEntry[[#This Row],[Date]]=0,H99,C100+(7-N100))</f>
        <v>43982</v>
      </c>
      <c r="I100" s="7">
        <f>TimeEntry[[#This Row],[Date]]</f>
        <v>43979</v>
      </c>
      <c r="J100" s="10" t="str">
        <f>IF(TimeEntry[[#This Row],[Date]]=0,"",TEXT(TimeEntry[[#This Row],[Date]],"ddd"))</f>
        <v>Thu</v>
      </c>
      <c r="K100" s="9" t="str">
        <f>IF(TimeEntry[[#This Row],[Project]]=0,"",INDEX(ProjectsAll[job number],MATCH(TimeEntry[[#This Row],[Project]],ProjectsAll[Project],0)))</f>
        <v>210035-65</v>
      </c>
      <c r="L100" s="6" t="s">
        <v>661</v>
      </c>
      <c r="M100" s="9">
        <v>4.5</v>
      </c>
      <c r="N100" s="9">
        <f>IF(TimeEntry[[#This Row],[Date]]=0,"",WEEKDAY(C100,2))</f>
        <v>4</v>
      </c>
      <c r="O100" s="10">
        <f>YEAR(TimeEntry[[#This Row],[WkEnd]])</f>
        <v>2020</v>
      </c>
      <c r="P100" s="10">
        <f>WEEKNUM(TimeEntry[[#This Row],[WkEnd]])</f>
        <v>23</v>
      </c>
      <c r="Q100" s="10" t="str">
        <f>TimeEntry[[#This Row],[Year]]&amp;"-"&amp;TimeEntry[[#This Row],[WkNo]]</f>
        <v>2020-23</v>
      </c>
    </row>
    <row r="101" spans="1:17" ht="60" x14ac:dyDescent="0.25">
      <c r="A101" s="9">
        <f>MOD(IF(ROW()=11,0.1,IF(INDEX(TimeEntry[WkEnd],ROW()-10)            =            INDEX(TimeEntry[WkEnd],ROW()-11),               INDEX(TimeEntry[format],ROW()-11),               INDEX(TimeEntry[format],ROW()-11)    +1)),2)</f>
        <v>0.10000000000000009</v>
      </c>
      <c r="B101" s="14"/>
      <c r="C101" s="7">
        <v>43979</v>
      </c>
      <c r="D101" s="7"/>
      <c r="E101" s="7"/>
      <c r="F101" s="6" t="s">
        <v>637</v>
      </c>
      <c r="G101" s="6" t="s">
        <v>666</v>
      </c>
      <c r="H101" s="7">
        <f>IF(TimeEntry[[#This Row],[Date]]=0,H100,C101+(7-N101))</f>
        <v>43982</v>
      </c>
      <c r="I101" s="7">
        <f>TimeEntry[[#This Row],[Date]]</f>
        <v>43979</v>
      </c>
      <c r="J101" s="10" t="str">
        <f>IF(TimeEntry[[#This Row],[Date]]=0,"",TEXT(TimeEntry[[#This Row],[Date]],"ddd"))</f>
        <v>Thu</v>
      </c>
      <c r="K101" s="9" t="str">
        <f>IF(TimeEntry[[#This Row],[Project]]=0,"",INDEX(ProjectsAll[job number],MATCH(TimeEntry[[#This Row],[Project]],ProjectsAll[Project],0)))</f>
        <v xml:space="preserve">257677-59 </v>
      </c>
      <c r="L101" s="9" t="s">
        <v>674</v>
      </c>
      <c r="M101" s="9">
        <v>1</v>
      </c>
      <c r="N101" s="9">
        <f>IF(TimeEntry[[#This Row],[Date]]=0,"",WEEKDAY(C101,2))</f>
        <v>4</v>
      </c>
      <c r="O101" s="10">
        <f>YEAR(TimeEntry[[#This Row],[WkEnd]])</f>
        <v>2020</v>
      </c>
      <c r="P101" s="10">
        <f>WEEKNUM(TimeEntry[[#This Row],[WkEnd]])</f>
        <v>23</v>
      </c>
      <c r="Q101" s="10" t="str">
        <f>TimeEntry[[#This Row],[Year]]&amp;"-"&amp;TimeEntry[[#This Row],[WkNo]]</f>
        <v>2020-23</v>
      </c>
    </row>
    <row r="102" spans="1:17" ht="45" x14ac:dyDescent="0.25">
      <c r="A102" s="9">
        <f>MOD(IF(ROW()=11,0.1,IF(INDEX(TimeEntry[WkEnd],ROW()-10)            =            INDEX(TimeEntry[WkEnd],ROW()-11),               INDEX(TimeEntry[format],ROW()-11),               INDEX(TimeEntry[format],ROW()-11)    +1)),2)</f>
        <v>0.10000000000000009</v>
      </c>
      <c r="B102" s="14"/>
      <c r="C102" s="7">
        <v>43978</v>
      </c>
      <c r="D102" s="7"/>
      <c r="E102" s="7"/>
      <c r="F102" s="6" t="s">
        <v>630</v>
      </c>
      <c r="G102" s="6" t="s">
        <v>667</v>
      </c>
      <c r="H102" s="7">
        <f>IF(TimeEntry[[#This Row],[Date]]=0,H101,C102+(7-N102))</f>
        <v>43982</v>
      </c>
      <c r="I102" s="7">
        <f>TimeEntry[[#This Row],[Date]]</f>
        <v>43978</v>
      </c>
      <c r="J102" s="10" t="str">
        <f>IF(TimeEntry[[#This Row],[Date]]=0,"",TEXT(TimeEntry[[#This Row],[Date]],"ddd"))</f>
        <v>Wed</v>
      </c>
      <c r="K102" s="9" t="str">
        <f>IF(TimeEntry[[#This Row],[Project]]=0,"",INDEX(ProjectsAll[job number],MATCH(TimeEntry[[#This Row],[Project]],ProjectsAll[Project],0)))</f>
        <v>210035-65</v>
      </c>
      <c r="L102" s="9" t="s">
        <v>675</v>
      </c>
      <c r="M102" s="9">
        <v>5.5</v>
      </c>
      <c r="N102" s="9">
        <f>IF(TimeEntry[[#This Row],[Date]]=0,"",WEEKDAY(C102,2))</f>
        <v>3</v>
      </c>
      <c r="O102" s="10">
        <f>YEAR(TimeEntry[[#This Row],[WkEnd]])</f>
        <v>2020</v>
      </c>
      <c r="P102" s="10">
        <f>WEEKNUM(TimeEntry[[#This Row],[WkEnd]])</f>
        <v>23</v>
      </c>
      <c r="Q102" s="10" t="str">
        <f>TimeEntry[[#This Row],[Year]]&amp;"-"&amp;TimeEntry[[#This Row],[WkNo]]</f>
        <v>2020-23</v>
      </c>
    </row>
    <row r="103" spans="1:17" ht="75" x14ac:dyDescent="0.25">
      <c r="A103" s="9">
        <f>MOD(IF(ROW()=11,0.1,IF(INDEX(TimeEntry[WkEnd],ROW()-10)            =            INDEX(TimeEntry[WkEnd],ROW()-11),               INDEX(TimeEntry[format],ROW()-11),               INDEX(TimeEntry[format],ROW()-11)    +1)),2)</f>
        <v>0.10000000000000009</v>
      </c>
      <c r="B103" s="14"/>
      <c r="C103" s="7">
        <v>43978</v>
      </c>
      <c r="D103" s="7"/>
      <c r="E103" s="7"/>
      <c r="F103" s="6" t="s">
        <v>637</v>
      </c>
      <c r="G103" s="6" t="s">
        <v>665</v>
      </c>
      <c r="H103" s="7">
        <f>IF(TimeEntry[[#This Row],[Date]]=0,H102,C103+(7-N103))</f>
        <v>43982</v>
      </c>
      <c r="I103" s="7">
        <f>TimeEntry[[#This Row],[Date]]</f>
        <v>43978</v>
      </c>
      <c r="J103" s="10" t="str">
        <f>IF(TimeEntry[[#This Row],[Date]]=0,"",TEXT(TimeEntry[[#This Row],[Date]],"ddd"))</f>
        <v>Wed</v>
      </c>
      <c r="K103" s="9" t="str">
        <f>IF(TimeEntry[[#This Row],[Project]]=0,"",INDEX(ProjectsAll[job number],MATCH(TimeEntry[[#This Row],[Project]],ProjectsAll[Project],0)))</f>
        <v xml:space="preserve">257677-59 </v>
      </c>
      <c r="L103" s="9" t="s">
        <v>676</v>
      </c>
      <c r="M103" s="9">
        <v>2</v>
      </c>
      <c r="N103" s="9">
        <f>IF(TimeEntry[[#This Row],[Date]]=0,"",WEEKDAY(C103,2))</f>
        <v>3</v>
      </c>
      <c r="O103" s="10">
        <f>YEAR(TimeEntry[[#This Row],[WkEnd]])</f>
        <v>2020</v>
      </c>
      <c r="P103" s="10">
        <f>WEEKNUM(TimeEntry[[#This Row],[WkEnd]])</f>
        <v>23</v>
      </c>
      <c r="Q103" s="10" t="str">
        <f>TimeEntry[[#This Row],[Year]]&amp;"-"&amp;TimeEntry[[#This Row],[WkNo]]</f>
        <v>2020-23</v>
      </c>
    </row>
    <row r="104" spans="1:17" ht="75" x14ac:dyDescent="0.25">
      <c r="A104" s="9">
        <f>MOD(IF(ROW()=11,0.1,IF(INDEX(TimeEntry[WkEnd],ROW()-10)            =            INDEX(TimeEntry[WkEnd],ROW()-11),               INDEX(TimeEntry[format],ROW()-11),               INDEX(TimeEntry[format],ROW()-11)    +1)),2)</f>
        <v>0.10000000000000009</v>
      </c>
      <c r="B104" s="14"/>
      <c r="C104" s="7">
        <v>43977</v>
      </c>
      <c r="D104" s="7"/>
      <c r="E104" s="7"/>
      <c r="F104" s="6" t="s">
        <v>637</v>
      </c>
      <c r="G104" s="6" t="s">
        <v>664</v>
      </c>
      <c r="H104" s="7">
        <f>IF(TimeEntry[[#This Row],[Date]]=0,H103,C104+(7-N104))</f>
        <v>43982</v>
      </c>
      <c r="I104" s="7">
        <f>TimeEntry[[#This Row],[Date]]</f>
        <v>43977</v>
      </c>
      <c r="J104" s="10" t="str">
        <f>IF(TimeEntry[[#This Row],[Date]]=0,"",TEXT(TimeEntry[[#This Row],[Date]],"ddd"))</f>
        <v>Tue</v>
      </c>
      <c r="K104" s="9" t="str">
        <f>IF(TimeEntry[[#This Row],[Project]]=0,"",INDEX(ProjectsAll[job number],MATCH(TimeEntry[[#This Row],[Project]],ProjectsAll[Project],0)))</f>
        <v xml:space="preserve">257677-59 </v>
      </c>
      <c r="L104" s="9" t="s">
        <v>673</v>
      </c>
      <c r="M104" s="9">
        <v>7.5</v>
      </c>
      <c r="N104" s="9">
        <f>IF(TimeEntry[[#This Row],[Date]]=0,"",WEEKDAY(C104,2))</f>
        <v>2</v>
      </c>
      <c r="O104" s="10">
        <f>YEAR(TimeEntry[[#This Row],[WkEnd]])</f>
        <v>2020</v>
      </c>
      <c r="P104" s="10">
        <f>WEEKNUM(TimeEntry[[#This Row],[WkEnd]])</f>
        <v>23</v>
      </c>
      <c r="Q104" s="10" t="str">
        <f>TimeEntry[[#This Row],[Year]]&amp;"-"&amp;TimeEntry[[#This Row],[WkNo]]</f>
        <v>2020-23</v>
      </c>
    </row>
    <row r="105" spans="1:17" ht="30" x14ac:dyDescent="0.25">
      <c r="A105" s="9">
        <f>MOD(IF(ROW()=11,0.1,IF(INDEX(TimeEntry[WkEnd],ROW()-10)            =            INDEX(TimeEntry[WkEnd],ROW()-11),               INDEX(TimeEntry[format],ROW()-11),               INDEX(TimeEntry[format],ROW()-11)    +1)),2)</f>
        <v>0.10000000000000009</v>
      </c>
      <c r="B105" s="14"/>
      <c r="C105" s="7">
        <v>43976</v>
      </c>
      <c r="D105" s="7"/>
      <c r="E105" s="7"/>
      <c r="F105" s="6" t="s">
        <v>12</v>
      </c>
      <c r="G105" s="6"/>
      <c r="H105" s="7">
        <f>IF(TimeEntry[[#This Row],[Date]]=0,H104,C105+(7-N105))</f>
        <v>43982</v>
      </c>
      <c r="I105" s="7">
        <f>TimeEntry[[#This Row],[Date]]</f>
        <v>43976</v>
      </c>
      <c r="J105" s="10" t="str">
        <f>IF(TimeEntry[[#This Row],[Date]]=0,"",TEXT(TimeEntry[[#This Row],[Date]],"ddd"))</f>
        <v>Mon</v>
      </c>
      <c r="K105" s="9" t="str">
        <f>IF(TimeEntry[[#This Row],[Project]]=0,"",INDEX(ProjectsAll[job number],MATCH(TimeEntry[[#This Row],[Project]],ProjectsAll[Project],0)))</f>
        <v>BANK HOLIDAY</v>
      </c>
      <c r="L105" s="9"/>
      <c r="M105" s="9">
        <v>7.5</v>
      </c>
      <c r="N105" s="9">
        <f>IF(TimeEntry[[#This Row],[Date]]=0,"",WEEKDAY(C105,2))</f>
        <v>1</v>
      </c>
      <c r="O105" s="10">
        <f>YEAR(TimeEntry[[#This Row],[WkEnd]])</f>
        <v>2020</v>
      </c>
      <c r="P105" s="10">
        <f>WEEKNUM(TimeEntry[[#This Row],[WkEnd]])</f>
        <v>23</v>
      </c>
      <c r="Q105" s="10" t="str">
        <f>TimeEntry[[#This Row],[Year]]&amp;"-"&amp;TimeEntry[[#This Row],[WkNo]]</f>
        <v>2020-23</v>
      </c>
    </row>
    <row r="106" spans="1:17" ht="60" x14ac:dyDescent="0.25">
      <c r="A106" s="9">
        <f>MOD(IF(ROW()=11,0.1,IF(INDEX(TimeEntry[WkEnd],ROW()-10)            =            INDEX(TimeEntry[WkEnd],ROW()-11),               INDEX(TimeEntry[format],ROW()-11),               INDEX(TimeEntry[format],ROW()-11)    +1)),2)</f>
        <v>1.1000000000000001</v>
      </c>
      <c r="B106" s="14"/>
      <c r="C106" s="7">
        <v>43973</v>
      </c>
      <c r="D106" s="7"/>
      <c r="E106" s="7"/>
      <c r="F106" s="6" t="s">
        <v>637</v>
      </c>
      <c r="G106" s="6" t="s">
        <v>657</v>
      </c>
      <c r="H106" s="7">
        <f>IF(TimeEntry[[#This Row],[Date]]=0,H105,C106+(7-N106))</f>
        <v>43975</v>
      </c>
      <c r="I106" s="7">
        <f>TimeEntry[[#This Row],[Date]]</f>
        <v>43973</v>
      </c>
      <c r="J106" s="10" t="str">
        <f>IF(TimeEntry[[#This Row],[Date]]=0,"",TEXT(TimeEntry[[#This Row],[Date]],"ddd"))</f>
        <v>Fri</v>
      </c>
      <c r="K106" s="9" t="str">
        <f>IF(TimeEntry[[#This Row],[Project]]=0,"",INDEX(ProjectsAll[job number],MATCH(TimeEntry[[#This Row],[Project]],ProjectsAll[Project],0)))</f>
        <v xml:space="preserve">257677-59 </v>
      </c>
      <c r="L106" s="9" t="s">
        <v>658</v>
      </c>
      <c r="M106" s="9">
        <v>5</v>
      </c>
      <c r="N106" s="9">
        <f>IF(TimeEntry[[#This Row],[Date]]=0,"",WEEKDAY(C106,2))</f>
        <v>5</v>
      </c>
      <c r="O106" s="10">
        <f>YEAR(TimeEntry[[#This Row],[WkEnd]])</f>
        <v>2020</v>
      </c>
      <c r="P106" s="10">
        <f>WEEKNUM(TimeEntry[[#This Row],[WkEnd]])</f>
        <v>22</v>
      </c>
      <c r="Q106" s="10" t="str">
        <f>TimeEntry[[#This Row],[Year]]&amp;"-"&amp;TimeEntry[[#This Row],[WkNo]]</f>
        <v>2020-22</v>
      </c>
    </row>
    <row r="107" spans="1:17" ht="90" x14ac:dyDescent="0.25">
      <c r="A107" s="9">
        <f>MOD(IF(ROW()=11,0.1,IF(INDEX(TimeEntry[WkEnd],ROW()-10)            =            INDEX(TimeEntry[WkEnd],ROW()-11),               INDEX(TimeEntry[format],ROW()-11),               INDEX(TimeEntry[format],ROW()-11)    +1)),2)</f>
        <v>1.1000000000000001</v>
      </c>
      <c r="B107" s="14"/>
      <c r="C107" s="7">
        <v>43973</v>
      </c>
      <c r="D107" s="7"/>
      <c r="E107" s="7"/>
      <c r="F107" s="6" t="s">
        <v>630</v>
      </c>
      <c r="G107" s="6" t="s">
        <v>660</v>
      </c>
      <c r="H107" s="7">
        <f>IF(TimeEntry[[#This Row],[Date]]=0,H106,C107+(7-N107))</f>
        <v>43975</v>
      </c>
      <c r="I107" s="7">
        <f>TimeEntry[[#This Row],[Date]]</f>
        <v>43973</v>
      </c>
      <c r="J107" s="10" t="str">
        <f>IF(TimeEntry[[#This Row],[Date]]=0,"",TEXT(TimeEntry[[#This Row],[Date]],"ddd"))</f>
        <v>Fri</v>
      </c>
      <c r="K107" s="9" t="str">
        <f>IF(TimeEntry[[#This Row],[Project]]=0,"",INDEX(ProjectsAll[job number],MATCH(TimeEntry[[#This Row],[Project]],ProjectsAll[Project],0)))</f>
        <v>210035-65</v>
      </c>
      <c r="L107" s="9" t="s">
        <v>659</v>
      </c>
      <c r="M107" s="9">
        <v>2.5</v>
      </c>
      <c r="N107" s="9">
        <f>IF(TimeEntry[[#This Row],[Date]]=0,"",WEEKDAY(C107,2))</f>
        <v>5</v>
      </c>
      <c r="O107" s="10">
        <f>YEAR(TimeEntry[[#This Row],[WkEnd]])</f>
        <v>2020</v>
      </c>
      <c r="P107" s="10">
        <f>WEEKNUM(TimeEntry[[#This Row],[WkEnd]])</f>
        <v>22</v>
      </c>
      <c r="Q107" s="10" t="str">
        <f>TimeEntry[[#This Row],[Year]]&amp;"-"&amp;TimeEntry[[#This Row],[WkNo]]</f>
        <v>2020-22</v>
      </c>
    </row>
    <row r="108" spans="1:17" ht="105" x14ac:dyDescent="0.25">
      <c r="A108" s="9">
        <f>MOD(IF(ROW()=11,0.1,IF(INDEX(TimeEntry[WkEnd],ROW()-10)            =            INDEX(TimeEntry[WkEnd],ROW()-11),               INDEX(TimeEntry[format],ROW()-11),               INDEX(TimeEntry[format],ROW()-11)    +1)),2)</f>
        <v>1.1000000000000001</v>
      </c>
      <c r="B108" s="14"/>
      <c r="C108" s="7">
        <v>43972</v>
      </c>
      <c r="D108" s="7"/>
      <c r="E108" s="7"/>
      <c r="F108" s="6" t="s">
        <v>630</v>
      </c>
      <c r="G108" s="6" t="s">
        <v>656</v>
      </c>
      <c r="H108" s="7">
        <f>IF(TimeEntry[[#This Row],[Date]]=0,H107,C108+(7-N108))</f>
        <v>43975</v>
      </c>
      <c r="I108" s="7">
        <f>TimeEntry[[#This Row],[Date]]</f>
        <v>43972</v>
      </c>
      <c r="J108" s="10" t="str">
        <f>IF(TimeEntry[[#This Row],[Date]]=0,"",TEXT(TimeEntry[[#This Row],[Date]],"ddd"))</f>
        <v>Thu</v>
      </c>
      <c r="K108" s="9" t="str">
        <f>IF(TimeEntry[[#This Row],[Project]]=0,"",INDEX(ProjectsAll[job number],MATCH(TimeEntry[[#This Row],[Project]],ProjectsAll[Project],0)))</f>
        <v>210035-65</v>
      </c>
      <c r="L108" s="9" t="s">
        <v>662</v>
      </c>
      <c r="M108" s="9">
        <v>2</v>
      </c>
      <c r="N108" s="9">
        <f>IF(TimeEntry[[#This Row],[Date]]=0,"",WEEKDAY(C108,2))</f>
        <v>4</v>
      </c>
      <c r="O108" s="10">
        <f>YEAR(TimeEntry[[#This Row],[WkEnd]])</f>
        <v>2020</v>
      </c>
      <c r="P108" s="10">
        <f>WEEKNUM(TimeEntry[[#This Row],[WkEnd]])</f>
        <v>22</v>
      </c>
      <c r="Q108" s="10" t="str">
        <f>TimeEntry[[#This Row],[Year]]&amp;"-"&amp;TimeEntry[[#This Row],[WkNo]]</f>
        <v>2020-22</v>
      </c>
    </row>
    <row r="109" spans="1:17" ht="75" x14ac:dyDescent="0.25">
      <c r="A109" s="9">
        <f>MOD(IF(ROW()=11,0.1,IF(INDEX(TimeEntry[WkEnd],ROW()-10)            =            INDEX(TimeEntry[WkEnd],ROW()-11),               INDEX(TimeEntry[format],ROW()-11),               INDEX(TimeEntry[format],ROW()-11)    +1)),2)</f>
        <v>1.1000000000000001</v>
      </c>
      <c r="B109" s="14"/>
      <c r="C109" s="7">
        <v>43972</v>
      </c>
      <c r="D109" s="7"/>
      <c r="E109" s="7"/>
      <c r="F109" s="6" t="s">
        <v>637</v>
      </c>
      <c r="G109" s="6" t="s">
        <v>655</v>
      </c>
      <c r="H109" s="7">
        <f>IF(TimeEntry[[#This Row],[Date]]=0,H108,C109+(7-N109))</f>
        <v>43975</v>
      </c>
      <c r="I109" s="7">
        <f>TimeEntry[[#This Row],[Date]]</f>
        <v>43972</v>
      </c>
      <c r="J109" s="10" t="str">
        <f>IF(TimeEntry[[#This Row],[Date]]=0,"",TEXT(TimeEntry[[#This Row],[Date]],"ddd"))</f>
        <v>Thu</v>
      </c>
      <c r="K109" s="9" t="str">
        <f>IF(TimeEntry[[#This Row],[Project]]=0,"",INDEX(ProjectsAll[job number],MATCH(TimeEntry[[#This Row],[Project]],ProjectsAll[Project],0)))</f>
        <v xml:space="preserve">257677-59 </v>
      </c>
      <c r="L109" s="9" t="s">
        <v>658</v>
      </c>
      <c r="M109" s="9">
        <v>2.5</v>
      </c>
      <c r="N109" s="9">
        <f>IF(TimeEntry[[#This Row],[Date]]=0,"",WEEKDAY(C109,2))</f>
        <v>4</v>
      </c>
      <c r="O109" s="10">
        <f>YEAR(TimeEntry[[#This Row],[WkEnd]])</f>
        <v>2020</v>
      </c>
      <c r="P109" s="10">
        <f>WEEKNUM(TimeEntry[[#This Row],[WkEnd]])</f>
        <v>22</v>
      </c>
      <c r="Q109" s="10" t="str">
        <f>TimeEntry[[#This Row],[Year]]&amp;"-"&amp;TimeEntry[[#This Row],[WkNo]]</f>
        <v>2020-22</v>
      </c>
    </row>
    <row r="110" spans="1:17" ht="75" x14ac:dyDescent="0.25">
      <c r="A110" s="9">
        <f>MOD(IF(ROW()=11,0.1,IF(INDEX(TimeEntry[WkEnd],ROW()-10)            =            INDEX(TimeEntry[WkEnd],ROW()-11),               INDEX(TimeEntry[format],ROW()-11),               INDEX(TimeEntry[format],ROW()-11)    +1)),2)</f>
        <v>1.1000000000000001</v>
      </c>
      <c r="B110" s="14"/>
      <c r="C110" s="7">
        <v>43972</v>
      </c>
      <c r="D110" s="7"/>
      <c r="E110" s="7"/>
      <c r="F110" s="6" t="s">
        <v>48</v>
      </c>
      <c r="G110" s="6" t="s">
        <v>654</v>
      </c>
      <c r="H110" s="7">
        <f>IF(TimeEntry[[#This Row],[Date]]=0,H109,C110+(7-N110))</f>
        <v>43975</v>
      </c>
      <c r="I110" s="7">
        <f>TimeEntry[[#This Row],[Date]]</f>
        <v>43972</v>
      </c>
      <c r="J110" s="10" t="str">
        <f>IF(TimeEntry[[#This Row],[Date]]=0,"",TEXT(TimeEntry[[#This Row],[Date]],"ddd"))</f>
        <v>Thu</v>
      </c>
      <c r="K110" s="9" t="str">
        <f>IF(TimeEntry[[#This Row],[Project]]=0,"",INDEX(ProjectsAll[job number],MATCH(TimeEntry[[#This Row],[Project]],ProjectsAll[Project],0)))</f>
        <v>254304-96</v>
      </c>
      <c r="L110" s="9" t="s">
        <v>663</v>
      </c>
      <c r="M110" s="9">
        <v>3</v>
      </c>
      <c r="N110" s="9">
        <f>IF(TimeEntry[[#This Row],[Date]]=0,"",WEEKDAY(C110,2))</f>
        <v>4</v>
      </c>
      <c r="O110" s="10">
        <f>YEAR(TimeEntry[[#This Row],[WkEnd]])</f>
        <v>2020</v>
      </c>
      <c r="P110" s="10">
        <f>WEEKNUM(TimeEntry[[#This Row],[WkEnd]])</f>
        <v>22</v>
      </c>
      <c r="Q110" s="10" t="str">
        <f>TimeEntry[[#This Row],[Year]]&amp;"-"&amp;TimeEntry[[#This Row],[WkNo]]</f>
        <v>2020-22</v>
      </c>
    </row>
    <row r="111" spans="1:17" ht="30" x14ac:dyDescent="0.25">
      <c r="A111" s="9">
        <f>MOD(IF(ROW()=11,0.1,IF(INDEX(TimeEntry[WkEnd],ROW()-10)            =            INDEX(TimeEntry[WkEnd],ROW()-11),               INDEX(TimeEntry[format],ROW()-11),               INDEX(TimeEntry[format],ROW()-11)    +1)),2)</f>
        <v>1.1000000000000001</v>
      </c>
      <c r="B111" s="14"/>
      <c r="C111" s="7">
        <v>43971</v>
      </c>
      <c r="D111" s="7"/>
      <c r="E111" s="7"/>
      <c r="F111" s="6" t="s">
        <v>630</v>
      </c>
      <c r="G111" s="6" t="s">
        <v>661</v>
      </c>
      <c r="H111" s="7">
        <f>IF(TimeEntry[[#This Row],[Date]]=0,H110,C111+(7-N111))</f>
        <v>43975</v>
      </c>
      <c r="I111" s="7">
        <f>TimeEntry[[#This Row],[Date]]</f>
        <v>43971</v>
      </c>
      <c r="J111" s="10" t="str">
        <f>IF(TimeEntry[[#This Row],[Date]]=0,"",TEXT(TimeEntry[[#This Row],[Date]],"ddd"))</f>
        <v>Wed</v>
      </c>
      <c r="K111" s="9" t="str">
        <f>IF(TimeEntry[[#This Row],[Project]]=0,"",INDEX(ProjectsAll[job number],MATCH(TimeEntry[[#This Row],[Project]],ProjectsAll[Project],0)))</f>
        <v>210035-65</v>
      </c>
      <c r="L111" s="6" t="s">
        <v>661</v>
      </c>
      <c r="M111" s="9">
        <v>7.5</v>
      </c>
      <c r="N111" s="9">
        <f>IF(TimeEntry[[#This Row],[Date]]=0,"",WEEKDAY(C111,2))</f>
        <v>3</v>
      </c>
      <c r="O111" s="10">
        <f>YEAR(TimeEntry[[#This Row],[WkEnd]])</f>
        <v>2020</v>
      </c>
      <c r="P111" s="10">
        <f>WEEKNUM(TimeEntry[[#This Row],[WkEnd]])</f>
        <v>22</v>
      </c>
      <c r="Q111" s="10" t="str">
        <f>TimeEntry[[#This Row],[Year]]&amp;"-"&amp;TimeEntry[[#This Row],[WkNo]]</f>
        <v>2020-22</v>
      </c>
    </row>
    <row r="112" spans="1:17" ht="30" x14ac:dyDescent="0.25">
      <c r="A112" s="9">
        <f>MOD(IF(ROW()=11,0.1,IF(INDEX(TimeEntry[WkEnd],ROW()-10)            =            INDEX(TimeEntry[WkEnd],ROW()-11),               INDEX(TimeEntry[format],ROW()-11),               INDEX(TimeEntry[format],ROW()-11)    +1)),2)</f>
        <v>1.1000000000000001</v>
      </c>
      <c r="B112" s="14"/>
      <c r="C112" s="7">
        <v>43970</v>
      </c>
      <c r="D112" s="7"/>
      <c r="E112" s="7"/>
      <c r="F112" s="6" t="s">
        <v>630</v>
      </c>
      <c r="G112" s="6" t="s">
        <v>661</v>
      </c>
      <c r="H112" s="7">
        <f>IF(TimeEntry[[#This Row],[Date]]=0,H111,C112+(7-N112))</f>
        <v>43975</v>
      </c>
      <c r="I112" s="7">
        <f>TimeEntry[[#This Row],[Date]]</f>
        <v>43970</v>
      </c>
      <c r="J112" s="10" t="str">
        <f>IF(TimeEntry[[#This Row],[Date]]=0,"",TEXT(TimeEntry[[#This Row],[Date]],"ddd"))</f>
        <v>Tue</v>
      </c>
      <c r="K112" s="9" t="str">
        <f>IF(TimeEntry[[#This Row],[Project]]=0,"",INDEX(ProjectsAll[job number],MATCH(TimeEntry[[#This Row],[Project]],ProjectsAll[Project],0)))</f>
        <v>210035-65</v>
      </c>
      <c r="L112" s="6" t="s">
        <v>661</v>
      </c>
      <c r="M112" s="9">
        <v>7.5</v>
      </c>
      <c r="N112" s="9">
        <f>IF(TimeEntry[[#This Row],[Date]]=0,"",WEEKDAY(C112,2))</f>
        <v>2</v>
      </c>
      <c r="O112" s="10">
        <f>YEAR(TimeEntry[[#This Row],[WkEnd]])</f>
        <v>2020</v>
      </c>
      <c r="P112" s="10">
        <f>WEEKNUM(TimeEntry[[#This Row],[WkEnd]])</f>
        <v>22</v>
      </c>
      <c r="Q112" s="10" t="str">
        <f>TimeEntry[[#This Row],[Year]]&amp;"-"&amp;TimeEntry[[#This Row],[WkNo]]</f>
        <v>2020-22</v>
      </c>
    </row>
    <row r="113" spans="1:17" x14ac:dyDescent="0.25">
      <c r="A113" s="9">
        <f>MOD(IF(ROW()=11,0.1,IF(INDEX(TimeEntry[WkEnd],ROW()-10)            =            INDEX(TimeEntry[WkEnd],ROW()-11),               INDEX(TimeEntry[format],ROW()-11),               INDEX(TimeEntry[format],ROW()-11)    +1)),2)</f>
        <v>1.1000000000000001</v>
      </c>
      <c r="B113" s="14"/>
      <c r="C113" s="7">
        <v>43969</v>
      </c>
      <c r="D113" s="7"/>
      <c r="E113" s="7"/>
      <c r="F113" s="6" t="s">
        <v>68</v>
      </c>
      <c r="G113" s="6"/>
      <c r="H113" s="7">
        <f>IF(TimeEntry[[#This Row],[Date]]=0,H112,C113+(7-N113))</f>
        <v>43975</v>
      </c>
      <c r="I113" s="7">
        <f>TimeEntry[[#This Row],[Date]]</f>
        <v>43969</v>
      </c>
      <c r="J113" s="10" t="str">
        <f>IF(TimeEntry[[#This Row],[Date]]=0,"",TEXT(TimeEntry[[#This Row],[Date]],"ddd"))</f>
        <v>Mon</v>
      </c>
      <c r="K113" s="9" t="str">
        <f>IF(TimeEntry[[#This Row],[Project]]=0,"",INDEX(ProjectsAll[job number],MATCH(TimeEntry[[#This Row],[Project]],ProjectsAll[Project],0)))</f>
        <v>LEAVE</v>
      </c>
      <c r="L113" s="9"/>
      <c r="M113" s="9">
        <v>7.5</v>
      </c>
      <c r="N113" s="9">
        <f>IF(TimeEntry[[#This Row],[Date]]=0,"",WEEKDAY(C113,2))</f>
        <v>1</v>
      </c>
      <c r="O113" s="10">
        <f>YEAR(TimeEntry[[#This Row],[WkEnd]])</f>
        <v>2020</v>
      </c>
      <c r="P113" s="10">
        <f>WEEKNUM(TimeEntry[[#This Row],[WkEnd]])</f>
        <v>22</v>
      </c>
      <c r="Q113" s="10" t="str">
        <f>TimeEntry[[#This Row],[Year]]&amp;"-"&amp;TimeEntry[[#This Row],[WkNo]]</f>
        <v>2020-22</v>
      </c>
    </row>
    <row r="114" spans="1:17" ht="30" x14ac:dyDescent="0.25">
      <c r="A114" s="9">
        <f>MOD(IF(ROW()=11,0.1,IF(INDEX(TimeEntry[WkEnd],ROW()-10)            =            INDEX(TimeEntry[WkEnd],ROW()-11),               INDEX(TimeEntry[format],ROW()-11),               INDEX(TimeEntry[format],ROW()-11)    +1)),2)</f>
        <v>0.10000000000000009</v>
      </c>
      <c r="B114" s="14"/>
      <c r="C114" s="7">
        <v>43966</v>
      </c>
      <c r="D114" s="7"/>
      <c r="E114" s="7"/>
      <c r="F114" s="6" t="s">
        <v>630</v>
      </c>
      <c r="G114" s="6"/>
      <c r="H114" s="7">
        <f>IF(TimeEntry[[#This Row],[Date]]=0,H113,C114+(7-N114))</f>
        <v>43968</v>
      </c>
      <c r="I114" s="7">
        <f>TimeEntry[[#This Row],[Date]]</f>
        <v>43966</v>
      </c>
      <c r="J114" s="10" t="str">
        <f>IF(TimeEntry[[#This Row],[Date]]=0,"",TEXT(TimeEntry[[#This Row],[Date]],"ddd"))</f>
        <v>Fri</v>
      </c>
      <c r="K114" s="9" t="str">
        <f>IF(TimeEntry[[#This Row],[Project]]=0,"",INDEX(ProjectsAll[job number],MATCH(TimeEntry[[#This Row],[Project]],ProjectsAll[Project],0)))</f>
        <v>210035-65</v>
      </c>
      <c r="L114" s="6" t="s">
        <v>635</v>
      </c>
      <c r="M114" s="6">
        <v>5</v>
      </c>
      <c r="N114" s="9">
        <f>IF(TimeEntry[[#This Row],[Date]]=0,"",WEEKDAY(C114,2))</f>
        <v>5</v>
      </c>
      <c r="O114" s="10">
        <f>YEAR(TimeEntry[[#This Row],[WkEnd]])</f>
        <v>2020</v>
      </c>
      <c r="P114" s="10">
        <f>WEEKNUM(TimeEntry[[#This Row],[WkEnd]])</f>
        <v>21</v>
      </c>
      <c r="Q114" s="10" t="str">
        <f>TimeEntry[[#This Row],[Year]]&amp;"-"&amp;TimeEntry[[#This Row],[WkNo]]</f>
        <v>2020-21</v>
      </c>
    </row>
    <row r="115" spans="1:17" ht="30" x14ac:dyDescent="0.25">
      <c r="A115" s="9">
        <f>MOD(IF(ROW()=11,0.1,IF(INDEX(TimeEntry[WkEnd],ROW()-10)            =            INDEX(TimeEntry[WkEnd],ROW()-11),               INDEX(TimeEntry[format],ROW()-11),               INDEX(TimeEntry[format],ROW()-11)    +1)),2)</f>
        <v>0.10000000000000009</v>
      </c>
      <c r="B115" s="14"/>
      <c r="C115" s="7">
        <v>43966</v>
      </c>
      <c r="D115" s="7"/>
      <c r="E115" s="7"/>
      <c r="F115" s="6" t="s">
        <v>637</v>
      </c>
      <c r="G115" s="6"/>
      <c r="H115" s="7">
        <f>IF(TimeEntry[[#This Row],[Date]]=0,H114,C115+(7-N115))</f>
        <v>43968</v>
      </c>
      <c r="I115" s="7">
        <f>TimeEntry[[#This Row],[Date]]</f>
        <v>43966</v>
      </c>
      <c r="J115" s="10" t="str">
        <f>IF(TimeEntry[[#This Row],[Date]]=0,"",TEXT(TimeEntry[[#This Row],[Date]],"ddd"))</f>
        <v>Fri</v>
      </c>
      <c r="K115" s="9" t="str">
        <f>IF(TimeEntry[[#This Row],[Project]]=0,"",INDEX(ProjectsAll[job number],MATCH(TimeEntry[[#This Row],[Project]],ProjectsAll[Project],0)))</f>
        <v xml:space="preserve">257677-59 </v>
      </c>
      <c r="L115" s="6" t="s">
        <v>638</v>
      </c>
      <c r="M115" s="6">
        <v>2.5</v>
      </c>
      <c r="N115" s="9">
        <f>IF(TimeEntry[[#This Row],[Date]]=0,"",WEEKDAY(C115,2))</f>
        <v>5</v>
      </c>
      <c r="O115" s="10">
        <f>YEAR(TimeEntry[[#This Row],[WkEnd]])</f>
        <v>2020</v>
      </c>
      <c r="P115" s="10">
        <f>WEEKNUM(TimeEntry[[#This Row],[WkEnd]])</f>
        <v>21</v>
      </c>
      <c r="Q115" s="10" t="str">
        <f>TimeEntry[[#This Row],[Year]]&amp;"-"&amp;TimeEntry[[#This Row],[WkNo]]</f>
        <v>2020-21</v>
      </c>
    </row>
    <row r="116" spans="1:17" ht="30" x14ac:dyDescent="0.25">
      <c r="A116" s="9">
        <f>MOD(IF(ROW()=11,0.1,IF(INDEX(TimeEntry[WkEnd],ROW()-10)            =            INDEX(TimeEntry[WkEnd],ROW()-11),               INDEX(TimeEntry[format],ROW()-11),               INDEX(TimeEntry[format],ROW()-11)    +1)),2)</f>
        <v>0.10000000000000009</v>
      </c>
      <c r="B116" s="14"/>
      <c r="C116" s="7">
        <v>43965</v>
      </c>
      <c r="D116" s="7"/>
      <c r="E116" s="7"/>
      <c r="F116" s="6" t="s">
        <v>630</v>
      </c>
      <c r="G116" s="6"/>
      <c r="H116" s="7">
        <f>IF(TimeEntry[[#This Row],[Date]]=0,H115,C116+(7-N116))</f>
        <v>43968</v>
      </c>
      <c r="I116" s="7">
        <f>TimeEntry[[#This Row],[Date]]</f>
        <v>43965</v>
      </c>
      <c r="J116" s="10" t="str">
        <f>IF(TimeEntry[[#This Row],[Date]]=0,"",TEXT(TimeEntry[[#This Row],[Date]],"ddd"))</f>
        <v>Thu</v>
      </c>
      <c r="K116" s="9" t="str">
        <f>IF(TimeEntry[[#This Row],[Project]]=0,"",INDEX(ProjectsAll[job number],MATCH(TimeEntry[[#This Row],[Project]],ProjectsAll[Project],0)))</f>
        <v>210035-65</v>
      </c>
      <c r="L116" s="6" t="s">
        <v>636</v>
      </c>
      <c r="M116" s="6">
        <v>2.5</v>
      </c>
      <c r="N116" s="9">
        <f>IF(TimeEntry[[#This Row],[Date]]=0,"",WEEKDAY(C116,2))</f>
        <v>4</v>
      </c>
      <c r="O116" s="10">
        <f>YEAR(TimeEntry[[#This Row],[WkEnd]])</f>
        <v>2020</v>
      </c>
      <c r="P116" s="10">
        <f>WEEKNUM(TimeEntry[[#This Row],[WkEnd]])</f>
        <v>21</v>
      </c>
      <c r="Q116" s="10" t="str">
        <f>TimeEntry[[#This Row],[Year]]&amp;"-"&amp;TimeEntry[[#This Row],[WkNo]]</f>
        <v>2020-21</v>
      </c>
    </row>
    <row r="117" spans="1:17" ht="30" x14ac:dyDescent="0.25">
      <c r="A117" s="9">
        <f>MOD(IF(ROW()=11,0.1,IF(INDEX(TimeEntry[WkEnd],ROW()-10)            =            INDEX(TimeEntry[WkEnd],ROW()-11),               INDEX(TimeEntry[format],ROW()-11),               INDEX(TimeEntry[format],ROW()-11)    +1)),2)</f>
        <v>0.10000000000000009</v>
      </c>
      <c r="B117" s="14"/>
      <c r="C117" s="7">
        <v>43965</v>
      </c>
      <c r="D117" s="7"/>
      <c r="E117" s="7"/>
      <c r="F117" s="6" t="s">
        <v>637</v>
      </c>
      <c r="G117" s="6"/>
      <c r="H117" s="7">
        <f>IF(TimeEntry[[#This Row],[Date]]=0,H116,C117+(7-N117))</f>
        <v>43968</v>
      </c>
      <c r="I117" s="7">
        <f>TimeEntry[[#This Row],[Date]]</f>
        <v>43965</v>
      </c>
      <c r="J117" s="10" t="str">
        <f>IF(TimeEntry[[#This Row],[Date]]=0,"",TEXT(TimeEntry[[#This Row],[Date]],"ddd"))</f>
        <v>Thu</v>
      </c>
      <c r="K117" s="9" t="str">
        <f>IF(TimeEntry[[#This Row],[Project]]=0,"",INDEX(ProjectsAll[job number],MATCH(TimeEntry[[#This Row],[Project]],ProjectsAll[Project],0)))</f>
        <v xml:space="preserve">257677-59 </v>
      </c>
      <c r="L117" s="6" t="s">
        <v>638</v>
      </c>
      <c r="M117" s="6">
        <v>5</v>
      </c>
      <c r="N117" s="9">
        <f>IF(TimeEntry[[#This Row],[Date]]=0,"",WEEKDAY(C117,2))</f>
        <v>4</v>
      </c>
      <c r="O117" s="10">
        <f>YEAR(TimeEntry[[#This Row],[WkEnd]])</f>
        <v>2020</v>
      </c>
      <c r="P117" s="10">
        <f>WEEKNUM(TimeEntry[[#This Row],[WkEnd]])</f>
        <v>21</v>
      </c>
      <c r="Q117" s="10" t="str">
        <f>TimeEntry[[#This Row],[Year]]&amp;"-"&amp;TimeEntry[[#This Row],[WkNo]]</f>
        <v>2020-21</v>
      </c>
    </row>
    <row r="118" spans="1:17" ht="30" x14ac:dyDescent="0.25">
      <c r="A118" s="9">
        <f>MOD(IF(ROW()=11,0.1,IF(INDEX(TimeEntry[WkEnd],ROW()-10)            =            INDEX(TimeEntry[WkEnd],ROW()-11),               INDEX(TimeEntry[format],ROW()-11),               INDEX(TimeEntry[format],ROW()-11)    +1)),2)</f>
        <v>0.10000000000000009</v>
      </c>
      <c r="B118" s="14"/>
      <c r="C118" s="7">
        <v>43964</v>
      </c>
      <c r="D118" s="7"/>
      <c r="E118" s="7"/>
      <c r="F118" s="6" t="s">
        <v>630</v>
      </c>
      <c r="G118" s="6"/>
      <c r="H118" s="7">
        <f>IF(TimeEntry[[#This Row],[Date]]=0,H117,C118+(7-N118))</f>
        <v>43968</v>
      </c>
      <c r="I118" s="7">
        <f>TimeEntry[[#This Row],[Date]]</f>
        <v>43964</v>
      </c>
      <c r="J118" s="10" t="str">
        <f>IF(TimeEntry[[#This Row],[Date]]=0,"",TEXT(TimeEntry[[#This Row],[Date]],"ddd"))</f>
        <v>Wed</v>
      </c>
      <c r="K118" s="9" t="str">
        <f>IF(TimeEntry[[#This Row],[Project]]=0,"",INDEX(ProjectsAll[job number],MATCH(TimeEntry[[#This Row],[Project]],ProjectsAll[Project],0)))</f>
        <v>210035-65</v>
      </c>
      <c r="L118" s="6" t="s">
        <v>634</v>
      </c>
      <c r="M118" s="6">
        <v>7.5</v>
      </c>
      <c r="N118" s="9">
        <f>IF(TimeEntry[[#This Row],[Date]]=0,"",WEEKDAY(C118,2))</f>
        <v>3</v>
      </c>
      <c r="O118" s="10">
        <f>YEAR(TimeEntry[[#This Row],[WkEnd]])</f>
        <v>2020</v>
      </c>
      <c r="P118" s="10">
        <f>WEEKNUM(TimeEntry[[#This Row],[WkEnd]])</f>
        <v>21</v>
      </c>
      <c r="Q118" s="10" t="str">
        <f>TimeEntry[[#This Row],[Year]]&amp;"-"&amp;TimeEntry[[#This Row],[WkNo]]</f>
        <v>2020-21</v>
      </c>
    </row>
    <row r="119" spans="1:17" ht="30" x14ac:dyDescent="0.25">
      <c r="A119" s="9">
        <f>MOD(IF(ROW()=11,0.1,IF(INDEX(TimeEntry[WkEnd],ROW()-10)            =            INDEX(TimeEntry[WkEnd],ROW()-11),               INDEX(TimeEntry[format],ROW()-11),               INDEX(TimeEntry[format],ROW()-11)    +1)),2)</f>
        <v>0.10000000000000009</v>
      </c>
      <c r="B119" s="14"/>
      <c r="C119" s="7">
        <v>43963</v>
      </c>
      <c r="D119" s="7"/>
      <c r="E119" s="7"/>
      <c r="F119" s="6" t="s">
        <v>630</v>
      </c>
      <c r="G119" s="6"/>
      <c r="H119" s="7">
        <f>IF(TimeEntry[[#This Row],[Date]]=0,H118,C119+(7-N119))</f>
        <v>43968</v>
      </c>
      <c r="I119" s="7">
        <f>TimeEntry[[#This Row],[Date]]</f>
        <v>43963</v>
      </c>
      <c r="J119" s="10" t="str">
        <f>IF(TimeEntry[[#This Row],[Date]]=0,"",TEXT(TimeEntry[[#This Row],[Date]],"ddd"))</f>
        <v>Tue</v>
      </c>
      <c r="K119" s="9" t="str">
        <f>IF(TimeEntry[[#This Row],[Project]]=0,"",INDEX(ProjectsAll[job number],MATCH(TimeEntry[[#This Row],[Project]],ProjectsAll[Project],0)))</f>
        <v>210035-65</v>
      </c>
      <c r="L119" s="6" t="s">
        <v>634</v>
      </c>
      <c r="M119" s="6">
        <v>7.5</v>
      </c>
      <c r="N119" s="9">
        <f>IF(TimeEntry[[#This Row],[Date]]=0,"",WEEKDAY(C119,2))</f>
        <v>2</v>
      </c>
      <c r="O119" s="10">
        <f>YEAR(TimeEntry[[#This Row],[WkEnd]])</f>
        <v>2020</v>
      </c>
      <c r="P119" s="10">
        <f>WEEKNUM(TimeEntry[[#This Row],[WkEnd]])</f>
        <v>21</v>
      </c>
      <c r="Q119" s="10" t="str">
        <f>TimeEntry[[#This Row],[Year]]&amp;"-"&amp;TimeEntry[[#This Row],[WkNo]]</f>
        <v>2020-21</v>
      </c>
    </row>
    <row r="120" spans="1:17" ht="30" x14ac:dyDescent="0.25">
      <c r="A120" s="9">
        <f>MOD(IF(ROW()=11,0.1,IF(INDEX(TimeEntry[WkEnd],ROW()-10)            =            INDEX(TimeEntry[WkEnd],ROW()-11),               INDEX(TimeEntry[format],ROW()-11),               INDEX(TimeEntry[format],ROW()-11)    +1)),2)</f>
        <v>0.10000000000000009</v>
      </c>
      <c r="B120" s="14"/>
      <c r="C120" s="7">
        <v>43962</v>
      </c>
      <c r="D120" s="7"/>
      <c r="E120" s="7"/>
      <c r="F120" s="6" t="s">
        <v>630</v>
      </c>
      <c r="G120" s="6"/>
      <c r="H120" s="7">
        <f>IF(TimeEntry[[#This Row],[Date]]=0,H119,C120+(7-N120))</f>
        <v>43968</v>
      </c>
      <c r="I120" s="7">
        <f>TimeEntry[[#This Row],[Date]]</f>
        <v>43962</v>
      </c>
      <c r="J120" s="10" t="str">
        <f>IF(TimeEntry[[#This Row],[Date]]=0,"",TEXT(TimeEntry[[#This Row],[Date]],"ddd"))</f>
        <v>Mon</v>
      </c>
      <c r="K120" s="9" t="str">
        <f>IF(TimeEntry[[#This Row],[Project]]=0,"",INDEX(ProjectsAll[job number],MATCH(TimeEntry[[#This Row],[Project]],ProjectsAll[Project],0)))</f>
        <v>210035-65</v>
      </c>
      <c r="L120" s="6" t="s">
        <v>634</v>
      </c>
      <c r="M120" s="6">
        <v>7.5</v>
      </c>
      <c r="N120" s="9">
        <f>IF(TimeEntry[[#This Row],[Date]]=0,"",WEEKDAY(C120,2))</f>
        <v>1</v>
      </c>
      <c r="O120" s="10">
        <f>YEAR(TimeEntry[[#This Row],[WkEnd]])</f>
        <v>2020</v>
      </c>
      <c r="P120" s="10">
        <f>WEEKNUM(TimeEntry[[#This Row],[WkEnd]])</f>
        <v>21</v>
      </c>
      <c r="Q120" s="10" t="str">
        <f>TimeEntry[[#This Row],[Year]]&amp;"-"&amp;TimeEntry[[#This Row],[WkNo]]</f>
        <v>2020-21</v>
      </c>
    </row>
    <row r="121" spans="1:17" ht="30" x14ac:dyDescent="0.25">
      <c r="A121" s="9">
        <f>MOD(IF(ROW()=11,0.1,IF(INDEX(TimeEntry[WkEnd],ROW()-10)            =            INDEX(TimeEntry[WkEnd],ROW()-11),               INDEX(TimeEntry[format],ROW()-11),               INDEX(TimeEntry[format],ROW()-11)    +1)),2)</f>
        <v>1.1000000000000001</v>
      </c>
      <c r="B121" s="14"/>
      <c r="C121" s="7">
        <v>43959</v>
      </c>
      <c r="D121" s="7"/>
      <c r="E121" s="7"/>
      <c r="F121" s="6" t="s">
        <v>12</v>
      </c>
      <c r="G121" s="6"/>
      <c r="H121" s="7">
        <f>IF(TimeEntry[[#This Row],[Date]]=0,H120,C121+(7-N121))</f>
        <v>43961</v>
      </c>
      <c r="I121" s="7">
        <f>TimeEntry[[#This Row],[Date]]</f>
        <v>43959</v>
      </c>
      <c r="J121" s="10" t="str">
        <f>IF(TimeEntry[[#This Row],[Date]]=0,"",TEXT(TimeEntry[[#This Row],[Date]],"ddd"))</f>
        <v>Fri</v>
      </c>
      <c r="K121" s="9" t="str">
        <f>IF(TimeEntry[[#This Row],[Project]]=0,"",INDEX(ProjectsAll[job number],MATCH(TimeEntry[[#This Row],[Project]],ProjectsAll[Project],0)))</f>
        <v>BANK HOLIDAY</v>
      </c>
      <c r="L121" s="6"/>
      <c r="M121" s="6">
        <v>7.5</v>
      </c>
      <c r="N121" s="9">
        <f>IF(TimeEntry[[#This Row],[Date]]=0,"",WEEKDAY(C121,2))</f>
        <v>5</v>
      </c>
      <c r="O121" s="10">
        <f>YEAR(TimeEntry[[#This Row],[WkEnd]])</f>
        <v>2020</v>
      </c>
      <c r="P121" s="10">
        <f>WEEKNUM(TimeEntry[[#This Row],[WkEnd]])</f>
        <v>20</v>
      </c>
      <c r="Q121" s="10" t="str">
        <f>TimeEntry[[#This Row],[Year]]&amp;"-"&amp;TimeEntry[[#This Row],[WkNo]]</f>
        <v>2020-20</v>
      </c>
    </row>
    <row r="122" spans="1:17" ht="30" x14ac:dyDescent="0.25">
      <c r="A122" s="9">
        <f>MOD(IF(ROW()=11,0.1,IF(INDEX(TimeEntry[WkEnd],ROW()-10)            =            INDEX(TimeEntry[WkEnd],ROW()-11),               INDEX(TimeEntry[format],ROW()-11),               INDEX(TimeEntry[format],ROW()-11)    +1)),2)</f>
        <v>1.1000000000000001</v>
      </c>
      <c r="B122" s="14"/>
      <c r="C122" s="7">
        <v>43958</v>
      </c>
      <c r="D122" s="7"/>
      <c r="E122" s="7"/>
      <c r="F122" s="6" t="s">
        <v>630</v>
      </c>
      <c r="G122" s="6"/>
      <c r="H122" s="7">
        <f>IF(TimeEntry[[#This Row],[Date]]=0,H121,C122+(7-N122))</f>
        <v>43961</v>
      </c>
      <c r="I122" s="7">
        <f>TimeEntry[[#This Row],[Date]]</f>
        <v>43958</v>
      </c>
      <c r="J122" s="10" t="str">
        <f>IF(TimeEntry[[#This Row],[Date]]=0,"",TEXT(TimeEntry[[#This Row],[Date]],"ddd"))</f>
        <v>Thu</v>
      </c>
      <c r="K122" s="9" t="str">
        <f>IF(TimeEntry[[#This Row],[Project]]=0,"",INDEX(ProjectsAll[job number],MATCH(TimeEntry[[#This Row],[Project]],ProjectsAll[Project],0)))</f>
        <v>210035-65</v>
      </c>
      <c r="L122" s="6" t="s">
        <v>634</v>
      </c>
      <c r="M122" s="6">
        <v>7.5</v>
      </c>
      <c r="N122" s="9">
        <f>IF(TimeEntry[[#This Row],[Date]]=0,"",WEEKDAY(C122,2))</f>
        <v>4</v>
      </c>
      <c r="O122" s="10">
        <f>YEAR(TimeEntry[[#This Row],[WkEnd]])</f>
        <v>2020</v>
      </c>
      <c r="P122" s="10">
        <f>WEEKNUM(TimeEntry[[#This Row],[WkEnd]])</f>
        <v>20</v>
      </c>
      <c r="Q122" s="10" t="str">
        <f>TimeEntry[[#This Row],[Year]]&amp;"-"&amp;TimeEntry[[#This Row],[WkNo]]</f>
        <v>2020-20</v>
      </c>
    </row>
    <row r="123" spans="1:17" ht="30" x14ac:dyDescent="0.25">
      <c r="A123" s="9">
        <f>MOD(IF(ROW()=11,0.1,IF(INDEX(TimeEntry[WkEnd],ROW()-10)            =            INDEX(TimeEntry[WkEnd],ROW()-11),               INDEX(TimeEntry[format],ROW()-11),               INDEX(TimeEntry[format],ROW()-11)    +1)),2)</f>
        <v>1.1000000000000001</v>
      </c>
      <c r="B123" s="14"/>
      <c r="C123" s="7">
        <v>43957</v>
      </c>
      <c r="D123" s="7"/>
      <c r="E123" s="7"/>
      <c r="F123" s="6" t="s">
        <v>630</v>
      </c>
      <c r="G123" s="6"/>
      <c r="H123" s="7">
        <f>IF(TimeEntry[[#This Row],[Date]]=0,H122,C123+(7-N123))</f>
        <v>43961</v>
      </c>
      <c r="I123" s="7">
        <f>TimeEntry[[#This Row],[Date]]</f>
        <v>43957</v>
      </c>
      <c r="J123" s="10" t="str">
        <f>IF(TimeEntry[[#This Row],[Date]]=0,"",TEXT(TimeEntry[[#This Row],[Date]],"ddd"))</f>
        <v>Wed</v>
      </c>
      <c r="K123" s="9" t="str">
        <f>IF(TimeEntry[[#This Row],[Project]]=0,"",INDEX(ProjectsAll[job number],MATCH(TimeEntry[[#This Row],[Project]],ProjectsAll[Project],0)))</f>
        <v>210035-65</v>
      </c>
      <c r="L123" s="6" t="s">
        <v>634</v>
      </c>
      <c r="M123" s="6">
        <v>7.5</v>
      </c>
      <c r="N123" s="9">
        <f>IF(TimeEntry[[#This Row],[Date]]=0,"",WEEKDAY(C123,2))</f>
        <v>3</v>
      </c>
      <c r="O123" s="10">
        <f>YEAR(TimeEntry[[#This Row],[WkEnd]])</f>
        <v>2020</v>
      </c>
      <c r="P123" s="10">
        <f>WEEKNUM(TimeEntry[[#This Row],[WkEnd]])</f>
        <v>20</v>
      </c>
      <c r="Q123" s="10" t="str">
        <f>TimeEntry[[#This Row],[Year]]&amp;"-"&amp;TimeEntry[[#This Row],[WkNo]]</f>
        <v>2020-20</v>
      </c>
    </row>
    <row r="124" spans="1:17" ht="30" x14ac:dyDescent="0.25">
      <c r="A124" s="9">
        <f>MOD(IF(ROW()=11,0.1,IF(INDEX(TimeEntry[WkEnd],ROW()-10)            =            INDEX(TimeEntry[WkEnd],ROW()-11),               INDEX(TimeEntry[format],ROW()-11),               INDEX(TimeEntry[format],ROW()-11)    +1)),2)</f>
        <v>1.1000000000000001</v>
      </c>
      <c r="B124" s="14"/>
      <c r="C124" s="7">
        <v>43956</v>
      </c>
      <c r="D124" s="7"/>
      <c r="E124" s="7"/>
      <c r="F124" s="6" t="s">
        <v>630</v>
      </c>
      <c r="G124" s="6"/>
      <c r="H124" s="7">
        <f>IF(TimeEntry[[#This Row],[Date]]=0,H123,C124+(7-N124))</f>
        <v>43961</v>
      </c>
      <c r="I124" s="7">
        <f>TimeEntry[[#This Row],[Date]]</f>
        <v>43956</v>
      </c>
      <c r="J124" s="10" t="str">
        <f>IF(TimeEntry[[#This Row],[Date]]=0,"",TEXT(TimeEntry[[#This Row],[Date]],"ddd"))</f>
        <v>Tue</v>
      </c>
      <c r="K124" s="9" t="str">
        <f>IF(TimeEntry[[#This Row],[Project]]=0,"",INDEX(ProjectsAll[job number],MATCH(TimeEntry[[#This Row],[Project]],ProjectsAll[Project],0)))</f>
        <v>210035-65</v>
      </c>
      <c r="L124" s="6" t="s">
        <v>634</v>
      </c>
      <c r="M124" s="6">
        <v>7.5</v>
      </c>
      <c r="N124" s="9">
        <f>IF(TimeEntry[[#This Row],[Date]]=0,"",WEEKDAY(C124,2))</f>
        <v>2</v>
      </c>
      <c r="O124" s="10">
        <f>YEAR(TimeEntry[[#This Row],[WkEnd]])</f>
        <v>2020</v>
      </c>
      <c r="P124" s="10">
        <f>WEEKNUM(TimeEntry[[#This Row],[WkEnd]])</f>
        <v>20</v>
      </c>
      <c r="Q124" s="10" t="str">
        <f>TimeEntry[[#This Row],[Year]]&amp;"-"&amp;TimeEntry[[#This Row],[WkNo]]</f>
        <v>2020-20</v>
      </c>
    </row>
    <row r="125" spans="1:17" ht="30" x14ac:dyDescent="0.25">
      <c r="A125" s="9">
        <f>MOD(IF(ROW()=11,0.1,IF(INDEX(TimeEntry[WkEnd],ROW()-10)            =            INDEX(TimeEntry[WkEnd],ROW()-11),               INDEX(TimeEntry[format],ROW()-11),               INDEX(TimeEntry[format],ROW()-11)    +1)),2)</f>
        <v>1.1000000000000001</v>
      </c>
      <c r="B125" s="14"/>
      <c r="C125" s="7">
        <v>43955</v>
      </c>
      <c r="D125" s="7"/>
      <c r="E125" s="7"/>
      <c r="F125" s="6" t="s">
        <v>90</v>
      </c>
      <c r="G125" s="6"/>
      <c r="H125" s="7">
        <f>IF(TimeEntry[[#This Row],[Date]]=0,H124,C125+(7-N125))</f>
        <v>43961</v>
      </c>
      <c r="I125" s="7">
        <f>TimeEntry[[#This Row],[Date]]</f>
        <v>43955</v>
      </c>
      <c r="J125" s="10" t="str">
        <f>IF(TimeEntry[[#This Row],[Date]]=0,"",TEXT(TimeEntry[[#This Row],[Date]],"ddd"))</f>
        <v>Mon</v>
      </c>
      <c r="K125" s="9" t="str">
        <f>IF(TimeEntry[[#This Row],[Project]]=0,"",INDEX(ProjectsAll[job number],MATCH(TimeEntry[[#This Row],[Project]],ProjectsAll[Project],0)))</f>
        <v>210035-64</v>
      </c>
      <c r="L125" s="6" t="s">
        <v>633</v>
      </c>
      <c r="M125" s="6">
        <v>7.5</v>
      </c>
      <c r="N125" s="9">
        <f>IF(TimeEntry[[#This Row],[Date]]=0,"",WEEKDAY(C125,2))</f>
        <v>1</v>
      </c>
      <c r="O125" s="10">
        <f>YEAR(TimeEntry[[#This Row],[WkEnd]])</f>
        <v>2020</v>
      </c>
      <c r="P125" s="10">
        <f>WEEKNUM(TimeEntry[[#This Row],[WkEnd]])</f>
        <v>20</v>
      </c>
      <c r="Q125" s="10" t="str">
        <f>TimeEntry[[#This Row],[Year]]&amp;"-"&amp;TimeEntry[[#This Row],[WkNo]]</f>
        <v>2020-20</v>
      </c>
    </row>
    <row r="126" spans="1:17" ht="30" x14ac:dyDescent="0.25">
      <c r="A126" s="9">
        <f>MOD(IF(ROW()=11,0.1,IF(INDEX(TimeEntry[WkEnd],ROW()-10)            =            INDEX(TimeEntry[WkEnd],ROW()-11),               INDEX(TimeEntry[format],ROW()-11),               INDEX(TimeEntry[format],ROW()-11)    +1)),2)</f>
        <v>0.10000000000000009</v>
      </c>
      <c r="B126" s="14"/>
      <c r="C126" s="7">
        <v>43952</v>
      </c>
      <c r="D126" s="7"/>
      <c r="E126" s="7"/>
      <c r="F126" s="6" t="s">
        <v>630</v>
      </c>
      <c r="G126" s="6"/>
      <c r="H126" s="7">
        <f>IF(TimeEntry[[#This Row],[Date]]=0,H125,C126+(7-N126))</f>
        <v>43954</v>
      </c>
      <c r="I126" s="7">
        <f>TimeEntry[[#This Row],[Date]]</f>
        <v>43952</v>
      </c>
      <c r="J126" s="10" t="str">
        <f>IF(TimeEntry[[#This Row],[Date]]=0,"",TEXT(TimeEntry[[#This Row],[Date]],"ddd"))</f>
        <v>Fri</v>
      </c>
      <c r="K126" s="9" t="str">
        <f>IF(TimeEntry[[#This Row],[Project]]=0,"",INDEX(ProjectsAll[job number],MATCH(TimeEntry[[#This Row],[Project]],ProjectsAll[Project],0)))</f>
        <v>210035-65</v>
      </c>
      <c r="L126" s="6" t="s">
        <v>632</v>
      </c>
      <c r="M126" s="6">
        <v>7.5</v>
      </c>
      <c r="N126" s="9">
        <f>IF(TimeEntry[[#This Row],[Date]]=0,"",WEEKDAY(C126,2))</f>
        <v>5</v>
      </c>
      <c r="O126" s="10">
        <f>YEAR(TimeEntry[[#This Row],[WkEnd]])</f>
        <v>2020</v>
      </c>
      <c r="P126" s="10">
        <f>WEEKNUM(TimeEntry[[#This Row],[WkEnd]])</f>
        <v>19</v>
      </c>
      <c r="Q126" s="10" t="str">
        <f>TimeEntry[[#This Row],[Year]]&amp;"-"&amp;TimeEntry[[#This Row],[WkNo]]</f>
        <v>2020-19</v>
      </c>
    </row>
    <row r="127" spans="1:17" ht="30" x14ac:dyDescent="0.25">
      <c r="A127" s="9">
        <f>MOD(IF(ROW()=11,0.1,IF(INDEX(TimeEntry[WkEnd],ROW()-10)            =            INDEX(TimeEntry[WkEnd],ROW()-11),               INDEX(TimeEntry[format],ROW()-11),               INDEX(TimeEntry[format],ROW()-11)    +1)),2)</f>
        <v>0.10000000000000009</v>
      </c>
      <c r="B127" s="14"/>
      <c r="C127" s="7">
        <v>43951</v>
      </c>
      <c r="D127" s="7"/>
      <c r="E127" s="7"/>
      <c r="F127" s="6" t="s">
        <v>630</v>
      </c>
      <c r="G127" s="6"/>
      <c r="H127" s="7">
        <f>IF(TimeEntry[[#This Row],[Date]]=0,H126,C127+(7-N127))</f>
        <v>43954</v>
      </c>
      <c r="I127" s="7">
        <f>TimeEntry[[#This Row],[Date]]</f>
        <v>43951</v>
      </c>
      <c r="J127" s="10" t="str">
        <f>IF(TimeEntry[[#This Row],[Date]]=0,"",TEXT(TimeEntry[[#This Row],[Date]],"ddd"))</f>
        <v>Thu</v>
      </c>
      <c r="K127" s="9" t="str">
        <f>IF(TimeEntry[[#This Row],[Project]]=0,"",INDEX(ProjectsAll[job number],MATCH(TimeEntry[[#This Row],[Project]],ProjectsAll[Project],0)))</f>
        <v>210035-65</v>
      </c>
      <c r="L127" s="6" t="s">
        <v>632</v>
      </c>
      <c r="M127" s="6">
        <v>7.5</v>
      </c>
      <c r="N127" s="9">
        <f>IF(TimeEntry[[#This Row],[Date]]=0,"",WEEKDAY(C127,2))</f>
        <v>4</v>
      </c>
      <c r="O127" s="10">
        <f>YEAR(TimeEntry[[#This Row],[WkEnd]])</f>
        <v>2020</v>
      </c>
      <c r="P127" s="10">
        <f>WEEKNUM(TimeEntry[[#This Row],[WkEnd]])</f>
        <v>19</v>
      </c>
      <c r="Q127" s="10" t="str">
        <f>TimeEntry[[#This Row],[Year]]&amp;"-"&amp;TimeEntry[[#This Row],[WkNo]]</f>
        <v>2020-19</v>
      </c>
    </row>
    <row r="128" spans="1:17" ht="30" x14ac:dyDescent="0.25">
      <c r="A128" s="9">
        <f>MOD(IF(ROW()=11,0.1,IF(INDEX(TimeEntry[WkEnd],ROW()-10)            =            INDEX(TimeEntry[WkEnd],ROW()-11),               INDEX(TimeEntry[format],ROW()-11),               INDEX(TimeEntry[format],ROW()-11)    +1)),2)</f>
        <v>0.10000000000000009</v>
      </c>
      <c r="B128" s="14"/>
      <c r="C128" s="7">
        <v>43950</v>
      </c>
      <c r="D128" s="7"/>
      <c r="E128" s="7"/>
      <c r="F128" s="6" t="s">
        <v>630</v>
      </c>
      <c r="G128" s="6"/>
      <c r="H128" s="7">
        <f>IF(TimeEntry[[#This Row],[Date]]=0,H127,C128+(7-N128))</f>
        <v>43954</v>
      </c>
      <c r="I128" s="7">
        <f>TimeEntry[[#This Row],[Date]]</f>
        <v>43950</v>
      </c>
      <c r="J128" s="10" t="str">
        <f>IF(TimeEntry[[#This Row],[Date]]=0,"",TEXT(TimeEntry[[#This Row],[Date]],"ddd"))</f>
        <v>Wed</v>
      </c>
      <c r="K128" s="9" t="str">
        <f>IF(TimeEntry[[#This Row],[Project]]=0,"",INDEX(ProjectsAll[job number],MATCH(TimeEntry[[#This Row],[Project]],ProjectsAll[Project],0)))</f>
        <v>210035-65</v>
      </c>
      <c r="L128" s="6" t="s">
        <v>631</v>
      </c>
      <c r="M128" s="6">
        <v>7.5</v>
      </c>
      <c r="N128" s="9">
        <f>IF(TimeEntry[[#This Row],[Date]]=0,"",WEEKDAY(C128,2))</f>
        <v>3</v>
      </c>
      <c r="O128" s="10">
        <f>YEAR(TimeEntry[[#This Row],[WkEnd]])</f>
        <v>2020</v>
      </c>
      <c r="P128" s="10">
        <f>WEEKNUM(TimeEntry[[#This Row],[WkEnd]])</f>
        <v>19</v>
      </c>
      <c r="Q128" s="10" t="str">
        <f>TimeEntry[[#This Row],[Year]]&amp;"-"&amp;TimeEntry[[#This Row],[WkNo]]</f>
        <v>2020-19</v>
      </c>
    </row>
    <row r="129" spans="1:17" ht="30" x14ac:dyDescent="0.25">
      <c r="A129" s="9">
        <f>MOD(IF(ROW()=11,0.1,IF(INDEX(TimeEntry[WkEnd],ROW()-10)            =            INDEX(TimeEntry[WkEnd],ROW()-11),               INDEX(TimeEntry[format],ROW()-11),               INDEX(TimeEntry[format],ROW()-11)    +1)),2)</f>
        <v>0.10000000000000009</v>
      </c>
      <c r="B129" s="14"/>
      <c r="C129" s="7">
        <v>43949</v>
      </c>
      <c r="D129" s="7"/>
      <c r="E129" s="7"/>
      <c r="F129" s="6" t="s">
        <v>630</v>
      </c>
      <c r="G129" s="6"/>
      <c r="H129" s="7">
        <f>IF(TimeEntry[[#This Row],[Date]]=0,H128,C129+(7-N129))</f>
        <v>43954</v>
      </c>
      <c r="I129" s="7">
        <f>TimeEntry[[#This Row],[Date]]</f>
        <v>43949</v>
      </c>
      <c r="J129" s="10" t="str">
        <f>IF(TimeEntry[[#This Row],[Date]]=0,"",TEXT(TimeEntry[[#This Row],[Date]],"ddd"))</f>
        <v>Tue</v>
      </c>
      <c r="K129" s="9" t="str">
        <f>IF(TimeEntry[[#This Row],[Project]]=0,"",INDEX(ProjectsAll[job number],MATCH(TimeEntry[[#This Row],[Project]],ProjectsAll[Project],0)))</f>
        <v>210035-65</v>
      </c>
      <c r="L129" s="6" t="s">
        <v>631</v>
      </c>
      <c r="M129" s="6">
        <v>7.5</v>
      </c>
      <c r="N129" s="9">
        <f>IF(TimeEntry[[#This Row],[Date]]=0,"",WEEKDAY(C129,2))</f>
        <v>2</v>
      </c>
      <c r="O129" s="10">
        <f>YEAR(TimeEntry[[#This Row],[WkEnd]])</f>
        <v>2020</v>
      </c>
      <c r="P129" s="10">
        <f>WEEKNUM(TimeEntry[[#This Row],[WkEnd]])</f>
        <v>19</v>
      </c>
      <c r="Q129" s="10" t="str">
        <f>TimeEntry[[#This Row],[Year]]&amp;"-"&amp;TimeEntry[[#This Row],[WkNo]]</f>
        <v>2020-19</v>
      </c>
    </row>
    <row r="130" spans="1:17" ht="30" x14ac:dyDescent="0.25">
      <c r="A130" s="9">
        <f>MOD(IF(ROW()=11,0.1,IF(INDEX(TimeEntry[WkEnd],ROW()-10)            =            INDEX(TimeEntry[WkEnd],ROW()-11),               INDEX(TimeEntry[format],ROW()-11),               INDEX(TimeEntry[format],ROW()-11)    +1)),2)</f>
        <v>0.10000000000000009</v>
      </c>
      <c r="B130" s="14"/>
      <c r="C130" s="7">
        <v>43948</v>
      </c>
      <c r="D130" s="7"/>
      <c r="E130" s="7"/>
      <c r="F130" s="6" t="s">
        <v>630</v>
      </c>
      <c r="G130" s="6"/>
      <c r="H130" s="7">
        <f>IF(TimeEntry[[#This Row],[Date]]=0,H129,C130+(7-N130))</f>
        <v>43954</v>
      </c>
      <c r="I130" s="7">
        <f>TimeEntry[[#This Row],[Date]]</f>
        <v>43948</v>
      </c>
      <c r="J130" s="10" t="str">
        <f>IF(TimeEntry[[#This Row],[Date]]=0,"",TEXT(TimeEntry[[#This Row],[Date]],"ddd"))</f>
        <v>Mon</v>
      </c>
      <c r="K130" s="9" t="str">
        <f>IF(TimeEntry[[#This Row],[Project]]=0,"",INDEX(ProjectsAll[job number],MATCH(TimeEntry[[#This Row],[Project]],ProjectsAll[Project],0)))</f>
        <v>210035-65</v>
      </c>
      <c r="L130" s="6" t="s">
        <v>628</v>
      </c>
      <c r="M130" s="6">
        <v>7.5</v>
      </c>
      <c r="N130" s="9">
        <f>IF(TimeEntry[[#This Row],[Date]]=0,"",WEEKDAY(C130,2))</f>
        <v>1</v>
      </c>
      <c r="O130" s="10">
        <f>YEAR(TimeEntry[[#This Row],[WkEnd]])</f>
        <v>2020</v>
      </c>
      <c r="P130" s="10">
        <f>WEEKNUM(TimeEntry[[#This Row],[WkEnd]])</f>
        <v>19</v>
      </c>
      <c r="Q130" s="10" t="str">
        <f>TimeEntry[[#This Row],[Year]]&amp;"-"&amp;TimeEntry[[#This Row],[WkNo]]</f>
        <v>2020-19</v>
      </c>
    </row>
    <row r="131" spans="1:17" ht="30" x14ac:dyDescent="0.25">
      <c r="A131" s="9">
        <f>MOD(IF(ROW()=11,0.1,IF(INDEX(TimeEntry[WkEnd],ROW()-10)            =            INDEX(TimeEntry[WkEnd],ROW()-11),               INDEX(TimeEntry[format],ROW()-11),               INDEX(TimeEntry[format],ROW()-11)    +1)),2)</f>
        <v>1.1000000000000001</v>
      </c>
      <c r="B131" s="14"/>
      <c r="C131" s="7">
        <v>43945</v>
      </c>
      <c r="D131" s="7"/>
      <c r="E131" s="7"/>
      <c r="F131" s="6" t="s">
        <v>90</v>
      </c>
      <c r="G131" s="6"/>
      <c r="H131" s="7">
        <f>IF(TimeEntry[[#This Row],[Date]]=0,H130,C131+(7-N131))</f>
        <v>43947</v>
      </c>
      <c r="I131" s="7">
        <f>TimeEntry[[#This Row],[Date]]</f>
        <v>43945</v>
      </c>
      <c r="J131" s="10" t="str">
        <f>IF(TimeEntry[[#This Row],[Date]]=0,"",TEXT(TimeEntry[[#This Row],[Date]],"ddd"))</f>
        <v>Fri</v>
      </c>
      <c r="K131" s="9" t="str">
        <f>IF(TimeEntry[[#This Row],[Project]]=0,"",INDEX(ProjectsAll[job number],MATCH(TimeEntry[[#This Row],[Project]],ProjectsAll[Project],0)))</f>
        <v>210035-64</v>
      </c>
      <c r="L131" s="6" t="s">
        <v>627</v>
      </c>
      <c r="M131" s="6">
        <v>7.5</v>
      </c>
      <c r="N131" s="9">
        <f>IF(TimeEntry[[#This Row],[Date]]=0,"",WEEKDAY(C131,2))</f>
        <v>5</v>
      </c>
      <c r="O131" s="10">
        <f>YEAR(TimeEntry[[#This Row],[WkEnd]])</f>
        <v>2020</v>
      </c>
      <c r="P131" s="10">
        <f>WEEKNUM(TimeEntry[[#This Row],[WkEnd]])</f>
        <v>18</v>
      </c>
      <c r="Q131" s="10" t="str">
        <f>TimeEntry[[#This Row],[Year]]&amp;"-"&amp;TimeEntry[[#This Row],[WkNo]]</f>
        <v>2020-18</v>
      </c>
    </row>
    <row r="132" spans="1:17" ht="30" x14ac:dyDescent="0.25">
      <c r="A132" s="9">
        <f>MOD(IF(ROW()=11,0.1,IF(INDEX(TimeEntry[WkEnd],ROW()-10)            =            INDEX(TimeEntry[WkEnd],ROW()-11),               INDEX(TimeEntry[format],ROW()-11),               INDEX(TimeEntry[format],ROW()-11)    +1)),2)</f>
        <v>1.1000000000000001</v>
      </c>
      <c r="B132" s="14"/>
      <c r="C132" s="7">
        <v>43944</v>
      </c>
      <c r="D132" s="7"/>
      <c r="E132" s="7"/>
      <c r="F132" s="6" t="s">
        <v>68</v>
      </c>
      <c r="G132" s="6"/>
      <c r="H132" s="7">
        <f>IF(TimeEntry[[#This Row],[Date]]=0,H131,C132+(7-N132))</f>
        <v>43947</v>
      </c>
      <c r="I132" s="7">
        <f>TimeEntry[[#This Row],[Date]]</f>
        <v>43944</v>
      </c>
      <c r="J132" s="10" t="str">
        <f>IF(TimeEntry[[#This Row],[Date]]=0,"",TEXT(TimeEntry[[#This Row],[Date]],"ddd"))</f>
        <v>Thu</v>
      </c>
      <c r="K132" s="9" t="str">
        <f>IF(TimeEntry[[#This Row],[Project]]=0,"",INDEX(ProjectsAll[job number],MATCH(TimeEntry[[#This Row],[Project]],ProjectsAll[Project],0)))</f>
        <v>LEAVE</v>
      </c>
      <c r="L132" s="6" t="s">
        <v>627</v>
      </c>
      <c r="M132" s="6">
        <v>3.75</v>
      </c>
      <c r="N132" s="9">
        <f>IF(TimeEntry[[#This Row],[Date]]=0,"",WEEKDAY(C132,2))</f>
        <v>4</v>
      </c>
      <c r="O132" s="10">
        <f>YEAR(TimeEntry[[#This Row],[WkEnd]])</f>
        <v>2020</v>
      </c>
      <c r="P132" s="10">
        <f>WEEKNUM(TimeEntry[[#This Row],[WkEnd]])</f>
        <v>18</v>
      </c>
      <c r="Q132" s="10" t="str">
        <f>TimeEntry[[#This Row],[Year]]&amp;"-"&amp;TimeEntry[[#This Row],[WkNo]]</f>
        <v>2020-18</v>
      </c>
    </row>
    <row r="133" spans="1:17" ht="30" x14ac:dyDescent="0.25">
      <c r="A133" s="9">
        <f>MOD(IF(ROW()=11,0.1,IF(INDEX(TimeEntry[WkEnd],ROW()-10)            =            INDEX(TimeEntry[WkEnd],ROW()-11),               INDEX(TimeEntry[format],ROW()-11),               INDEX(TimeEntry[format],ROW()-11)    +1)),2)</f>
        <v>1.1000000000000001</v>
      </c>
      <c r="B133" s="14"/>
      <c r="C133" s="7">
        <v>43944</v>
      </c>
      <c r="D133" s="7"/>
      <c r="E133" s="7"/>
      <c r="F133" s="6" t="s">
        <v>90</v>
      </c>
      <c r="G133" s="6"/>
      <c r="H133" s="7">
        <f>IF(TimeEntry[[#This Row],[Date]]=0,H132,C133+(7-N133))</f>
        <v>43947</v>
      </c>
      <c r="I133" s="7">
        <f>TimeEntry[[#This Row],[Date]]</f>
        <v>43944</v>
      </c>
      <c r="J133" s="10" t="str">
        <f>IF(TimeEntry[[#This Row],[Date]]=0,"",TEXT(TimeEntry[[#This Row],[Date]],"ddd"))</f>
        <v>Thu</v>
      </c>
      <c r="K133" s="9" t="str">
        <f>IF(TimeEntry[[#This Row],[Project]]=0,"",INDEX(ProjectsAll[job number],MATCH(TimeEntry[[#This Row],[Project]],ProjectsAll[Project],0)))</f>
        <v>210035-64</v>
      </c>
      <c r="L133" s="6" t="s">
        <v>627</v>
      </c>
      <c r="M133" s="6">
        <v>3.75</v>
      </c>
      <c r="N133" s="9">
        <f>IF(TimeEntry[[#This Row],[Date]]=0,"",WEEKDAY(C133,2))</f>
        <v>4</v>
      </c>
      <c r="O133" s="10">
        <f>YEAR(TimeEntry[[#This Row],[WkEnd]])</f>
        <v>2020</v>
      </c>
      <c r="P133" s="10">
        <f>WEEKNUM(TimeEntry[[#This Row],[WkEnd]])</f>
        <v>18</v>
      </c>
      <c r="Q133" s="10" t="str">
        <f>TimeEntry[[#This Row],[Year]]&amp;"-"&amp;TimeEntry[[#This Row],[WkNo]]</f>
        <v>2020-18</v>
      </c>
    </row>
    <row r="134" spans="1:17" ht="30" x14ac:dyDescent="0.25">
      <c r="A134" s="9">
        <f>MOD(IF(ROW()=11,0.1,IF(INDEX(TimeEntry[WkEnd],ROW()-10)            =            INDEX(TimeEntry[WkEnd],ROW()-11),               INDEX(TimeEntry[format],ROW()-11),               INDEX(TimeEntry[format],ROW()-11)    +1)),2)</f>
        <v>1.1000000000000001</v>
      </c>
      <c r="B134" s="14"/>
      <c r="C134" s="7">
        <v>43943</v>
      </c>
      <c r="D134" s="7"/>
      <c r="E134" s="7"/>
      <c r="F134" s="6" t="s">
        <v>90</v>
      </c>
      <c r="G134" s="6"/>
      <c r="H134" s="7">
        <f>IF(TimeEntry[[#This Row],[Date]]=0,H133,C134+(7-N134))</f>
        <v>43947</v>
      </c>
      <c r="I134" s="7">
        <f>TimeEntry[[#This Row],[Date]]</f>
        <v>43943</v>
      </c>
      <c r="J134" s="10" t="str">
        <f>IF(TimeEntry[[#This Row],[Date]]=0,"",TEXT(TimeEntry[[#This Row],[Date]],"ddd"))</f>
        <v>Wed</v>
      </c>
      <c r="K134" s="9" t="str">
        <f>IF(TimeEntry[[#This Row],[Project]]=0,"",INDEX(ProjectsAll[job number],MATCH(TimeEntry[[#This Row],[Project]],ProjectsAll[Project],0)))</f>
        <v>210035-64</v>
      </c>
      <c r="L134" s="6" t="s">
        <v>625</v>
      </c>
      <c r="M134" s="6">
        <v>1</v>
      </c>
      <c r="N134" s="9">
        <f>IF(TimeEntry[[#This Row],[Date]]=0,"",WEEKDAY(C134,2))</f>
        <v>3</v>
      </c>
      <c r="O134" s="10">
        <f>YEAR(TimeEntry[[#This Row],[WkEnd]])</f>
        <v>2020</v>
      </c>
      <c r="P134" s="10">
        <f>WEEKNUM(TimeEntry[[#This Row],[WkEnd]])</f>
        <v>18</v>
      </c>
      <c r="Q134" s="10" t="str">
        <f>TimeEntry[[#This Row],[Year]]&amp;"-"&amp;TimeEntry[[#This Row],[WkNo]]</f>
        <v>2020-18</v>
      </c>
    </row>
    <row r="135" spans="1:17" ht="30" x14ac:dyDescent="0.25">
      <c r="A135" s="9">
        <f>MOD(IF(ROW()=11,0.1,IF(INDEX(TimeEntry[WkEnd],ROW()-10)            =            INDEX(TimeEntry[WkEnd],ROW()-11),               INDEX(TimeEntry[format],ROW()-11),               INDEX(TimeEntry[format],ROW()-11)    +1)),2)</f>
        <v>1.1000000000000001</v>
      </c>
      <c r="B135" s="14"/>
      <c r="C135" s="7">
        <v>43943</v>
      </c>
      <c r="D135" s="7"/>
      <c r="E135" s="7"/>
      <c r="F135" s="6" t="s">
        <v>90</v>
      </c>
      <c r="G135" s="6"/>
      <c r="H135" s="7">
        <f>IF(TimeEntry[[#This Row],[Date]]=0,H134,C135+(7-N135))</f>
        <v>43947</v>
      </c>
      <c r="I135" s="7">
        <f>TimeEntry[[#This Row],[Date]]</f>
        <v>43943</v>
      </c>
      <c r="J135" s="10" t="str">
        <f>IF(TimeEntry[[#This Row],[Date]]=0,"",TEXT(TimeEntry[[#This Row],[Date]],"ddd"))</f>
        <v>Wed</v>
      </c>
      <c r="K135" s="9" t="str">
        <f>IF(TimeEntry[[#This Row],[Project]]=0,"",INDEX(ProjectsAll[job number],MATCH(TimeEntry[[#This Row],[Project]],ProjectsAll[Project],0)))</f>
        <v>210035-64</v>
      </c>
      <c r="L135" s="6" t="s">
        <v>627</v>
      </c>
      <c r="M135" s="6">
        <v>6.5</v>
      </c>
      <c r="N135" s="9">
        <f>IF(TimeEntry[[#This Row],[Date]]=0,"",WEEKDAY(C135,2))</f>
        <v>3</v>
      </c>
      <c r="O135" s="10">
        <f>YEAR(TimeEntry[[#This Row],[WkEnd]])</f>
        <v>2020</v>
      </c>
      <c r="P135" s="10">
        <f>WEEKNUM(TimeEntry[[#This Row],[WkEnd]])</f>
        <v>18</v>
      </c>
      <c r="Q135" s="10" t="str">
        <f>TimeEntry[[#This Row],[Year]]&amp;"-"&amp;TimeEntry[[#This Row],[WkNo]]</f>
        <v>2020-18</v>
      </c>
    </row>
    <row r="136" spans="1:17" ht="30" x14ac:dyDescent="0.25">
      <c r="A136" s="9">
        <f>MOD(IF(ROW()=11,0.1,IF(INDEX(TimeEntry[WkEnd],ROW()-10)            =            INDEX(TimeEntry[WkEnd],ROW()-11),               INDEX(TimeEntry[format],ROW()-11),               INDEX(TimeEntry[format],ROW()-11)    +1)),2)</f>
        <v>1.1000000000000001</v>
      </c>
      <c r="B136" s="14"/>
      <c r="C136" s="7">
        <v>43942</v>
      </c>
      <c r="D136" s="7"/>
      <c r="E136" s="7"/>
      <c r="F136" s="6" t="s">
        <v>90</v>
      </c>
      <c r="G136" s="6"/>
      <c r="H136" s="7">
        <f>IF(TimeEntry[[#This Row],[Date]]=0,H135,C136+(7-N136))</f>
        <v>43947</v>
      </c>
      <c r="I136" s="7">
        <f>TimeEntry[[#This Row],[Date]]</f>
        <v>43942</v>
      </c>
      <c r="J136" s="10" t="str">
        <f>IF(TimeEntry[[#This Row],[Date]]=0,"",TEXT(TimeEntry[[#This Row],[Date]],"ddd"))</f>
        <v>Tue</v>
      </c>
      <c r="K136" s="9" t="str">
        <f>IF(TimeEntry[[#This Row],[Project]]=0,"",INDEX(ProjectsAll[job number],MATCH(TimeEntry[[#This Row],[Project]],ProjectsAll[Project],0)))</f>
        <v>210035-64</v>
      </c>
      <c r="L136" s="6" t="s">
        <v>627</v>
      </c>
      <c r="M136" s="6">
        <v>7.5</v>
      </c>
      <c r="N136" s="9">
        <f>IF(TimeEntry[[#This Row],[Date]]=0,"",WEEKDAY(C136,2))</f>
        <v>2</v>
      </c>
      <c r="O136" s="10">
        <f>YEAR(TimeEntry[[#This Row],[WkEnd]])</f>
        <v>2020</v>
      </c>
      <c r="P136" s="10">
        <f>WEEKNUM(TimeEntry[[#This Row],[WkEnd]])</f>
        <v>18</v>
      </c>
      <c r="Q136" s="10" t="str">
        <f>TimeEntry[[#This Row],[Year]]&amp;"-"&amp;TimeEntry[[#This Row],[WkNo]]</f>
        <v>2020-18</v>
      </c>
    </row>
    <row r="137" spans="1:17" ht="30" x14ac:dyDescent="0.25">
      <c r="A137" s="9">
        <f>MOD(IF(ROW()=11,0.1,IF(INDEX(TimeEntry[WkEnd],ROW()-10)            =            INDEX(TimeEntry[WkEnd],ROW()-11),               INDEX(TimeEntry[format],ROW()-11),               INDEX(TimeEntry[format],ROW()-11)    +1)),2)</f>
        <v>1.1000000000000001</v>
      </c>
      <c r="B137" s="14"/>
      <c r="C137" s="7">
        <v>43941</v>
      </c>
      <c r="D137" s="7"/>
      <c r="E137" s="7"/>
      <c r="F137" s="6" t="s">
        <v>90</v>
      </c>
      <c r="G137" s="6"/>
      <c r="H137" s="7">
        <f>IF(TimeEntry[[#This Row],[Date]]=0,H136,C137+(7-N137))</f>
        <v>43947</v>
      </c>
      <c r="I137" s="7">
        <f>TimeEntry[[#This Row],[Date]]</f>
        <v>43941</v>
      </c>
      <c r="J137" s="10" t="str">
        <f>IF(TimeEntry[[#This Row],[Date]]=0,"",TEXT(TimeEntry[[#This Row],[Date]],"ddd"))</f>
        <v>Mon</v>
      </c>
      <c r="K137" s="9" t="str">
        <f>IF(TimeEntry[[#This Row],[Project]]=0,"",INDEX(ProjectsAll[job number],MATCH(TimeEntry[[#This Row],[Project]],ProjectsAll[Project],0)))</f>
        <v>210035-64</v>
      </c>
      <c r="L137" s="6" t="s">
        <v>626</v>
      </c>
      <c r="M137" s="6">
        <v>7.5</v>
      </c>
      <c r="N137" s="9">
        <f>IF(TimeEntry[[#This Row],[Date]]=0,"",WEEKDAY(C137,2))</f>
        <v>1</v>
      </c>
      <c r="O137" s="10">
        <f>YEAR(TimeEntry[[#This Row],[WkEnd]])</f>
        <v>2020</v>
      </c>
      <c r="P137" s="10">
        <f>WEEKNUM(TimeEntry[[#This Row],[WkEnd]])</f>
        <v>18</v>
      </c>
      <c r="Q137" s="10" t="str">
        <f>TimeEntry[[#This Row],[Year]]&amp;"-"&amp;TimeEntry[[#This Row],[WkNo]]</f>
        <v>2020-18</v>
      </c>
    </row>
    <row r="138" spans="1:17" ht="30" x14ac:dyDescent="0.25">
      <c r="A138" s="9">
        <f>MOD(IF(ROW()=11,0.1,IF(INDEX(TimeEntry[WkEnd],ROW()-10)            =            INDEX(TimeEntry[WkEnd],ROW()-11),               INDEX(TimeEntry[format],ROW()-11),               INDEX(TimeEntry[format],ROW()-11)    +1)),2)</f>
        <v>0.10000000000000009</v>
      </c>
      <c r="B138" s="14"/>
      <c r="C138" s="7">
        <v>43938</v>
      </c>
      <c r="D138" s="7"/>
      <c r="E138" s="7"/>
      <c r="F138" s="6" t="s">
        <v>90</v>
      </c>
      <c r="G138" s="6"/>
      <c r="H138" s="7">
        <f>IF(TimeEntry[[#This Row],[Date]]=0,H137,C138+(7-N138))</f>
        <v>43940</v>
      </c>
      <c r="I138" s="7">
        <f>TimeEntry[[#This Row],[Date]]</f>
        <v>43938</v>
      </c>
      <c r="J138" s="10" t="str">
        <f>IF(TimeEntry[[#This Row],[Date]]=0,"",TEXT(TimeEntry[[#This Row],[Date]],"ddd"))</f>
        <v>Fri</v>
      </c>
      <c r="K138" s="9" t="str">
        <f>IF(TimeEntry[[#This Row],[Project]]=0,"",INDEX(ProjectsAll[job number],MATCH(TimeEntry[[#This Row],[Project]],ProjectsAll[Project],0)))</f>
        <v>210035-64</v>
      </c>
      <c r="L138" s="6" t="s">
        <v>624</v>
      </c>
      <c r="M138" s="6">
        <v>7.5</v>
      </c>
      <c r="N138" s="9">
        <f>IF(TimeEntry[[#This Row],[Date]]=0,"",WEEKDAY(C138,2))</f>
        <v>5</v>
      </c>
      <c r="O138" s="10">
        <f>YEAR(TimeEntry[[#This Row],[WkEnd]])</f>
        <v>2020</v>
      </c>
      <c r="P138" s="10">
        <f>WEEKNUM(TimeEntry[[#This Row],[WkEnd]])</f>
        <v>17</v>
      </c>
      <c r="Q138" s="10" t="str">
        <f>TimeEntry[[#This Row],[Year]]&amp;"-"&amp;TimeEntry[[#This Row],[WkNo]]</f>
        <v>2020-17</v>
      </c>
    </row>
    <row r="139" spans="1:17" ht="30" x14ac:dyDescent="0.25">
      <c r="A139" s="9">
        <f>MOD(IF(ROW()=11,0.1,IF(INDEX(TimeEntry[WkEnd],ROW()-10)            =            INDEX(TimeEntry[WkEnd],ROW()-11),               INDEX(TimeEntry[format],ROW()-11),               INDEX(TimeEntry[format],ROW()-11)    +1)),2)</f>
        <v>0.10000000000000009</v>
      </c>
      <c r="B139" s="14"/>
      <c r="C139" s="7">
        <v>43937</v>
      </c>
      <c r="D139" s="7"/>
      <c r="E139" s="7"/>
      <c r="F139" s="6" t="s">
        <v>90</v>
      </c>
      <c r="G139" s="6"/>
      <c r="H139" s="7">
        <f>IF(TimeEntry[[#This Row],[Date]]=0,H138,C139+(7-N139))</f>
        <v>43940</v>
      </c>
      <c r="I139" s="7">
        <f>TimeEntry[[#This Row],[Date]]</f>
        <v>43937</v>
      </c>
      <c r="J139" s="10" t="str">
        <f>IF(TimeEntry[[#This Row],[Date]]=0,"",TEXT(TimeEntry[[#This Row],[Date]],"ddd"))</f>
        <v>Thu</v>
      </c>
      <c r="K139" s="9" t="str">
        <f>IF(TimeEntry[[#This Row],[Project]]=0,"",INDEX(ProjectsAll[job number],MATCH(TimeEntry[[#This Row],[Project]],ProjectsAll[Project],0)))</f>
        <v>210035-64</v>
      </c>
      <c r="L139" s="6" t="s">
        <v>624</v>
      </c>
      <c r="M139" s="6">
        <v>7.5</v>
      </c>
      <c r="N139" s="9">
        <f>IF(TimeEntry[[#This Row],[Date]]=0,"",WEEKDAY(C139,2))</f>
        <v>4</v>
      </c>
      <c r="O139" s="10">
        <f>YEAR(TimeEntry[[#This Row],[WkEnd]])</f>
        <v>2020</v>
      </c>
      <c r="P139" s="10">
        <f>WEEKNUM(TimeEntry[[#This Row],[WkEnd]])</f>
        <v>17</v>
      </c>
      <c r="Q139" s="10" t="str">
        <f>TimeEntry[[#This Row],[Year]]&amp;"-"&amp;TimeEntry[[#This Row],[WkNo]]</f>
        <v>2020-17</v>
      </c>
    </row>
    <row r="140" spans="1:17" ht="30" x14ac:dyDescent="0.25">
      <c r="A140" s="9">
        <f>MOD(IF(ROW()=11,0.1,IF(INDEX(TimeEntry[WkEnd],ROW()-10)            =            INDEX(TimeEntry[WkEnd],ROW()-11),               INDEX(TimeEntry[format],ROW()-11),               INDEX(TimeEntry[format],ROW()-11)    +1)),2)</f>
        <v>0.10000000000000009</v>
      </c>
      <c r="B140" s="14"/>
      <c r="C140" s="7">
        <v>43936</v>
      </c>
      <c r="D140" s="7"/>
      <c r="E140" s="7"/>
      <c r="F140" s="6" t="s">
        <v>90</v>
      </c>
      <c r="G140" s="6"/>
      <c r="H140" s="7">
        <f>IF(TimeEntry[[#This Row],[Date]]=0,H139,C140+(7-N140))</f>
        <v>43940</v>
      </c>
      <c r="I140" s="7">
        <f>TimeEntry[[#This Row],[Date]]</f>
        <v>43936</v>
      </c>
      <c r="J140" s="10" t="str">
        <f>IF(TimeEntry[[#This Row],[Date]]=0,"",TEXT(TimeEntry[[#This Row],[Date]],"ddd"))</f>
        <v>Wed</v>
      </c>
      <c r="K140" s="9" t="str">
        <f>IF(TimeEntry[[#This Row],[Project]]=0,"",INDEX(ProjectsAll[job number],MATCH(TimeEntry[[#This Row],[Project]],ProjectsAll[Project],0)))</f>
        <v>210035-64</v>
      </c>
      <c r="L140" s="6" t="s">
        <v>624</v>
      </c>
      <c r="M140" s="6">
        <v>7.5</v>
      </c>
      <c r="N140" s="9">
        <f>IF(TimeEntry[[#This Row],[Date]]=0,"",WEEKDAY(C140,2))</f>
        <v>3</v>
      </c>
      <c r="O140" s="10">
        <f>YEAR(TimeEntry[[#This Row],[WkEnd]])</f>
        <v>2020</v>
      </c>
      <c r="P140" s="10">
        <f>WEEKNUM(TimeEntry[[#This Row],[WkEnd]])</f>
        <v>17</v>
      </c>
      <c r="Q140" s="10" t="str">
        <f>TimeEntry[[#This Row],[Year]]&amp;"-"&amp;TimeEntry[[#This Row],[WkNo]]</f>
        <v>2020-17</v>
      </c>
    </row>
    <row r="141" spans="1:17" ht="30" x14ac:dyDescent="0.25">
      <c r="A141" s="9">
        <f>MOD(IF(ROW()=11,0.1,IF(INDEX(TimeEntry[WkEnd],ROW()-10)            =            INDEX(TimeEntry[WkEnd],ROW()-11),               INDEX(TimeEntry[format],ROW()-11),               INDEX(TimeEntry[format],ROW()-11)    +1)),2)</f>
        <v>0.10000000000000009</v>
      </c>
      <c r="B141" s="14"/>
      <c r="C141" s="7">
        <v>43935</v>
      </c>
      <c r="D141" s="7"/>
      <c r="E141" s="7"/>
      <c r="F141" s="6" t="s">
        <v>90</v>
      </c>
      <c r="G141" s="6"/>
      <c r="H141" s="7">
        <f>IF(TimeEntry[[#This Row],[Date]]=0,H140,C141+(7-N141))</f>
        <v>43940</v>
      </c>
      <c r="I141" s="7">
        <f>TimeEntry[[#This Row],[Date]]</f>
        <v>43935</v>
      </c>
      <c r="J141" s="10" t="str">
        <f>IF(TimeEntry[[#This Row],[Date]]=0,"",TEXT(TimeEntry[[#This Row],[Date]],"ddd"))</f>
        <v>Tue</v>
      </c>
      <c r="K141" s="9" t="str">
        <f>IF(TimeEntry[[#This Row],[Project]]=0,"",INDEX(ProjectsAll[job number],MATCH(TimeEntry[[#This Row],[Project]],ProjectsAll[Project],0)))</f>
        <v>210035-64</v>
      </c>
      <c r="L141" s="6" t="s">
        <v>624</v>
      </c>
      <c r="M141" s="6">
        <v>7.5</v>
      </c>
      <c r="N141" s="9">
        <f>IF(TimeEntry[[#This Row],[Date]]=0,"",WEEKDAY(C141,2))</f>
        <v>2</v>
      </c>
      <c r="O141" s="10">
        <f>YEAR(TimeEntry[[#This Row],[WkEnd]])</f>
        <v>2020</v>
      </c>
      <c r="P141" s="10">
        <f>WEEKNUM(TimeEntry[[#This Row],[WkEnd]])</f>
        <v>17</v>
      </c>
      <c r="Q141" s="10" t="str">
        <f>TimeEntry[[#This Row],[Year]]&amp;"-"&amp;TimeEntry[[#This Row],[WkNo]]</f>
        <v>2020-17</v>
      </c>
    </row>
    <row r="142" spans="1:17" ht="30" x14ac:dyDescent="0.25">
      <c r="A142" s="9">
        <f>MOD(IF(ROW()=11,0.1,IF(INDEX(TimeEntry[WkEnd],ROW()-10)            =            INDEX(TimeEntry[WkEnd],ROW()-11),               INDEX(TimeEntry[format],ROW()-11),               INDEX(TimeEntry[format],ROW()-11)    +1)),2)</f>
        <v>0.10000000000000009</v>
      </c>
      <c r="B142" s="14"/>
      <c r="C142" s="7">
        <v>43934</v>
      </c>
      <c r="D142" s="7"/>
      <c r="E142" s="7"/>
      <c r="F142" s="6" t="s">
        <v>12</v>
      </c>
      <c r="G142" s="6"/>
      <c r="H142" s="7">
        <f>IF(TimeEntry[[#This Row],[Date]]=0,H141,C142+(7-N142))</f>
        <v>43940</v>
      </c>
      <c r="I142" s="7">
        <f>TimeEntry[[#This Row],[Date]]</f>
        <v>43934</v>
      </c>
      <c r="J142" s="10" t="str">
        <f>IF(TimeEntry[[#This Row],[Date]]=0,"",TEXT(TimeEntry[[#This Row],[Date]],"ddd"))</f>
        <v>Mon</v>
      </c>
      <c r="K142" s="9" t="str">
        <f>IF(TimeEntry[[#This Row],[Project]]=0,"",INDEX(ProjectsAll[job number],MATCH(TimeEntry[[#This Row],[Project]],ProjectsAll[Project],0)))</f>
        <v>BANK HOLIDAY</v>
      </c>
      <c r="L142" s="6"/>
      <c r="M142" s="6">
        <v>7.5</v>
      </c>
      <c r="N142" s="9">
        <f>IF(TimeEntry[[#This Row],[Date]]=0,"",WEEKDAY(C142,2))</f>
        <v>1</v>
      </c>
      <c r="O142" s="10">
        <f>YEAR(TimeEntry[[#This Row],[WkEnd]])</f>
        <v>2020</v>
      </c>
      <c r="P142" s="10">
        <f>WEEKNUM(TimeEntry[[#This Row],[WkEnd]])</f>
        <v>17</v>
      </c>
      <c r="Q142" s="10" t="str">
        <f>TimeEntry[[#This Row],[Year]]&amp;"-"&amp;TimeEntry[[#This Row],[WkNo]]</f>
        <v>2020-17</v>
      </c>
    </row>
    <row r="143" spans="1:17" ht="30" x14ac:dyDescent="0.25">
      <c r="A143" s="9">
        <f>MOD(IF(ROW()=11,0.1,IF(INDEX(TimeEntry[WkEnd],ROW()-10)            =            INDEX(TimeEntry[WkEnd],ROW()-11),               INDEX(TimeEntry[format],ROW()-11),               INDEX(TimeEntry[format],ROW()-11)    +1)),2)</f>
        <v>1.1000000000000001</v>
      </c>
      <c r="B143" s="14"/>
      <c r="C143" s="7">
        <v>43931</v>
      </c>
      <c r="D143" s="7"/>
      <c r="E143" s="7"/>
      <c r="F143" s="6" t="s">
        <v>12</v>
      </c>
      <c r="G143" s="6"/>
      <c r="H143" s="7">
        <f>IF(TimeEntry[[#This Row],[Date]]=0,H142,C143+(7-N143))</f>
        <v>43933</v>
      </c>
      <c r="I143" s="7">
        <f>TimeEntry[[#This Row],[Date]]</f>
        <v>43931</v>
      </c>
      <c r="J143" s="10" t="str">
        <f>IF(TimeEntry[[#This Row],[Date]]=0,"",TEXT(TimeEntry[[#This Row],[Date]],"ddd"))</f>
        <v>Fri</v>
      </c>
      <c r="K143" s="9" t="str">
        <f>IF(TimeEntry[[#This Row],[Project]]=0,"",INDEX(ProjectsAll[job number],MATCH(TimeEntry[[#This Row],[Project]],ProjectsAll[Project],0)))</f>
        <v>BANK HOLIDAY</v>
      </c>
      <c r="L143" s="6"/>
      <c r="M143" s="6">
        <v>7.5</v>
      </c>
      <c r="N143" s="9">
        <f>IF(TimeEntry[[#This Row],[Date]]=0,"",WEEKDAY(C143,2))</f>
        <v>5</v>
      </c>
      <c r="O143" s="10">
        <f>YEAR(TimeEntry[[#This Row],[WkEnd]])</f>
        <v>2020</v>
      </c>
      <c r="P143" s="10">
        <f>WEEKNUM(TimeEntry[[#This Row],[WkEnd]])</f>
        <v>16</v>
      </c>
      <c r="Q143" s="10" t="str">
        <f>TimeEntry[[#This Row],[Year]]&amp;"-"&amp;TimeEntry[[#This Row],[WkNo]]</f>
        <v>2020-16</v>
      </c>
    </row>
    <row r="144" spans="1:17" ht="30" x14ac:dyDescent="0.25">
      <c r="A144" s="9">
        <f>MOD(IF(ROW()=11,0.1,IF(INDEX(TimeEntry[WkEnd],ROW()-10)            =            INDEX(TimeEntry[WkEnd],ROW()-11),               INDEX(TimeEntry[format],ROW()-11),               INDEX(TimeEntry[format],ROW()-11)    +1)),2)</f>
        <v>1.1000000000000001</v>
      </c>
      <c r="B144" s="14"/>
      <c r="C144" s="7">
        <v>43930</v>
      </c>
      <c r="D144" s="7"/>
      <c r="E144" s="7"/>
      <c r="F144" s="6" t="s">
        <v>90</v>
      </c>
      <c r="G144" s="6"/>
      <c r="H144" s="7">
        <f>IF(TimeEntry[[#This Row],[Date]]=0,H143,C144+(7-N144))</f>
        <v>43933</v>
      </c>
      <c r="I144" s="7">
        <f>TimeEntry[[#This Row],[Date]]</f>
        <v>43930</v>
      </c>
      <c r="J144" s="10" t="str">
        <f>IF(TimeEntry[[#This Row],[Date]]=0,"",TEXT(TimeEntry[[#This Row],[Date]],"ddd"))</f>
        <v>Thu</v>
      </c>
      <c r="K144" s="9" t="str">
        <f>IF(TimeEntry[[#This Row],[Project]]=0,"",INDEX(ProjectsAll[job number],MATCH(TimeEntry[[#This Row],[Project]],ProjectsAll[Project],0)))</f>
        <v>210035-64</v>
      </c>
      <c r="L144" s="6" t="s">
        <v>624</v>
      </c>
      <c r="M144" s="6">
        <v>7.5</v>
      </c>
      <c r="N144" s="9">
        <f>IF(TimeEntry[[#This Row],[Date]]=0,"",WEEKDAY(C144,2))</f>
        <v>4</v>
      </c>
      <c r="O144" s="10">
        <f>YEAR(TimeEntry[[#This Row],[WkEnd]])</f>
        <v>2020</v>
      </c>
      <c r="P144" s="10">
        <f>WEEKNUM(TimeEntry[[#This Row],[WkEnd]])</f>
        <v>16</v>
      </c>
      <c r="Q144" s="10" t="str">
        <f>TimeEntry[[#This Row],[Year]]&amp;"-"&amp;TimeEntry[[#This Row],[WkNo]]</f>
        <v>2020-16</v>
      </c>
    </row>
    <row r="145" spans="1:17" ht="30" x14ac:dyDescent="0.25">
      <c r="A145" s="9">
        <f>MOD(IF(ROW()=11,0.1,IF(INDEX(TimeEntry[WkEnd],ROW()-10)            =            INDEX(TimeEntry[WkEnd],ROW()-11),               INDEX(TimeEntry[format],ROW()-11),               INDEX(TimeEntry[format],ROW()-11)    +1)),2)</f>
        <v>1.1000000000000001</v>
      </c>
      <c r="B145" s="14"/>
      <c r="C145" s="7">
        <v>43929</v>
      </c>
      <c r="D145" s="7"/>
      <c r="E145" s="7"/>
      <c r="F145" s="6" t="s">
        <v>90</v>
      </c>
      <c r="G145" s="6"/>
      <c r="H145" s="7">
        <f>IF(TimeEntry[[#This Row],[Date]]=0,H144,C145+(7-N145))</f>
        <v>43933</v>
      </c>
      <c r="I145" s="7">
        <f>TimeEntry[[#This Row],[Date]]</f>
        <v>43929</v>
      </c>
      <c r="J145" s="10" t="str">
        <f>IF(TimeEntry[[#This Row],[Date]]=0,"",TEXT(TimeEntry[[#This Row],[Date]],"ddd"))</f>
        <v>Wed</v>
      </c>
      <c r="K145" s="9" t="str">
        <f>IF(TimeEntry[[#This Row],[Project]]=0,"",INDEX(ProjectsAll[job number],MATCH(TimeEntry[[#This Row],[Project]],ProjectsAll[Project],0)))</f>
        <v>210035-64</v>
      </c>
      <c r="L145" s="6" t="s">
        <v>624</v>
      </c>
      <c r="M145" s="6">
        <v>7.5</v>
      </c>
      <c r="N145" s="9">
        <f>IF(TimeEntry[[#This Row],[Date]]=0,"",WEEKDAY(C145,2))</f>
        <v>3</v>
      </c>
      <c r="O145" s="10">
        <f>YEAR(TimeEntry[[#This Row],[WkEnd]])</f>
        <v>2020</v>
      </c>
      <c r="P145" s="10">
        <f>WEEKNUM(TimeEntry[[#This Row],[WkEnd]])</f>
        <v>16</v>
      </c>
      <c r="Q145" s="10" t="str">
        <f>TimeEntry[[#This Row],[Year]]&amp;"-"&amp;TimeEntry[[#This Row],[WkNo]]</f>
        <v>2020-16</v>
      </c>
    </row>
    <row r="146" spans="1:17" ht="30" x14ac:dyDescent="0.25">
      <c r="A146" s="9">
        <f>MOD(IF(ROW()=11,0.1,IF(INDEX(TimeEntry[WkEnd],ROW()-10)            =            INDEX(TimeEntry[WkEnd],ROW()-11),               INDEX(TimeEntry[format],ROW()-11),               INDEX(TimeEntry[format],ROW()-11)    +1)),2)</f>
        <v>1.1000000000000001</v>
      </c>
      <c r="B146" s="14"/>
      <c r="C146" s="7">
        <v>43928</v>
      </c>
      <c r="D146" s="7"/>
      <c r="E146" s="7"/>
      <c r="F146" s="6" t="s">
        <v>90</v>
      </c>
      <c r="G146" s="6"/>
      <c r="H146" s="7">
        <f>IF(TimeEntry[[#This Row],[Date]]=0,H145,C146+(7-N146))</f>
        <v>43933</v>
      </c>
      <c r="I146" s="7">
        <f>TimeEntry[[#This Row],[Date]]</f>
        <v>43928</v>
      </c>
      <c r="J146" s="10" t="str">
        <f>IF(TimeEntry[[#This Row],[Date]]=0,"",TEXT(TimeEntry[[#This Row],[Date]],"ddd"))</f>
        <v>Tue</v>
      </c>
      <c r="K146" s="9" t="str">
        <f>IF(TimeEntry[[#This Row],[Project]]=0,"",INDEX(ProjectsAll[job number],MATCH(TimeEntry[[#This Row],[Project]],ProjectsAll[Project],0)))</f>
        <v>210035-64</v>
      </c>
      <c r="L146" s="6" t="s">
        <v>624</v>
      </c>
      <c r="M146" s="6">
        <v>7.5</v>
      </c>
      <c r="N146" s="9">
        <f>IF(TimeEntry[[#This Row],[Date]]=0,"",WEEKDAY(C146,2))</f>
        <v>2</v>
      </c>
      <c r="O146" s="10">
        <f>YEAR(TimeEntry[[#This Row],[WkEnd]])</f>
        <v>2020</v>
      </c>
      <c r="P146" s="10">
        <f>WEEKNUM(TimeEntry[[#This Row],[WkEnd]])</f>
        <v>16</v>
      </c>
      <c r="Q146" s="10" t="str">
        <f>TimeEntry[[#This Row],[Year]]&amp;"-"&amp;TimeEntry[[#This Row],[WkNo]]</f>
        <v>2020-16</v>
      </c>
    </row>
    <row r="147" spans="1:17" ht="30" x14ac:dyDescent="0.25">
      <c r="A147" s="9">
        <f>MOD(IF(ROW()=11,0.1,IF(INDEX(TimeEntry[WkEnd],ROW()-10)            =            INDEX(TimeEntry[WkEnd],ROW()-11),               INDEX(TimeEntry[format],ROW()-11),               INDEX(TimeEntry[format],ROW()-11)    +1)),2)</f>
        <v>1.1000000000000001</v>
      </c>
      <c r="B147" s="14"/>
      <c r="C147" s="7">
        <v>43927</v>
      </c>
      <c r="D147" s="7"/>
      <c r="E147" s="7"/>
      <c r="F147" s="6" t="s">
        <v>90</v>
      </c>
      <c r="G147" s="6"/>
      <c r="H147" s="7">
        <f>IF(TimeEntry[[#This Row],[Date]]=0,H146,C147+(7-N147))</f>
        <v>43933</v>
      </c>
      <c r="I147" s="7">
        <f>TimeEntry[[#This Row],[Date]]</f>
        <v>43927</v>
      </c>
      <c r="J147" s="10" t="str">
        <f>IF(TimeEntry[[#This Row],[Date]]=0,"",TEXT(TimeEntry[[#This Row],[Date]],"ddd"))</f>
        <v>Mon</v>
      </c>
      <c r="K147" s="9" t="str">
        <f>IF(TimeEntry[[#This Row],[Project]]=0,"",INDEX(ProjectsAll[job number],MATCH(TimeEntry[[#This Row],[Project]],ProjectsAll[Project],0)))</f>
        <v>210035-64</v>
      </c>
      <c r="L147" s="6" t="s">
        <v>624</v>
      </c>
      <c r="M147" s="6">
        <v>7.5</v>
      </c>
      <c r="N147" s="9">
        <f>IF(TimeEntry[[#This Row],[Date]]=0,"",WEEKDAY(C147,2))</f>
        <v>1</v>
      </c>
      <c r="O147" s="10">
        <f>YEAR(TimeEntry[[#This Row],[WkEnd]])</f>
        <v>2020</v>
      </c>
      <c r="P147" s="10">
        <f>WEEKNUM(TimeEntry[[#This Row],[WkEnd]])</f>
        <v>16</v>
      </c>
      <c r="Q147" s="10" t="str">
        <f>TimeEntry[[#This Row],[Year]]&amp;"-"&amp;TimeEntry[[#This Row],[WkNo]]</f>
        <v>2020-16</v>
      </c>
    </row>
    <row r="148" spans="1:17" ht="30" x14ac:dyDescent="0.25">
      <c r="A148" s="9">
        <f>MOD(IF(ROW()=11,0.1,IF(INDEX(TimeEntry[WkEnd],ROW()-10)            =            INDEX(TimeEntry[WkEnd],ROW()-11),               INDEX(TimeEntry[format],ROW()-11),               INDEX(TimeEntry[format],ROW()-11)    +1)),2)</f>
        <v>0.10000000000000009</v>
      </c>
      <c r="B148" s="14"/>
      <c r="C148" s="7">
        <v>43924</v>
      </c>
      <c r="D148" s="7"/>
      <c r="E148" s="7"/>
      <c r="F148" s="6" t="s">
        <v>90</v>
      </c>
      <c r="G148" s="6"/>
      <c r="H148" s="7">
        <f>IF(TimeEntry[[#This Row],[Date]]=0,H147,C148+(7-N148))</f>
        <v>43926</v>
      </c>
      <c r="I148" s="7">
        <f>TimeEntry[[#This Row],[Date]]</f>
        <v>43924</v>
      </c>
      <c r="J148" s="10" t="str">
        <f>IF(TimeEntry[[#This Row],[Date]]=0,"",TEXT(TimeEntry[[#This Row],[Date]],"ddd"))</f>
        <v>Fri</v>
      </c>
      <c r="K148" s="9" t="str">
        <f>IF(TimeEntry[[#This Row],[Project]]=0,"",INDEX(ProjectsAll[job number],MATCH(TimeEntry[[#This Row],[Project]],ProjectsAll[Project],0)))</f>
        <v>210035-64</v>
      </c>
      <c r="L148" s="6" t="s">
        <v>605</v>
      </c>
      <c r="M148" s="6">
        <v>7.5</v>
      </c>
      <c r="N148" s="9">
        <f>IF(TimeEntry[[#This Row],[Date]]=0,"",WEEKDAY(C148,2))</f>
        <v>5</v>
      </c>
      <c r="O148" s="10">
        <f>YEAR(TimeEntry[[#This Row],[WkEnd]])</f>
        <v>2020</v>
      </c>
      <c r="P148" s="10">
        <f>WEEKNUM(TimeEntry[[#This Row],[WkEnd]])</f>
        <v>15</v>
      </c>
      <c r="Q148" s="10" t="str">
        <f>TimeEntry[[#This Row],[Year]]&amp;"-"&amp;TimeEntry[[#This Row],[WkNo]]</f>
        <v>2020-15</v>
      </c>
    </row>
    <row r="149" spans="1:17" ht="30" x14ac:dyDescent="0.25">
      <c r="A149" s="9">
        <f>MOD(IF(ROW()=11,0.1,IF(INDEX(TimeEntry[WkEnd],ROW()-10)            =            INDEX(TimeEntry[WkEnd],ROW()-11),               INDEX(TimeEntry[format],ROW()-11),               INDEX(TimeEntry[format],ROW()-11)    +1)),2)</f>
        <v>0.10000000000000009</v>
      </c>
      <c r="B149" s="14"/>
      <c r="C149" s="7">
        <v>43923</v>
      </c>
      <c r="D149" s="7"/>
      <c r="E149" s="7"/>
      <c r="F149" s="6" t="s">
        <v>90</v>
      </c>
      <c r="G149" s="6"/>
      <c r="H149" s="7">
        <f>IF(TimeEntry[[#This Row],[Date]]=0,H148,C149+(7-N149))</f>
        <v>43926</v>
      </c>
      <c r="I149" s="7">
        <f>TimeEntry[[#This Row],[Date]]</f>
        <v>43923</v>
      </c>
      <c r="J149" s="10" t="str">
        <f>IF(TimeEntry[[#This Row],[Date]]=0,"",TEXT(TimeEntry[[#This Row],[Date]],"ddd"))</f>
        <v>Thu</v>
      </c>
      <c r="K149" s="9" t="str">
        <f>IF(TimeEntry[[#This Row],[Project]]=0,"",INDEX(ProjectsAll[job number],MATCH(TimeEntry[[#This Row],[Project]],ProjectsAll[Project],0)))</f>
        <v>210035-64</v>
      </c>
      <c r="L149" s="6" t="s">
        <v>605</v>
      </c>
      <c r="M149" s="6">
        <v>7.5</v>
      </c>
      <c r="N149" s="9">
        <f>IF(TimeEntry[[#This Row],[Date]]=0,"",WEEKDAY(C149,2))</f>
        <v>4</v>
      </c>
      <c r="O149" s="10">
        <f>YEAR(TimeEntry[[#This Row],[WkEnd]])</f>
        <v>2020</v>
      </c>
      <c r="P149" s="10">
        <f>WEEKNUM(TimeEntry[[#This Row],[WkEnd]])</f>
        <v>15</v>
      </c>
      <c r="Q149" s="10" t="str">
        <f>TimeEntry[[#This Row],[Year]]&amp;"-"&amp;TimeEntry[[#This Row],[WkNo]]</f>
        <v>2020-15</v>
      </c>
    </row>
    <row r="150" spans="1:17" ht="30" x14ac:dyDescent="0.25">
      <c r="A150" s="9">
        <f>MOD(IF(ROW()=11,0.1,IF(INDEX(TimeEntry[WkEnd],ROW()-10)            =            INDEX(TimeEntry[WkEnd],ROW()-11),               INDEX(TimeEntry[format],ROW()-11),               INDEX(TimeEntry[format],ROW()-11)    +1)),2)</f>
        <v>0.10000000000000009</v>
      </c>
      <c r="B150" s="14"/>
      <c r="C150" s="7">
        <v>43922</v>
      </c>
      <c r="D150" s="7"/>
      <c r="E150" s="7"/>
      <c r="F150" s="6" t="s">
        <v>90</v>
      </c>
      <c r="G150" s="6"/>
      <c r="H150" s="7">
        <f>IF(TimeEntry[[#This Row],[Date]]=0,H149,C150+(7-N150))</f>
        <v>43926</v>
      </c>
      <c r="I150" s="7">
        <f>TimeEntry[[#This Row],[Date]]</f>
        <v>43922</v>
      </c>
      <c r="J150" s="10" t="str">
        <f>IF(TimeEntry[[#This Row],[Date]]=0,"",TEXT(TimeEntry[[#This Row],[Date]],"ddd"))</f>
        <v>Wed</v>
      </c>
      <c r="K150" s="9" t="str">
        <f>IF(TimeEntry[[#This Row],[Project]]=0,"",INDEX(ProjectsAll[job number],MATCH(TimeEntry[[#This Row],[Project]],ProjectsAll[Project],0)))</f>
        <v>210035-64</v>
      </c>
      <c r="L150" s="6" t="s">
        <v>605</v>
      </c>
      <c r="M150" s="6">
        <v>7.5</v>
      </c>
      <c r="N150" s="9">
        <f>IF(TimeEntry[[#This Row],[Date]]=0,"",WEEKDAY(C150,2))</f>
        <v>3</v>
      </c>
      <c r="O150" s="10">
        <f>YEAR(TimeEntry[[#This Row],[WkEnd]])</f>
        <v>2020</v>
      </c>
      <c r="P150" s="10">
        <f>WEEKNUM(TimeEntry[[#This Row],[WkEnd]])</f>
        <v>15</v>
      </c>
      <c r="Q150" s="10" t="str">
        <f>TimeEntry[[#This Row],[Year]]&amp;"-"&amp;TimeEntry[[#This Row],[WkNo]]</f>
        <v>2020-15</v>
      </c>
    </row>
    <row r="151" spans="1:17" ht="30" x14ac:dyDescent="0.25">
      <c r="A151" s="9">
        <f>MOD(IF(ROW()=11,0.1,IF(INDEX(TimeEntry[WkEnd],ROW()-10)            =            INDEX(TimeEntry[WkEnd],ROW()-11),               INDEX(TimeEntry[format],ROW()-11),               INDEX(TimeEntry[format],ROW()-11)    +1)),2)</f>
        <v>0.10000000000000009</v>
      </c>
      <c r="B151" s="14"/>
      <c r="C151" s="7">
        <v>43921</v>
      </c>
      <c r="D151" s="7"/>
      <c r="E151" s="7"/>
      <c r="F151" s="6" t="s">
        <v>90</v>
      </c>
      <c r="G151" s="6"/>
      <c r="H151" s="7">
        <f>IF(TimeEntry[[#This Row],[Date]]=0,H150,C151+(7-N151))</f>
        <v>43926</v>
      </c>
      <c r="I151" s="7">
        <f>TimeEntry[[#This Row],[Date]]</f>
        <v>43921</v>
      </c>
      <c r="J151" s="10" t="str">
        <f>IF(TimeEntry[[#This Row],[Date]]=0,"",TEXT(TimeEntry[[#This Row],[Date]],"ddd"))</f>
        <v>Tue</v>
      </c>
      <c r="K151" s="9" t="str">
        <f>IF(TimeEntry[[#This Row],[Project]]=0,"",INDEX(ProjectsAll[job number],MATCH(TimeEntry[[#This Row],[Project]],ProjectsAll[Project],0)))</f>
        <v>210035-64</v>
      </c>
      <c r="L151" s="6" t="s">
        <v>605</v>
      </c>
      <c r="M151" s="6">
        <v>7.5</v>
      </c>
      <c r="N151" s="9">
        <f>IF(TimeEntry[[#This Row],[Date]]=0,"",WEEKDAY(C151,2))</f>
        <v>2</v>
      </c>
      <c r="O151" s="10">
        <f>YEAR(TimeEntry[[#This Row],[WkEnd]])</f>
        <v>2020</v>
      </c>
      <c r="P151" s="10">
        <f>WEEKNUM(TimeEntry[[#This Row],[WkEnd]])</f>
        <v>15</v>
      </c>
      <c r="Q151" s="10" t="str">
        <f>TimeEntry[[#This Row],[Year]]&amp;"-"&amp;TimeEntry[[#This Row],[WkNo]]</f>
        <v>2020-15</v>
      </c>
    </row>
    <row r="152" spans="1:17" ht="30" x14ac:dyDescent="0.25">
      <c r="A152" s="9">
        <f>MOD(IF(ROW()=11,0.1,IF(INDEX(TimeEntry[WkEnd],ROW()-10)            =            INDEX(TimeEntry[WkEnd],ROW()-11),               INDEX(TimeEntry[format],ROW()-11),               INDEX(TimeEntry[format],ROW()-11)    +1)),2)</f>
        <v>0.10000000000000009</v>
      </c>
      <c r="B152" s="14"/>
      <c r="C152" s="7">
        <v>43920</v>
      </c>
      <c r="D152" s="7"/>
      <c r="E152" s="7"/>
      <c r="F152" s="6" t="s">
        <v>90</v>
      </c>
      <c r="G152" s="6"/>
      <c r="H152" s="7">
        <f>IF(TimeEntry[[#This Row],[Date]]=0,H151,C152+(7-N152))</f>
        <v>43926</v>
      </c>
      <c r="I152" s="7">
        <f>TimeEntry[[#This Row],[Date]]</f>
        <v>43920</v>
      </c>
      <c r="J152" s="10" t="str">
        <f>IF(TimeEntry[[#This Row],[Date]]=0,"",TEXT(TimeEntry[[#This Row],[Date]],"ddd"))</f>
        <v>Mon</v>
      </c>
      <c r="K152" s="9" t="str">
        <f>IF(TimeEntry[[#This Row],[Project]]=0,"",INDEX(ProjectsAll[job number],MATCH(TimeEntry[[#This Row],[Project]],ProjectsAll[Project],0)))</f>
        <v>210035-64</v>
      </c>
      <c r="L152" s="6" t="s">
        <v>605</v>
      </c>
      <c r="M152" s="6">
        <v>7.5</v>
      </c>
      <c r="N152" s="9">
        <f>IF(TimeEntry[[#This Row],[Date]]=0,"",WEEKDAY(C152,2))</f>
        <v>1</v>
      </c>
      <c r="O152" s="10">
        <f>YEAR(TimeEntry[[#This Row],[WkEnd]])</f>
        <v>2020</v>
      </c>
      <c r="P152" s="10">
        <f>WEEKNUM(TimeEntry[[#This Row],[WkEnd]])</f>
        <v>15</v>
      </c>
      <c r="Q152" s="10" t="str">
        <f>TimeEntry[[#This Row],[Year]]&amp;"-"&amp;TimeEntry[[#This Row],[WkNo]]</f>
        <v>2020-15</v>
      </c>
    </row>
    <row r="153" spans="1:17" ht="30" x14ac:dyDescent="0.25">
      <c r="A153" s="9">
        <f>MOD(IF(ROW()=11,0.1,IF(INDEX(TimeEntry[WkEnd],ROW()-10)            =            INDEX(TimeEntry[WkEnd],ROW()-11),               INDEX(TimeEntry[format],ROW()-11),               INDEX(TimeEntry[format],ROW()-11)    +1)),2)</f>
        <v>1.1000000000000001</v>
      </c>
      <c r="B153" s="14"/>
      <c r="C153" s="7">
        <v>43913</v>
      </c>
      <c r="D153" s="7"/>
      <c r="E153" s="7"/>
      <c r="F153" s="6" t="s">
        <v>90</v>
      </c>
      <c r="G153" s="6"/>
      <c r="H153" s="7">
        <f>IF(TimeEntry[[#This Row],[Date]]=0,H152,C153+(7-N153))</f>
        <v>43919</v>
      </c>
      <c r="I153" s="7">
        <f>TimeEntry[[#This Row],[Date]]</f>
        <v>43913</v>
      </c>
      <c r="J153" s="10" t="str">
        <f>IF(TimeEntry[[#This Row],[Date]]=0,"",TEXT(TimeEntry[[#This Row],[Date]],"ddd"))</f>
        <v>Mon</v>
      </c>
      <c r="K153" s="9" t="str">
        <f>IF(TimeEntry[[#This Row],[Project]]=0,"",INDEX(ProjectsAll[job number],MATCH(TimeEntry[[#This Row],[Project]],ProjectsAll[Project],0)))</f>
        <v>210035-64</v>
      </c>
      <c r="L153" s="6" t="s">
        <v>605</v>
      </c>
      <c r="M153" s="6">
        <v>7.5</v>
      </c>
      <c r="N153" s="9">
        <f>IF(TimeEntry[[#This Row],[Date]]=0,"",WEEKDAY(C153,2))</f>
        <v>1</v>
      </c>
      <c r="O153" s="10">
        <f>YEAR(TimeEntry[[#This Row],[WkEnd]])</f>
        <v>2020</v>
      </c>
      <c r="P153" s="10">
        <f>WEEKNUM(TimeEntry[[#This Row],[WkEnd]])</f>
        <v>14</v>
      </c>
      <c r="Q153" s="10" t="str">
        <f>TimeEntry[[#This Row],[Year]]&amp;"-"&amp;TimeEntry[[#This Row],[WkNo]]</f>
        <v>2020-14</v>
      </c>
    </row>
    <row r="154" spans="1:17" ht="30" x14ac:dyDescent="0.25">
      <c r="A154" s="9">
        <f>MOD(IF(ROW()=11,0.1,IF(INDEX(TimeEntry[WkEnd],ROW()-10)            =            INDEX(TimeEntry[WkEnd],ROW()-11),               INDEX(TimeEntry[format],ROW()-11),               INDEX(TimeEntry[format],ROW()-11)    +1)),2)</f>
        <v>1.1000000000000001</v>
      </c>
      <c r="B154" s="14"/>
      <c r="C154" s="7">
        <v>43914</v>
      </c>
      <c r="D154" s="7"/>
      <c r="E154" s="7"/>
      <c r="F154" s="6" t="s">
        <v>90</v>
      </c>
      <c r="G154" s="6"/>
      <c r="H154" s="7">
        <f>IF(TimeEntry[[#This Row],[Date]]=0,H153,C154+(7-N154))</f>
        <v>43919</v>
      </c>
      <c r="I154" s="7">
        <f>TimeEntry[[#This Row],[Date]]</f>
        <v>43914</v>
      </c>
      <c r="J154" s="10" t="str">
        <f>IF(TimeEntry[[#This Row],[Date]]=0,"",TEXT(TimeEntry[[#This Row],[Date]],"ddd"))</f>
        <v>Tue</v>
      </c>
      <c r="K154" s="9" t="str">
        <f>IF(TimeEntry[[#This Row],[Project]]=0,"",INDEX(ProjectsAll[job number],MATCH(TimeEntry[[#This Row],[Project]],ProjectsAll[Project],0)))</f>
        <v>210035-64</v>
      </c>
      <c r="L154" s="6" t="s">
        <v>605</v>
      </c>
      <c r="M154" s="6">
        <v>7.5</v>
      </c>
      <c r="N154" s="9">
        <f>IF(TimeEntry[[#This Row],[Date]]=0,"",WEEKDAY(C154,2))</f>
        <v>2</v>
      </c>
      <c r="O154" s="10">
        <f>YEAR(TimeEntry[[#This Row],[WkEnd]])</f>
        <v>2020</v>
      </c>
      <c r="P154" s="10">
        <f>WEEKNUM(TimeEntry[[#This Row],[WkEnd]])</f>
        <v>14</v>
      </c>
      <c r="Q154" s="10" t="str">
        <f>TimeEntry[[#This Row],[Year]]&amp;"-"&amp;TimeEntry[[#This Row],[WkNo]]</f>
        <v>2020-14</v>
      </c>
    </row>
    <row r="155" spans="1:17" ht="30" x14ac:dyDescent="0.25">
      <c r="A155" s="9">
        <f>MOD(IF(ROW()=11,0.1,IF(INDEX(TimeEntry[WkEnd],ROW()-10)            =            INDEX(TimeEntry[WkEnd],ROW()-11),               INDEX(TimeEntry[format],ROW()-11),               INDEX(TimeEntry[format],ROW()-11)    +1)),2)</f>
        <v>1.1000000000000001</v>
      </c>
      <c r="B155" s="14"/>
      <c r="C155" s="7">
        <v>43915</v>
      </c>
      <c r="D155" s="7"/>
      <c r="E155" s="7"/>
      <c r="F155" s="6" t="s">
        <v>90</v>
      </c>
      <c r="G155" s="6"/>
      <c r="H155" s="7">
        <f>IF(TimeEntry[[#This Row],[Date]]=0,H154,C155+(7-N155))</f>
        <v>43919</v>
      </c>
      <c r="I155" s="7">
        <f>TimeEntry[[#This Row],[Date]]</f>
        <v>43915</v>
      </c>
      <c r="J155" s="10" t="str">
        <f>IF(TimeEntry[[#This Row],[Date]]=0,"",TEXT(TimeEntry[[#This Row],[Date]],"ddd"))</f>
        <v>Wed</v>
      </c>
      <c r="K155" s="9" t="str">
        <f>IF(TimeEntry[[#This Row],[Project]]=0,"",INDEX(ProjectsAll[job number],MATCH(TimeEntry[[#This Row],[Project]],ProjectsAll[Project],0)))</f>
        <v>210035-64</v>
      </c>
      <c r="L155" s="6" t="s">
        <v>605</v>
      </c>
      <c r="M155" s="6">
        <v>7.5</v>
      </c>
      <c r="N155" s="9">
        <f>IF(TimeEntry[[#This Row],[Date]]=0,"",WEEKDAY(C155,2))</f>
        <v>3</v>
      </c>
      <c r="O155" s="10">
        <f>YEAR(TimeEntry[[#This Row],[WkEnd]])</f>
        <v>2020</v>
      </c>
      <c r="P155" s="10">
        <f>WEEKNUM(TimeEntry[[#This Row],[WkEnd]])</f>
        <v>14</v>
      </c>
      <c r="Q155" s="10" t="str">
        <f>TimeEntry[[#This Row],[Year]]&amp;"-"&amp;TimeEntry[[#This Row],[WkNo]]</f>
        <v>2020-14</v>
      </c>
    </row>
    <row r="156" spans="1:17" ht="30" x14ac:dyDescent="0.25">
      <c r="A156" s="9">
        <f>MOD(IF(ROW()=11,0.1,IF(INDEX(TimeEntry[WkEnd],ROW()-10)            =            INDEX(TimeEntry[WkEnd],ROW()-11),               INDEX(TimeEntry[format],ROW()-11),               INDEX(TimeEntry[format],ROW()-11)    +1)),2)</f>
        <v>1.1000000000000001</v>
      </c>
      <c r="B156" s="14"/>
      <c r="C156" s="7">
        <v>43916</v>
      </c>
      <c r="D156" s="7"/>
      <c r="E156" s="7"/>
      <c r="F156" s="6" t="s">
        <v>90</v>
      </c>
      <c r="G156" s="6"/>
      <c r="H156" s="7">
        <f>IF(TimeEntry[[#This Row],[Date]]=0,H155,C156+(7-N156))</f>
        <v>43919</v>
      </c>
      <c r="I156" s="7">
        <f>TimeEntry[[#This Row],[Date]]</f>
        <v>43916</v>
      </c>
      <c r="J156" s="10" t="str">
        <f>IF(TimeEntry[[#This Row],[Date]]=0,"",TEXT(TimeEntry[[#This Row],[Date]],"ddd"))</f>
        <v>Thu</v>
      </c>
      <c r="K156" s="9" t="str">
        <f>IF(TimeEntry[[#This Row],[Project]]=0,"",INDEX(ProjectsAll[job number],MATCH(TimeEntry[[#This Row],[Project]],ProjectsAll[Project],0)))</f>
        <v>210035-64</v>
      </c>
      <c r="L156" s="6" t="s">
        <v>605</v>
      </c>
      <c r="M156" s="6">
        <v>7.5</v>
      </c>
      <c r="N156" s="9">
        <f>IF(TimeEntry[[#This Row],[Date]]=0,"",WEEKDAY(C156,2))</f>
        <v>4</v>
      </c>
      <c r="O156" s="10">
        <f>YEAR(TimeEntry[[#This Row],[WkEnd]])</f>
        <v>2020</v>
      </c>
      <c r="P156" s="10">
        <f>WEEKNUM(TimeEntry[[#This Row],[WkEnd]])</f>
        <v>14</v>
      </c>
      <c r="Q156" s="10" t="str">
        <f>TimeEntry[[#This Row],[Year]]&amp;"-"&amp;TimeEntry[[#This Row],[WkNo]]</f>
        <v>2020-14</v>
      </c>
    </row>
    <row r="157" spans="1:17" ht="30" x14ac:dyDescent="0.25">
      <c r="A157" s="9">
        <f>MOD(IF(ROW()=11,0.1,IF(INDEX(TimeEntry[WkEnd],ROW()-10)            =            INDEX(TimeEntry[WkEnd],ROW()-11),               INDEX(TimeEntry[format],ROW()-11),               INDEX(TimeEntry[format],ROW()-11)    +1)),2)</f>
        <v>1.1000000000000001</v>
      </c>
      <c r="B157" s="14"/>
      <c r="C157" s="7">
        <v>43917</v>
      </c>
      <c r="D157" s="7"/>
      <c r="E157" s="7"/>
      <c r="F157" s="6" t="s">
        <v>90</v>
      </c>
      <c r="G157" s="6"/>
      <c r="H157" s="7">
        <f>IF(TimeEntry[[#This Row],[Date]]=0,H156,C157+(7-N157))</f>
        <v>43919</v>
      </c>
      <c r="I157" s="7">
        <f>TimeEntry[[#This Row],[Date]]</f>
        <v>43917</v>
      </c>
      <c r="J157" s="10" t="str">
        <f>IF(TimeEntry[[#This Row],[Date]]=0,"",TEXT(TimeEntry[[#This Row],[Date]],"ddd"))</f>
        <v>Fri</v>
      </c>
      <c r="K157" s="9" t="str">
        <f>IF(TimeEntry[[#This Row],[Project]]=0,"",INDEX(ProjectsAll[job number],MATCH(TimeEntry[[#This Row],[Project]],ProjectsAll[Project],0)))</f>
        <v>210035-64</v>
      </c>
      <c r="L157" s="6" t="s">
        <v>605</v>
      </c>
      <c r="M157" s="6">
        <v>7.5</v>
      </c>
      <c r="N157" s="9">
        <f>IF(TimeEntry[[#This Row],[Date]]=0,"",WEEKDAY(C157,2))</f>
        <v>5</v>
      </c>
      <c r="O157" s="10">
        <f>YEAR(TimeEntry[[#This Row],[WkEnd]])</f>
        <v>2020</v>
      </c>
      <c r="P157" s="10">
        <f>WEEKNUM(TimeEntry[[#This Row],[WkEnd]])</f>
        <v>14</v>
      </c>
      <c r="Q157" s="10" t="str">
        <f>TimeEntry[[#This Row],[Year]]&amp;"-"&amp;TimeEntry[[#This Row],[WkNo]]</f>
        <v>2020-14</v>
      </c>
    </row>
    <row r="158" spans="1:17" ht="30" x14ac:dyDescent="0.25">
      <c r="A158" s="9">
        <f>MOD(IF(ROW()=11,0.1,IF(INDEX(TimeEntry[WkEnd],ROW()-10)            =            INDEX(TimeEntry[WkEnd],ROW()-11),               INDEX(TimeEntry[format],ROW()-11),               INDEX(TimeEntry[format],ROW()-11)    +1)),2)</f>
        <v>0.10000000000000009</v>
      </c>
      <c r="B158" s="14"/>
      <c r="C158" s="7">
        <v>43910</v>
      </c>
      <c r="D158" s="7"/>
      <c r="E158" s="7"/>
      <c r="F158" s="6" t="s">
        <v>40</v>
      </c>
      <c r="G158" s="6"/>
      <c r="H158" s="7">
        <f>IF(TimeEntry[[#This Row],[Date]]=0,H157,C158+(7-N158))</f>
        <v>43912</v>
      </c>
      <c r="I158" s="7">
        <f>TimeEntry[[#This Row],[Date]]</f>
        <v>43910</v>
      </c>
      <c r="J158" s="10" t="str">
        <f>IF(TimeEntry[[#This Row],[Date]]=0,"",TEXT(TimeEntry[[#This Row],[Date]],"ddd"))</f>
        <v>Fri</v>
      </c>
      <c r="K158" s="9" t="str">
        <f>IF(TimeEntry[[#This Row],[Project]]=0,"",INDEX(ProjectsAll[job number],MATCH(TimeEntry[[#This Row],[Project]],ProjectsAll[Project],0)))</f>
        <v>255670-17</v>
      </c>
      <c r="L158" s="6" t="s">
        <v>602</v>
      </c>
      <c r="M158" s="6">
        <v>2.5</v>
      </c>
      <c r="N158" s="9">
        <f>IF(TimeEntry[[#This Row],[Date]]=0,"",WEEKDAY(C158,2))</f>
        <v>5</v>
      </c>
      <c r="O158" s="10">
        <f>YEAR(TimeEntry[[#This Row],[WkEnd]])</f>
        <v>2020</v>
      </c>
      <c r="P158" s="10">
        <f>WEEKNUM(TimeEntry[[#This Row],[WkEnd]])</f>
        <v>13</v>
      </c>
      <c r="Q158" s="10" t="str">
        <f>TimeEntry[[#This Row],[Year]]&amp;"-"&amp;TimeEntry[[#This Row],[WkNo]]</f>
        <v>2020-13</v>
      </c>
    </row>
    <row r="159" spans="1:17" ht="30" x14ac:dyDescent="0.25">
      <c r="A159" s="9">
        <f>MOD(IF(ROW()=11,0.1,IF(INDEX(TimeEntry[WkEnd],ROW()-10)            =            INDEX(TimeEntry[WkEnd],ROW()-11),               INDEX(TimeEntry[format],ROW()-11),               INDEX(TimeEntry[format],ROW()-11)    +1)),2)</f>
        <v>0.10000000000000009</v>
      </c>
      <c r="B159" s="14"/>
      <c r="C159" s="7">
        <v>43910</v>
      </c>
      <c r="D159" s="7"/>
      <c r="E159" s="7"/>
      <c r="F159" s="6" t="s">
        <v>90</v>
      </c>
      <c r="G159" s="6"/>
      <c r="H159" s="7">
        <f>IF(TimeEntry[[#This Row],[Date]]=0,H158,C159+(7-N159))</f>
        <v>43912</v>
      </c>
      <c r="I159" s="7">
        <f>TimeEntry[[#This Row],[Date]]</f>
        <v>43910</v>
      </c>
      <c r="J159" s="10" t="str">
        <f>IF(TimeEntry[[#This Row],[Date]]=0,"",TEXT(TimeEntry[[#This Row],[Date]],"ddd"))</f>
        <v>Fri</v>
      </c>
      <c r="K159" s="9" t="str">
        <f>IF(TimeEntry[[#This Row],[Project]]=0,"",INDEX(ProjectsAll[job number],MATCH(TimeEntry[[#This Row],[Project]],ProjectsAll[Project],0)))</f>
        <v>210035-64</v>
      </c>
      <c r="L159" s="6" t="s">
        <v>605</v>
      </c>
      <c r="M159" s="6">
        <v>5</v>
      </c>
      <c r="N159" s="9">
        <f>IF(TimeEntry[[#This Row],[Date]]=0,"",WEEKDAY(C159,2))</f>
        <v>5</v>
      </c>
      <c r="O159" s="10">
        <f>YEAR(TimeEntry[[#This Row],[WkEnd]])</f>
        <v>2020</v>
      </c>
      <c r="P159" s="10">
        <f>WEEKNUM(TimeEntry[[#This Row],[WkEnd]])</f>
        <v>13</v>
      </c>
      <c r="Q159" s="10" t="str">
        <f>TimeEntry[[#This Row],[Year]]&amp;"-"&amp;TimeEntry[[#This Row],[WkNo]]</f>
        <v>2020-13</v>
      </c>
    </row>
    <row r="160" spans="1:17" ht="30" x14ac:dyDescent="0.25">
      <c r="A160" s="9">
        <f>MOD(IF(ROW()=11,0.1,IF(INDEX(TimeEntry[WkEnd],ROW()-10)            =            INDEX(TimeEntry[WkEnd],ROW()-11),               INDEX(TimeEntry[format],ROW()-11),               INDEX(TimeEntry[format],ROW()-11)    +1)),2)</f>
        <v>0.10000000000000009</v>
      </c>
      <c r="B160" s="14"/>
      <c r="C160" s="7">
        <v>43909</v>
      </c>
      <c r="D160" s="7"/>
      <c r="E160" s="7"/>
      <c r="F160" s="6" t="s">
        <v>90</v>
      </c>
      <c r="G160" s="6"/>
      <c r="H160" s="7">
        <f>IF(TimeEntry[[#This Row],[Date]]=0,H159,C160+(7-N160))</f>
        <v>43912</v>
      </c>
      <c r="I160" s="7">
        <f>TimeEntry[[#This Row],[Date]]</f>
        <v>43909</v>
      </c>
      <c r="J160" s="10" t="str">
        <f>IF(TimeEntry[[#This Row],[Date]]=0,"",TEXT(TimeEntry[[#This Row],[Date]],"ddd"))</f>
        <v>Thu</v>
      </c>
      <c r="K160" s="9" t="str">
        <f>IF(TimeEntry[[#This Row],[Project]]=0,"",INDEX(ProjectsAll[job number],MATCH(TimeEntry[[#This Row],[Project]],ProjectsAll[Project],0)))</f>
        <v>210035-64</v>
      </c>
      <c r="L160" s="6" t="s">
        <v>605</v>
      </c>
      <c r="M160" s="6">
        <v>7.5</v>
      </c>
      <c r="N160" s="9">
        <f>IF(TimeEntry[[#This Row],[Date]]=0,"",WEEKDAY(C160,2))</f>
        <v>4</v>
      </c>
      <c r="O160" s="10">
        <f>YEAR(TimeEntry[[#This Row],[WkEnd]])</f>
        <v>2020</v>
      </c>
      <c r="P160" s="10">
        <f>WEEKNUM(TimeEntry[[#This Row],[WkEnd]])</f>
        <v>13</v>
      </c>
      <c r="Q160" s="10" t="str">
        <f>TimeEntry[[#This Row],[Year]]&amp;"-"&amp;TimeEntry[[#This Row],[WkNo]]</f>
        <v>2020-13</v>
      </c>
    </row>
    <row r="161" spans="1:17" ht="30" x14ac:dyDescent="0.25">
      <c r="A161" s="9">
        <f>MOD(IF(ROW()=11,0.1,IF(INDEX(TimeEntry[WkEnd],ROW()-10)            =            INDEX(TimeEntry[WkEnd],ROW()-11),               INDEX(TimeEntry[format],ROW()-11),               INDEX(TimeEntry[format],ROW()-11)    +1)),2)</f>
        <v>0.10000000000000009</v>
      </c>
      <c r="B161" s="14"/>
      <c r="C161" s="7">
        <v>43908</v>
      </c>
      <c r="D161" s="7"/>
      <c r="E161" s="7"/>
      <c r="F161" s="6" t="s">
        <v>90</v>
      </c>
      <c r="G161" s="6"/>
      <c r="H161" s="7">
        <f>IF(TimeEntry[[#This Row],[Date]]=0,H160,C161+(7-N161))</f>
        <v>43912</v>
      </c>
      <c r="I161" s="7">
        <f>TimeEntry[[#This Row],[Date]]</f>
        <v>43908</v>
      </c>
      <c r="J161" s="10" t="str">
        <f>IF(TimeEntry[[#This Row],[Date]]=0,"",TEXT(TimeEntry[[#This Row],[Date]],"ddd"))</f>
        <v>Wed</v>
      </c>
      <c r="K161" s="9" t="str">
        <f>IF(TimeEntry[[#This Row],[Project]]=0,"",INDEX(ProjectsAll[job number],MATCH(TimeEntry[[#This Row],[Project]],ProjectsAll[Project],0)))</f>
        <v>210035-64</v>
      </c>
      <c r="L161" s="6" t="s">
        <v>605</v>
      </c>
      <c r="M161" s="6">
        <v>7.5</v>
      </c>
      <c r="N161" s="9">
        <f>IF(TimeEntry[[#This Row],[Date]]=0,"",WEEKDAY(C161,2))</f>
        <v>3</v>
      </c>
      <c r="O161" s="10">
        <f>YEAR(TimeEntry[[#This Row],[WkEnd]])</f>
        <v>2020</v>
      </c>
      <c r="P161" s="10">
        <f>WEEKNUM(TimeEntry[[#This Row],[WkEnd]])</f>
        <v>13</v>
      </c>
      <c r="Q161" s="10" t="str">
        <f>TimeEntry[[#This Row],[Year]]&amp;"-"&amp;TimeEntry[[#This Row],[WkNo]]</f>
        <v>2020-13</v>
      </c>
    </row>
    <row r="162" spans="1:17" ht="30" x14ac:dyDescent="0.25">
      <c r="A162" s="9">
        <f>MOD(IF(ROW()=11,0.1,IF(INDEX(TimeEntry[WkEnd],ROW()-10)            =            INDEX(TimeEntry[WkEnd],ROW()-11),               INDEX(TimeEntry[format],ROW()-11),               INDEX(TimeEntry[format],ROW()-11)    +1)),2)</f>
        <v>0.10000000000000009</v>
      </c>
      <c r="B162" s="14"/>
      <c r="C162" s="7">
        <v>43907</v>
      </c>
      <c r="D162" s="7"/>
      <c r="E162" s="7"/>
      <c r="F162" s="6" t="s">
        <v>90</v>
      </c>
      <c r="G162" s="6"/>
      <c r="H162" s="7">
        <f>IF(TimeEntry[[#This Row],[Date]]=0,H161,C162+(7-N162))</f>
        <v>43912</v>
      </c>
      <c r="I162" s="7">
        <f>TimeEntry[[#This Row],[Date]]</f>
        <v>43907</v>
      </c>
      <c r="J162" s="10" t="str">
        <f>IF(TimeEntry[[#This Row],[Date]]=0,"",TEXT(TimeEntry[[#This Row],[Date]],"ddd"))</f>
        <v>Tue</v>
      </c>
      <c r="K162" s="9" t="str">
        <f>IF(TimeEntry[[#This Row],[Project]]=0,"",INDEX(ProjectsAll[job number],MATCH(TimeEntry[[#This Row],[Project]],ProjectsAll[Project],0)))</f>
        <v>210035-64</v>
      </c>
      <c r="L162" s="6" t="s">
        <v>605</v>
      </c>
      <c r="M162" s="6">
        <v>5.5</v>
      </c>
      <c r="N162" s="9">
        <f>IF(TimeEntry[[#This Row],[Date]]=0,"",WEEKDAY(C162,2))</f>
        <v>2</v>
      </c>
      <c r="O162" s="10">
        <f>YEAR(TimeEntry[[#This Row],[WkEnd]])</f>
        <v>2020</v>
      </c>
      <c r="P162" s="10">
        <f>WEEKNUM(TimeEntry[[#This Row],[WkEnd]])</f>
        <v>13</v>
      </c>
      <c r="Q162" s="10" t="str">
        <f>TimeEntry[[#This Row],[Year]]&amp;"-"&amp;TimeEntry[[#This Row],[WkNo]]</f>
        <v>2020-13</v>
      </c>
    </row>
    <row r="163" spans="1:17" ht="30" x14ac:dyDescent="0.25">
      <c r="A163" s="9">
        <f>MOD(IF(ROW()=11,0.1,IF(INDEX(TimeEntry[WkEnd],ROW()-10)            =            INDEX(TimeEntry[WkEnd],ROW()-11),               INDEX(TimeEntry[format],ROW()-11),               INDEX(TimeEntry[format],ROW()-11)    +1)),2)</f>
        <v>0.10000000000000009</v>
      </c>
      <c r="B163" s="14"/>
      <c r="C163" s="7">
        <v>43907</v>
      </c>
      <c r="D163" s="7"/>
      <c r="E163" s="7"/>
      <c r="F163" s="6" t="s">
        <v>40</v>
      </c>
      <c r="G163" s="6"/>
      <c r="H163" s="7">
        <f>IF(TimeEntry[[#This Row],[Date]]=0,H162,C163+(7-N163))</f>
        <v>43912</v>
      </c>
      <c r="I163" s="7">
        <f>TimeEntry[[#This Row],[Date]]</f>
        <v>43907</v>
      </c>
      <c r="J163" s="10" t="str">
        <f>IF(TimeEntry[[#This Row],[Date]]=0,"",TEXT(TimeEntry[[#This Row],[Date]],"ddd"))</f>
        <v>Tue</v>
      </c>
      <c r="K163" s="9" t="str">
        <f>IF(TimeEntry[[#This Row],[Project]]=0,"",INDEX(ProjectsAll[job number],MATCH(TimeEntry[[#This Row],[Project]],ProjectsAll[Project],0)))</f>
        <v>255670-17</v>
      </c>
      <c r="L163" s="6" t="s">
        <v>603</v>
      </c>
      <c r="M163" s="6">
        <v>2</v>
      </c>
      <c r="N163" s="9">
        <f>IF(TimeEntry[[#This Row],[Date]]=0,"",WEEKDAY(C163,2))</f>
        <v>2</v>
      </c>
      <c r="O163" s="10">
        <f>YEAR(TimeEntry[[#This Row],[WkEnd]])</f>
        <v>2020</v>
      </c>
      <c r="P163" s="10">
        <f>WEEKNUM(TimeEntry[[#This Row],[WkEnd]])</f>
        <v>13</v>
      </c>
      <c r="Q163" s="10" t="str">
        <f>TimeEntry[[#This Row],[Year]]&amp;"-"&amp;TimeEntry[[#This Row],[WkNo]]</f>
        <v>2020-13</v>
      </c>
    </row>
    <row r="164" spans="1:17" ht="30" x14ac:dyDescent="0.25">
      <c r="A164" s="9">
        <f>MOD(IF(ROW()=11,0.1,IF(INDEX(TimeEntry[WkEnd],ROW()-10)            =            INDEX(TimeEntry[WkEnd],ROW()-11),               INDEX(TimeEntry[format],ROW()-11),               INDEX(TimeEntry[format],ROW()-11)    +1)),2)</f>
        <v>0.10000000000000009</v>
      </c>
      <c r="B164" s="14"/>
      <c r="C164" s="7">
        <v>43906</v>
      </c>
      <c r="D164" s="7"/>
      <c r="E164" s="7"/>
      <c r="F164" s="6" t="s">
        <v>90</v>
      </c>
      <c r="G164" s="6"/>
      <c r="H164" s="7">
        <f>IF(TimeEntry[[#This Row],[Date]]=0,H163,C164+(7-N164))</f>
        <v>43912</v>
      </c>
      <c r="I164" s="7">
        <f>TimeEntry[[#This Row],[Date]]</f>
        <v>43906</v>
      </c>
      <c r="J164" s="10" t="str">
        <f>IF(TimeEntry[[#This Row],[Date]]=0,"",TEXT(TimeEntry[[#This Row],[Date]],"ddd"))</f>
        <v>Mon</v>
      </c>
      <c r="K164" s="9" t="str">
        <f>IF(TimeEntry[[#This Row],[Project]]=0,"",INDEX(ProjectsAll[job number],MATCH(TimeEntry[[#This Row],[Project]],ProjectsAll[Project],0)))</f>
        <v>210035-64</v>
      </c>
      <c r="L164" s="6" t="s">
        <v>605</v>
      </c>
      <c r="M164" s="6">
        <v>7.5</v>
      </c>
      <c r="N164" s="9">
        <f>IF(TimeEntry[[#This Row],[Date]]=0,"",WEEKDAY(C164,2))</f>
        <v>1</v>
      </c>
      <c r="O164" s="10">
        <f>YEAR(TimeEntry[[#This Row],[WkEnd]])</f>
        <v>2020</v>
      </c>
      <c r="P164" s="10">
        <f>WEEKNUM(TimeEntry[[#This Row],[WkEnd]])</f>
        <v>13</v>
      </c>
      <c r="Q164" s="10" t="str">
        <f>TimeEntry[[#This Row],[Year]]&amp;"-"&amp;TimeEntry[[#This Row],[WkNo]]</f>
        <v>2020-13</v>
      </c>
    </row>
    <row r="165" spans="1:17" ht="30" x14ac:dyDescent="0.25">
      <c r="A165" s="9">
        <f>MOD(IF(ROW()=11,0.1,IF(INDEX(TimeEntry[WkEnd],ROW()-10)            =            INDEX(TimeEntry[WkEnd],ROW()-11),               INDEX(TimeEntry[format],ROW()-11),               INDEX(TimeEntry[format],ROW()-11)    +1)),2)</f>
        <v>1.1000000000000001</v>
      </c>
      <c r="B165" s="14"/>
      <c r="C165" s="7">
        <v>43903</v>
      </c>
      <c r="D165" s="7"/>
      <c r="E165" s="7"/>
      <c r="F165" s="6" t="s">
        <v>40</v>
      </c>
      <c r="G165" s="6"/>
      <c r="H165" s="7">
        <f>IF(TimeEntry[[#This Row],[Date]]=0,H164,C165+(7-N165))</f>
        <v>43905</v>
      </c>
      <c r="I165" s="7">
        <f>TimeEntry[[#This Row],[Date]]</f>
        <v>43903</v>
      </c>
      <c r="J165" s="10" t="str">
        <f>IF(TimeEntry[[#This Row],[Date]]=0,"",TEXT(TimeEntry[[#This Row],[Date]],"ddd"))</f>
        <v>Fri</v>
      </c>
      <c r="K165" s="9" t="str">
        <f>IF(TimeEntry[[#This Row],[Project]]=0,"",INDEX(ProjectsAll[job number],MATCH(TimeEntry[[#This Row],[Project]],ProjectsAll[Project],0)))</f>
        <v>255670-17</v>
      </c>
      <c r="L165" s="6" t="s">
        <v>604</v>
      </c>
      <c r="M165" s="6">
        <v>5.5</v>
      </c>
      <c r="N165" s="9">
        <f>IF(TimeEntry[[#This Row],[Date]]=0,"",WEEKDAY(C165,2))</f>
        <v>5</v>
      </c>
      <c r="O165" s="10">
        <f>YEAR(TimeEntry[[#This Row],[WkEnd]])</f>
        <v>2020</v>
      </c>
      <c r="P165" s="10">
        <f>WEEKNUM(TimeEntry[[#This Row],[WkEnd]])</f>
        <v>12</v>
      </c>
      <c r="Q165" s="10" t="str">
        <f>TimeEntry[[#This Row],[Year]]&amp;"-"&amp;TimeEntry[[#This Row],[WkNo]]</f>
        <v>2020-12</v>
      </c>
    </row>
    <row r="166" spans="1:17" ht="30" x14ac:dyDescent="0.25">
      <c r="A166" s="9">
        <f>MOD(IF(ROW()=11,0.1,IF(INDEX(TimeEntry[WkEnd],ROW()-10)            =            INDEX(TimeEntry[WkEnd],ROW()-11),               INDEX(TimeEntry[format],ROW()-11),               INDEX(TimeEntry[format],ROW()-11)    +1)),2)</f>
        <v>1.1000000000000001</v>
      </c>
      <c r="B166" s="14"/>
      <c r="C166" s="7">
        <v>43903</v>
      </c>
      <c r="D166" s="7"/>
      <c r="E166" s="7"/>
      <c r="F166" s="6" t="s">
        <v>90</v>
      </c>
      <c r="G166" s="6"/>
      <c r="H166" s="7">
        <f>IF(TimeEntry[[#This Row],[Date]]=0,H165,C166+(7-N166))</f>
        <v>43905</v>
      </c>
      <c r="I166" s="7">
        <f>TimeEntry[[#This Row],[Date]]</f>
        <v>43903</v>
      </c>
      <c r="J166" s="10" t="str">
        <f>IF(TimeEntry[[#This Row],[Date]]=0,"",TEXT(TimeEntry[[#This Row],[Date]],"ddd"))</f>
        <v>Fri</v>
      </c>
      <c r="K166" s="9" t="str">
        <f>IF(TimeEntry[[#This Row],[Project]]=0,"",INDEX(ProjectsAll[job number],MATCH(TimeEntry[[#This Row],[Project]],ProjectsAll[Project],0)))</f>
        <v>210035-64</v>
      </c>
      <c r="L166" s="6" t="s">
        <v>605</v>
      </c>
      <c r="M166" s="6">
        <v>2</v>
      </c>
      <c r="N166" s="9">
        <f>IF(TimeEntry[[#This Row],[Date]]=0,"",WEEKDAY(C166,2))</f>
        <v>5</v>
      </c>
      <c r="O166" s="10">
        <f>YEAR(TimeEntry[[#This Row],[WkEnd]])</f>
        <v>2020</v>
      </c>
      <c r="P166" s="10">
        <f>WEEKNUM(TimeEntry[[#This Row],[WkEnd]])</f>
        <v>12</v>
      </c>
      <c r="Q166" s="10" t="str">
        <f>TimeEntry[[#This Row],[Year]]&amp;"-"&amp;TimeEntry[[#This Row],[WkNo]]</f>
        <v>2020-12</v>
      </c>
    </row>
    <row r="167" spans="1:17" ht="30" x14ac:dyDescent="0.25">
      <c r="A167" s="9">
        <f>MOD(IF(ROW()=11,0.1,IF(INDEX(TimeEntry[WkEnd],ROW()-10)            =            INDEX(TimeEntry[WkEnd],ROW()-11),               INDEX(TimeEntry[format],ROW()-11),               INDEX(TimeEntry[format],ROW()-11)    +1)),2)</f>
        <v>1.1000000000000001</v>
      </c>
      <c r="B167" s="14"/>
      <c r="C167" s="7">
        <v>43902</v>
      </c>
      <c r="D167" s="7"/>
      <c r="E167" s="7"/>
      <c r="F167" s="6" t="s">
        <v>90</v>
      </c>
      <c r="G167" s="6"/>
      <c r="H167" s="7">
        <f>IF(TimeEntry[[#This Row],[Date]]=0,H166,C167+(7-N167))</f>
        <v>43905</v>
      </c>
      <c r="I167" s="7">
        <f>TimeEntry[[#This Row],[Date]]</f>
        <v>43902</v>
      </c>
      <c r="J167" s="10" t="str">
        <f>IF(TimeEntry[[#This Row],[Date]]=0,"",TEXT(TimeEntry[[#This Row],[Date]],"ddd"))</f>
        <v>Thu</v>
      </c>
      <c r="K167" s="9" t="str">
        <f>IF(TimeEntry[[#This Row],[Project]]=0,"",INDEX(ProjectsAll[job number],MATCH(TimeEntry[[#This Row],[Project]],ProjectsAll[Project],0)))</f>
        <v>210035-64</v>
      </c>
      <c r="L167" s="6" t="s">
        <v>605</v>
      </c>
      <c r="M167" s="6">
        <v>7.5</v>
      </c>
      <c r="N167" s="9">
        <f>IF(TimeEntry[[#This Row],[Date]]=0,"",WEEKDAY(C167,2))</f>
        <v>4</v>
      </c>
      <c r="O167" s="10">
        <f>YEAR(TimeEntry[[#This Row],[WkEnd]])</f>
        <v>2020</v>
      </c>
      <c r="P167" s="10">
        <f>WEEKNUM(TimeEntry[[#This Row],[WkEnd]])</f>
        <v>12</v>
      </c>
      <c r="Q167" s="10" t="str">
        <f>TimeEntry[[#This Row],[Year]]&amp;"-"&amp;TimeEntry[[#This Row],[WkNo]]</f>
        <v>2020-12</v>
      </c>
    </row>
    <row r="168" spans="1:17" ht="30" x14ac:dyDescent="0.25">
      <c r="A168" s="9">
        <f>MOD(IF(ROW()=11,0.1,IF(INDEX(TimeEntry[WkEnd],ROW()-10)            =            INDEX(TimeEntry[WkEnd],ROW()-11),               INDEX(TimeEntry[format],ROW()-11),               INDEX(TimeEntry[format],ROW()-11)    +1)),2)</f>
        <v>1.1000000000000001</v>
      </c>
      <c r="B168" s="14"/>
      <c r="C168" s="7">
        <v>43901</v>
      </c>
      <c r="D168" s="7"/>
      <c r="E168" s="7"/>
      <c r="F168" s="6" t="s">
        <v>90</v>
      </c>
      <c r="G168" s="6"/>
      <c r="H168" s="7">
        <f>IF(TimeEntry[[#This Row],[Date]]=0,H167,C168+(7-N168))</f>
        <v>43905</v>
      </c>
      <c r="I168" s="7">
        <f>TimeEntry[[#This Row],[Date]]</f>
        <v>43901</v>
      </c>
      <c r="J168" s="10" t="str">
        <f>IF(TimeEntry[[#This Row],[Date]]=0,"",TEXT(TimeEntry[[#This Row],[Date]],"ddd"))</f>
        <v>Wed</v>
      </c>
      <c r="K168" s="9" t="str">
        <f>IF(TimeEntry[[#This Row],[Project]]=0,"",INDEX(ProjectsAll[job number],MATCH(TimeEntry[[#This Row],[Project]],ProjectsAll[Project],0)))</f>
        <v>210035-64</v>
      </c>
      <c r="L168" s="6" t="s">
        <v>605</v>
      </c>
      <c r="M168" s="6">
        <v>7.5</v>
      </c>
      <c r="N168" s="9">
        <f>IF(TimeEntry[[#This Row],[Date]]=0,"",WEEKDAY(C168,2))</f>
        <v>3</v>
      </c>
      <c r="O168" s="10">
        <f>YEAR(TimeEntry[[#This Row],[WkEnd]])</f>
        <v>2020</v>
      </c>
      <c r="P168" s="10">
        <f>WEEKNUM(TimeEntry[[#This Row],[WkEnd]])</f>
        <v>12</v>
      </c>
      <c r="Q168" s="10" t="str">
        <f>TimeEntry[[#This Row],[Year]]&amp;"-"&amp;TimeEntry[[#This Row],[WkNo]]</f>
        <v>2020-12</v>
      </c>
    </row>
    <row r="169" spans="1:17" ht="30" x14ac:dyDescent="0.25">
      <c r="A169" s="9">
        <f>MOD(IF(ROW()=11,0.1,IF(INDEX(TimeEntry[WkEnd],ROW()-10)            =            INDEX(TimeEntry[WkEnd],ROW()-11),               INDEX(TimeEntry[format],ROW()-11),               INDEX(TimeEntry[format],ROW()-11)    +1)),2)</f>
        <v>1.1000000000000001</v>
      </c>
      <c r="B169" s="14"/>
      <c r="C169" s="7">
        <v>43900</v>
      </c>
      <c r="D169" s="7"/>
      <c r="E169" s="7"/>
      <c r="F169" s="6" t="s">
        <v>90</v>
      </c>
      <c r="G169" s="6"/>
      <c r="H169" s="7">
        <f>IF(TimeEntry[[#This Row],[Date]]=0,H168,C169+(7-N169))</f>
        <v>43905</v>
      </c>
      <c r="I169" s="7">
        <f>TimeEntry[[#This Row],[Date]]</f>
        <v>43900</v>
      </c>
      <c r="J169" s="10" t="str">
        <f>IF(TimeEntry[[#This Row],[Date]]=0,"",TEXT(TimeEntry[[#This Row],[Date]],"ddd"))</f>
        <v>Tue</v>
      </c>
      <c r="K169" s="9" t="str">
        <f>IF(TimeEntry[[#This Row],[Project]]=0,"",INDEX(ProjectsAll[job number],MATCH(TimeEntry[[#This Row],[Project]],ProjectsAll[Project],0)))</f>
        <v>210035-64</v>
      </c>
      <c r="L169" s="6" t="s">
        <v>605</v>
      </c>
      <c r="M169" s="6">
        <v>7.5</v>
      </c>
      <c r="N169" s="9">
        <f>IF(TimeEntry[[#This Row],[Date]]=0,"",WEEKDAY(C169,2))</f>
        <v>2</v>
      </c>
      <c r="O169" s="10">
        <f>YEAR(TimeEntry[[#This Row],[WkEnd]])</f>
        <v>2020</v>
      </c>
      <c r="P169" s="10">
        <f>WEEKNUM(TimeEntry[[#This Row],[WkEnd]])</f>
        <v>12</v>
      </c>
      <c r="Q169" s="10" t="str">
        <f>TimeEntry[[#This Row],[Year]]&amp;"-"&amp;TimeEntry[[#This Row],[WkNo]]</f>
        <v>2020-12</v>
      </c>
    </row>
    <row r="170" spans="1:17" ht="30" x14ac:dyDescent="0.25">
      <c r="A170" s="9">
        <f>MOD(IF(ROW()=11,0.1,IF(INDEX(TimeEntry[WkEnd],ROW()-10)            =            INDEX(TimeEntry[WkEnd],ROW()-11),               INDEX(TimeEntry[format],ROW()-11),               INDEX(TimeEntry[format],ROW()-11)    +1)),2)</f>
        <v>1.1000000000000001</v>
      </c>
      <c r="B170" s="14"/>
      <c r="C170" s="7">
        <v>43899</v>
      </c>
      <c r="D170" s="7"/>
      <c r="E170" s="7"/>
      <c r="F170" s="6" t="s">
        <v>90</v>
      </c>
      <c r="G170" s="6"/>
      <c r="H170" s="7">
        <f>IF(TimeEntry[[#This Row],[Date]]=0,H169,C170+(7-N170))</f>
        <v>43905</v>
      </c>
      <c r="I170" s="7">
        <f>TimeEntry[[#This Row],[Date]]</f>
        <v>43899</v>
      </c>
      <c r="J170" s="10" t="str">
        <f>IF(TimeEntry[[#This Row],[Date]]=0,"",TEXT(TimeEntry[[#This Row],[Date]],"ddd"))</f>
        <v>Mon</v>
      </c>
      <c r="K170" s="9" t="str">
        <f>IF(TimeEntry[[#This Row],[Project]]=0,"",INDEX(ProjectsAll[job number],MATCH(TimeEntry[[#This Row],[Project]],ProjectsAll[Project],0)))</f>
        <v>210035-64</v>
      </c>
      <c r="L170" s="6" t="s">
        <v>605</v>
      </c>
      <c r="M170" s="6">
        <v>7.5</v>
      </c>
      <c r="N170" s="9">
        <f>IF(TimeEntry[[#This Row],[Date]]=0,"",WEEKDAY(C170,2))</f>
        <v>1</v>
      </c>
      <c r="O170" s="10">
        <f>YEAR(TimeEntry[[#This Row],[WkEnd]])</f>
        <v>2020</v>
      </c>
      <c r="P170" s="10">
        <f>WEEKNUM(TimeEntry[[#This Row],[WkEnd]])</f>
        <v>12</v>
      </c>
      <c r="Q170" s="10" t="str">
        <f>TimeEntry[[#This Row],[Year]]&amp;"-"&amp;TimeEntry[[#This Row],[WkNo]]</f>
        <v>2020-12</v>
      </c>
    </row>
    <row r="171" spans="1:17" ht="30" x14ac:dyDescent="0.25">
      <c r="A171" s="9">
        <f>MOD(IF(ROW()=11,0.1,IF(INDEX(TimeEntry[WkEnd],ROW()-10)            =            INDEX(TimeEntry[WkEnd],ROW()-11),               INDEX(TimeEntry[format],ROW()-11),               INDEX(TimeEntry[format],ROW()-11)    +1)),2)</f>
        <v>0.10000000000000009</v>
      </c>
      <c r="B171" s="14"/>
      <c r="C171" s="7">
        <v>43892</v>
      </c>
      <c r="D171" s="7"/>
      <c r="E171" s="7"/>
      <c r="F171" s="6" t="s">
        <v>90</v>
      </c>
      <c r="G171" s="6"/>
      <c r="H171" s="7">
        <f>IF(TimeEntry[[#This Row],[Date]]=0,H170,C171+(7-N171))</f>
        <v>43898</v>
      </c>
      <c r="I171" s="7">
        <f>TimeEntry[[#This Row],[Date]]</f>
        <v>43892</v>
      </c>
      <c r="J171" s="10" t="str">
        <f>IF(TimeEntry[[#This Row],[Date]]=0,"",TEXT(TimeEntry[[#This Row],[Date]],"ddd"))</f>
        <v>Mon</v>
      </c>
      <c r="K171" s="9" t="str">
        <f>IF(TimeEntry[[#This Row],[Project]]=0,"",INDEX(ProjectsAll[job number],MATCH(TimeEntry[[#This Row],[Project]],ProjectsAll[Project],0)))</f>
        <v>210035-64</v>
      </c>
      <c r="L171" s="6" t="s">
        <v>601</v>
      </c>
      <c r="M171" s="6">
        <v>7.5</v>
      </c>
      <c r="N171" s="9">
        <f>IF(TimeEntry[[#This Row],[Date]]=0,"",WEEKDAY(C171,2))</f>
        <v>1</v>
      </c>
      <c r="O171" s="10">
        <f>YEAR(TimeEntry[[#This Row],[WkEnd]])</f>
        <v>2020</v>
      </c>
      <c r="P171" s="10">
        <f>WEEKNUM(TimeEntry[[#This Row],[WkEnd]])</f>
        <v>11</v>
      </c>
      <c r="Q171" s="10" t="str">
        <f>TimeEntry[[#This Row],[Year]]&amp;"-"&amp;TimeEntry[[#This Row],[WkNo]]</f>
        <v>2020-11</v>
      </c>
    </row>
    <row r="172" spans="1:17" ht="30" x14ac:dyDescent="0.25">
      <c r="A172" s="9">
        <f>MOD(IF(ROW()=11,0.1,IF(INDEX(TimeEntry[WkEnd],ROW()-10)            =            INDEX(TimeEntry[WkEnd],ROW()-11),               INDEX(TimeEntry[format],ROW()-11),               INDEX(TimeEntry[format],ROW()-11)    +1)),2)</f>
        <v>0.10000000000000009</v>
      </c>
      <c r="B172" s="14"/>
      <c r="C172" s="7">
        <v>43893</v>
      </c>
      <c r="D172" s="7"/>
      <c r="E172" s="7"/>
      <c r="F172" s="6" t="s">
        <v>90</v>
      </c>
      <c r="G172" s="6"/>
      <c r="H172" s="7">
        <f>IF(TimeEntry[[#This Row],[Date]]=0,H171,C172+(7-N172))</f>
        <v>43898</v>
      </c>
      <c r="I172" s="7">
        <f>TimeEntry[[#This Row],[Date]]</f>
        <v>43893</v>
      </c>
      <c r="J172" s="10" t="str">
        <f>IF(TimeEntry[[#This Row],[Date]]=0,"",TEXT(TimeEntry[[#This Row],[Date]],"ddd"))</f>
        <v>Tue</v>
      </c>
      <c r="K172" s="9" t="str">
        <f>IF(TimeEntry[[#This Row],[Project]]=0,"",INDEX(ProjectsAll[job number],MATCH(TimeEntry[[#This Row],[Project]],ProjectsAll[Project],0)))</f>
        <v>210035-64</v>
      </c>
      <c r="L172" s="6" t="s">
        <v>601</v>
      </c>
      <c r="M172" s="6">
        <v>7.5</v>
      </c>
      <c r="N172" s="9">
        <f>IF(TimeEntry[[#This Row],[Date]]=0,"",WEEKDAY(C172,2))</f>
        <v>2</v>
      </c>
      <c r="O172" s="10">
        <f>YEAR(TimeEntry[[#This Row],[WkEnd]])</f>
        <v>2020</v>
      </c>
      <c r="P172" s="10">
        <f>WEEKNUM(TimeEntry[[#This Row],[WkEnd]])</f>
        <v>11</v>
      </c>
      <c r="Q172" s="10" t="str">
        <f>TimeEntry[[#This Row],[Year]]&amp;"-"&amp;TimeEntry[[#This Row],[WkNo]]</f>
        <v>2020-11</v>
      </c>
    </row>
    <row r="173" spans="1:17" ht="30" x14ac:dyDescent="0.25">
      <c r="A173" s="9">
        <f>MOD(IF(ROW()=11,0.1,IF(INDEX(TimeEntry[WkEnd],ROW()-10)            =            INDEX(TimeEntry[WkEnd],ROW()-11),               INDEX(TimeEntry[format],ROW()-11),               INDEX(TimeEntry[format],ROW()-11)    +1)),2)</f>
        <v>0.10000000000000009</v>
      </c>
      <c r="B173" s="14"/>
      <c r="C173" s="7">
        <v>43894</v>
      </c>
      <c r="D173" s="7"/>
      <c r="E173" s="7"/>
      <c r="F173" s="6" t="s">
        <v>90</v>
      </c>
      <c r="G173" s="6"/>
      <c r="H173" s="7">
        <f>IF(TimeEntry[[#This Row],[Date]]=0,H172,C173+(7-N173))</f>
        <v>43898</v>
      </c>
      <c r="I173" s="7">
        <f>TimeEntry[[#This Row],[Date]]</f>
        <v>43894</v>
      </c>
      <c r="J173" s="10" t="str">
        <f>IF(TimeEntry[[#This Row],[Date]]=0,"",TEXT(TimeEntry[[#This Row],[Date]],"ddd"))</f>
        <v>Wed</v>
      </c>
      <c r="K173" s="9" t="str">
        <f>IF(TimeEntry[[#This Row],[Project]]=0,"",INDEX(ProjectsAll[job number],MATCH(TimeEntry[[#This Row],[Project]],ProjectsAll[Project],0)))</f>
        <v>210035-64</v>
      </c>
      <c r="L173" s="6" t="s">
        <v>601</v>
      </c>
      <c r="M173" s="6">
        <v>7.5</v>
      </c>
      <c r="N173" s="9">
        <f>IF(TimeEntry[[#This Row],[Date]]=0,"",WEEKDAY(C173,2))</f>
        <v>3</v>
      </c>
      <c r="O173" s="10">
        <f>YEAR(TimeEntry[[#This Row],[WkEnd]])</f>
        <v>2020</v>
      </c>
      <c r="P173" s="10">
        <f>WEEKNUM(TimeEntry[[#This Row],[WkEnd]])</f>
        <v>11</v>
      </c>
      <c r="Q173" s="10" t="str">
        <f>TimeEntry[[#This Row],[Year]]&amp;"-"&amp;TimeEntry[[#This Row],[WkNo]]</f>
        <v>2020-11</v>
      </c>
    </row>
    <row r="174" spans="1:17" ht="30" x14ac:dyDescent="0.25">
      <c r="A174" s="9">
        <f>MOD(IF(ROW()=11,0.1,IF(INDEX(TimeEntry[WkEnd],ROW()-10)            =            INDEX(TimeEntry[WkEnd],ROW()-11),               INDEX(TimeEntry[format],ROW()-11),               INDEX(TimeEntry[format],ROW()-11)    +1)),2)</f>
        <v>0.10000000000000009</v>
      </c>
      <c r="B174" s="14"/>
      <c r="C174" s="7">
        <v>43895</v>
      </c>
      <c r="D174" s="7"/>
      <c r="E174" s="7"/>
      <c r="F174" s="6" t="s">
        <v>90</v>
      </c>
      <c r="G174" s="6"/>
      <c r="H174" s="7">
        <f>IF(TimeEntry[[#This Row],[Date]]=0,H173,C174+(7-N174))</f>
        <v>43898</v>
      </c>
      <c r="I174" s="7">
        <f>TimeEntry[[#This Row],[Date]]</f>
        <v>43895</v>
      </c>
      <c r="J174" s="10" t="str">
        <f>IF(TimeEntry[[#This Row],[Date]]=0,"",TEXT(TimeEntry[[#This Row],[Date]],"ddd"))</f>
        <v>Thu</v>
      </c>
      <c r="K174" s="9" t="str">
        <f>IF(TimeEntry[[#This Row],[Project]]=0,"",INDEX(ProjectsAll[job number],MATCH(TimeEntry[[#This Row],[Project]],ProjectsAll[Project],0)))</f>
        <v>210035-64</v>
      </c>
      <c r="L174" s="6" t="s">
        <v>601</v>
      </c>
      <c r="M174" s="6">
        <v>7.5</v>
      </c>
      <c r="N174" s="9">
        <f>IF(TimeEntry[[#This Row],[Date]]=0,"",WEEKDAY(C174,2))</f>
        <v>4</v>
      </c>
      <c r="O174" s="10">
        <f>YEAR(TimeEntry[[#This Row],[WkEnd]])</f>
        <v>2020</v>
      </c>
      <c r="P174" s="10">
        <f>WEEKNUM(TimeEntry[[#This Row],[WkEnd]])</f>
        <v>11</v>
      </c>
      <c r="Q174" s="10" t="str">
        <f>TimeEntry[[#This Row],[Year]]&amp;"-"&amp;TimeEntry[[#This Row],[WkNo]]</f>
        <v>2020-11</v>
      </c>
    </row>
    <row r="175" spans="1:17" ht="30" x14ac:dyDescent="0.25">
      <c r="A175" s="9">
        <f>MOD(IF(ROW()=11,0.1,IF(INDEX(TimeEntry[WkEnd],ROW()-10)            =            INDEX(TimeEntry[WkEnd],ROW()-11),               INDEX(TimeEntry[format],ROW()-11),               INDEX(TimeEntry[format],ROW()-11)    +1)),2)</f>
        <v>0.10000000000000009</v>
      </c>
      <c r="B175" s="14"/>
      <c r="C175" s="7">
        <v>43896</v>
      </c>
      <c r="D175" s="7"/>
      <c r="E175" s="7"/>
      <c r="F175" s="6" t="s">
        <v>90</v>
      </c>
      <c r="G175" s="6"/>
      <c r="H175" s="7">
        <f>IF(TimeEntry[[#This Row],[Date]]=0,H174,C175+(7-N175))</f>
        <v>43898</v>
      </c>
      <c r="I175" s="7">
        <f>TimeEntry[[#This Row],[Date]]</f>
        <v>43896</v>
      </c>
      <c r="J175" s="10" t="str">
        <f>IF(TimeEntry[[#This Row],[Date]]=0,"",TEXT(TimeEntry[[#This Row],[Date]],"ddd"))</f>
        <v>Fri</v>
      </c>
      <c r="K175" s="9" t="str">
        <f>IF(TimeEntry[[#This Row],[Project]]=0,"",INDEX(ProjectsAll[job number],MATCH(TimeEntry[[#This Row],[Project]],ProjectsAll[Project],0)))</f>
        <v>210035-64</v>
      </c>
      <c r="L175" s="6" t="s">
        <v>601</v>
      </c>
      <c r="M175" s="6">
        <v>7.5</v>
      </c>
      <c r="N175" s="9">
        <f>IF(TimeEntry[[#This Row],[Date]]=0,"",WEEKDAY(C175,2))</f>
        <v>5</v>
      </c>
      <c r="O175" s="10">
        <f>YEAR(TimeEntry[[#This Row],[WkEnd]])</f>
        <v>2020</v>
      </c>
      <c r="P175" s="10">
        <f>WEEKNUM(TimeEntry[[#This Row],[WkEnd]])</f>
        <v>11</v>
      </c>
      <c r="Q175" s="10" t="str">
        <f>TimeEntry[[#This Row],[Year]]&amp;"-"&amp;TimeEntry[[#This Row],[WkNo]]</f>
        <v>2020-11</v>
      </c>
    </row>
    <row r="176" spans="1:17" ht="30" x14ac:dyDescent="0.25">
      <c r="A176" s="9">
        <f>MOD(IF(ROW()=11,0.1,IF(INDEX(TimeEntry[WkEnd],ROW()-10)            =            INDEX(TimeEntry[WkEnd],ROW()-11),               INDEX(TimeEntry[format],ROW()-11),               INDEX(TimeEntry[format],ROW()-11)    +1)),2)</f>
        <v>1.1000000000000001</v>
      </c>
      <c r="B176" s="14"/>
      <c r="C176" s="7">
        <v>43885</v>
      </c>
      <c r="D176" s="7"/>
      <c r="E176" s="7"/>
      <c r="F176" s="6" t="s">
        <v>90</v>
      </c>
      <c r="G176" s="6"/>
      <c r="H176" s="7">
        <f>IF(TimeEntry[[#This Row],[Date]]=0,H175,C176+(7-N176))</f>
        <v>43891</v>
      </c>
      <c r="I176" s="7">
        <f>TimeEntry[[#This Row],[Date]]</f>
        <v>43885</v>
      </c>
      <c r="J176" s="10" t="str">
        <f>IF(TimeEntry[[#This Row],[Date]]=0,"",TEXT(TimeEntry[[#This Row],[Date]],"ddd"))</f>
        <v>Mon</v>
      </c>
      <c r="K176" s="9" t="str">
        <f>IF(TimeEntry[[#This Row],[Project]]=0,"",INDEX(ProjectsAll[job number],MATCH(TimeEntry[[#This Row],[Project]],ProjectsAll[Project],0)))</f>
        <v>210035-64</v>
      </c>
      <c r="L176" s="6" t="s">
        <v>600</v>
      </c>
      <c r="M176" s="6">
        <v>7.5</v>
      </c>
      <c r="N176" s="9">
        <f>IF(TimeEntry[[#This Row],[Date]]=0,"",WEEKDAY(C176,2))</f>
        <v>1</v>
      </c>
      <c r="O176" s="10">
        <f>YEAR(TimeEntry[[#This Row],[WkEnd]])</f>
        <v>2020</v>
      </c>
      <c r="P176" s="10">
        <f>WEEKNUM(TimeEntry[[#This Row],[WkEnd]])</f>
        <v>10</v>
      </c>
      <c r="Q176" s="10" t="str">
        <f>TimeEntry[[#This Row],[Year]]&amp;"-"&amp;TimeEntry[[#This Row],[WkNo]]</f>
        <v>2020-10</v>
      </c>
    </row>
    <row r="177" spans="1:17" ht="30" x14ac:dyDescent="0.25">
      <c r="A177" s="9">
        <f>MOD(IF(ROW()=11,0.1,IF(INDEX(TimeEntry[WkEnd],ROW()-10)            =            INDEX(TimeEntry[WkEnd],ROW()-11),               INDEX(TimeEntry[format],ROW()-11),               INDEX(TimeEntry[format],ROW()-11)    +1)),2)</f>
        <v>1.1000000000000001</v>
      </c>
      <c r="B177" s="14"/>
      <c r="C177" s="7">
        <v>43886</v>
      </c>
      <c r="D177" s="7"/>
      <c r="E177" s="7"/>
      <c r="F177" s="6" t="s">
        <v>90</v>
      </c>
      <c r="G177" s="6"/>
      <c r="H177" s="7">
        <f>IF(TimeEntry[[#This Row],[Date]]=0,H176,C177+(7-N177))</f>
        <v>43891</v>
      </c>
      <c r="I177" s="7">
        <f>TimeEntry[[#This Row],[Date]]</f>
        <v>43886</v>
      </c>
      <c r="J177" s="10" t="str">
        <f>IF(TimeEntry[[#This Row],[Date]]=0,"",TEXT(TimeEntry[[#This Row],[Date]],"ddd"))</f>
        <v>Tue</v>
      </c>
      <c r="K177" s="9" t="str">
        <f>IF(TimeEntry[[#This Row],[Project]]=0,"",INDEX(ProjectsAll[job number],MATCH(TimeEntry[[#This Row],[Project]],ProjectsAll[Project],0)))</f>
        <v>210035-64</v>
      </c>
      <c r="L177" s="6" t="s">
        <v>600</v>
      </c>
      <c r="M177" s="6">
        <v>7.5</v>
      </c>
      <c r="N177" s="9">
        <f>IF(TimeEntry[[#This Row],[Date]]=0,"",WEEKDAY(C177,2))</f>
        <v>2</v>
      </c>
      <c r="O177" s="10">
        <f>YEAR(TimeEntry[[#This Row],[WkEnd]])</f>
        <v>2020</v>
      </c>
      <c r="P177" s="10">
        <f>WEEKNUM(TimeEntry[[#This Row],[WkEnd]])</f>
        <v>10</v>
      </c>
      <c r="Q177" s="10" t="str">
        <f>TimeEntry[[#This Row],[Year]]&amp;"-"&amp;TimeEntry[[#This Row],[WkNo]]</f>
        <v>2020-10</v>
      </c>
    </row>
    <row r="178" spans="1:17" ht="30" x14ac:dyDescent="0.25">
      <c r="A178" s="9">
        <f>MOD(IF(ROW()=11,0.1,IF(INDEX(TimeEntry[WkEnd],ROW()-10)            =            INDEX(TimeEntry[WkEnd],ROW()-11),               INDEX(TimeEntry[format],ROW()-11),               INDEX(TimeEntry[format],ROW()-11)    +1)),2)</f>
        <v>1.1000000000000001</v>
      </c>
      <c r="B178" s="14"/>
      <c r="C178" s="7">
        <v>43887</v>
      </c>
      <c r="D178" s="7"/>
      <c r="E178" s="7"/>
      <c r="F178" s="6" t="s">
        <v>90</v>
      </c>
      <c r="G178" s="6"/>
      <c r="H178" s="7">
        <f>IF(TimeEntry[[#This Row],[Date]]=0,H177,C178+(7-N178))</f>
        <v>43891</v>
      </c>
      <c r="I178" s="7">
        <f>TimeEntry[[#This Row],[Date]]</f>
        <v>43887</v>
      </c>
      <c r="J178" s="10" t="str">
        <f>IF(TimeEntry[[#This Row],[Date]]=0,"",TEXT(TimeEntry[[#This Row],[Date]],"ddd"))</f>
        <v>Wed</v>
      </c>
      <c r="K178" s="9" t="str">
        <f>IF(TimeEntry[[#This Row],[Project]]=0,"",INDEX(ProjectsAll[job number],MATCH(TimeEntry[[#This Row],[Project]],ProjectsAll[Project],0)))</f>
        <v>210035-64</v>
      </c>
      <c r="L178" s="6" t="s">
        <v>600</v>
      </c>
      <c r="M178" s="6">
        <v>7.5</v>
      </c>
      <c r="N178" s="9">
        <f>IF(TimeEntry[[#This Row],[Date]]=0,"",WEEKDAY(C178,2))</f>
        <v>3</v>
      </c>
      <c r="O178" s="10">
        <f>YEAR(TimeEntry[[#This Row],[WkEnd]])</f>
        <v>2020</v>
      </c>
      <c r="P178" s="10">
        <f>WEEKNUM(TimeEntry[[#This Row],[WkEnd]])</f>
        <v>10</v>
      </c>
      <c r="Q178" s="10" t="str">
        <f>TimeEntry[[#This Row],[Year]]&amp;"-"&amp;TimeEntry[[#This Row],[WkNo]]</f>
        <v>2020-10</v>
      </c>
    </row>
    <row r="179" spans="1:17" ht="30" x14ac:dyDescent="0.25">
      <c r="A179" s="9">
        <f>MOD(IF(ROW()=11,0.1,IF(INDEX(TimeEntry[WkEnd],ROW()-10)            =            INDEX(TimeEntry[WkEnd],ROW()-11),               INDEX(TimeEntry[format],ROW()-11),               INDEX(TimeEntry[format],ROW()-11)    +1)),2)</f>
        <v>1.1000000000000001</v>
      </c>
      <c r="B179" s="14"/>
      <c r="C179" s="7">
        <v>43888</v>
      </c>
      <c r="D179" s="7"/>
      <c r="E179" s="7"/>
      <c r="F179" s="6" t="s">
        <v>90</v>
      </c>
      <c r="G179" s="6"/>
      <c r="H179" s="7">
        <f>IF(TimeEntry[[#This Row],[Date]]=0,H178,C179+(7-N179))</f>
        <v>43891</v>
      </c>
      <c r="I179" s="7">
        <f>TimeEntry[[#This Row],[Date]]</f>
        <v>43888</v>
      </c>
      <c r="J179" s="10" t="str">
        <f>IF(TimeEntry[[#This Row],[Date]]=0,"",TEXT(TimeEntry[[#This Row],[Date]],"ddd"))</f>
        <v>Thu</v>
      </c>
      <c r="K179" s="9" t="str">
        <f>IF(TimeEntry[[#This Row],[Project]]=0,"",INDEX(ProjectsAll[job number],MATCH(TimeEntry[[#This Row],[Project]],ProjectsAll[Project],0)))</f>
        <v>210035-64</v>
      </c>
      <c r="L179" s="6" t="s">
        <v>600</v>
      </c>
      <c r="M179" s="6">
        <v>7.5</v>
      </c>
      <c r="N179" s="9">
        <f>IF(TimeEntry[[#This Row],[Date]]=0,"",WEEKDAY(C179,2))</f>
        <v>4</v>
      </c>
      <c r="O179" s="10">
        <f>YEAR(TimeEntry[[#This Row],[WkEnd]])</f>
        <v>2020</v>
      </c>
      <c r="P179" s="10">
        <f>WEEKNUM(TimeEntry[[#This Row],[WkEnd]])</f>
        <v>10</v>
      </c>
      <c r="Q179" s="10" t="str">
        <f>TimeEntry[[#This Row],[Year]]&amp;"-"&amp;TimeEntry[[#This Row],[WkNo]]</f>
        <v>2020-10</v>
      </c>
    </row>
    <row r="180" spans="1:17" ht="30" x14ac:dyDescent="0.25">
      <c r="A180" s="9">
        <f>MOD(IF(ROW()=11,0.1,IF(INDEX(TimeEntry[WkEnd],ROW()-10)            =            INDEX(TimeEntry[WkEnd],ROW()-11),               INDEX(TimeEntry[format],ROW()-11),               INDEX(TimeEntry[format],ROW()-11)    +1)),2)</f>
        <v>1.1000000000000001</v>
      </c>
      <c r="B180" s="14"/>
      <c r="C180" s="7">
        <v>43889</v>
      </c>
      <c r="D180" s="7"/>
      <c r="E180" s="7"/>
      <c r="F180" s="6" t="s">
        <v>90</v>
      </c>
      <c r="G180" s="6"/>
      <c r="H180" s="7">
        <f>IF(TimeEntry[[#This Row],[Date]]=0,H179,C180+(7-N180))</f>
        <v>43891</v>
      </c>
      <c r="I180" s="7">
        <f>TimeEntry[[#This Row],[Date]]</f>
        <v>43889</v>
      </c>
      <c r="J180" s="10" t="str">
        <f>IF(TimeEntry[[#This Row],[Date]]=0,"",TEXT(TimeEntry[[#This Row],[Date]],"ddd"))</f>
        <v>Fri</v>
      </c>
      <c r="K180" s="9" t="str">
        <f>IF(TimeEntry[[#This Row],[Project]]=0,"",INDEX(ProjectsAll[job number],MATCH(TimeEntry[[#This Row],[Project]],ProjectsAll[Project],0)))</f>
        <v>210035-64</v>
      </c>
      <c r="L180" s="6" t="s">
        <v>600</v>
      </c>
      <c r="M180" s="6">
        <v>7.5</v>
      </c>
      <c r="N180" s="9">
        <f>IF(TimeEntry[[#This Row],[Date]]=0,"",WEEKDAY(C180,2))</f>
        <v>5</v>
      </c>
      <c r="O180" s="10">
        <f>YEAR(TimeEntry[[#This Row],[WkEnd]])</f>
        <v>2020</v>
      </c>
      <c r="P180" s="10">
        <f>WEEKNUM(TimeEntry[[#This Row],[WkEnd]])</f>
        <v>10</v>
      </c>
      <c r="Q180" s="10" t="str">
        <f>TimeEntry[[#This Row],[Year]]&amp;"-"&amp;TimeEntry[[#This Row],[WkNo]]</f>
        <v>2020-10</v>
      </c>
    </row>
    <row r="181" spans="1:17" ht="30" x14ac:dyDescent="0.25">
      <c r="A181" s="9">
        <f>MOD(IF(ROW()=11,0.1,IF(INDEX(TimeEntry[WkEnd],ROW()-10)            =            INDEX(TimeEntry[WkEnd],ROW()-11),               INDEX(TimeEntry[format],ROW()-11),               INDEX(TimeEntry[format],ROW()-11)    +1)),2)</f>
        <v>0.10000000000000009</v>
      </c>
      <c r="B181" s="14"/>
      <c r="C181" s="7">
        <v>43878</v>
      </c>
      <c r="D181" s="7"/>
      <c r="E181" s="7"/>
      <c r="F181" s="6" t="s">
        <v>40</v>
      </c>
      <c r="G181" s="6"/>
      <c r="H181" s="7">
        <f>IF(TimeEntry[[#This Row],[Date]]=0,H180,C181+(7-N181))</f>
        <v>43884</v>
      </c>
      <c r="I181" s="7">
        <f>TimeEntry[[#This Row],[Date]]</f>
        <v>43878</v>
      </c>
      <c r="J181" s="10" t="str">
        <f>IF(TimeEntry[[#This Row],[Date]]=0,"",TEXT(TimeEntry[[#This Row],[Date]],"ddd"))</f>
        <v>Mon</v>
      </c>
      <c r="K181" s="9" t="str">
        <f>IF(TimeEntry[[#This Row],[Project]]=0,"",INDEX(ProjectsAll[job number],MATCH(TimeEntry[[#This Row],[Project]],ProjectsAll[Project],0)))</f>
        <v>255670-17</v>
      </c>
      <c r="L181" s="6" t="s">
        <v>599</v>
      </c>
      <c r="M181" s="6">
        <v>5</v>
      </c>
      <c r="N181" s="9">
        <f>IF(TimeEntry[[#This Row],[Date]]=0,"",WEEKDAY(C181,2))</f>
        <v>1</v>
      </c>
      <c r="O181" s="10">
        <f>YEAR(TimeEntry[[#This Row],[WkEnd]])</f>
        <v>2020</v>
      </c>
      <c r="P181" s="10">
        <f>WEEKNUM(TimeEntry[[#This Row],[WkEnd]])</f>
        <v>9</v>
      </c>
      <c r="Q181" s="10" t="str">
        <f>TimeEntry[[#This Row],[Year]]&amp;"-"&amp;TimeEntry[[#This Row],[WkNo]]</f>
        <v>2020-9</v>
      </c>
    </row>
    <row r="182" spans="1:17" ht="30" x14ac:dyDescent="0.25">
      <c r="A182" s="9">
        <f>MOD(IF(ROW()=11,0.1,IF(INDEX(TimeEntry[WkEnd],ROW()-10)            =            INDEX(TimeEntry[WkEnd],ROW()-11),               INDEX(TimeEntry[format],ROW()-11),               INDEX(TimeEntry[format],ROW()-11)    +1)),2)</f>
        <v>0.10000000000000009</v>
      </c>
      <c r="B182" s="14"/>
      <c r="C182" s="7">
        <v>43878</v>
      </c>
      <c r="D182" s="7"/>
      <c r="E182" s="7"/>
      <c r="F182" s="6" t="s">
        <v>90</v>
      </c>
      <c r="G182" s="6"/>
      <c r="H182" s="7">
        <f>IF(TimeEntry[[#This Row],[Date]]=0,H181,C182+(7-N182))</f>
        <v>43884</v>
      </c>
      <c r="I182" s="7">
        <f>TimeEntry[[#This Row],[Date]]</f>
        <v>43878</v>
      </c>
      <c r="J182" s="10" t="str">
        <f>IF(TimeEntry[[#This Row],[Date]]=0,"",TEXT(TimeEntry[[#This Row],[Date]],"ddd"))</f>
        <v>Mon</v>
      </c>
      <c r="K182" s="9" t="str">
        <f>IF(TimeEntry[[#This Row],[Project]]=0,"",INDEX(ProjectsAll[job number],MATCH(TimeEntry[[#This Row],[Project]],ProjectsAll[Project],0)))</f>
        <v>210035-64</v>
      </c>
      <c r="L182" s="6" t="s">
        <v>105</v>
      </c>
      <c r="M182" s="6">
        <v>2.5</v>
      </c>
      <c r="N182" s="9">
        <f>IF(TimeEntry[[#This Row],[Date]]=0,"",WEEKDAY(C182,2))</f>
        <v>1</v>
      </c>
      <c r="O182" s="10">
        <f>YEAR(TimeEntry[[#This Row],[WkEnd]])</f>
        <v>2020</v>
      </c>
      <c r="P182" s="10">
        <f>WEEKNUM(TimeEntry[[#This Row],[WkEnd]])</f>
        <v>9</v>
      </c>
      <c r="Q182" s="10" t="str">
        <f>TimeEntry[[#This Row],[Year]]&amp;"-"&amp;TimeEntry[[#This Row],[WkNo]]</f>
        <v>2020-9</v>
      </c>
    </row>
    <row r="183" spans="1:17" ht="30" x14ac:dyDescent="0.25">
      <c r="A183" s="9">
        <f>MOD(IF(ROW()=11,0.1,IF(INDEX(TimeEntry[WkEnd],ROW()-10)            =            INDEX(TimeEntry[WkEnd],ROW()-11),               INDEX(TimeEntry[format],ROW()-11),               INDEX(TimeEntry[format],ROW()-11)    +1)),2)</f>
        <v>0.10000000000000009</v>
      </c>
      <c r="B183" s="14"/>
      <c r="C183" s="7">
        <v>43879</v>
      </c>
      <c r="D183" s="7"/>
      <c r="E183" s="7"/>
      <c r="F183" s="6" t="s">
        <v>90</v>
      </c>
      <c r="G183" s="6"/>
      <c r="H183" s="7">
        <f>IF(TimeEntry[[#This Row],[Date]]=0,H182,C183+(7-N183))</f>
        <v>43884</v>
      </c>
      <c r="I183" s="7">
        <f>TimeEntry[[#This Row],[Date]]</f>
        <v>43879</v>
      </c>
      <c r="J183" s="10" t="str">
        <f>IF(TimeEntry[[#This Row],[Date]]=0,"",TEXT(TimeEntry[[#This Row],[Date]],"ddd"))</f>
        <v>Tue</v>
      </c>
      <c r="K183" s="9" t="str">
        <f>IF(TimeEntry[[#This Row],[Project]]=0,"",INDEX(ProjectsAll[job number],MATCH(TimeEntry[[#This Row],[Project]],ProjectsAll[Project],0)))</f>
        <v>210035-64</v>
      </c>
      <c r="L183" s="6" t="s">
        <v>105</v>
      </c>
      <c r="M183" s="6">
        <v>7.5</v>
      </c>
      <c r="N183" s="9">
        <f>IF(TimeEntry[[#This Row],[Date]]=0,"",WEEKDAY(C183,2))</f>
        <v>2</v>
      </c>
      <c r="O183" s="10">
        <f>YEAR(TimeEntry[[#This Row],[WkEnd]])</f>
        <v>2020</v>
      </c>
      <c r="P183" s="10">
        <f>WEEKNUM(TimeEntry[[#This Row],[WkEnd]])</f>
        <v>9</v>
      </c>
      <c r="Q183" s="10" t="str">
        <f>TimeEntry[[#This Row],[Year]]&amp;"-"&amp;TimeEntry[[#This Row],[WkNo]]</f>
        <v>2020-9</v>
      </c>
    </row>
    <row r="184" spans="1:17" ht="30" x14ac:dyDescent="0.25">
      <c r="A184" s="9">
        <f>MOD(IF(ROW()=11,0.1,IF(INDEX(TimeEntry[WkEnd],ROW()-10)            =            INDEX(TimeEntry[WkEnd],ROW()-11),               INDEX(TimeEntry[format],ROW()-11),               INDEX(TimeEntry[format],ROW()-11)    +1)),2)</f>
        <v>0.10000000000000009</v>
      </c>
      <c r="B184" s="14"/>
      <c r="C184" s="7">
        <v>43880</v>
      </c>
      <c r="D184" s="7"/>
      <c r="E184" s="7"/>
      <c r="F184" s="6" t="s">
        <v>90</v>
      </c>
      <c r="G184" s="6"/>
      <c r="H184" s="7">
        <f>IF(TimeEntry[[#This Row],[Date]]=0,H183,C184+(7-N184))</f>
        <v>43884</v>
      </c>
      <c r="I184" s="7">
        <f>TimeEntry[[#This Row],[Date]]</f>
        <v>43880</v>
      </c>
      <c r="J184" s="10" t="str">
        <f>IF(TimeEntry[[#This Row],[Date]]=0,"",TEXT(TimeEntry[[#This Row],[Date]],"ddd"))</f>
        <v>Wed</v>
      </c>
      <c r="K184" s="9" t="str">
        <f>IF(TimeEntry[[#This Row],[Project]]=0,"",INDEX(ProjectsAll[job number],MATCH(TimeEntry[[#This Row],[Project]],ProjectsAll[Project],0)))</f>
        <v>210035-64</v>
      </c>
      <c r="L184" s="6" t="s">
        <v>105</v>
      </c>
      <c r="M184" s="6">
        <v>7.5</v>
      </c>
      <c r="N184" s="9">
        <f>IF(TimeEntry[[#This Row],[Date]]=0,"",WEEKDAY(C184,2))</f>
        <v>3</v>
      </c>
      <c r="O184" s="10">
        <f>YEAR(TimeEntry[[#This Row],[WkEnd]])</f>
        <v>2020</v>
      </c>
      <c r="P184" s="10">
        <f>WEEKNUM(TimeEntry[[#This Row],[WkEnd]])</f>
        <v>9</v>
      </c>
      <c r="Q184" s="10" t="str">
        <f>TimeEntry[[#This Row],[Year]]&amp;"-"&amp;TimeEntry[[#This Row],[WkNo]]</f>
        <v>2020-9</v>
      </c>
    </row>
    <row r="185" spans="1:17" ht="30" x14ac:dyDescent="0.25">
      <c r="A185" s="9">
        <f>MOD(IF(ROW()=11,0.1,IF(INDEX(TimeEntry[WkEnd],ROW()-10)            =            INDEX(TimeEntry[WkEnd],ROW()-11),               INDEX(TimeEntry[format],ROW()-11),               INDEX(TimeEntry[format],ROW()-11)    +1)),2)</f>
        <v>0.10000000000000009</v>
      </c>
      <c r="B185" s="14"/>
      <c r="C185" s="7">
        <v>43881</v>
      </c>
      <c r="D185" s="7"/>
      <c r="E185" s="7"/>
      <c r="F185" s="6" t="s">
        <v>90</v>
      </c>
      <c r="G185" s="6"/>
      <c r="H185" s="7">
        <f>IF(TimeEntry[[#This Row],[Date]]=0,H184,C185+(7-N185))</f>
        <v>43884</v>
      </c>
      <c r="I185" s="7">
        <f>TimeEntry[[#This Row],[Date]]</f>
        <v>43881</v>
      </c>
      <c r="J185" s="10" t="str">
        <f>IF(TimeEntry[[#This Row],[Date]]=0,"",TEXT(TimeEntry[[#This Row],[Date]],"ddd"))</f>
        <v>Thu</v>
      </c>
      <c r="K185" s="9" t="str">
        <f>IF(TimeEntry[[#This Row],[Project]]=0,"",INDEX(ProjectsAll[job number],MATCH(TimeEntry[[#This Row],[Project]],ProjectsAll[Project],0)))</f>
        <v>210035-64</v>
      </c>
      <c r="L185" s="6" t="s">
        <v>105</v>
      </c>
      <c r="M185" s="6">
        <v>5</v>
      </c>
      <c r="N185" s="9">
        <f>IF(TimeEntry[[#This Row],[Date]]=0,"",WEEKDAY(C185,2))</f>
        <v>4</v>
      </c>
      <c r="O185" s="10">
        <f>YEAR(TimeEntry[[#This Row],[WkEnd]])</f>
        <v>2020</v>
      </c>
      <c r="P185" s="10">
        <f>WEEKNUM(TimeEntry[[#This Row],[WkEnd]])</f>
        <v>9</v>
      </c>
      <c r="Q185" s="10" t="str">
        <f>TimeEntry[[#This Row],[Year]]&amp;"-"&amp;TimeEntry[[#This Row],[WkNo]]</f>
        <v>2020-9</v>
      </c>
    </row>
    <row r="186" spans="1:17" ht="30" x14ac:dyDescent="0.25">
      <c r="A186" s="9">
        <f>MOD(IF(ROW()=11,0.1,IF(INDEX(TimeEntry[WkEnd],ROW()-10)            =            INDEX(TimeEntry[WkEnd],ROW()-11),               INDEX(TimeEntry[format],ROW()-11),               INDEX(TimeEntry[format],ROW()-11)    +1)),2)</f>
        <v>0.10000000000000009</v>
      </c>
      <c r="B186" s="14"/>
      <c r="C186" s="7">
        <v>43881</v>
      </c>
      <c r="D186" s="7"/>
      <c r="E186" s="7"/>
      <c r="F186" s="6" t="s">
        <v>40</v>
      </c>
      <c r="G186" s="6"/>
      <c r="H186" s="7">
        <f>IF(TimeEntry[[#This Row],[Date]]=0,H185,C186+(7-N186))</f>
        <v>43884</v>
      </c>
      <c r="I186" s="7">
        <f>TimeEntry[[#This Row],[Date]]</f>
        <v>43881</v>
      </c>
      <c r="J186" s="10" t="str">
        <f>IF(TimeEntry[[#This Row],[Date]]=0,"",TEXT(TimeEntry[[#This Row],[Date]],"ddd"))</f>
        <v>Thu</v>
      </c>
      <c r="K186" s="9" t="str">
        <f>IF(TimeEntry[[#This Row],[Project]]=0,"",INDEX(ProjectsAll[job number],MATCH(TimeEntry[[#This Row],[Project]],ProjectsAll[Project],0)))</f>
        <v>255670-17</v>
      </c>
      <c r="L186" s="6" t="s">
        <v>599</v>
      </c>
      <c r="M186" s="6">
        <v>2.5</v>
      </c>
      <c r="N186" s="9">
        <f>IF(TimeEntry[[#This Row],[Date]]=0,"",WEEKDAY(C186,2))</f>
        <v>4</v>
      </c>
      <c r="O186" s="10">
        <f>YEAR(TimeEntry[[#This Row],[WkEnd]])</f>
        <v>2020</v>
      </c>
      <c r="P186" s="10">
        <f>WEEKNUM(TimeEntry[[#This Row],[WkEnd]])</f>
        <v>9</v>
      </c>
      <c r="Q186" s="10" t="str">
        <f>TimeEntry[[#This Row],[Year]]&amp;"-"&amp;TimeEntry[[#This Row],[WkNo]]</f>
        <v>2020-9</v>
      </c>
    </row>
    <row r="187" spans="1:17" ht="30" x14ac:dyDescent="0.25">
      <c r="A187" s="9">
        <f>MOD(IF(ROW()=11,0.1,IF(INDEX(TimeEntry[WkEnd],ROW()-10)            =            INDEX(TimeEntry[WkEnd],ROW()-11),               INDEX(TimeEntry[format],ROW()-11),               INDEX(TimeEntry[format],ROW()-11)    +1)),2)</f>
        <v>0.10000000000000009</v>
      </c>
      <c r="B187" s="14"/>
      <c r="C187" s="7">
        <v>43882</v>
      </c>
      <c r="D187" s="7"/>
      <c r="E187" s="7"/>
      <c r="F187" s="6" t="s">
        <v>90</v>
      </c>
      <c r="G187" s="6"/>
      <c r="H187" s="7">
        <f>IF(TimeEntry[[#This Row],[Date]]=0,H186,C187+(7-N187))</f>
        <v>43884</v>
      </c>
      <c r="I187" s="7">
        <f>TimeEntry[[#This Row],[Date]]</f>
        <v>43882</v>
      </c>
      <c r="J187" s="10" t="str">
        <f>IF(TimeEntry[[#This Row],[Date]]=0,"",TEXT(TimeEntry[[#This Row],[Date]],"ddd"))</f>
        <v>Fri</v>
      </c>
      <c r="K187" s="9" t="str">
        <f>IF(TimeEntry[[#This Row],[Project]]=0,"",INDEX(ProjectsAll[job number],MATCH(TimeEntry[[#This Row],[Project]],ProjectsAll[Project],0)))</f>
        <v>210035-64</v>
      </c>
      <c r="L187" s="6" t="s">
        <v>105</v>
      </c>
      <c r="M187" s="6">
        <v>7.5</v>
      </c>
      <c r="N187" s="9">
        <f>IF(TimeEntry[[#This Row],[Date]]=0,"",WEEKDAY(C187,2))</f>
        <v>5</v>
      </c>
      <c r="O187" s="10">
        <f>YEAR(TimeEntry[[#This Row],[WkEnd]])</f>
        <v>2020</v>
      </c>
      <c r="P187" s="10">
        <f>WEEKNUM(TimeEntry[[#This Row],[WkEnd]])</f>
        <v>9</v>
      </c>
      <c r="Q187" s="10" t="str">
        <f>TimeEntry[[#This Row],[Year]]&amp;"-"&amp;TimeEntry[[#This Row],[WkNo]]</f>
        <v>2020-9</v>
      </c>
    </row>
    <row r="188" spans="1:17" ht="30" x14ac:dyDescent="0.25">
      <c r="A188" s="9">
        <f>MOD(IF(ROW()=11,0.1,IF(INDEX(TimeEntry[WkEnd],ROW()-10)            =            INDEX(TimeEntry[WkEnd],ROW()-11),               INDEX(TimeEntry[format],ROW()-11),               INDEX(TimeEntry[format],ROW()-11)    +1)),2)</f>
        <v>1.1000000000000001</v>
      </c>
      <c r="B188" s="14"/>
      <c r="C188" s="7">
        <v>43871</v>
      </c>
      <c r="D188" s="7"/>
      <c r="E188" s="7"/>
      <c r="F188" s="6" t="s">
        <v>90</v>
      </c>
      <c r="G188" s="6"/>
      <c r="H188" s="7">
        <f>IF(TimeEntry[[#This Row],[Date]]=0,H187,C188+(7-N188))</f>
        <v>43877</v>
      </c>
      <c r="I188" s="7">
        <f>TimeEntry[[#This Row],[Date]]</f>
        <v>43871</v>
      </c>
      <c r="J188" s="10" t="str">
        <f>IF(TimeEntry[[#This Row],[Date]]=0,"",TEXT(TimeEntry[[#This Row],[Date]],"ddd"))</f>
        <v>Mon</v>
      </c>
      <c r="K188" s="9" t="str">
        <f>IF(TimeEntry[[#This Row],[Project]]=0,"",INDEX(ProjectsAll[job number],MATCH(TimeEntry[[#This Row],[Project]],ProjectsAll[Project],0)))</f>
        <v>210035-64</v>
      </c>
      <c r="L188" s="6" t="s">
        <v>103</v>
      </c>
      <c r="M188" s="6">
        <v>5</v>
      </c>
      <c r="N188" s="9">
        <f>IF(TimeEntry[[#This Row],[Date]]=0,"",WEEKDAY(C188,2))</f>
        <v>1</v>
      </c>
      <c r="O188" s="10">
        <f>YEAR(TimeEntry[[#This Row],[WkEnd]])</f>
        <v>2020</v>
      </c>
      <c r="P188" s="10">
        <f>WEEKNUM(TimeEntry[[#This Row],[WkEnd]])</f>
        <v>8</v>
      </c>
      <c r="Q188" s="10" t="str">
        <f>TimeEntry[[#This Row],[Year]]&amp;"-"&amp;TimeEntry[[#This Row],[WkNo]]</f>
        <v>2020-8</v>
      </c>
    </row>
    <row r="189" spans="1:17" ht="30" x14ac:dyDescent="0.25">
      <c r="A189" s="9">
        <f>MOD(IF(ROW()=11,0.1,IF(INDEX(TimeEntry[WkEnd],ROW()-10)            =            INDEX(TimeEntry[WkEnd],ROW()-11),               INDEX(TimeEntry[format],ROW()-11),               INDEX(TimeEntry[format],ROW()-11)    +1)),2)</f>
        <v>1.1000000000000001</v>
      </c>
      <c r="B189" s="14"/>
      <c r="C189" s="7">
        <v>43871</v>
      </c>
      <c r="D189" s="7"/>
      <c r="E189" s="7"/>
      <c r="F189" s="6" t="s">
        <v>40</v>
      </c>
      <c r="G189" s="6"/>
      <c r="H189" s="7">
        <f>IF(TimeEntry[[#This Row],[Date]]=0,H188,C189+(7-N189))</f>
        <v>43877</v>
      </c>
      <c r="I189" s="7">
        <f>TimeEntry[[#This Row],[Date]]</f>
        <v>43871</v>
      </c>
      <c r="J189" s="10" t="str">
        <f>IF(TimeEntry[[#This Row],[Date]]=0,"",TEXT(TimeEntry[[#This Row],[Date]],"ddd"))</f>
        <v>Mon</v>
      </c>
      <c r="K189" s="9" t="str">
        <f>IF(TimeEntry[[#This Row],[Project]]=0,"",INDEX(ProjectsAll[job number],MATCH(TimeEntry[[#This Row],[Project]],ProjectsAll[Project],0)))</f>
        <v>255670-17</v>
      </c>
      <c r="L189" s="6" t="s">
        <v>104</v>
      </c>
      <c r="M189" s="6">
        <v>2.5</v>
      </c>
      <c r="N189" s="9">
        <f>IF(TimeEntry[[#This Row],[Date]]=0,"",WEEKDAY(C189,2))</f>
        <v>1</v>
      </c>
      <c r="O189" s="10">
        <f>YEAR(TimeEntry[[#This Row],[WkEnd]])</f>
        <v>2020</v>
      </c>
      <c r="P189" s="10">
        <f>WEEKNUM(TimeEntry[[#This Row],[WkEnd]])</f>
        <v>8</v>
      </c>
      <c r="Q189" s="10" t="str">
        <f>TimeEntry[[#This Row],[Year]]&amp;"-"&amp;TimeEntry[[#This Row],[WkNo]]</f>
        <v>2020-8</v>
      </c>
    </row>
    <row r="190" spans="1:17" ht="30" x14ac:dyDescent="0.25">
      <c r="A190" s="9">
        <f>MOD(IF(ROW()=11,0.1,IF(INDEX(TimeEntry[WkEnd],ROW()-10)            =            INDEX(TimeEntry[WkEnd],ROW()-11),               INDEX(TimeEntry[format],ROW()-11),               INDEX(TimeEntry[format],ROW()-11)    +1)),2)</f>
        <v>1.1000000000000001</v>
      </c>
      <c r="B190" s="14"/>
      <c r="C190" s="7">
        <v>43872</v>
      </c>
      <c r="D190" s="7"/>
      <c r="E190" s="7"/>
      <c r="F190" s="6" t="s">
        <v>90</v>
      </c>
      <c r="G190" s="6"/>
      <c r="H190" s="7">
        <f>IF(TimeEntry[[#This Row],[Date]]=0,H189,C190+(7-N190))</f>
        <v>43877</v>
      </c>
      <c r="I190" s="7">
        <f>TimeEntry[[#This Row],[Date]]</f>
        <v>43872</v>
      </c>
      <c r="J190" s="10" t="str">
        <f>IF(TimeEntry[[#This Row],[Date]]=0,"",TEXT(TimeEntry[[#This Row],[Date]],"ddd"))</f>
        <v>Tue</v>
      </c>
      <c r="K190" s="9" t="str">
        <f>IF(TimeEntry[[#This Row],[Project]]=0,"",INDEX(ProjectsAll[job number],MATCH(TimeEntry[[#This Row],[Project]],ProjectsAll[Project],0)))</f>
        <v>210035-64</v>
      </c>
      <c r="L190" s="6" t="s">
        <v>105</v>
      </c>
      <c r="M190" s="6">
        <v>7.5</v>
      </c>
      <c r="N190" s="9">
        <f>IF(TimeEntry[[#This Row],[Date]]=0,"",WEEKDAY(C190,2))</f>
        <v>2</v>
      </c>
      <c r="O190" s="10">
        <f>YEAR(TimeEntry[[#This Row],[WkEnd]])</f>
        <v>2020</v>
      </c>
      <c r="P190" s="10">
        <f>WEEKNUM(TimeEntry[[#This Row],[WkEnd]])</f>
        <v>8</v>
      </c>
      <c r="Q190" s="10" t="str">
        <f>TimeEntry[[#This Row],[Year]]&amp;"-"&amp;TimeEntry[[#This Row],[WkNo]]</f>
        <v>2020-8</v>
      </c>
    </row>
    <row r="191" spans="1:17" ht="30" x14ac:dyDescent="0.25">
      <c r="A191" s="9">
        <f>MOD(IF(ROW()=11,0.1,IF(INDEX(TimeEntry[WkEnd],ROW()-10)            =            INDEX(TimeEntry[WkEnd],ROW()-11),               INDEX(TimeEntry[format],ROW()-11),               INDEX(TimeEntry[format],ROW()-11)    +1)),2)</f>
        <v>1.1000000000000001</v>
      </c>
      <c r="B191" s="14"/>
      <c r="C191" s="7">
        <v>43873</v>
      </c>
      <c r="D191" s="7"/>
      <c r="E191" s="7"/>
      <c r="F191" s="6" t="s">
        <v>90</v>
      </c>
      <c r="G191" s="6"/>
      <c r="H191" s="7">
        <f>IF(TimeEntry[[#This Row],[Date]]=0,H190,C191+(7-N191))</f>
        <v>43877</v>
      </c>
      <c r="I191" s="7">
        <f>TimeEntry[[#This Row],[Date]]</f>
        <v>43873</v>
      </c>
      <c r="J191" s="10" t="str">
        <f>IF(TimeEntry[[#This Row],[Date]]=0,"",TEXT(TimeEntry[[#This Row],[Date]],"ddd"))</f>
        <v>Wed</v>
      </c>
      <c r="K191" s="9" t="str">
        <f>IF(TimeEntry[[#This Row],[Project]]=0,"",INDEX(ProjectsAll[job number],MATCH(TimeEntry[[#This Row],[Project]],ProjectsAll[Project],0)))</f>
        <v>210035-64</v>
      </c>
      <c r="L191" s="6" t="s">
        <v>106</v>
      </c>
      <c r="M191" s="6">
        <v>7.5</v>
      </c>
      <c r="N191" s="9">
        <f>IF(TimeEntry[[#This Row],[Date]]=0,"",WEEKDAY(C191,2))</f>
        <v>3</v>
      </c>
      <c r="O191" s="10">
        <f>YEAR(TimeEntry[[#This Row],[WkEnd]])</f>
        <v>2020</v>
      </c>
      <c r="P191" s="10">
        <f>WEEKNUM(TimeEntry[[#This Row],[WkEnd]])</f>
        <v>8</v>
      </c>
      <c r="Q191" s="10" t="str">
        <f>TimeEntry[[#This Row],[Year]]&amp;"-"&amp;TimeEntry[[#This Row],[WkNo]]</f>
        <v>2020-8</v>
      </c>
    </row>
    <row r="192" spans="1:17" ht="30" x14ac:dyDescent="0.25">
      <c r="A192" s="9">
        <f>MOD(IF(ROW()=11,0.1,IF(INDEX(TimeEntry[WkEnd],ROW()-10)            =            INDEX(TimeEntry[WkEnd],ROW()-11),               INDEX(TimeEntry[format],ROW()-11),               INDEX(TimeEntry[format],ROW()-11)    +1)),2)</f>
        <v>1.1000000000000001</v>
      </c>
      <c r="B192" s="14"/>
      <c r="C192" s="7">
        <v>43874</v>
      </c>
      <c r="D192" s="7"/>
      <c r="E192" s="7"/>
      <c r="F192" s="6" t="s">
        <v>90</v>
      </c>
      <c r="G192" s="6"/>
      <c r="H192" s="7">
        <f>IF(TimeEntry[[#This Row],[Date]]=0,H191,C192+(7-N192))</f>
        <v>43877</v>
      </c>
      <c r="I192" s="7">
        <f>TimeEntry[[#This Row],[Date]]</f>
        <v>43874</v>
      </c>
      <c r="J192" s="10" t="str">
        <f>IF(TimeEntry[[#This Row],[Date]]=0,"",TEXT(TimeEntry[[#This Row],[Date]],"ddd"))</f>
        <v>Thu</v>
      </c>
      <c r="K192" s="9" t="str">
        <f>IF(TimeEntry[[#This Row],[Project]]=0,"",INDEX(ProjectsAll[job number],MATCH(TimeEntry[[#This Row],[Project]],ProjectsAll[Project],0)))</f>
        <v>210035-64</v>
      </c>
      <c r="L192" s="6" t="s">
        <v>105</v>
      </c>
      <c r="M192" s="6">
        <v>7.5</v>
      </c>
      <c r="N192" s="9">
        <f>IF(TimeEntry[[#This Row],[Date]]=0,"",WEEKDAY(C192,2))</f>
        <v>4</v>
      </c>
      <c r="O192" s="10">
        <f>YEAR(TimeEntry[[#This Row],[WkEnd]])</f>
        <v>2020</v>
      </c>
      <c r="P192" s="10">
        <f>WEEKNUM(TimeEntry[[#This Row],[WkEnd]])</f>
        <v>8</v>
      </c>
      <c r="Q192" s="10" t="str">
        <f>TimeEntry[[#This Row],[Year]]&amp;"-"&amp;TimeEntry[[#This Row],[WkNo]]</f>
        <v>2020-8</v>
      </c>
    </row>
    <row r="193" spans="1:17" ht="30" x14ac:dyDescent="0.25">
      <c r="A193" s="9">
        <f>MOD(IF(ROW()=11,0.1,IF(INDEX(TimeEntry[WkEnd],ROW()-10)            =            INDEX(TimeEntry[WkEnd],ROW()-11),               INDEX(TimeEntry[format],ROW()-11),               INDEX(TimeEntry[format],ROW()-11)    +1)),2)</f>
        <v>1.1000000000000001</v>
      </c>
      <c r="B193" s="14"/>
      <c r="C193" s="7">
        <v>43875</v>
      </c>
      <c r="D193" s="7"/>
      <c r="E193" s="7"/>
      <c r="F193" s="6" t="s">
        <v>90</v>
      </c>
      <c r="G193" s="6"/>
      <c r="H193" s="7">
        <f>IF(TimeEntry[[#This Row],[Date]]=0,H192,C193+(7-N193))</f>
        <v>43877</v>
      </c>
      <c r="I193" s="7">
        <f>TimeEntry[[#This Row],[Date]]</f>
        <v>43875</v>
      </c>
      <c r="J193" s="10" t="str">
        <f>IF(TimeEntry[[#This Row],[Date]]=0,"",TEXT(TimeEntry[[#This Row],[Date]],"ddd"))</f>
        <v>Fri</v>
      </c>
      <c r="K193" s="9" t="str">
        <f>IF(TimeEntry[[#This Row],[Project]]=0,"",INDEX(ProjectsAll[job number],MATCH(TimeEntry[[#This Row],[Project]],ProjectsAll[Project],0)))</f>
        <v>210035-64</v>
      </c>
      <c r="L193" s="6" t="s">
        <v>107</v>
      </c>
      <c r="M193" s="6">
        <v>2.5</v>
      </c>
      <c r="N193" s="9">
        <f>IF(TimeEntry[[#This Row],[Date]]=0,"",WEEKDAY(C193,2))</f>
        <v>5</v>
      </c>
      <c r="O193" s="10">
        <f>YEAR(TimeEntry[[#This Row],[WkEnd]])</f>
        <v>2020</v>
      </c>
      <c r="P193" s="10">
        <f>WEEKNUM(TimeEntry[[#This Row],[WkEnd]])</f>
        <v>8</v>
      </c>
      <c r="Q193" s="10" t="str">
        <f>TimeEntry[[#This Row],[Year]]&amp;"-"&amp;TimeEntry[[#This Row],[WkNo]]</f>
        <v>2020-8</v>
      </c>
    </row>
    <row r="194" spans="1:17" ht="30" x14ac:dyDescent="0.25">
      <c r="A194" s="9">
        <f>MOD(IF(ROW()=11,0.1,IF(INDEX(TimeEntry[WkEnd],ROW()-10)            =            INDEX(TimeEntry[WkEnd],ROW()-11),               INDEX(TimeEntry[format],ROW()-11),               INDEX(TimeEntry[format],ROW()-11)    +1)),2)</f>
        <v>1.1000000000000001</v>
      </c>
      <c r="B194" s="14"/>
      <c r="C194" s="7">
        <v>43875</v>
      </c>
      <c r="D194" s="7"/>
      <c r="E194" s="7"/>
      <c r="F194" s="6" t="s">
        <v>40</v>
      </c>
      <c r="G194" s="6"/>
      <c r="H194" s="7">
        <f>IF(TimeEntry[[#This Row],[Date]]=0,H193,C194+(7-N194))</f>
        <v>43877</v>
      </c>
      <c r="I194" s="7">
        <f>TimeEntry[[#This Row],[Date]]</f>
        <v>43875</v>
      </c>
      <c r="J194" s="10" t="str">
        <f>IF(TimeEntry[[#This Row],[Date]]=0,"",TEXT(TimeEntry[[#This Row],[Date]],"ddd"))</f>
        <v>Fri</v>
      </c>
      <c r="K194" s="9" t="str">
        <f>IF(TimeEntry[[#This Row],[Project]]=0,"",INDEX(ProjectsAll[job number],MATCH(TimeEntry[[#This Row],[Project]],ProjectsAll[Project],0)))</f>
        <v>255670-17</v>
      </c>
      <c r="L194" s="6" t="s">
        <v>108</v>
      </c>
      <c r="M194" s="6">
        <v>5</v>
      </c>
      <c r="N194" s="9">
        <f>IF(TimeEntry[[#This Row],[Date]]=0,"",WEEKDAY(C194,2))</f>
        <v>5</v>
      </c>
      <c r="O194" s="10">
        <f>YEAR(TimeEntry[[#This Row],[WkEnd]])</f>
        <v>2020</v>
      </c>
      <c r="P194" s="10">
        <f>WEEKNUM(TimeEntry[[#This Row],[WkEnd]])</f>
        <v>8</v>
      </c>
      <c r="Q194" s="10" t="str">
        <f>TimeEntry[[#This Row],[Year]]&amp;"-"&amp;TimeEntry[[#This Row],[WkNo]]</f>
        <v>2020-8</v>
      </c>
    </row>
    <row r="195" spans="1:17" ht="30" x14ac:dyDescent="0.25">
      <c r="A195" s="9">
        <f>MOD(IF(ROW()=11,0.1,IF(INDEX(TimeEntry[WkEnd],ROW()-10)            =            INDEX(TimeEntry[WkEnd],ROW()-11),               INDEX(TimeEntry[format],ROW()-11),               INDEX(TimeEntry[format],ROW()-11)    +1)),2)</f>
        <v>0.10000000000000009</v>
      </c>
      <c r="B195" s="14"/>
      <c r="C195" s="7">
        <v>43864</v>
      </c>
      <c r="D195" s="7"/>
      <c r="E195" s="7"/>
      <c r="F195" s="6" t="s">
        <v>90</v>
      </c>
      <c r="G195" s="6"/>
      <c r="H195" s="7">
        <f>IF(TimeEntry[[#This Row],[Date]]=0,H194,C195+(7-N195))</f>
        <v>43870</v>
      </c>
      <c r="I195" s="7">
        <f>TimeEntry[[#This Row],[Date]]</f>
        <v>43864</v>
      </c>
      <c r="J195" s="10" t="str">
        <f>IF(TimeEntry[[#This Row],[Date]]=0,"",TEXT(TimeEntry[[#This Row],[Date]],"ddd"))</f>
        <v>Mon</v>
      </c>
      <c r="K195" s="9" t="str">
        <f>IF(TimeEntry[[#This Row],[Project]]=0,"",INDEX(ProjectsAll[job number],MATCH(TimeEntry[[#This Row],[Project]],ProjectsAll[Project],0)))</f>
        <v>210035-64</v>
      </c>
      <c r="L195" s="6" t="s">
        <v>109</v>
      </c>
      <c r="M195" s="6">
        <v>7.5</v>
      </c>
      <c r="N195" s="9">
        <f>IF(TimeEntry[[#This Row],[Date]]=0,"",WEEKDAY(C195,2))</f>
        <v>1</v>
      </c>
      <c r="O195" s="10">
        <f>YEAR(TimeEntry[[#This Row],[WkEnd]])</f>
        <v>2020</v>
      </c>
      <c r="P195" s="10">
        <f>WEEKNUM(TimeEntry[[#This Row],[WkEnd]])</f>
        <v>7</v>
      </c>
      <c r="Q195" s="10" t="str">
        <f>TimeEntry[[#This Row],[Year]]&amp;"-"&amp;TimeEntry[[#This Row],[WkNo]]</f>
        <v>2020-7</v>
      </c>
    </row>
    <row r="196" spans="1:17" ht="30" x14ac:dyDescent="0.25">
      <c r="A196" s="9">
        <f>MOD(IF(ROW()=11,0.1,IF(INDEX(TimeEntry[WkEnd],ROW()-10)            =            INDEX(TimeEntry[WkEnd],ROW()-11),               INDEX(TimeEntry[format],ROW()-11),               INDEX(TimeEntry[format],ROW()-11)    +1)),2)</f>
        <v>0.10000000000000009</v>
      </c>
      <c r="B196" s="14"/>
      <c r="C196" s="7">
        <v>43865</v>
      </c>
      <c r="D196" s="7"/>
      <c r="E196" s="7"/>
      <c r="F196" s="6" t="s">
        <v>61</v>
      </c>
      <c r="G196" s="6"/>
      <c r="H196" s="7">
        <f>IF(TimeEntry[[#This Row],[Date]]=0,H195,C196+(7-N196))</f>
        <v>43870</v>
      </c>
      <c r="I196" s="7">
        <f>TimeEntry[[#This Row],[Date]]</f>
        <v>43865</v>
      </c>
      <c r="J196" s="10" t="str">
        <f>IF(TimeEntry[[#This Row],[Date]]=0,"",TEXT(TimeEntry[[#This Row],[Date]],"ddd"))</f>
        <v>Tue</v>
      </c>
      <c r="K196" s="9" t="str">
        <f>IF(TimeEntry[[#This Row],[Project]]=0,"",INDEX(ProjectsAll[job number],MATCH(TimeEntry[[#This Row],[Project]],ProjectsAll[Project],0)))</f>
        <v>252076-05</v>
      </c>
      <c r="L196" s="6" t="s">
        <v>110</v>
      </c>
      <c r="M196" s="6">
        <v>4</v>
      </c>
      <c r="N196" s="9">
        <f>IF(TimeEntry[[#This Row],[Date]]=0,"",WEEKDAY(C196,2))</f>
        <v>2</v>
      </c>
      <c r="O196" s="10">
        <f>YEAR(TimeEntry[[#This Row],[WkEnd]])</f>
        <v>2020</v>
      </c>
      <c r="P196" s="10">
        <f>WEEKNUM(TimeEntry[[#This Row],[WkEnd]])</f>
        <v>7</v>
      </c>
      <c r="Q196" s="10" t="str">
        <f>TimeEntry[[#This Row],[Year]]&amp;"-"&amp;TimeEntry[[#This Row],[WkNo]]</f>
        <v>2020-7</v>
      </c>
    </row>
    <row r="197" spans="1:17" ht="30" x14ac:dyDescent="0.25">
      <c r="A197" s="9">
        <f>MOD(IF(ROW()=11,0.1,IF(INDEX(TimeEntry[WkEnd],ROW()-10)            =            INDEX(TimeEntry[WkEnd],ROW()-11),               INDEX(TimeEntry[format],ROW()-11),               INDEX(TimeEntry[format],ROW()-11)    +1)),2)</f>
        <v>0.10000000000000009</v>
      </c>
      <c r="B197" s="14"/>
      <c r="C197" s="7">
        <v>43865</v>
      </c>
      <c r="D197" s="7"/>
      <c r="E197" s="7"/>
      <c r="F197" s="6" t="s">
        <v>40</v>
      </c>
      <c r="G197" s="6"/>
      <c r="H197" s="7">
        <f>IF(TimeEntry[[#This Row],[Date]]=0,H196,C197+(7-N197))</f>
        <v>43870</v>
      </c>
      <c r="I197" s="7">
        <f>TimeEntry[[#This Row],[Date]]</f>
        <v>43865</v>
      </c>
      <c r="J197" s="10" t="str">
        <f>IF(TimeEntry[[#This Row],[Date]]=0,"",TEXT(TimeEntry[[#This Row],[Date]],"ddd"))</f>
        <v>Tue</v>
      </c>
      <c r="K197" s="9" t="str">
        <f>IF(TimeEntry[[#This Row],[Project]]=0,"",INDEX(ProjectsAll[job number],MATCH(TimeEntry[[#This Row],[Project]],ProjectsAll[Project],0)))</f>
        <v>255670-17</v>
      </c>
      <c r="L197" s="6" t="s">
        <v>111</v>
      </c>
      <c r="M197" s="6">
        <v>3.5</v>
      </c>
      <c r="N197" s="9">
        <f>IF(TimeEntry[[#This Row],[Date]]=0,"",WEEKDAY(C197,2))</f>
        <v>2</v>
      </c>
      <c r="O197" s="10">
        <f>YEAR(TimeEntry[[#This Row],[WkEnd]])</f>
        <v>2020</v>
      </c>
      <c r="P197" s="10">
        <f>WEEKNUM(TimeEntry[[#This Row],[WkEnd]])</f>
        <v>7</v>
      </c>
      <c r="Q197" s="10" t="str">
        <f>TimeEntry[[#This Row],[Year]]&amp;"-"&amp;TimeEntry[[#This Row],[WkNo]]</f>
        <v>2020-7</v>
      </c>
    </row>
    <row r="198" spans="1:17" ht="30" x14ac:dyDescent="0.25">
      <c r="A198" s="9">
        <f>MOD(IF(ROW()=11,0.1,IF(INDEX(TimeEntry[WkEnd],ROW()-10)            =            INDEX(TimeEntry[WkEnd],ROW()-11),               INDEX(TimeEntry[format],ROW()-11),               INDEX(TimeEntry[format],ROW()-11)    +1)),2)</f>
        <v>0.10000000000000009</v>
      </c>
      <c r="B198" s="14"/>
      <c r="C198" s="7">
        <v>43866</v>
      </c>
      <c r="D198" s="7"/>
      <c r="E198" s="7"/>
      <c r="F198" s="6" t="s">
        <v>90</v>
      </c>
      <c r="G198" s="6"/>
      <c r="H198" s="7">
        <f>IF(TimeEntry[[#This Row],[Date]]=0,H197,C198+(7-N198))</f>
        <v>43870</v>
      </c>
      <c r="I198" s="7">
        <f>TimeEntry[[#This Row],[Date]]</f>
        <v>43866</v>
      </c>
      <c r="J198" s="10" t="str">
        <f>IF(TimeEntry[[#This Row],[Date]]=0,"",TEXT(TimeEntry[[#This Row],[Date]],"ddd"))</f>
        <v>Wed</v>
      </c>
      <c r="K198" s="9" t="str">
        <f>IF(TimeEntry[[#This Row],[Project]]=0,"",INDEX(ProjectsAll[job number],MATCH(TimeEntry[[#This Row],[Project]],ProjectsAll[Project],0)))</f>
        <v>210035-64</v>
      </c>
      <c r="L198" s="6" t="s">
        <v>112</v>
      </c>
      <c r="M198" s="6">
        <v>7.5</v>
      </c>
      <c r="N198" s="9">
        <f>IF(TimeEntry[[#This Row],[Date]]=0,"",WEEKDAY(C198,2))</f>
        <v>3</v>
      </c>
      <c r="O198" s="10">
        <f>YEAR(TimeEntry[[#This Row],[WkEnd]])</f>
        <v>2020</v>
      </c>
      <c r="P198" s="10">
        <f>WEEKNUM(TimeEntry[[#This Row],[WkEnd]])</f>
        <v>7</v>
      </c>
      <c r="Q198" s="10" t="str">
        <f>TimeEntry[[#This Row],[Year]]&amp;"-"&amp;TimeEntry[[#This Row],[WkNo]]</f>
        <v>2020-7</v>
      </c>
    </row>
    <row r="199" spans="1:17" ht="30" x14ac:dyDescent="0.25">
      <c r="A199" s="9">
        <f>MOD(IF(ROW()=11,0.1,IF(INDEX(TimeEntry[WkEnd],ROW()-10)            =            INDEX(TimeEntry[WkEnd],ROW()-11),               INDEX(TimeEntry[format],ROW()-11),               INDEX(TimeEntry[format],ROW()-11)    +1)),2)</f>
        <v>0.10000000000000009</v>
      </c>
      <c r="B199" s="14"/>
      <c r="C199" s="7">
        <v>43867</v>
      </c>
      <c r="D199" s="7"/>
      <c r="E199" s="7"/>
      <c r="F199" s="6" t="s">
        <v>90</v>
      </c>
      <c r="G199" s="6"/>
      <c r="H199" s="7">
        <f>IF(TimeEntry[[#This Row],[Date]]=0,H198,C199+(7-N199))</f>
        <v>43870</v>
      </c>
      <c r="I199" s="7">
        <f>TimeEntry[[#This Row],[Date]]</f>
        <v>43867</v>
      </c>
      <c r="J199" s="10" t="str">
        <f>IF(TimeEntry[[#This Row],[Date]]=0,"",TEXT(TimeEntry[[#This Row],[Date]],"ddd"))</f>
        <v>Thu</v>
      </c>
      <c r="K199" s="9" t="str">
        <f>IF(TimeEntry[[#This Row],[Project]]=0,"",INDEX(ProjectsAll[job number],MATCH(TimeEntry[[#This Row],[Project]],ProjectsAll[Project],0)))</f>
        <v>210035-64</v>
      </c>
      <c r="L199" s="6" t="s">
        <v>112</v>
      </c>
      <c r="M199" s="6">
        <v>7.5</v>
      </c>
      <c r="N199" s="9">
        <f>IF(TimeEntry[[#This Row],[Date]]=0,"",WEEKDAY(C199,2))</f>
        <v>4</v>
      </c>
      <c r="O199" s="10">
        <f>YEAR(TimeEntry[[#This Row],[WkEnd]])</f>
        <v>2020</v>
      </c>
      <c r="P199" s="10">
        <f>WEEKNUM(TimeEntry[[#This Row],[WkEnd]])</f>
        <v>7</v>
      </c>
      <c r="Q199" s="10" t="str">
        <f>TimeEntry[[#This Row],[Year]]&amp;"-"&amp;TimeEntry[[#This Row],[WkNo]]</f>
        <v>2020-7</v>
      </c>
    </row>
    <row r="200" spans="1:17" ht="30" x14ac:dyDescent="0.25">
      <c r="A200" s="9">
        <f>MOD(IF(ROW()=11,0.1,IF(INDEX(TimeEntry[WkEnd],ROW()-10)            =            INDEX(TimeEntry[WkEnd],ROW()-11),               INDEX(TimeEntry[format],ROW()-11),               INDEX(TimeEntry[format],ROW()-11)    +1)),2)</f>
        <v>0.10000000000000009</v>
      </c>
      <c r="B200" s="14"/>
      <c r="C200" s="7">
        <v>43868</v>
      </c>
      <c r="D200" s="7"/>
      <c r="E200" s="7"/>
      <c r="F200" s="6" t="s">
        <v>90</v>
      </c>
      <c r="G200" s="6"/>
      <c r="H200" s="7">
        <f>IF(TimeEntry[[#This Row],[Date]]=0,H199,C200+(7-N200))</f>
        <v>43870</v>
      </c>
      <c r="I200" s="7">
        <f>TimeEntry[[#This Row],[Date]]</f>
        <v>43868</v>
      </c>
      <c r="J200" s="10" t="str">
        <f>IF(TimeEntry[[#This Row],[Date]]=0,"",TEXT(TimeEntry[[#This Row],[Date]],"ddd"))</f>
        <v>Fri</v>
      </c>
      <c r="K200" s="9" t="str">
        <f>IF(TimeEntry[[#This Row],[Project]]=0,"",INDEX(ProjectsAll[job number],MATCH(TimeEntry[[#This Row],[Project]],ProjectsAll[Project],0)))</f>
        <v>210035-64</v>
      </c>
      <c r="L200" s="6" t="s">
        <v>112</v>
      </c>
      <c r="M200" s="6">
        <v>5.5</v>
      </c>
      <c r="N200" s="9">
        <f>IF(TimeEntry[[#This Row],[Date]]=0,"",WEEKDAY(C200,2))</f>
        <v>5</v>
      </c>
      <c r="O200" s="10">
        <f>YEAR(TimeEntry[[#This Row],[WkEnd]])</f>
        <v>2020</v>
      </c>
      <c r="P200" s="10">
        <f>WEEKNUM(TimeEntry[[#This Row],[WkEnd]])</f>
        <v>7</v>
      </c>
      <c r="Q200" s="10" t="str">
        <f>TimeEntry[[#This Row],[Year]]&amp;"-"&amp;TimeEntry[[#This Row],[WkNo]]</f>
        <v>2020-7</v>
      </c>
    </row>
    <row r="201" spans="1:17" ht="30" x14ac:dyDescent="0.25">
      <c r="A201" s="9">
        <f>MOD(IF(ROW()=11,0.1,IF(INDEX(TimeEntry[WkEnd],ROW()-10)            =            INDEX(TimeEntry[WkEnd],ROW()-11),               INDEX(TimeEntry[format],ROW()-11),               INDEX(TimeEntry[format],ROW()-11)    +1)),2)</f>
        <v>0.10000000000000009</v>
      </c>
      <c r="B201" s="14"/>
      <c r="C201" s="7">
        <v>43868</v>
      </c>
      <c r="D201" s="7"/>
      <c r="E201" s="7"/>
      <c r="F201" s="6" t="s">
        <v>40</v>
      </c>
      <c r="G201" s="6"/>
      <c r="H201" s="7">
        <f>IF(TimeEntry[[#This Row],[Date]]=0,H200,C201+(7-N201))</f>
        <v>43870</v>
      </c>
      <c r="I201" s="7">
        <f>TimeEntry[[#This Row],[Date]]</f>
        <v>43868</v>
      </c>
      <c r="J201" s="10" t="str">
        <f>IF(TimeEntry[[#This Row],[Date]]=0,"",TEXT(TimeEntry[[#This Row],[Date]],"ddd"))</f>
        <v>Fri</v>
      </c>
      <c r="K201" s="9" t="str">
        <f>IF(TimeEntry[[#This Row],[Project]]=0,"",INDEX(ProjectsAll[job number],MATCH(TimeEntry[[#This Row],[Project]],ProjectsAll[Project],0)))</f>
        <v>255670-17</v>
      </c>
      <c r="L201" s="6" t="s">
        <v>113</v>
      </c>
      <c r="M201" s="6">
        <v>2</v>
      </c>
      <c r="N201" s="9">
        <f>IF(TimeEntry[[#This Row],[Date]]=0,"",WEEKDAY(C201,2))</f>
        <v>5</v>
      </c>
      <c r="O201" s="10">
        <f>YEAR(TimeEntry[[#This Row],[WkEnd]])</f>
        <v>2020</v>
      </c>
      <c r="P201" s="10">
        <f>WEEKNUM(TimeEntry[[#This Row],[WkEnd]])</f>
        <v>7</v>
      </c>
      <c r="Q201" s="10" t="str">
        <f>TimeEntry[[#This Row],[Year]]&amp;"-"&amp;TimeEntry[[#This Row],[WkNo]]</f>
        <v>2020-7</v>
      </c>
    </row>
    <row r="202" spans="1:17" ht="30" x14ac:dyDescent="0.25">
      <c r="A202" s="9">
        <f>MOD(IF(ROW()=11,0.1,IF(INDEX(TimeEntry[WkEnd],ROW()-10)            =            INDEX(TimeEntry[WkEnd],ROW()-11),               INDEX(TimeEntry[format],ROW()-11),               INDEX(TimeEntry[format],ROW()-11)    +1)),2)</f>
        <v>1.1000000000000001</v>
      </c>
      <c r="B202" s="14"/>
      <c r="C202" s="7">
        <v>43857</v>
      </c>
      <c r="D202" s="7"/>
      <c r="E202" s="7"/>
      <c r="F202" s="6" t="s">
        <v>65</v>
      </c>
      <c r="G202" s="6"/>
      <c r="H202" s="7">
        <f>IF(TimeEntry[[#This Row],[Date]]=0,H201,C202+(7-N202))</f>
        <v>43863</v>
      </c>
      <c r="I202" s="7">
        <f>TimeEntry[[#This Row],[Date]]</f>
        <v>43857</v>
      </c>
      <c r="J202" s="10" t="str">
        <f>IF(TimeEntry[[#This Row],[Date]]=0,"",TEXT(TimeEntry[[#This Row],[Date]],"ddd"))</f>
        <v>Mon</v>
      </c>
      <c r="K202" s="9" t="str">
        <f>IF(TimeEntry[[#This Row],[Project]]=0,"",INDEX(ProjectsAll[job number],MATCH(TimeEntry[[#This Row],[Project]],ProjectsAll[Project],0)))</f>
        <v xml:space="preserve">268017-25 </v>
      </c>
      <c r="L202" s="6" t="s">
        <v>114</v>
      </c>
      <c r="M202" s="6">
        <v>7.5</v>
      </c>
      <c r="N202" s="9">
        <f>IF(TimeEntry[[#This Row],[Date]]=0,"",WEEKDAY(C202,2))</f>
        <v>1</v>
      </c>
      <c r="O202" s="10">
        <f>YEAR(TimeEntry[[#This Row],[WkEnd]])</f>
        <v>2020</v>
      </c>
      <c r="P202" s="10">
        <f>WEEKNUM(TimeEntry[[#This Row],[WkEnd]])</f>
        <v>6</v>
      </c>
      <c r="Q202" s="10" t="str">
        <f>TimeEntry[[#This Row],[Year]]&amp;"-"&amp;TimeEntry[[#This Row],[WkNo]]</f>
        <v>2020-6</v>
      </c>
    </row>
    <row r="203" spans="1:17" ht="30" x14ac:dyDescent="0.25">
      <c r="A203" s="9">
        <f>MOD(IF(ROW()=11,0.1,IF(INDEX(TimeEntry[WkEnd],ROW()-10)            =            INDEX(TimeEntry[WkEnd],ROW()-11),               INDEX(TimeEntry[format],ROW()-11),               INDEX(TimeEntry[format],ROW()-11)    +1)),2)</f>
        <v>1.1000000000000001</v>
      </c>
      <c r="B203" s="14"/>
      <c r="C203" s="7">
        <v>43858</v>
      </c>
      <c r="D203" s="7"/>
      <c r="E203" s="7"/>
      <c r="F203" s="6" t="s">
        <v>90</v>
      </c>
      <c r="G203" s="6"/>
      <c r="H203" s="7">
        <f>IF(TimeEntry[[#This Row],[Date]]=0,H202,C203+(7-N203))</f>
        <v>43863</v>
      </c>
      <c r="I203" s="7">
        <f>TimeEntry[[#This Row],[Date]]</f>
        <v>43858</v>
      </c>
      <c r="J203" s="10" t="str">
        <f>IF(TimeEntry[[#This Row],[Date]]=0,"",TEXT(TimeEntry[[#This Row],[Date]],"ddd"))</f>
        <v>Tue</v>
      </c>
      <c r="K203" s="9" t="str">
        <f>IF(TimeEntry[[#This Row],[Project]]=0,"",INDEX(ProjectsAll[job number],MATCH(TimeEntry[[#This Row],[Project]],ProjectsAll[Project],0)))</f>
        <v>210035-64</v>
      </c>
      <c r="L203" s="6" t="s">
        <v>115</v>
      </c>
      <c r="M203" s="6">
        <v>7.5</v>
      </c>
      <c r="N203" s="9">
        <f>IF(TimeEntry[[#This Row],[Date]]=0,"",WEEKDAY(C203,2))</f>
        <v>2</v>
      </c>
      <c r="O203" s="10">
        <f>YEAR(TimeEntry[[#This Row],[WkEnd]])</f>
        <v>2020</v>
      </c>
      <c r="P203" s="10">
        <f>WEEKNUM(TimeEntry[[#This Row],[WkEnd]])</f>
        <v>6</v>
      </c>
      <c r="Q203" s="10" t="str">
        <f>TimeEntry[[#This Row],[Year]]&amp;"-"&amp;TimeEntry[[#This Row],[WkNo]]</f>
        <v>2020-6</v>
      </c>
    </row>
    <row r="204" spans="1:17" ht="30" x14ac:dyDescent="0.25">
      <c r="A204" s="9">
        <f>MOD(IF(ROW()=11,0.1,IF(INDEX(TimeEntry[WkEnd],ROW()-10)            =            INDEX(TimeEntry[WkEnd],ROW()-11),               INDEX(TimeEntry[format],ROW()-11),               INDEX(TimeEntry[format],ROW()-11)    +1)),2)</f>
        <v>1.1000000000000001</v>
      </c>
      <c r="B204" s="14"/>
      <c r="C204" s="7">
        <v>43859</v>
      </c>
      <c r="D204" s="7"/>
      <c r="E204" s="7"/>
      <c r="F204" s="6" t="s">
        <v>65</v>
      </c>
      <c r="G204" s="6"/>
      <c r="H204" s="7">
        <f>IF(TimeEntry[[#This Row],[Date]]=0,H203,C204+(7-N204))</f>
        <v>43863</v>
      </c>
      <c r="I204" s="7">
        <f>TimeEntry[[#This Row],[Date]]</f>
        <v>43859</v>
      </c>
      <c r="J204" s="10" t="str">
        <f>IF(TimeEntry[[#This Row],[Date]]=0,"",TEXT(TimeEntry[[#This Row],[Date]],"ddd"))</f>
        <v>Wed</v>
      </c>
      <c r="K204" s="9" t="str">
        <f>IF(TimeEntry[[#This Row],[Project]]=0,"",INDEX(ProjectsAll[job number],MATCH(TimeEntry[[#This Row],[Project]],ProjectsAll[Project],0)))</f>
        <v xml:space="preserve">268017-25 </v>
      </c>
      <c r="L204" s="6" t="s">
        <v>114</v>
      </c>
      <c r="M204" s="6">
        <v>5</v>
      </c>
      <c r="N204" s="9">
        <f>IF(TimeEntry[[#This Row],[Date]]=0,"",WEEKDAY(C204,2))</f>
        <v>3</v>
      </c>
      <c r="O204" s="10">
        <f>YEAR(TimeEntry[[#This Row],[WkEnd]])</f>
        <v>2020</v>
      </c>
      <c r="P204" s="10">
        <f>WEEKNUM(TimeEntry[[#This Row],[WkEnd]])</f>
        <v>6</v>
      </c>
      <c r="Q204" s="10" t="str">
        <f>TimeEntry[[#This Row],[Year]]&amp;"-"&amp;TimeEntry[[#This Row],[WkNo]]</f>
        <v>2020-6</v>
      </c>
    </row>
    <row r="205" spans="1:17" ht="30" x14ac:dyDescent="0.25">
      <c r="A205" s="9">
        <f>MOD(IF(ROW()=11,0.1,IF(INDEX(TimeEntry[WkEnd],ROW()-10)            =            INDEX(TimeEntry[WkEnd],ROW()-11),               INDEX(TimeEntry[format],ROW()-11),               INDEX(TimeEntry[format],ROW()-11)    +1)),2)</f>
        <v>1.1000000000000001</v>
      </c>
      <c r="B205" s="14"/>
      <c r="C205" s="7">
        <v>43859</v>
      </c>
      <c r="D205" s="7"/>
      <c r="E205" s="7"/>
      <c r="F205" s="6" t="s">
        <v>40</v>
      </c>
      <c r="G205" s="6"/>
      <c r="H205" s="7">
        <f>IF(TimeEntry[[#This Row],[Date]]=0,H204,C205+(7-N205))</f>
        <v>43863</v>
      </c>
      <c r="I205" s="7">
        <f>TimeEntry[[#This Row],[Date]]</f>
        <v>43859</v>
      </c>
      <c r="J205" s="10" t="str">
        <f>IF(TimeEntry[[#This Row],[Date]]=0,"",TEXT(TimeEntry[[#This Row],[Date]],"ddd"))</f>
        <v>Wed</v>
      </c>
      <c r="K205" s="9" t="str">
        <f>IF(TimeEntry[[#This Row],[Project]]=0,"",INDEX(ProjectsAll[job number],MATCH(TimeEntry[[#This Row],[Project]],ProjectsAll[Project],0)))</f>
        <v>255670-17</v>
      </c>
      <c r="L205" s="6" t="s">
        <v>116</v>
      </c>
      <c r="M205" s="6">
        <v>2.5</v>
      </c>
      <c r="N205" s="9">
        <f>IF(TimeEntry[[#This Row],[Date]]=0,"",WEEKDAY(C205,2))</f>
        <v>3</v>
      </c>
      <c r="O205" s="10">
        <f>YEAR(TimeEntry[[#This Row],[WkEnd]])</f>
        <v>2020</v>
      </c>
      <c r="P205" s="10">
        <f>WEEKNUM(TimeEntry[[#This Row],[WkEnd]])</f>
        <v>6</v>
      </c>
      <c r="Q205" s="10" t="str">
        <f>TimeEntry[[#This Row],[Year]]&amp;"-"&amp;TimeEntry[[#This Row],[WkNo]]</f>
        <v>2020-6</v>
      </c>
    </row>
    <row r="206" spans="1:17" ht="30" x14ac:dyDescent="0.25">
      <c r="A206" s="9">
        <f>MOD(IF(ROW()=11,0.1,IF(INDEX(TimeEntry[WkEnd],ROW()-10)            =            INDEX(TimeEntry[WkEnd],ROW()-11),               INDEX(TimeEntry[format],ROW()-11),               INDEX(TimeEntry[format],ROW()-11)    +1)),2)</f>
        <v>1.1000000000000001</v>
      </c>
      <c r="B206" s="14"/>
      <c r="C206" s="7">
        <v>43860</v>
      </c>
      <c r="D206" s="7"/>
      <c r="E206" s="7"/>
      <c r="F206" s="6" t="s">
        <v>90</v>
      </c>
      <c r="G206" s="6"/>
      <c r="H206" s="7">
        <f>IF(TimeEntry[[#This Row],[Date]]=0,H205,C206+(7-N206))</f>
        <v>43863</v>
      </c>
      <c r="I206" s="7">
        <f>TimeEntry[[#This Row],[Date]]</f>
        <v>43860</v>
      </c>
      <c r="J206" s="10" t="str">
        <f>IF(TimeEntry[[#This Row],[Date]]=0,"",TEXT(TimeEntry[[#This Row],[Date]],"ddd"))</f>
        <v>Thu</v>
      </c>
      <c r="K206" s="9" t="str">
        <f>IF(TimeEntry[[#This Row],[Project]]=0,"",INDEX(ProjectsAll[job number],MATCH(TimeEntry[[#This Row],[Project]],ProjectsAll[Project],0)))</f>
        <v>210035-64</v>
      </c>
      <c r="L206" s="6" t="s">
        <v>117</v>
      </c>
      <c r="M206" s="6">
        <v>7.5</v>
      </c>
      <c r="N206" s="9">
        <f>IF(TimeEntry[[#This Row],[Date]]=0,"",WEEKDAY(C206,2))</f>
        <v>4</v>
      </c>
      <c r="O206" s="10">
        <f>YEAR(TimeEntry[[#This Row],[WkEnd]])</f>
        <v>2020</v>
      </c>
      <c r="P206" s="10">
        <f>WEEKNUM(TimeEntry[[#This Row],[WkEnd]])</f>
        <v>6</v>
      </c>
      <c r="Q206" s="10" t="str">
        <f>TimeEntry[[#This Row],[Year]]&amp;"-"&amp;TimeEntry[[#This Row],[WkNo]]</f>
        <v>2020-6</v>
      </c>
    </row>
    <row r="207" spans="1:17" ht="30" x14ac:dyDescent="0.25">
      <c r="A207" s="9">
        <f>MOD(IF(ROW()=11,0.1,IF(INDEX(TimeEntry[WkEnd],ROW()-10)            =            INDEX(TimeEntry[WkEnd],ROW()-11),               INDEX(TimeEntry[format],ROW()-11),               INDEX(TimeEntry[format],ROW()-11)    +1)),2)</f>
        <v>1.1000000000000001</v>
      </c>
      <c r="B207" s="14"/>
      <c r="C207" s="7">
        <v>43861</v>
      </c>
      <c r="D207" s="7"/>
      <c r="E207" s="7"/>
      <c r="F207" s="6" t="s">
        <v>65</v>
      </c>
      <c r="G207" s="6"/>
      <c r="H207" s="7">
        <f>IF(TimeEntry[[#This Row],[Date]]=0,H206,C207+(7-N207))</f>
        <v>43863</v>
      </c>
      <c r="I207" s="7">
        <f>TimeEntry[[#This Row],[Date]]</f>
        <v>43861</v>
      </c>
      <c r="J207" s="10" t="str">
        <f>IF(TimeEntry[[#This Row],[Date]]=0,"",TEXT(TimeEntry[[#This Row],[Date]],"ddd"))</f>
        <v>Fri</v>
      </c>
      <c r="K207" s="9" t="str">
        <f>IF(TimeEntry[[#This Row],[Project]]=0,"",INDEX(ProjectsAll[job number],MATCH(TimeEntry[[#This Row],[Project]],ProjectsAll[Project],0)))</f>
        <v xml:space="preserve">268017-25 </v>
      </c>
      <c r="L207" s="6" t="s">
        <v>118</v>
      </c>
      <c r="M207" s="6">
        <v>7.5</v>
      </c>
      <c r="N207" s="9">
        <f>IF(TimeEntry[[#This Row],[Date]]=0,"",WEEKDAY(C207,2))</f>
        <v>5</v>
      </c>
      <c r="O207" s="10">
        <f>YEAR(TimeEntry[[#This Row],[WkEnd]])</f>
        <v>2020</v>
      </c>
      <c r="P207" s="10">
        <f>WEEKNUM(TimeEntry[[#This Row],[WkEnd]])</f>
        <v>6</v>
      </c>
      <c r="Q207" s="10" t="str">
        <f>TimeEntry[[#This Row],[Year]]&amp;"-"&amp;TimeEntry[[#This Row],[WkNo]]</f>
        <v>2020-6</v>
      </c>
    </row>
    <row r="208" spans="1:17" ht="30" x14ac:dyDescent="0.25">
      <c r="A208" s="9">
        <f>MOD(IF(ROW()=11,0.1,IF(INDEX(TimeEntry[WkEnd],ROW()-10)            =            INDEX(TimeEntry[WkEnd],ROW()-11),               INDEX(TimeEntry[format],ROW()-11),               INDEX(TimeEntry[format],ROW()-11)    +1)),2)</f>
        <v>0.10000000000000009</v>
      </c>
      <c r="B208" s="14"/>
      <c r="C208" s="7">
        <v>43854</v>
      </c>
      <c r="D208" s="7"/>
      <c r="E208" s="7"/>
      <c r="F208" s="6" t="s">
        <v>65</v>
      </c>
      <c r="G208" s="6"/>
      <c r="H208" s="7">
        <f>IF(TimeEntry[[#This Row],[Date]]=0,H207,C208+(7-N208))</f>
        <v>43856</v>
      </c>
      <c r="I208" s="7">
        <f>TimeEntry[[#This Row],[Date]]</f>
        <v>43854</v>
      </c>
      <c r="J208" s="10" t="str">
        <f>IF(TimeEntry[[#This Row],[Date]]=0,"",TEXT(TimeEntry[[#This Row],[Date]],"ddd"))</f>
        <v>Fri</v>
      </c>
      <c r="K208" s="9" t="str">
        <f>IF(TimeEntry[[#This Row],[Project]]=0,"",INDEX(ProjectsAll[job number],MATCH(TimeEntry[[#This Row],[Project]],ProjectsAll[Project],0)))</f>
        <v xml:space="preserve">268017-25 </v>
      </c>
      <c r="L208" s="6" t="s">
        <v>114</v>
      </c>
      <c r="M208" s="6">
        <v>7.5</v>
      </c>
      <c r="N208" s="9">
        <f>IF(TimeEntry[[#This Row],[Date]]=0,"",WEEKDAY(C208,2))</f>
        <v>5</v>
      </c>
      <c r="O208" s="10">
        <f>YEAR(TimeEntry[[#This Row],[WkEnd]])</f>
        <v>2020</v>
      </c>
      <c r="P208" s="10">
        <f>WEEKNUM(TimeEntry[[#This Row],[WkEnd]])</f>
        <v>5</v>
      </c>
      <c r="Q208" s="10" t="str">
        <f>TimeEntry[[#This Row],[Year]]&amp;"-"&amp;TimeEntry[[#This Row],[WkNo]]</f>
        <v>2020-5</v>
      </c>
    </row>
    <row r="209" spans="1:17" ht="30" x14ac:dyDescent="0.25">
      <c r="A209" s="9">
        <f>MOD(IF(ROW()=11,0.1,IF(INDEX(TimeEntry[WkEnd],ROW()-10)            =            INDEX(TimeEntry[WkEnd],ROW()-11),               INDEX(TimeEntry[format],ROW()-11),               INDEX(TimeEntry[format],ROW()-11)    +1)),2)</f>
        <v>0.10000000000000009</v>
      </c>
      <c r="B209" s="14"/>
      <c r="C209" s="7">
        <v>43853</v>
      </c>
      <c r="D209" s="7"/>
      <c r="E209" s="7"/>
      <c r="F209" s="6" t="s">
        <v>90</v>
      </c>
      <c r="G209" s="6"/>
      <c r="H209" s="7">
        <f>IF(TimeEntry[[#This Row],[Date]]=0,H208,C209+(7-N209))</f>
        <v>43856</v>
      </c>
      <c r="I209" s="7">
        <f>TimeEntry[[#This Row],[Date]]</f>
        <v>43853</v>
      </c>
      <c r="J209" s="10" t="str">
        <f>IF(TimeEntry[[#This Row],[Date]]=0,"",TEXT(TimeEntry[[#This Row],[Date]],"ddd"))</f>
        <v>Thu</v>
      </c>
      <c r="K209" s="9" t="str">
        <f>IF(TimeEntry[[#This Row],[Project]]=0,"",INDEX(ProjectsAll[job number],MATCH(TimeEntry[[#This Row],[Project]],ProjectsAll[Project],0)))</f>
        <v>210035-64</v>
      </c>
      <c r="L209" s="6" t="s">
        <v>115</v>
      </c>
      <c r="M209" s="6">
        <v>7.5</v>
      </c>
      <c r="N209" s="9">
        <f>IF(TimeEntry[[#This Row],[Date]]=0,"",WEEKDAY(C209,2))</f>
        <v>4</v>
      </c>
      <c r="O209" s="10">
        <f>YEAR(TimeEntry[[#This Row],[WkEnd]])</f>
        <v>2020</v>
      </c>
      <c r="P209" s="10">
        <f>WEEKNUM(TimeEntry[[#This Row],[WkEnd]])</f>
        <v>5</v>
      </c>
      <c r="Q209" s="10" t="str">
        <f>TimeEntry[[#This Row],[Year]]&amp;"-"&amp;TimeEntry[[#This Row],[WkNo]]</f>
        <v>2020-5</v>
      </c>
    </row>
    <row r="210" spans="1:17" ht="30" x14ac:dyDescent="0.25">
      <c r="A210" s="9">
        <f>MOD(IF(ROW()=11,0.1,IF(INDEX(TimeEntry[WkEnd],ROW()-10)            =            INDEX(TimeEntry[WkEnd],ROW()-11),               INDEX(TimeEntry[format],ROW()-11),               INDEX(TimeEntry[format],ROW()-11)    +1)),2)</f>
        <v>0.10000000000000009</v>
      </c>
      <c r="B210" s="14"/>
      <c r="C210" s="7">
        <v>43852</v>
      </c>
      <c r="D210" s="7"/>
      <c r="E210" s="7"/>
      <c r="F210" s="6" t="s">
        <v>90</v>
      </c>
      <c r="G210" s="6"/>
      <c r="H210" s="7">
        <f>IF(TimeEntry[[#This Row],[Date]]=0,H209,C210+(7-N210))</f>
        <v>43856</v>
      </c>
      <c r="I210" s="7">
        <f>TimeEntry[[#This Row],[Date]]</f>
        <v>43852</v>
      </c>
      <c r="J210" s="10" t="str">
        <f>IF(TimeEntry[[#This Row],[Date]]=0,"",TEXT(TimeEntry[[#This Row],[Date]],"ddd"))</f>
        <v>Wed</v>
      </c>
      <c r="K210" s="9" t="str">
        <f>IF(TimeEntry[[#This Row],[Project]]=0,"",INDEX(ProjectsAll[job number],MATCH(TimeEntry[[#This Row],[Project]],ProjectsAll[Project],0)))</f>
        <v>210035-64</v>
      </c>
      <c r="L210" s="6" t="s">
        <v>119</v>
      </c>
      <c r="M210" s="6">
        <v>7.5</v>
      </c>
      <c r="N210" s="9">
        <f>IF(TimeEntry[[#This Row],[Date]]=0,"",WEEKDAY(C210,2))</f>
        <v>3</v>
      </c>
      <c r="O210" s="10">
        <f>YEAR(TimeEntry[[#This Row],[WkEnd]])</f>
        <v>2020</v>
      </c>
      <c r="P210" s="10">
        <f>WEEKNUM(TimeEntry[[#This Row],[WkEnd]])</f>
        <v>5</v>
      </c>
      <c r="Q210" s="10" t="str">
        <f>TimeEntry[[#This Row],[Year]]&amp;"-"&amp;TimeEntry[[#This Row],[WkNo]]</f>
        <v>2020-5</v>
      </c>
    </row>
    <row r="211" spans="1:17" ht="30" x14ac:dyDescent="0.25">
      <c r="A211" s="9">
        <f>MOD(IF(ROW()=11,0.1,IF(INDEX(TimeEntry[WkEnd],ROW()-10)            =            INDEX(TimeEntry[WkEnd],ROW()-11),               INDEX(TimeEntry[format],ROW()-11),               INDEX(TimeEntry[format],ROW()-11)    +1)),2)</f>
        <v>0.10000000000000009</v>
      </c>
      <c r="B211" s="14"/>
      <c r="C211" s="7">
        <v>43851</v>
      </c>
      <c r="D211" s="7"/>
      <c r="E211" s="7"/>
      <c r="F211" s="6" t="s">
        <v>65</v>
      </c>
      <c r="G211" s="6"/>
      <c r="H211" s="7">
        <f>IF(TimeEntry[[#This Row],[Date]]=0,H210,C211+(7-N211))</f>
        <v>43856</v>
      </c>
      <c r="I211" s="7">
        <f>TimeEntry[[#This Row],[Date]]</f>
        <v>43851</v>
      </c>
      <c r="J211" s="10" t="str">
        <f>IF(TimeEntry[[#This Row],[Date]]=0,"",TEXT(TimeEntry[[#This Row],[Date]],"ddd"))</f>
        <v>Tue</v>
      </c>
      <c r="K211" s="9" t="str">
        <f>IF(TimeEntry[[#This Row],[Project]]=0,"",INDEX(ProjectsAll[job number],MATCH(TimeEntry[[#This Row],[Project]],ProjectsAll[Project],0)))</f>
        <v xml:space="preserve">268017-25 </v>
      </c>
      <c r="L211" s="6" t="s">
        <v>114</v>
      </c>
      <c r="M211" s="6">
        <v>7.5</v>
      </c>
      <c r="N211" s="9">
        <f>IF(TimeEntry[[#This Row],[Date]]=0,"",WEEKDAY(C211,2))</f>
        <v>2</v>
      </c>
      <c r="O211" s="10">
        <f>YEAR(TimeEntry[[#This Row],[WkEnd]])</f>
        <v>2020</v>
      </c>
      <c r="P211" s="10">
        <f>WEEKNUM(TimeEntry[[#This Row],[WkEnd]])</f>
        <v>5</v>
      </c>
      <c r="Q211" s="10" t="str">
        <f>TimeEntry[[#This Row],[Year]]&amp;"-"&amp;TimeEntry[[#This Row],[WkNo]]</f>
        <v>2020-5</v>
      </c>
    </row>
    <row r="212" spans="1:17" ht="30" x14ac:dyDescent="0.25">
      <c r="A212" s="9">
        <f>MOD(IF(ROW()=11,0.1,IF(INDEX(TimeEntry[WkEnd],ROW()-10)            =            INDEX(TimeEntry[WkEnd],ROW()-11),               INDEX(TimeEntry[format],ROW()-11),               INDEX(TimeEntry[format],ROW()-11)    +1)),2)</f>
        <v>0.10000000000000009</v>
      </c>
      <c r="B212" s="14"/>
      <c r="C212" s="7">
        <v>43850</v>
      </c>
      <c r="D212" s="7"/>
      <c r="E212" s="7"/>
      <c r="F212" s="6" t="s">
        <v>65</v>
      </c>
      <c r="G212" s="6"/>
      <c r="H212" s="7">
        <f>IF(TimeEntry[[#This Row],[Date]]=0,H211,C212+(7-N212))</f>
        <v>43856</v>
      </c>
      <c r="I212" s="7">
        <f>TimeEntry[[#This Row],[Date]]</f>
        <v>43850</v>
      </c>
      <c r="J212" s="10" t="str">
        <f>IF(TimeEntry[[#This Row],[Date]]=0,"",TEXT(TimeEntry[[#This Row],[Date]],"ddd"))</f>
        <v>Mon</v>
      </c>
      <c r="K212" s="9" t="str">
        <f>IF(TimeEntry[[#This Row],[Project]]=0,"",INDEX(ProjectsAll[job number],MATCH(TimeEntry[[#This Row],[Project]],ProjectsAll[Project],0)))</f>
        <v xml:space="preserve">268017-25 </v>
      </c>
      <c r="L212" s="6" t="s">
        <v>114</v>
      </c>
      <c r="M212" s="6">
        <v>7.5</v>
      </c>
      <c r="N212" s="9">
        <f>IF(TimeEntry[[#This Row],[Date]]=0,"",WEEKDAY(C212,2))</f>
        <v>1</v>
      </c>
      <c r="O212" s="10">
        <f>YEAR(TimeEntry[[#This Row],[WkEnd]])</f>
        <v>2020</v>
      </c>
      <c r="P212" s="10">
        <f>WEEKNUM(TimeEntry[[#This Row],[WkEnd]])</f>
        <v>5</v>
      </c>
      <c r="Q212" s="10" t="str">
        <f>TimeEntry[[#This Row],[Year]]&amp;"-"&amp;TimeEntry[[#This Row],[WkNo]]</f>
        <v>2020-5</v>
      </c>
    </row>
    <row r="213" spans="1:17" ht="30" x14ac:dyDescent="0.25">
      <c r="A213" s="9">
        <f>MOD(IF(ROW()=11,0.1,IF(INDEX(TimeEntry[WkEnd],ROW()-10)            =            INDEX(TimeEntry[WkEnd],ROW()-11),               INDEX(TimeEntry[format],ROW()-11),               INDEX(TimeEntry[format],ROW()-11)    +1)),2)</f>
        <v>1.1000000000000001</v>
      </c>
      <c r="B213" s="14"/>
      <c r="C213" s="7">
        <v>43847</v>
      </c>
      <c r="D213" s="7"/>
      <c r="E213" s="7"/>
      <c r="F213" s="6" t="s">
        <v>65</v>
      </c>
      <c r="G213" s="6"/>
      <c r="H213" s="7">
        <f>IF(TimeEntry[[#This Row],[Date]]=0,H212,C213+(7-N213))</f>
        <v>43849</v>
      </c>
      <c r="I213" s="7">
        <f>TimeEntry[[#This Row],[Date]]</f>
        <v>43847</v>
      </c>
      <c r="J213" s="10" t="str">
        <f>IF(TimeEntry[[#This Row],[Date]]=0,"",TEXT(TimeEntry[[#This Row],[Date]],"ddd"))</f>
        <v>Fri</v>
      </c>
      <c r="K213" s="9" t="str">
        <f>IF(TimeEntry[[#This Row],[Project]]=0,"",INDEX(ProjectsAll[job number],MATCH(TimeEntry[[#This Row],[Project]],ProjectsAll[Project],0)))</f>
        <v xml:space="preserve">268017-25 </v>
      </c>
      <c r="L213" s="6" t="s">
        <v>120</v>
      </c>
      <c r="M213" s="6">
        <v>7.5</v>
      </c>
      <c r="N213" s="9">
        <f>IF(TimeEntry[[#This Row],[Date]]=0,"",WEEKDAY(C213,2))</f>
        <v>5</v>
      </c>
      <c r="O213" s="10">
        <f>YEAR(TimeEntry[[#This Row],[WkEnd]])</f>
        <v>2020</v>
      </c>
      <c r="P213" s="10">
        <f>WEEKNUM(TimeEntry[[#This Row],[WkEnd]])</f>
        <v>4</v>
      </c>
      <c r="Q213" s="10" t="str">
        <f>TimeEntry[[#This Row],[Year]]&amp;"-"&amp;TimeEntry[[#This Row],[WkNo]]</f>
        <v>2020-4</v>
      </c>
    </row>
    <row r="214" spans="1:17" ht="30" x14ac:dyDescent="0.25">
      <c r="A214" s="9">
        <f>MOD(IF(ROW()=11,0.1,IF(INDEX(TimeEntry[WkEnd],ROW()-10)            =            INDEX(TimeEntry[WkEnd],ROW()-11),               INDEX(TimeEntry[format],ROW()-11),               INDEX(TimeEntry[format],ROW()-11)    +1)),2)</f>
        <v>1.1000000000000001</v>
      </c>
      <c r="B214" s="14"/>
      <c r="C214" s="7">
        <v>43846</v>
      </c>
      <c r="D214" s="7"/>
      <c r="E214" s="7"/>
      <c r="F214" s="6" t="s">
        <v>65</v>
      </c>
      <c r="G214" s="6"/>
      <c r="H214" s="7">
        <f>IF(TimeEntry[[#This Row],[Date]]=0,H213,C214+(7-N214))</f>
        <v>43849</v>
      </c>
      <c r="I214" s="7">
        <f>TimeEntry[[#This Row],[Date]]</f>
        <v>43846</v>
      </c>
      <c r="J214" s="10" t="str">
        <f>IF(TimeEntry[[#This Row],[Date]]=0,"",TEXT(TimeEntry[[#This Row],[Date]],"ddd"))</f>
        <v>Thu</v>
      </c>
      <c r="K214" s="9" t="str">
        <f>IF(TimeEntry[[#This Row],[Project]]=0,"",INDEX(ProjectsAll[job number],MATCH(TimeEntry[[#This Row],[Project]],ProjectsAll[Project],0)))</f>
        <v xml:space="preserve">268017-25 </v>
      </c>
      <c r="L214" s="6" t="s">
        <v>120</v>
      </c>
      <c r="M214" s="6">
        <v>7.5</v>
      </c>
      <c r="N214" s="9">
        <f>IF(TimeEntry[[#This Row],[Date]]=0,"",WEEKDAY(C214,2))</f>
        <v>4</v>
      </c>
      <c r="O214" s="10">
        <f>YEAR(TimeEntry[[#This Row],[WkEnd]])</f>
        <v>2020</v>
      </c>
      <c r="P214" s="10">
        <f>WEEKNUM(TimeEntry[[#This Row],[WkEnd]])</f>
        <v>4</v>
      </c>
      <c r="Q214" s="10" t="str">
        <f>TimeEntry[[#This Row],[Year]]&amp;"-"&amp;TimeEntry[[#This Row],[WkNo]]</f>
        <v>2020-4</v>
      </c>
    </row>
    <row r="215" spans="1:17" ht="30" x14ac:dyDescent="0.25">
      <c r="A215" s="9">
        <f>MOD(IF(ROW()=11,0.1,IF(INDEX(TimeEntry[WkEnd],ROW()-10)            =            INDEX(TimeEntry[WkEnd],ROW()-11),               INDEX(TimeEntry[format],ROW()-11),               INDEX(TimeEntry[format],ROW()-11)    +1)),2)</f>
        <v>1.1000000000000001</v>
      </c>
      <c r="B215" s="14"/>
      <c r="C215" s="7">
        <v>43845</v>
      </c>
      <c r="D215" s="7"/>
      <c r="E215" s="7"/>
      <c r="F215" s="6" t="s">
        <v>90</v>
      </c>
      <c r="G215" s="6"/>
      <c r="H215" s="7">
        <f>IF(TimeEntry[[#This Row],[Date]]=0,H214,C215+(7-N215))</f>
        <v>43849</v>
      </c>
      <c r="I215" s="7">
        <f>TimeEntry[[#This Row],[Date]]</f>
        <v>43845</v>
      </c>
      <c r="J215" s="10" t="str">
        <f>IF(TimeEntry[[#This Row],[Date]]=0,"",TEXT(TimeEntry[[#This Row],[Date]],"ddd"))</f>
        <v>Wed</v>
      </c>
      <c r="K215" s="9" t="str">
        <f>IF(TimeEntry[[#This Row],[Project]]=0,"",INDEX(ProjectsAll[job number],MATCH(TimeEntry[[#This Row],[Project]],ProjectsAll[Project],0)))</f>
        <v>210035-64</v>
      </c>
      <c r="L215" s="6" t="s">
        <v>121</v>
      </c>
      <c r="M215" s="6">
        <v>7.5</v>
      </c>
      <c r="N215" s="9">
        <f>IF(TimeEntry[[#This Row],[Date]]=0,"",WEEKDAY(C215,2))</f>
        <v>3</v>
      </c>
      <c r="O215" s="10">
        <f>YEAR(TimeEntry[[#This Row],[WkEnd]])</f>
        <v>2020</v>
      </c>
      <c r="P215" s="10">
        <f>WEEKNUM(TimeEntry[[#This Row],[WkEnd]])</f>
        <v>4</v>
      </c>
      <c r="Q215" s="10" t="str">
        <f>TimeEntry[[#This Row],[Year]]&amp;"-"&amp;TimeEntry[[#This Row],[WkNo]]</f>
        <v>2020-4</v>
      </c>
    </row>
    <row r="216" spans="1:17" ht="30" x14ac:dyDescent="0.25">
      <c r="A216" s="9">
        <f>MOD(IF(ROW()=11,0.1,IF(INDEX(TimeEntry[WkEnd],ROW()-10)            =            INDEX(TimeEntry[WkEnd],ROW()-11),               INDEX(TimeEntry[format],ROW()-11),               INDEX(TimeEntry[format],ROW()-11)    +1)),2)</f>
        <v>1.1000000000000001</v>
      </c>
      <c r="B216" s="14"/>
      <c r="C216" s="7">
        <v>43844</v>
      </c>
      <c r="D216" s="7"/>
      <c r="E216" s="7"/>
      <c r="F216" s="6" t="s">
        <v>65</v>
      </c>
      <c r="G216" s="6"/>
      <c r="H216" s="7">
        <f>IF(TimeEntry[[#This Row],[Date]]=0,H215,C216+(7-N216))</f>
        <v>43849</v>
      </c>
      <c r="I216" s="7">
        <f>TimeEntry[[#This Row],[Date]]</f>
        <v>43844</v>
      </c>
      <c r="J216" s="10" t="str">
        <f>IF(TimeEntry[[#This Row],[Date]]=0,"",TEXT(TimeEntry[[#This Row],[Date]],"ddd"))</f>
        <v>Tue</v>
      </c>
      <c r="K216" s="9" t="str">
        <f>IF(TimeEntry[[#This Row],[Project]]=0,"",INDEX(ProjectsAll[job number],MATCH(TimeEntry[[#This Row],[Project]],ProjectsAll[Project],0)))</f>
        <v xml:space="preserve">268017-25 </v>
      </c>
      <c r="L216" s="6" t="s">
        <v>120</v>
      </c>
      <c r="M216" s="6">
        <v>7.5</v>
      </c>
      <c r="N216" s="9">
        <f>IF(TimeEntry[[#This Row],[Date]]=0,"",WEEKDAY(C216,2))</f>
        <v>2</v>
      </c>
      <c r="O216" s="10">
        <f>YEAR(TimeEntry[[#This Row],[WkEnd]])</f>
        <v>2020</v>
      </c>
      <c r="P216" s="10">
        <f>WEEKNUM(TimeEntry[[#This Row],[WkEnd]])</f>
        <v>4</v>
      </c>
      <c r="Q216" s="10" t="str">
        <f>TimeEntry[[#This Row],[Year]]&amp;"-"&amp;TimeEntry[[#This Row],[WkNo]]</f>
        <v>2020-4</v>
      </c>
    </row>
    <row r="217" spans="1:17" ht="30" x14ac:dyDescent="0.25">
      <c r="A217" s="9">
        <f>MOD(IF(ROW()=11,0.1,IF(INDEX(TimeEntry[WkEnd],ROW()-10)            =            INDEX(TimeEntry[WkEnd],ROW()-11),               INDEX(TimeEntry[format],ROW()-11),               INDEX(TimeEntry[format],ROW()-11)    +1)),2)</f>
        <v>1.1000000000000001</v>
      </c>
      <c r="B217" s="14"/>
      <c r="C217" s="7">
        <v>43843</v>
      </c>
      <c r="D217" s="7"/>
      <c r="E217" s="7"/>
      <c r="F217" s="6" t="s">
        <v>65</v>
      </c>
      <c r="G217" s="6"/>
      <c r="H217" s="7">
        <f>IF(TimeEntry[[#This Row],[Date]]=0,H216,C217+(7-N217))</f>
        <v>43849</v>
      </c>
      <c r="I217" s="7">
        <f>TimeEntry[[#This Row],[Date]]</f>
        <v>43843</v>
      </c>
      <c r="J217" s="10" t="str">
        <f>IF(TimeEntry[[#This Row],[Date]]=0,"",TEXT(TimeEntry[[#This Row],[Date]],"ddd"))</f>
        <v>Mon</v>
      </c>
      <c r="K217" s="9" t="str">
        <f>IF(TimeEntry[[#This Row],[Project]]=0,"",INDEX(ProjectsAll[job number],MATCH(TimeEntry[[#This Row],[Project]],ProjectsAll[Project],0)))</f>
        <v xml:space="preserve">268017-25 </v>
      </c>
      <c r="L217" s="6" t="s">
        <v>120</v>
      </c>
      <c r="M217" s="6">
        <v>7.5</v>
      </c>
      <c r="N217" s="9">
        <f>IF(TimeEntry[[#This Row],[Date]]=0,"",WEEKDAY(C217,2))</f>
        <v>1</v>
      </c>
      <c r="O217" s="10">
        <f>YEAR(TimeEntry[[#This Row],[WkEnd]])</f>
        <v>2020</v>
      </c>
      <c r="P217" s="10">
        <f>WEEKNUM(TimeEntry[[#This Row],[WkEnd]])</f>
        <v>4</v>
      </c>
      <c r="Q217" s="10" t="str">
        <f>TimeEntry[[#This Row],[Year]]&amp;"-"&amp;TimeEntry[[#This Row],[WkNo]]</f>
        <v>2020-4</v>
      </c>
    </row>
    <row r="218" spans="1:17" ht="30" x14ac:dyDescent="0.25">
      <c r="A218" s="9">
        <f>MOD(IF(ROW()=11,0.1,IF(INDEX(TimeEntry[WkEnd],ROW()-10)            =            INDEX(TimeEntry[WkEnd],ROW()-11),               INDEX(TimeEntry[format],ROW()-11),               INDEX(TimeEntry[format],ROW()-11)    +1)),2)</f>
        <v>0.10000000000000009</v>
      </c>
      <c r="B218" s="14"/>
      <c r="C218" s="7">
        <v>43840</v>
      </c>
      <c r="D218" s="7"/>
      <c r="E218" s="7"/>
      <c r="F218" s="6" t="s">
        <v>65</v>
      </c>
      <c r="G218" s="6"/>
      <c r="H218" s="7">
        <f>IF(TimeEntry[[#This Row],[Date]]=0,H217,C218+(7-N218))</f>
        <v>43842</v>
      </c>
      <c r="I218" s="7">
        <f>TimeEntry[[#This Row],[Date]]</f>
        <v>43840</v>
      </c>
      <c r="J218" s="10" t="str">
        <f>IF(TimeEntry[[#This Row],[Date]]=0,"",TEXT(TimeEntry[[#This Row],[Date]],"ddd"))</f>
        <v>Fri</v>
      </c>
      <c r="K218" s="9" t="str">
        <f>IF(TimeEntry[[#This Row],[Project]]=0,"",INDEX(ProjectsAll[job number],MATCH(TimeEntry[[#This Row],[Project]],ProjectsAll[Project],0)))</f>
        <v xml:space="preserve">268017-25 </v>
      </c>
      <c r="L218" s="6" t="s">
        <v>120</v>
      </c>
      <c r="M218" s="6">
        <v>7.5</v>
      </c>
      <c r="N218" s="9">
        <f>IF(TimeEntry[[#This Row],[Date]]=0,"",WEEKDAY(C218,2))</f>
        <v>5</v>
      </c>
      <c r="O218" s="10">
        <f>YEAR(TimeEntry[[#This Row],[WkEnd]])</f>
        <v>2020</v>
      </c>
      <c r="P218" s="10">
        <f>WEEKNUM(TimeEntry[[#This Row],[WkEnd]])</f>
        <v>3</v>
      </c>
      <c r="Q218" s="10" t="str">
        <f>TimeEntry[[#This Row],[Year]]&amp;"-"&amp;TimeEntry[[#This Row],[WkNo]]</f>
        <v>2020-3</v>
      </c>
    </row>
    <row r="219" spans="1:17" ht="30" x14ac:dyDescent="0.25">
      <c r="A219" s="9">
        <f>MOD(IF(ROW()=11,0.1,IF(INDEX(TimeEntry[WkEnd],ROW()-10)            =            INDEX(TimeEntry[WkEnd],ROW()-11),               INDEX(TimeEntry[format],ROW()-11),               INDEX(TimeEntry[format],ROW()-11)    +1)),2)</f>
        <v>0.10000000000000009</v>
      </c>
      <c r="B219" s="14"/>
      <c r="C219" s="7">
        <v>43839</v>
      </c>
      <c r="D219" s="7"/>
      <c r="E219" s="7"/>
      <c r="F219" s="6" t="s">
        <v>65</v>
      </c>
      <c r="G219" s="6"/>
      <c r="H219" s="7">
        <f>IF(TimeEntry[[#This Row],[Date]]=0,H218,C219+(7-N219))</f>
        <v>43842</v>
      </c>
      <c r="I219" s="7">
        <f>TimeEntry[[#This Row],[Date]]</f>
        <v>43839</v>
      </c>
      <c r="J219" s="10" t="str">
        <f>IF(TimeEntry[[#This Row],[Date]]=0,"",TEXT(TimeEntry[[#This Row],[Date]],"ddd"))</f>
        <v>Thu</v>
      </c>
      <c r="K219" s="9" t="str">
        <f>IF(TimeEntry[[#This Row],[Project]]=0,"",INDEX(ProjectsAll[job number],MATCH(TimeEntry[[#This Row],[Project]],ProjectsAll[Project],0)))</f>
        <v xml:space="preserve">268017-25 </v>
      </c>
      <c r="L219" s="6" t="s">
        <v>120</v>
      </c>
      <c r="M219" s="6">
        <v>3.75</v>
      </c>
      <c r="N219" s="9">
        <f>IF(TimeEntry[[#This Row],[Date]]=0,"",WEEKDAY(C219,2))</f>
        <v>4</v>
      </c>
      <c r="O219" s="10">
        <f>YEAR(TimeEntry[[#This Row],[WkEnd]])</f>
        <v>2020</v>
      </c>
      <c r="P219" s="10">
        <f>WEEKNUM(TimeEntry[[#This Row],[WkEnd]])</f>
        <v>3</v>
      </c>
      <c r="Q219" s="10" t="str">
        <f>TimeEntry[[#This Row],[Year]]&amp;"-"&amp;TimeEntry[[#This Row],[WkNo]]</f>
        <v>2020-3</v>
      </c>
    </row>
    <row r="220" spans="1:17" ht="30" x14ac:dyDescent="0.25">
      <c r="A220" s="9">
        <f>MOD(IF(ROW()=11,0.1,IF(INDEX(TimeEntry[WkEnd],ROW()-10)            =            INDEX(TimeEntry[WkEnd],ROW()-11),               INDEX(TimeEntry[format],ROW()-11),               INDEX(TimeEntry[format],ROW()-11)    +1)),2)</f>
        <v>0.10000000000000009</v>
      </c>
      <c r="B220" s="14"/>
      <c r="C220" s="7">
        <v>43839</v>
      </c>
      <c r="D220" s="7"/>
      <c r="E220" s="7"/>
      <c r="F220" s="6" t="s">
        <v>88</v>
      </c>
      <c r="G220" s="6"/>
      <c r="H220" s="7">
        <f>IF(TimeEntry[[#This Row],[Date]]=0,H219,C220+(7-N220))</f>
        <v>43842</v>
      </c>
      <c r="I220" s="7">
        <f>TimeEntry[[#This Row],[Date]]</f>
        <v>43839</v>
      </c>
      <c r="J220" s="10" t="str">
        <f>IF(TimeEntry[[#This Row],[Date]]=0,"",TEXT(TimeEntry[[#This Row],[Date]],"ddd"))</f>
        <v>Thu</v>
      </c>
      <c r="K220" s="9" t="str">
        <f>IF(TimeEntry[[#This Row],[Project]]=0,"",INDEX(ProjectsAll[job number],MATCH(TimeEntry[[#This Row],[Project]],ProjectsAll[Project],0)))</f>
        <v>210035-51</v>
      </c>
      <c r="L220" s="6" t="s">
        <v>122</v>
      </c>
      <c r="M220" s="6">
        <v>3.75</v>
      </c>
      <c r="N220" s="9">
        <f>IF(TimeEntry[[#This Row],[Date]]=0,"",WEEKDAY(C220,2))</f>
        <v>4</v>
      </c>
      <c r="O220" s="10">
        <f>YEAR(TimeEntry[[#This Row],[WkEnd]])</f>
        <v>2020</v>
      </c>
      <c r="P220" s="10">
        <f>WEEKNUM(TimeEntry[[#This Row],[WkEnd]])</f>
        <v>3</v>
      </c>
      <c r="Q220" s="10" t="str">
        <f>TimeEntry[[#This Row],[Year]]&amp;"-"&amp;TimeEntry[[#This Row],[WkNo]]</f>
        <v>2020-3</v>
      </c>
    </row>
    <row r="221" spans="1:17" ht="30" x14ac:dyDescent="0.25">
      <c r="A221" s="9">
        <f>MOD(IF(ROW()=11,0.1,IF(INDEX(TimeEntry[WkEnd],ROW()-10)            =            INDEX(TimeEntry[WkEnd],ROW()-11),               INDEX(TimeEntry[format],ROW()-11),               INDEX(TimeEntry[format],ROW()-11)    +1)),2)</f>
        <v>0.10000000000000009</v>
      </c>
      <c r="B221" s="14"/>
      <c r="C221" s="7">
        <v>43838</v>
      </c>
      <c r="D221" s="7"/>
      <c r="E221" s="7"/>
      <c r="F221" s="6" t="s">
        <v>88</v>
      </c>
      <c r="G221" s="6"/>
      <c r="H221" s="7">
        <f>IF(TimeEntry[[#This Row],[Date]]=0,H220,C221+(7-N221))</f>
        <v>43842</v>
      </c>
      <c r="I221" s="7">
        <f>TimeEntry[[#This Row],[Date]]</f>
        <v>43838</v>
      </c>
      <c r="J221" s="10" t="str">
        <f>IF(TimeEntry[[#This Row],[Date]]=0,"",TEXT(TimeEntry[[#This Row],[Date]],"ddd"))</f>
        <v>Wed</v>
      </c>
      <c r="K221" s="9" t="str">
        <f>IF(TimeEntry[[#This Row],[Project]]=0,"",INDEX(ProjectsAll[job number],MATCH(TimeEntry[[#This Row],[Project]],ProjectsAll[Project],0)))</f>
        <v>210035-51</v>
      </c>
      <c r="L221" s="9" t="e">
        <f>IF(TimeEntry[[#This Row],[Project]]=0,"",INDEX(#REF!,MATCH(TimeEntry[[#This Row],[Project]],#REF!,0)))</f>
        <v>#REF!</v>
      </c>
      <c r="M221" s="6">
        <v>7.5</v>
      </c>
      <c r="N221" s="9">
        <f>IF(TimeEntry[[#This Row],[Date]]=0,"",WEEKDAY(C221,2))</f>
        <v>3</v>
      </c>
      <c r="O221" s="10">
        <f>YEAR(TimeEntry[[#This Row],[WkEnd]])</f>
        <v>2020</v>
      </c>
      <c r="P221" s="10">
        <f>WEEKNUM(TimeEntry[[#This Row],[WkEnd]])</f>
        <v>3</v>
      </c>
      <c r="Q221" s="10" t="str">
        <f>TimeEntry[[#This Row],[Year]]&amp;"-"&amp;TimeEntry[[#This Row],[WkNo]]</f>
        <v>2020-3</v>
      </c>
    </row>
    <row r="222" spans="1:17" ht="30" x14ac:dyDescent="0.25">
      <c r="A222" s="9">
        <f>MOD(IF(ROW()=11,0.1,IF(INDEX(TimeEntry[WkEnd],ROW()-10)            =            INDEX(TimeEntry[WkEnd],ROW()-11),               INDEX(TimeEntry[format],ROW()-11),               INDEX(TimeEntry[format],ROW()-11)    +1)),2)</f>
        <v>0.10000000000000009</v>
      </c>
      <c r="B222" s="14"/>
      <c r="C222" s="7">
        <v>43837</v>
      </c>
      <c r="D222" s="7"/>
      <c r="E222" s="7"/>
      <c r="F222" s="6" t="s">
        <v>88</v>
      </c>
      <c r="G222" s="6"/>
      <c r="H222" s="7">
        <f>IF(TimeEntry[[#This Row],[Date]]=0,H221,C222+(7-N222))</f>
        <v>43842</v>
      </c>
      <c r="I222" s="7">
        <f>TimeEntry[[#This Row],[Date]]</f>
        <v>43837</v>
      </c>
      <c r="J222" s="10" t="str">
        <f>IF(TimeEntry[[#This Row],[Date]]=0,"",TEXT(TimeEntry[[#This Row],[Date]],"ddd"))</f>
        <v>Tue</v>
      </c>
      <c r="K222" s="9" t="str">
        <f>IF(TimeEntry[[#This Row],[Project]]=0,"",INDEX(ProjectsAll[job number],MATCH(TimeEntry[[#This Row],[Project]],ProjectsAll[Project],0)))</f>
        <v>210035-51</v>
      </c>
      <c r="L222" s="6" t="s">
        <v>121</v>
      </c>
      <c r="M222" s="6">
        <v>3.5</v>
      </c>
      <c r="N222" s="9">
        <f>IF(TimeEntry[[#This Row],[Date]]=0,"",WEEKDAY(C222,2))</f>
        <v>2</v>
      </c>
      <c r="O222" s="10">
        <f>YEAR(TimeEntry[[#This Row],[WkEnd]])</f>
        <v>2020</v>
      </c>
      <c r="P222" s="10">
        <f>WEEKNUM(TimeEntry[[#This Row],[WkEnd]])</f>
        <v>3</v>
      </c>
      <c r="Q222" s="10" t="str">
        <f>TimeEntry[[#This Row],[Year]]&amp;"-"&amp;TimeEntry[[#This Row],[WkNo]]</f>
        <v>2020-3</v>
      </c>
    </row>
    <row r="223" spans="1:17" ht="30" x14ac:dyDescent="0.25">
      <c r="A223" s="9">
        <f>MOD(IF(ROW()=11,0.1,IF(INDEX(TimeEntry[WkEnd],ROW()-10)            =            INDEX(TimeEntry[WkEnd],ROW()-11),               INDEX(TimeEntry[format],ROW()-11),               INDEX(TimeEntry[format],ROW()-11)    +1)),2)</f>
        <v>0.10000000000000009</v>
      </c>
      <c r="B223" s="14"/>
      <c r="C223" s="7">
        <v>43837</v>
      </c>
      <c r="D223" s="7"/>
      <c r="E223" s="7"/>
      <c r="F223" s="6" t="s">
        <v>65</v>
      </c>
      <c r="G223" s="6"/>
      <c r="H223" s="7">
        <f>IF(TimeEntry[[#This Row],[Date]]=0,H222,C223+(7-N223))</f>
        <v>43842</v>
      </c>
      <c r="I223" s="7">
        <f>TimeEntry[[#This Row],[Date]]</f>
        <v>43837</v>
      </c>
      <c r="J223" s="10" t="str">
        <f>IF(TimeEntry[[#This Row],[Date]]=0,"",TEXT(TimeEntry[[#This Row],[Date]],"ddd"))</f>
        <v>Tue</v>
      </c>
      <c r="K223" s="9" t="str">
        <f>IF(TimeEntry[[#This Row],[Project]]=0,"",INDEX(ProjectsAll[job number],MATCH(TimeEntry[[#This Row],[Project]],ProjectsAll[Project],0)))</f>
        <v xml:space="preserve">268017-25 </v>
      </c>
      <c r="L223" s="6" t="s">
        <v>120</v>
      </c>
      <c r="M223" s="6">
        <v>4</v>
      </c>
      <c r="N223" s="9">
        <f>IF(TimeEntry[[#This Row],[Date]]=0,"",WEEKDAY(C223,2))</f>
        <v>2</v>
      </c>
      <c r="O223" s="10">
        <f>YEAR(TimeEntry[[#This Row],[WkEnd]])</f>
        <v>2020</v>
      </c>
      <c r="P223" s="10">
        <f>WEEKNUM(TimeEntry[[#This Row],[WkEnd]])</f>
        <v>3</v>
      </c>
      <c r="Q223" s="10" t="str">
        <f>TimeEntry[[#This Row],[Year]]&amp;"-"&amp;TimeEntry[[#This Row],[WkNo]]</f>
        <v>2020-3</v>
      </c>
    </row>
    <row r="224" spans="1:17" ht="30" x14ac:dyDescent="0.25">
      <c r="A224" s="9">
        <f>MOD(IF(ROW()=11,0.1,IF(INDEX(TimeEntry[WkEnd],ROW()-10)            =            INDEX(TimeEntry[WkEnd],ROW()-11),               INDEX(TimeEntry[format],ROW()-11),               INDEX(TimeEntry[format],ROW()-11)    +1)),2)</f>
        <v>0.10000000000000009</v>
      </c>
      <c r="B224" s="14"/>
      <c r="C224" s="7">
        <v>43836</v>
      </c>
      <c r="D224" s="7"/>
      <c r="E224" s="7"/>
      <c r="F224" s="6" t="s">
        <v>65</v>
      </c>
      <c r="G224" s="6"/>
      <c r="H224" s="7">
        <f>IF(TimeEntry[[#This Row],[Date]]=0,H223,C224+(7-N224))</f>
        <v>43842</v>
      </c>
      <c r="I224" s="7">
        <f>TimeEntry[[#This Row],[Date]]</f>
        <v>43836</v>
      </c>
      <c r="J224" s="10" t="str">
        <f>IF(TimeEntry[[#This Row],[Date]]=0,"",TEXT(TimeEntry[[#This Row],[Date]],"ddd"))</f>
        <v>Mon</v>
      </c>
      <c r="K224" s="9" t="str">
        <f>IF(TimeEntry[[#This Row],[Project]]=0,"",INDEX(ProjectsAll[job number],MATCH(TimeEntry[[#This Row],[Project]],ProjectsAll[Project],0)))</f>
        <v xml:space="preserve">268017-25 </v>
      </c>
      <c r="L224" s="6" t="s">
        <v>120</v>
      </c>
      <c r="M224" s="6">
        <v>7.5</v>
      </c>
      <c r="N224" s="9">
        <f>IF(TimeEntry[[#This Row],[Date]]=0,"",WEEKDAY(C224,2))</f>
        <v>1</v>
      </c>
      <c r="O224" s="10">
        <f>YEAR(TimeEntry[[#This Row],[WkEnd]])</f>
        <v>2020</v>
      </c>
      <c r="P224" s="10">
        <f>WEEKNUM(TimeEntry[[#This Row],[WkEnd]])</f>
        <v>3</v>
      </c>
      <c r="Q224" s="10" t="str">
        <f>TimeEntry[[#This Row],[Year]]&amp;"-"&amp;TimeEntry[[#This Row],[WkNo]]</f>
        <v>2020-3</v>
      </c>
    </row>
    <row r="225" spans="1:17" x14ac:dyDescent="0.25">
      <c r="A225" s="9">
        <f>MOD(IF(ROW()=11,0.1,IF(INDEX(TimeEntry[WkEnd],ROW()-10)            =            INDEX(TimeEntry[WkEnd],ROW()-11),               INDEX(TimeEntry[format],ROW()-11),               INDEX(TimeEntry[format],ROW()-11)    +1)),2)</f>
        <v>1.1000000000000001</v>
      </c>
      <c r="B225" s="14"/>
      <c r="C225" s="7">
        <v>43833</v>
      </c>
      <c r="D225" s="7"/>
      <c r="E225" s="7"/>
      <c r="F225" s="6" t="s">
        <v>68</v>
      </c>
      <c r="G225" s="6"/>
      <c r="H225" s="7">
        <f>IF(TimeEntry[[#This Row],[Date]]=0,H224,C225+(7-N225))</f>
        <v>43835</v>
      </c>
      <c r="I225" s="7">
        <f>TimeEntry[[#This Row],[Date]]</f>
        <v>43833</v>
      </c>
      <c r="J225" s="10" t="str">
        <f>IF(TimeEntry[[#This Row],[Date]]=0,"",TEXT(TimeEntry[[#This Row],[Date]],"ddd"))</f>
        <v>Fri</v>
      </c>
      <c r="K225" s="9" t="str">
        <f>IF(TimeEntry[[#This Row],[Project]]=0,"",INDEX(ProjectsAll[job number],MATCH(TimeEntry[[#This Row],[Project]],ProjectsAll[Project],0)))</f>
        <v>LEAVE</v>
      </c>
      <c r="L225" s="6"/>
      <c r="M225" s="6">
        <v>7.5</v>
      </c>
      <c r="N225" s="9">
        <f>IF(TimeEntry[[#This Row],[Date]]=0,"",WEEKDAY(C225,2))</f>
        <v>5</v>
      </c>
      <c r="O225" s="10">
        <f>YEAR(TimeEntry[[#This Row],[WkEnd]])</f>
        <v>2020</v>
      </c>
      <c r="P225" s="10">
        <f>WEEKNUM(TimeEntry[[#This Row],[WkEnd]])</f>
        <v>2</v>
      </c>
      <c r="Q225" s="10" t="str">
        <f>TimeEntry[[#This Row],[Year]]&amp;"-"&amp;TimeEntry[[#This Row],[WkNo]]</f>
        <v>2020-2</v>
      </c>
    </row>
    <row r="226" spans="1:17" x14ac:dyDescent="0.25">
      <c r="A226" s="9">
        <f>MOD(IF(ROW()=11,0.1,IF(INDEX(TimeEntry[WkEnd],ROW()-10)            =            INDEX(TimeEntry[WkEnd],ROW()-11),               INDEX(TimeEntry[format],ROW()-11),               INDEX(TimeEntry[format],ROW()-11)    +1)),2)</f>
        <v>1.1000000000000001</v>
      </c>
      <c r="B226" s="14"/>
      <c r="C226" s="7">
        <v>43832</v>
      </c>
      <c r="D226" s="7"/>
      <c r="E226" s="7"/>
      <c r="F226" s="6" t="s">
        <v>68</v>
      </c>
      <c r="G226" s="6"/>
      <c r="H226" s="7">
        <f>IF(TimeEntry[[#This Row],[Date]]=0,H225,C226+(7-N226))</f>
        <v>43835</v>
      </c>
      <c r="I226" s="7">
        <f>TimeEntry[[#This Row],[Date]]</f>
        <v>43832</v>
      </c>
      <c r="J226" s="10" t="str">
        <f>IF(TimeEntry[[#This Row],[Date]]=0,"",TEXT(TimeEntry[[#This Row],[Date]],"ddd"))</f>
        <v>Thu</v>
      </c>
      <c r="K226" s="9" t="str">
        <f>IF(TimeEntry[[#This Row],[Project]]=0,"",INDEX(ProjectsAll[job number],MATCH(TimeEntry[[#This Row],[Project]],ProjectsAll[Project],0)))</f>
        <v>LEAVE</v>
      </c>
      <c r="L226" s="6"/>
      <c r="M226" s="6">
        <v>7.5</v>
      </c>
      <c r="N226" s="9">
        <f>IF(TimeEntry[[#This Row],[Date]]=0,"",WEEKDAY(C226,2))</f>
        <v>4</v>
      </c>
      <c r="O226" s="10">
        <f>YEAR(TimeEntry[[#This Row],[WkEnd]])</f>
        <v>2020</v>
      </c>
      <c r="P226" s="10">
        <f>WEEKNUM(TimeEntry[[#This Row],[WkEnd]])</f>
        <v>2</v>
      </c>
      <c r="Q226" s="10" t="str">
        <f>TimeEntry[[#This Row],[Year]]&amp;"-"&amp;TimeEntry[[#This Row],[WkNo]]</f>
        <v>2020-2</v>
      </c>
    </row>
    <row r="227" spans="1:17" ht="30" x14ac:dyDescent="0.25">
      <c r="A227" s="9">
        <f>MOD(IF(ROW()=11,0.1,IF(INDEX(TimeEntry[WkEnd],ROW()-10)            =            INDEX(TimeEntry[WkEnd],ROW()-11),               INDEX(TimeEntry[format],ROW()-11),               INDEX(TimeEntry[format],ROW()-11)    +1)),2)</f>
        <v>1.1000000000000001</v>
      </c>
      <c r="B227" s="14"/>
      <c r="C227" s="7">
        <v>43831</v>
      </c>
      <c r="D227" s="7"/>
      <c r="E227" s="7"/>
      <c r="F227" s="6" t="s">
        <v>12</v>
      </c>
      <c r="G227" s="6"/>
      <c r="H227" s="7">
        <f>IF(TimeEntry[[#This Row],[Date]]=0,H226,C227+(7-N227))</f>
        <v>43835</v>
      </c>
      <c r="I227" s="7">
        <f>TimeEntry[[#This Row],[Date]]</f>
        <v>43831</v>
      </c>
      <c r="J227" s="10" t="str">
        <f>IF(TimeEntry[[#This Row],[Date]]=0,"",TEXT(TimeEntry[[#This Row],[Date]],"ddd"))</f>
        <v>Wed</v>
      </c>
      <c r="K227" s="9" t="str">
        <f>IF(TimeEntry[[#This Row],[Project]]=0,"",INDEX(ProjectsAll[job number],MATCH(TimeEntry[[#This Row],[Project]],ProjectsAll[Project],0)))</f>
        <v>BANK HOLIDAY</v>
      </c>
      <c r="L227" s="6"/>
      <c r="M227" s="6">
        <v>7.5</v>
      </c>
      <c r="N227" s="9">
        <f>IF(TimeEntry[[#This Row],[Date]]=0,"",WEEKDAY(C227,2))</f>
        <v>3</v>
      </c>
      <c r="O227" s="10">
        <f>YEAR(TimeEntry[[#This Row],[WkEnd]])</f>
        <v>2020</v>
      </c>
      <c r="P227" s="10">
        <f>WEEKNUM(TimeEntry[[#This Row],[WkEnd]])</f>
        <v>2</v>
      </c>
      <c r="Q227" s="10" t="str">
        <f>TimeEntry[[#This Row],[Year]]&amp;"-"&amp;TimeEntry[[#This Row],[WkNo]]</f>
        <v>2020-2</v>
      </c>
    </row>
    <row r="228" spans="1:17" x14ac:dyDescent="0.25">
      <c r="A228" s="9">
        <f>MOD(IF(ROW()=11,0.1,IF(INDEX(TimeEntry[WkEnd],ROW()-10)            =            INDEX(TimeEntry[WkEnd],ROW()-11),               INDEX(TimeEntry[format],ROW()-11),               INDEX(TimeEntry[format],ROW()-11)    +1)),2)</f>
        <v>1.1000000000000001</v>
      </c>
      <c r="B228" s="14"/>
      <c r="C228" s="7">
        <v>43830</v>
      </c>
      <c r="D228" s="7"/>
      <c r="E228" s="7"/>
      <c r="F228" s="6" t="s">
        <v>68</v>
      </c>
      <c r="G228" s="6"/>
      <c r="H228" s="7">
        <f>IF(TimeEntry[[#This Row],[Date]]=0,H227,C228+(7-N228))</f>
        <v>43835</v>
      </c>
      <c r="I228" s="7">
        <f>TimeEntry[[#This Row],[Date]]</f>
        <v>43830</v>
      </c>
      <c r="J228" s="10" t="str">
        <f>IF(TimeEntry[[#This Row],[Date]]=0,"",TEXT(TimeEntry[[#This Row],[Date]],"ddd"))</f>
        <v>Tue</v>
      </c>
      <c r="K228" s="9" t="str">
        <f>IF(TimeEntry[[#This Row],[Project]]=0,"",INDEX(ProjectsAll[job number],MATCH(TimeEntry[[#This Row],[Project]],ProjectsAll[Project],0)))</f>
        <v>LEAVE</v>
      </c>
      <c r="L228" s="6"/>
      <c r="M228" s="6">
        <v>7.5</v>
      </c>
      <c r="N228" s="9">
        <f>IF(TimeEntry[[#This Row],[Date]]=0,"",WEEKDAY(C228,2))</f>
        <v>2</v>
      </c>
      <c r="O228" s="10">
        <f>YEAR(TimeEntry[[#This Row],[WkEnd]])</f>
        <v>2020</v>
      </c>
      <c r="P228" s="10">
        <f>WEEKNUM(TimeEntry[[#This Row],[WkEnd]])</f>
        <v>2</v>
      </c>
      <c r="Q228" s="10" t="str">
        <f>TimeEntry[[#This Row],[Year]]&amp;"-"&amp;TimeEntry[[#This Row],[WkNo]]</f>
        <v>2020-2</v>
      </c>
    </row>
    <row r="229" spans="1:17" x14ac:dyDescent="0.25">
      <c r="A229" s="9">
        <f>MOD(IF(ROW()=11,0.1,IF(INDEX(TimeEntry[WkEnd],ROW()-10)            =            INDEX(TimeEntry[WkEnd],ROW()-11),               INDEX(TimeEntry[format],ROW()-11),               INDEX(TimeEntry[format],ROW()-11)    +1)),2)</f>
        <v>1.1000000000000001</v>
      </c>
      <c r="B229" s="14"/>
      <c r="C229" s="7">
        <v>43829</v>
      </c>
      <c r="D229" s="7"/>
      <c r="E229" s="7"/>
      <c r="F229" s="6" t="s">
        <v>68</v>
      </c>
      <c r="G229" s="6"/>
      <c r="H229" s="7">
        <f>IF(TimeEntry[[#This Row],[Date]]=0,H228,C229+(7-N229))</f>
        <v>43835</v>
      </c>
      <c r="I229" s="7">
        <f>TimeEntry[[#This Row],[Date]]</f>
        <v>43829</v>
      </c>
      <c r="J229" s="10" t="str">
        <f>IF(TimeEntry[[#This Row],[Date]]=0,"",TEXT(TimeEntry[[#This Row],[Date]],"ddd"))</f>
        <v>Mon</v>
      </c>
      <c r="K229" s="9" t="str">
        <f>IF(TimeEntry[[#This Row],[Project]]=0,"",INDEX(ProjectsAll[job number],MATCH(TimeEntry[[#This Row],[Project]],ProjectsAll[Project],0)))</f>
        <v>LEAVE</v>
      </c>
      <c r="L229" s="6"/>
      <c r="M229" s="6">
        <v>7.5</v>
      </c>
      <c r="N229" s="9">
        <f>IF(TimeEntry[[#This Row],[Date]]=0,"",WEEKDAY(C229,2))</f>
        <v>1</v>
      </c>
      <c r="O229" s="10">
        <f>YEAR(TimeEntry[[#This Row],[WkEnd]])</f>
        <v>2020</v>
      </c>
      <c r="P229" s="10">
        <f>WEEKNUM(TimeEntry[[#This Row],[WkEnd]])</f>
        <v>2</v>
      </c>
      <c r="Q229" s="10" t="str">
        <f>TimeEntry[[#This Row],[Year]]&amp;"-"&amp;TimeEntry[[#This Row],[WkNo]]</f>
        <v>2020-2</v>
      </c>
    </row>
    <row r="230" spans="1:17" x14ac:dyDescent="0.25">
      <c r="A230" s="9">
        <f>MOD(IF(ROW()=11,0.1,IF(INDEX(TimeEntry[WkEnd],ROW()-10)            =            INDEX(TimeEntry[WkEnd],ROW()-11),               INDEX(TimeEntry[format],ROW()-11),               INDEX(TimeEntry[format],ROW()-11)    +1)),2)</f>
        <v>0.10000000000000009</v>
      </c>
      <c r="B230" s="14"/>
      <c r="C230" s="7">
        <v>43826</v>
      </c>
      <c r="D230" s="7"/>
      <c r="E230" s="7"/>
      <c r="F230" s="6" t="s">
        <v>68</v>
      </c>
      <c r="G230" s="6"/>
      <c r="H230" s="7">
        <f>IF(TimeEntry[[#This Row],[Date]]=0,H229,C230+(7-N230))</f>
        <v>43828</v>
      </c>
      <c r="I230" s="7">
        <f>TimeEntry[[#This Row],[Date]]</f>
        <v>43826</v>
      </c>
      <c r="J230" s="10" t="str">
        <f>IF(TimeEntry[[#This Row],[Date]]=0,"",TEXT(TimeEntry[[#This Row],[Date]],"ddd"))</f>
        <v>Fri</v>
      </c>
      <c r="K230" s="9" t="str">
        <f>IF(TimeEntry[[#This Row],[Project]]=0,"",INDEX(ProjectsAll[job number],MATCH(TimeEntry[[#This Row],[Project]],ProjectsAll[Project],0)))</f>
        <v>LEAVE</v>
      </c>
      <c r="L230" s="6"/>
      <c r="M230" s="6">
        <v>7.5</v>
      </c>
      <c r="N230" s="9">
        <f>IF(TimeEntry[[#This Row],[Date]]=0,"",WEEKDAY(C230,2))</f>
        <v>5</v>
      </c>
      <c r="O230" s="10">
        <f>YEAR(TimeEntry[[#This Row],[WkEnd]])</f>
        <v>2019</v>
      </c>
      <c r="P230" s="10">
        <f>WEEKNUM(TimeEntry[[#This Row],[WkEnd]])</f>
        <v>53</v>
      </c>
      <c r="Q230" s="10" t="str">
        <f>TimeEntry[[#This Row],[Year]]&amp;"-"&amp;TimeEntry[[#This Row],[WkNo]]</f>
        <v>2019-53</v>
      </c>
    </row>
    <row r="231" spans="1:17" ht="30" x14ac:dyDescent="0.25">
      <c r="A231" s="9">
        <f>MOD(IF(ROW()=11,0.1,IF(INDEX(TimeEntry[WkEnd],ROW()-10)            =            INDEX(TimeEntry[WkEnd],ROW()-11),               INDEX(TimeEntry[format],ROW()-11),               INDEX(TimeEntry[format],ROW()-11)    +1)),2)</f>
        <v>0.10000000000000009</v>
      </c>
      <c r="B231" s="14"/>
      <c r="C231" s="7">
        <v>43825</v>
      </c>
      <c r="D231" s="7"/>
      <c r="E231" s="7"/>
      <c r="F231" s="6" t="s">
        <v>12</v>
      </c>
      <c r="G231" s="6"/>
      <c r="H231" s="7">
        <f>IF(TimeEntry[[#This Row],[Date]]=0,H230,C231+(7-N231))</f>
        <v>43828</v>
      </c>
      <c r="I231" s="7">
        <f>TimeEntry[[#This Row],[Date]]</f>
        <v>43825</v>
      </c>
      <c r="J231" s="10" t="str">
        <f>IF(TimeEntry[[#This Row],[Date]]=0,"",TEXT(TimeEntry[[#This Row],[Date]],"ddd"))</f>
        <v>Thu</v>
      </c>
      <c r="K231" s="9" t="str">
        <f>IF(TimeEntry[[#This Row],[Project]]=0,"",INDEX(ProjectsAll[job number],MATCH(TimeEntry[[#This Row],[Project]],ProjectsAll[Project],0)))</f>
        <v>BANK HOLIDAY</v>
      </c>
      <c r="L231" s="6"/>
      <c r="M231" s="6">
        <v>7.5</v>
      </c>
      <c r="N231" s="9">
        <f>IF(TimeEntry[[#This Row],[Date]]=0,"",WEEKDAY(C231,2))</f>
        <v>4</v>
      </c>
      <c r="O231" s="10">
        <f>YEAR(TimeEntry[[#This Row],[WkEnd]])</f>
        <v>2019</v>
      </c>
      <c r="P231" s="10">
        <f>WEEKNUM(TimeEntry[[#This Row],[WkEnd]])</f>
        <v>53</v>
      </c>
      <c r="Q231" s="10" t="str">
        <f>TimeEntry[[#This Row],[Year]]&amp;"-"&amp;TimeEntry[[#This Row],[WkNo]]</f>
        <v>2019-53</v>
      </c>
    </row>
    <row r="232" spans="1:17" ht="30" x14ac:dyDescent="0.25">
      <c r="A232" s="9">
        <f>MOD(IF(ROW()=11,0.1,IF(INDEX(TimeEntry[WkEnd],ROW()-10)            =            INDEX(TimeEntry[WkEnd],ROW()-11),               INDEX(TimeEntry[format],ROW()-11),               INDEX(TimeEntry[format],ROW()-11)    +1)),2)</f>
        <v>0.10000000000000009</v>
      </c>
      <c r="B232" s="14"/>
      <c r="C232" s="7">
        <v>43824</v>
      </c>
      <c r="D232" s="7"/>
      <c r="E232" s="7"/>
      <c r="F232" s="6" t="s">
        <v>12</v>
      </c>
      <c r="G232" s="6"/>
      <c r="H232" s="7">
        <f>IF(TimeEntry[[#This Row],[Date]]=0,H231,C232+(7-N232))</f>
        <v>43828</v>
      </c>
      <c r="I232" s="7">
        <f>TimeEntry[[#This Row],[Date]]</f>
        <v>43824</v>
      </c>
      <c r="J232" s="10" t="str">
        <f>IF(TimeEntry[[#This Row],[Date]]=0,"",TEXT(TimeEntry[[#This Row],[Date]],"ddd"))</f>
        <v>Wed</v>
      </c>
      <c r="K232" s="9" t="str">
        <f>IF(TimeEntry[[#This Row],[Project]]=0,"",INDEX(ProjectsAll[job number],MATCH(TimeEntry[[#This Row],[Project]],ProjectsAll[Project],0)))</f>
        <v>BANK HOLIDAY</v>
      </c>
      <c r="L232" s="6"/>
      <c r="M232" s="6">
        <v>7.5</v>
      </c>
      <c r="N232" s="9">
        <f>IF(TimeEntry[[#This Row],[Date]]=0,"",WEEKDAY(C232,2))</f>
        <v>3</v>
      </c>
      <c r="O232" s="10">
        <f>YEAR(TimeEntry[[#This Row],[WkEnd]])</f>
        <v>2019</v>
      </c>
      <c r="P232" s="10">
        <f>WEEKNUM(TimeEntry[[#This Row],[WkEnd]])</f>
        <v>53</v>
      </c>
      <c r="Q232" s="10" t="str">
        <f>TimeEntry[[#This Row],[Year]]&amp;"-"&amp;TimeEntry[[#This Row],[WkNo]]</f>
        <v>2019-53</v>
      </c>
    </row>
    <row r="233" spans="1:17" ht="30" x14ac:dyDescent="0.25">
      <c r="A233" s="9">
        <f>MOD(IF(ROW()=11,0.1,IF(INDEX(TimeEntry[WkEnd],ROW()-10)            =            INDEX(TimeEntry[WkEnd],ROW()-11),               INDEX(TimeEntry[format],ROW()-11),               INDEX(TimeEntry[format],ROW()-11)    +1)),2)</f>
        <v>0.10000000000000009</v>
      </c>
      <c r="B233" s="14"/>
      <c r="C233" s="7">
        <v>43823</v>
      </c>
      <c r="D233" s="7"/>
      <c r="E233" s="7"/>
      <c r="F233" s="6" t="s">
        <v>65</v>
      </c>
      <c r="G233" s="6"/>
      <c r="H233" s="7">
        <f>IF(TimeEntry[[#This Row],[Date]]=0,H232,C233+(7-N233))</f>
        <v>43828</v>
      </c>
      <c r="I233" s="7">
        <f>TimeEntry[[#This Row],[Date]]</f>
        <v>43823</v>
      </c>
      <c r="J233" s="10" t="str">
        <f>IF(TimeEntry[[#This Row],[Date]]=0,"",TEXT(TimeEntry[[#This Row],[Date]],"ddd"))</f>
        <v>Tue</v>
      </c>
      <c r="K233" s="9" t="str">
        <f>IF(TimeEntry[[#This Row],[Project]]=0,"",INDEX(ProjectsAll[job number],MATCH(TimeEntry[[#This Row],[Project]],ProjectsAll[Project],0)))</f>
        <v xml:space="preserve">268017-25 </v>
      </c>
      <c r="L233" s="6" t="s">
        <v>123</v>
      </c>
      <c r="M233" s="6">
        <v>7.5</v>
      </c>
      <c r="N233" s="9">
        <f>IF(TimeEntry[[#This Row],[Date]]=0,"",WEEKDAY(C233,2))</f>
        <v>2</v>
      </c>
      <c r="O233" s="10">
        <f>YEAR(TimeEntry[[#This Row],[WkEnd]])</f>
        <v>2019</v>
      </c>
      <c r="P233" s="10">
        <f>WEEKNUM(TimeEntry[[#This Row],[WkEnd]])</f>
        <v>53</v>
      </c>
      <c r="Q233" s="10" t="str">
        <f>TimeEntry[[#This Row],[Year]]&amp;"-"&amp;TimeEntry[[#This Row],[WkNo]]</f>
        <v>2019-53</v>
      </c>
    </row>
    <row r="234" spans="1:17" ht="30" x14ac:dyDescent="0.25">
      <c r="A234" s="9">
        <f>MOD(IF(ROW()=11,0.1,IF(INDEX(TimeEntry[WkEnd],ROW()-10)            =            INDEX(TimeEntry[WkEnd],ROW()-11),               INDEX(TimeEntry[format],ROW()-11),               INDEX(TimeEntry[format],ROW()-11)    +1)),2)</f>
        <v>0.10000000000000009</v>
      </c>
      <c r="B234" s="14"/>
      <c r="C234" s="7">
        <v>43822</v>
      </c>
      <c r="D234" s="7"/>
      <c r="E234" s="7"/>
      <c r="F234" s="6" t="s">
        <v>65</v>
      </c>
      <c r="G234" s="6"/>
      <c r="H234" s="7">
        <f>IF(TimeEntry[[#This Row],[Date]]=0,H233,C234+(7-N234))</f>
        <v>43828</v>
      </c>
      <c r="I234" s="7">
        <f>TimeEntry[[#This Row],[Date]]</f>
        <v>43822</v>
      </c>
      <c r="J234" s="10" t="str">
        <f>IF(TimeEntry[[#This Row],[Date]]=0,"",TEXT(TimeEntry[[#This Row],[Date]],"ddd"))</f>
        <v>Mon</v>
      </c>
      <c r="K234" s="9" t="str">
        <f>IF(TimeEntry[[#This Row],[Project]]=0,"",INDEX(ProjectsAll[job number],MATCH(TimeEntry[[#This Row],[Project]],ProjectsAll[Project],0)))</f>
        <v xml:space="preserve">268017-25 </v>
      </c>
      <c r="L234" s="6" t="s">
        <v>123</v>
      </c>
      <c r="M234" s="6">
        <v>7.5</v>
      </c>
      <c r="N234" s="9">
        <f>IF(TimeEntry[[#This Row],[Date]]=0,"",WEEKDAY(C234,2))</f>
        <v>1</v>
      </c>
      <c r="O234" s="10">
        <f>YEAR(TimeEntry[[#This Row],[WkEnd]])</f>
        <v>2019</v>
      </c>
      <c r="P234" s="10">
        <f>WEEKNUM(TimeEntry[[#This Row],[WkEnd]])</f>
        <v>53</v>
      </c>
      <c r="Q234" s="10" t="str">
        <f>TimeEntry[[#This Row],[Year]]&amp;"-"&amp;TimeEntry[[#This Row],[WkNo]]</f>
        <v>2019-53</v>
      </c>
    </row>
    <row r="235" spans="1:17" ht="30" x14ac:dyDescent="0.25">
      <c r="A235" s="9">
        <f>MOD(IF(ROW()=11,0.1,IF(INDEX(TimeEntry[WkEnd],ROW()-10)            =            INDEX(TimeEntry[WkEnd],ROW()-11),               INDEX(TimeEntry[format],ROW()-11),               INDEX(TimeEntry[format],ROW()-11)    +1)),2)</f>
        <v>1.1000000000000001</v>
      </c>
      <c r="B235" s="14"/>
      <c r="C235" s="7">
        <v>43815</v>
      </c>
      <c r="D235" s="7"/>
      <c r="E235" s="7"/>
      <c r="F235" s="6" t="s">
        <v>65</v>
      </c>
      <c r="G235" s="6"/>
      <c r="H235" s="7">
        <f>IF(TimeEntry[[#This Row],[Date]]=0,H234,C235+(7-N235))</f>
        <v>43821</v>
      </c>
      <c r="I235" s="7">
        <f>TimeEntry[[#This Row],[Date]]</f>
        <v>43815</v>
      </c>
      <c r="J235" s="10" t="str">
        <f>IF(TimeEntry[[#This Row],[Date]]=0,"",TEXT(TimeEntry[[#This Row],[Date]],"ddd"))</f>
        <v>Mon</v>
      </c>
      <c r="K235" s="9" t="str">
        <f>IF(TimeEntry[[#This Row],[Project]]=0,"",INDEX(ProjectsAll[job number],MATCH(TimeEntry[[#This Row],[Project]],ProjectsAll[Project],0)))</f>
        <v xml:space="preserve">268017-25 </v>
      </c>
      <c r="L235" s="6" t="s">
        <v>124</v>
      </c>
      <c r="M235" s="6">
        <v>5.5</v>
      </c>
      <c r="N235" s="9">
        <f>IF(TimeEntry[[#This Row],[Date]]=0,"",WEEKDAY(C235,2))</f>
        <v>1</v>
      </c>
      <c r="O235" s="10">
        <f>YEAR(TimeEntry[[#This Row],[WkEnd]])</f>
        <v>2019</v>
      </c>
      <c r="P235" s="10">
        <f>WEEKNUM(TimeEntry[[#This Row],[WkEnd]])</f>
        <v>52</v>
      </c>
      <c r="Q235" s="10" t="str">
        <f>TimeEntry[[#This Row],[Year]]&amp;"-"&amp;TimeEntry[[#This Row],[WkNo]]</f>
        <v>2019-52</v>
      </c>
    </row>
    <row r="236" spans="1:17" ht="30" x14ac:dyDescent="0.25">
      <c r="A236" s="9">
        <f>MOD(IF(ROW()=11,0.1,IF(INDEX(TimeEntry[WkEnd],ROW()-10)            =            INDEX(TimeEntry[WkEnd],ROW()-11),               INDEX(TimeEntry[format],ROW()-11),               INDEX(TimeEntry[format],ROW()-11)    +1)),2)</f>
        <v>1.1000000000000001</v>
      </c>
      <c r="B236" s="14"/>
      <c r="C236" s="7">
        <v>43815</v>
      </c>
      <c r="D236" s="7"/>
      <c r="E236" s="7"/>
      <c r="F236" s="6" t="s">
        <v>65</v>
      </c>
      <c r="G236" s="6"/>
      <c r="H236" s="7">
        <f>IF(TimeEntry[[#This Row],[Date]]=0,H235,C236+(7-N236))</f>
        <v>43821</v>
      </c>
      <c r="I236" s="7">
        <f>TimeEntry[[#This Row],[Date]]</f>
        <v>43815</v>
      </c>
      <c r="J236" s="10" t="str">
        <f>IF(TimeEntry[[#This Row],[Date]]=0,"",TEXT(TimeEntry[[#This Row],[Date]],"ddd"))</f>
        <v>Mon</v>
      </c>
      <c r="K236" s="9" t="str">
        <f>IF(TimeEntry[[#This Row],[Project]]=0,"",INDEX(ProjectsAll[job number],MATCH(TimeEntry[[#This Row],[Project]],ProjectsAll[Project],0)))</f>
        <v xml:space="preserve">268017-25 </v>
      </c>
      <c r="L236" s="6" t="s">
        <v>125</v>
      </c>
      <c r="M236" s="6">
        <v>2</v>
      </c>
      <c r="N236" s="9">
        <f>IF(TimeEntry[[#This Row],[Date]]=0,"",WEEKDAY(C236,2))</f>
        <v>1</v>
      </c>
      <c r="O236" s="10">
        <f>YEAR(TimeEntry[[#This Row],[WkEnd]])</f>
        <v>2019</v>
      </c>
      <c r="P236" s="10">
        <f>WEEKNUM(TimeEntry[[#This Row],[WkEnd]])</f>
        <v>52</v>
      </c>
      <c r="Q236" s="10" t="str">
        <f>TimeEntry[[#This Row],[Year]]&amp;"-"&amp;TimeEntry[[#This Row],[WkNo]]</f>
        <v>2019-52</v>
      </c>
    </row>
    <row r="237" spans="1:17" ht="30" x14ac:dyDescent="0.25">
      <c r="A237" s="9">
        <f>MOD(IF(ROW()=11,0.1,IF(INDEX(TimeEntry[WkEnd],ROW()-10)            =            INDEX(TimeEntry[WkEnd],ROW()-11),               INDEX(TimeEntry[format],ROW()-11),               INDEX(TimeEntry[format],ROW()-11)    +1)),2)</f>
        <v>1.1000000000000001</v>
      </c>
      <c r="B237" s="14"/>
      <c r="C237" s="7">
        <v>43816</v>
      </c>
      <c r="D237" s="7"/>
      <c r="E237" s="7"/>
      <c r="F237" s="6" t="s">
        <v>65</v>
      </c>
      <c r="G237" s="6"/>
      <c r="H237" s="7">
        <f>IF(TimeEntry[[#This Row],[Date]]=0,H236,C237+(7-N237))</f>
        <v>43821</v>
      </c>
      <c r="I237" s="7">
        <f>TimeEntry[[#This Row],[Date]]</f>
        <v>43816</v>
      </c>
      <c r="J237" s="10" t="str">
        <f>IF(TimeEntry[[#This Row],[Date]]=0,"",TEXT(TimeEntry[[#This Row],[Date]],"ddd"))</f>
        <v>Tue</v>
      </c>
      <c r="K237" s="9" t="str">
        <f>IF(TimeEntry[[#This Row],[Project]]=0,"",INDEX(ProjectsAll[job number],MATCH(TimeEntry[[#This Row],[Project]],ProjectsAll[Project],0)))</f>
        <v xml:space="preserve">268017-25 </v>
      </c>
      <c r="L237" s="6" t="s">
        <v>124</v>
      </c>
      <c r="M237" s="6">
        <v>7.5</v>
      </c>
      <c r="N237" s="9">
        <f>IF(TimeEntry[[#This Row],[Date]]=0,"",WEEKDAY(C237,2))</f>
        <v>2</v>
      </c>
      <c r="O237" s="10">
        <f>YEAR(TimeEntry[[#This Row],[WkEnd]])</f>
        <v>2019</v>
      </c>
      <c r="P237" s="10">
        <f>WEEKNUM(TimeEntry[[#This Row],[WkEnd]])</f>
        <v>52</v>
      </c>
      <c r="Q237" s="10" t="str">
        <f>TimeEntry[[#This Row],[Year]]&amp;"-"&amp;TimeEntry[[#This Row],[WkNo]]</f>
        <v>2019-52</v>
      </c>
    </row>
    <row r="238" spans="1:17" ht="30" x14ac:dyDescent="0.25">
      <c r="A238" s="9">
        <f>MOD(IF(ROW()=11,0.1,IF(INDEX(TimeEntry[WkEnd],ROW()-10)            =            INDEX(TimeEntry[WkEnd],ROW()-11),               INDEX(TimeEntry[format],ROW()-11),               INDEX(TimeEntry[format],ROW()-11)    +1)),2)</f>
        <v>1.1000000000000001</v>
      </c>
      <c r="B238" s="14"/>
      <c r="C238" s="7">
        <v>43817</v>
      </c>
      <c r="D238" s="7"/>
      <c r="E238" s="7"/>
      <c r="F238" s="6" t="s">
        <v>88</v>
      </c>
      <c r="G238" s="6"/>
      <c r="H238" s="7">
        <f>IF(TimeEntry[[#This Row],[Date]]=0,H237,C238+(7-N238))</f>
        <v>43821</v>
      </c>
      <c r="I238" s="7">
        <f>TimeEntry[[#This Row],[Date]]</f>
        <v>43817</v>
      </c>
      <c r="J238" s="10" t="str">
        <f>IF(TimeEntry[[#This Row],[Date]]=0,"",TEXT(TimeEntry[[#This Row],[Date]],"ddd"))</f>
        <v>Wed</v>
      </c>
      <c r="K238" s="9" t="str">
        <f>IF(TimeEntry[[#This Row],[Project]]=0,"",INDEX(ProjectsAll[job number],MATCH(TimeEntry[[#This Row],[Project]],ProjectsAll[Project],0)))</f>
        <v>210035-51</v>
      </c>
      <c r="L238" s="6" t="s">
        <v>126</v>
      </c>
      <c r="M238" s="6">
        <v>7.5</v>
      </c>
      <c r="N238" s="9">
        <f>IF(TimeEntry[[#This Row],[Date]]=0,"",WEEKDAY(C238,2))</f>
        <v>3</v>
      </c>
      <c r="O238" s="10">
        <f>YEAR(TimeEntry[[#This Row],[WkEnd]])</f>
        <v>2019</v>
      </c>
      <c r="P238" s="10">
        <f>WEEKNUM(TimeEntry[[#This Row],[WkEnd]])</f>
        <v>52</v>
      </c>
      <c r="Q238" s="10" t="str">
        <f>TimeEntry[[#This Row],[Year]]&amp;"-"&amp;TimeEntry[[#This Row],[WkNo]]</f>
        <v>2019-52</v>
      </c>
    </row>
    <row r="239" spans="1:17" ht="30" x14ac:dyDescent="0.25">
      <c r="A239" s="9">
        <f>MOD(IF(ROW()=11,0.1,IF(INDEX(TimeEntry[WkEnd],ROW()-10)            =            INDEX(TimeEntry[WkEnd],ROW()-11),               INDEX(TimeEntry[format],ROW()-11),               INDEX(TimeEntry[format],ROW()-11)    +1)),2)</f>
        <v>1.1000000000000001</v>
      </c>
      <c r="B239" s="14"/>
      <c r="C239" s="7">
        <v>43818</v>
      </c>
      <c r="D239" s="7"/>
      <c r="E239" s="7"/>
      <c r="F239" s="6" t="s">
        <v>65</v>
      </c>
      <c r="G239" s="6"/>
      <c r="H239" s="7">
        <f>IF(TimeEntry[[#This Row],[Date]]=0,H238,C239+(7-N239))</f>
        <v>43821</v>
      </c>
      <c r="I239" s="7">
        <f>TimeEntry[[#This Row],[Date]]</f>
        <v>43818</v>
      </c>
      <c r="J239" s="10" t="str">
        <f>IF(TimeEntry[[#This Row],[Date]]=0,"",TEXT(TimeEntry[[#This Row],[Date]],"ddd"))</f>
        <v>Thu</v>
      </c>
      <c r="K239" s="9" t="str">
        <f>IF(TimeEntry[[#This Row],[Project]]=0,"",INDEX(ProjectsAll[job number],MATCH(TimeEntry[[#This Row],[Project]],ProjectsAll[Project],0)))</f>
        <v xml:space="preserve">268017-25 </v>
      </c>
      <c r="L239" s="6" t="s">
        <v>127</v>
      </c>
      <c r="M239" s="6">
        <v>7.5</v>
      </c>
      <c r="N239" s="9">
        <f>IF(TimeEntry[[#This Row],[Date]]=0,"",WEEKDAY(C239,2))</f>
        <v>4</v>
      </c>
      <c r="O239" s="10">
        <f>YEAR(TimeEntry[[#This Row],[WkEnd]])</f>
        <v>2019</v>
      </c>
      <c r="P239" s="10">
        <f>WEEKNUM(TimeEntry[[#This Row],[WkEnd]])</f>
        <v>52</v>
      </c>
      <c r="Q239" s="10" t="str">
        <f>TimeEntry[[#This Row],[Year]]&amp;"-"&amp;TimeEntry[[#This Row],[WkNo]]</f>
        <v>2019-52</v>
      </c>
    </row>
    <row r="240" spans="1:17" ht="30" x14ac:dyDescent="0.25">
      <c r="A240" s="9">
        <f>MOD(IF(ROW()=11,0.1,IF(INDEX(TimeEntry[WkEnd],ROW()-10)            =            INDEX(TimeEntry[WkEnd],ROW()-11),               INDEX(TimeEntry[format],ROW()-11),               INDEX(TimeEntry[format],ROW()-11)    +1)),2)</f>
        <v>1.1000000000000001</v>
      </c>
      <c r="B240" s="14"/>
      <c r="C240" s="7">
        <v>43819</v>
      </c>
      <c r="D240" s="7"/>
      <c r="E240" s="7"/>
      <c r="F240" s="6" t="s">
        <v>70</v>
      </c>
      <c r="G240" s="6"/>
      <c r="H240" s="7">
        <f>IF(TimeEntry[[#This Row],[Date]]=0,H239,C240+(7-N240))</f>
        <v>43821</v>
      </c>
      <c r="I240" s="7">
        <f>TimeEntry[[#This Row],[Date]]</f>
        <v>43819</v>
      </c>
      <c r="J240" s="10" t="str">
        <f>IF(TimeEntry[[#This Row],[Date]]=0,"",TEXT(TimeEntry[[#This Row],[Date]],"ddd"))</f>
        <v>Fri</v>
      </c>
      <c r="K240" s="9" t="str">
        <f>IF(TimeEntry[[#This Row],[Project]]=0,"",INDEX(ProjectsAll[job number],MATCH(TimeEntry[[#This Row],[Project]],ProjectsAll[Project],0)))</f>
        <v>255375-00</v>
      </c>
      <c r="L240" s="6" t="s">
        <v>128</v>
      </c>
      <c r="M240" s="6">
        <v>4</v>
      </c>
      <c r="N240" s="9">
        <f>IF(TimeEntry[[#This Row],[Date]]=0,"",WEEKDAY(C240,2))</f>
        <v>5</v>
      </c>
      <c r="O240" s="10">
        <f>YEAR(TimeEntry[[#This Row],[WkEnd]])</f>
        <v>2019</v>
      </c>
      <c r="P240" s="10">
        <f>WEEKNUM(TimeEntry[[#This Row],[WkEnd]])</f>
        <v>52</v>
      </c>
      <c r="Q240" s="10" t="str">
        <f>TimeEntry[[#This Row],[Year]]&amp;"-"&amp;TimeEntry[[#This Row],[WkNo]]</f>
        <v>2019-52</v>
      </c>
    </row>
    <row r="241" spans="1:17" ht="30" x14ac:dyDescent="0.25">
      <c r="A241" s="9">
        <f>MOD(IF(ROW()=11,0.1,IF(INDEX(TimeEntry[WkEnd],ROW()-10)            =            INDEX(TimeEntry[WkEnd],ROW()-11),               INDEX(TimeEntry[format],ROW()-11),               INDEX(TimeEntry[format],ROW()-11)    +1)),2)</f>
        <v>1.1000000000000001</v>
      </c>
      <c r="B241" s="14"/>
      <c r="C241" s="7">
        <v>43819</v>
      </c>
      <c r="D241" s="7"/>
      <c r="E241" s="7"/>
      <c r="F241" s="6" t="s">
        <v>65</v>
      </c>
      <c r="G241" s="6"/>
      <c r="H241" s="7">
        <f>IF(TimeEntry[[#This Row],[Date]]=0,H240,C241+(7-N241))</f>
        <v>43821</v>
      </c>
      <c r="I241" s="7">
        <f>TimeEntry[[#This Row],[Date]]</f>
        <v>43819</v>
      </c>
      <c r="J241" s="10" t="str">
        <f>IF(TimeEntry[[#This Row],[Date]]=0,"",TEXT(TimeEntry[[#This Row],[Date]],"ddd"))</f>
        <v>Fri</v>
      </c>
      <c r="K241" s="9" t="str">
        <f>IF(TimeEntry[[#This Row],[Project]]=0,"",INDEX(ProjectsAll[job number],MATCH(TimeEntry[[#This Row],[Project]],ProjectsAll[Project],0)))</f>
        <v xml:space="preserve">268017-25 </v>
      </c>
      <c r="L241" s="6" t="s">
        <v>129</v>
      </c>
      <c r="M241" s="6">
        <v>3.5</v>
      </c>
      <c r="N241" s="9">
        <f>IF(TimeEntry[[#This Row],[Date]]=0,"",WEEKDAY(C241,2))</f>
        <v>5</v>
      </c>
      <c r="O241" s="10">
        <f>YEAR(TimeEntry[[#This Row],[WkEnd]])</f>
        <v>2019</v>
      </c>
      <c r="P241" s="10">
        <f>WEEKNUM(TimeEntry[[#This Row],[WkEnd]])</f>
        <v>52</v>
      </c>
      <c r="Q241" s="10" t="str">
        <f>TimeEntry[[#This Row],[Year]]&amp;"-"&amp;TimeEntry[[#This Row],[WkNo]]</f>
        <v>2019-52</v>
      </c>
    </row>
    <row r="242" spans="1:17" ht="30" x14ac:dyDescent="0.25">
      <c r="A242" s="9">
        <f>MOD(IF(ROW()=11,0.1,IF(INDEX(TimeEntry[WkEnd],ROW()-10)            =            INDEX(TimeEntry[WkEnd],ROW()-11),               INDEX(TimeEntry[format],ROW()-11),               INDEX(TimeEntry[format],ROW()-11)    +1)),2)</f>
        <v>0.10000000000000009</v>
      </c>
      <c r="B242" s="14"/>
      <c r="C242" s="7">
        <v>43808</v>
      </c>
      <c r="D242" s="7"/>
      <c r="E242" s="7"/>
      <c r="F242" s="6" t="s">
        <v>65</v>
      </c>
      <c r="G242" s="6"/>
      <c r="H242" s="7">
        <f>IF(TimeEntry[[#This Row],[Date]]=0,H241,C242+(7-N242))</f>
        <v>43814</v>
      </c>
      <c r="I242" s="7">
        <f>TimeEntry[[#This Row],[Date]]</f>
        <v>43808</v>
      </c>
      <c r="J242" s="10" t="str">
        <f>IF(TimeEntry[[#This Row],[Date]]=0,"",TEXT(TimeEntry[[#This Row],[Date]],"ddd"))</f>
        <v>Mon</v>
      </c>
      <c r="K242" s="9" t="str">
        <f>IF(TimeEntry[[#This Row],[Project]]=0,"",INDEX(ProjectsAll[job number],MATCH(TimeEntry[[#This Row],[Project]],ProjectsAll[Project],0)))</f>
        <v xml:space="preserve">268017-25 </v>
      </c>
      <c r="L242" s="6" t="s">
        <v>130</v>
      </c>
      <c r="M242" s="6">
        <v>7.5</v>
      </c>
      <c r="N242" s="9">
        <f>IF(TimeEntry[[#This Row],[Date]]=0,"",WEEKDAY(C242,2))</f>
        <v>1</v>
      </c>
      <c r="O242" s="10">
        <f>YEAR(TimeEntry[[#This Row],[WkEnd]])</f>
        <v>2019</v>
      </c>
      <c r="P242" s="10">
        <f>WEEKNUM(TimeEntry[[#This Row],[WkEnd]])</f>
        <v>51</v>
      </c>
      <c r="Q242" s="10" t="str">
        <f>TimeEntry[[#This Row],[Year]]&amp;"-"&amp;TimeEntry[[#This Row],[WkNo]]</f>
        <v>2019-51</v>
      </c>
    </row>
    <row r="243" spans="1:17" ht="30" x14ac:dyDescent="0.25">
      <c r="A243" s="9">
        <f>MOD(IF(ROW()=11,0.1,IF(INDEX(TimeEntry[WkEnd],ROW()-10)            =            INDEX(TimeEntry[WkEnd],ROW()-11),               INDEX(TimeEntry[format],ROW()-11),               INDEX(TimeEntry[format],ROW()-11)    +1)),2)</f>
        <v>0.10000000000000009</v>
      </c>
      <c r="B243" s="14"/>
      <c r="C243" s="7">
        <v>43809</v>
      </c>
      <c r="D243" s="7"/>
      <c r="E243" s="7"/>
      <c r="F243" s="6" t="s">
        <v>65</v>
      </c>
      <c r="G243" s="6"/>
      <c r="H243" s="7">
        <f>IF(TimeEntry[[#This Row],[Date]]=0,H242,C243+(7-N243))</f>
        <v>43814</v>
      </c>
      <c r="I243" s="7">
        <f>TimeEntry[[#This Row],[Date]]</f>
        <v>43809</v>
      </c>
      <c r="J243" s="10" t="str">
        <f>IF(TimeEntry[[#This Row],[Date]]=0,"",TEXT(TimeEntry[[#This Row],[Date]],"ddd"))</f>
        <v>Tue</v>
      </c>
      <c r="K243" s="9" t="str">
        <f>IF(TimeEntry[[#This Row],[Project]]=0,"",INDEX(ProjectsAll[job number],MATCH(TimeEntry[[#This Row],[Project]],ProjectsAll[Project],0)))</f>
        <v xml:space="preserve">268017-25 </v>
      </c>
      <c r="L243" s="6" t="s">
        <v>130</v>
      </c>
      <c r="M243" s="6">
        <v>7.5</v>
      </c>
      <c r="N243" s="9">
        <f>IF(TimeEntry[[#This Row],[Date]]=0,"",WEEKDAY(C243,2))</f>
        <v>2</v>
      </c>
      <c r="O243" s="10">
        <f>YEAR(TimeEntry[[#This Row],[WkEnd]])</f>
        <v>2019</v>
      </c>
      <c r="P243" s="10">
        <f>WEEKNUM(TimeEntry[[#This Row],[WkEnd]])</f>
        <v>51</v>
      </c>
      <c r="Q243" s="10" t="str">
        <f>TimeEntry[[#This Row],[Year]]&amp;"-"&amp;TimeEntry[[#This Row],[WkNo]]</f>
        <v>2019-51</v>
      </c>
    </row>
    <row r="244" spans="1:17" ht="30" x14ac:dyDescent="0.25">
      <c r="A244" s="9">
        <f>MOD(IF(ROW()=11,0.1,IF(INDEX(TimeEntry[WkEnd],ROW()-10)            =            INDEX(TimeEntry[WkEnd],ROW()-11),               INDEX(TimeEntry[format],ROW()-11),               INDEX(TimeEntry[format],ROW()-11)    +1)),2)</f>
        <v>0.10000000000000009</v>
      </c>
      <c r="B244" s="14"/>
      <c r="C244" s="7">
        <v>43810</v>
      </c>
      <c r="D244" s="7"/>
      <c r="E244" s="7"/>
      <c r="F244" s="6" t="s">
        <v>88</v>
      </c>
      <c r="G244" s="6"/>
      <c r="H244" s="7">
        <f>IF(TimeEntry[[#This Row],[Date]]=0,H243,C244+(7-N244))</f>
        <v>43814</v>
      </c>
      <c r="I244" s="7">
        <f>TimeEntry[[#This Row],[Date]]</f>
        <v>43810</v>
      </c>
      <c r="J244" s="10" t="str">
        <f>IF(TimeEntry[[#This Row],[Date]]=0,"",TEXT(TimeEntry[[#This Row],[Date]],"ddd"))</f>
        <v>Wed</v>
      </c>
      <c r="K244" s="9" t="str">
        <f>IF(TimeEntry[[#This Row],[Project]]=0,"",INDEX(ProjectsAll[job number],MATCH(TimeEntry[[#This Row],[Project]],ProjectsAll[Project],0)))</f>
        <v>210035-51</v>
      </c>
      <c r="L244" s="6" t="s">
        <v>126</v>
      </c>
      <c r="M244" s="6">
        <v>7.5</v>
      </c>
      <c r="N244" s="9">
        <f>IF(TimeEntry[[#This Row],[Date]]=0,"",WEEKDAY(C244,2))</f>
        <v>3</v>
      </c>
      <c r="O244" s="10">
        <f>YEAR(TimeEntry[[#This Row],[WkEnd]])</f>
        <v>2019</v>
      </c>
      <c r="P244" s="10">
        <f>WEEKNUM(TimeEntry[[#This Row],[WkEnd]])</f>
        <v>51</v>
      </c>
      <c r="Q244" s="10" t="str">
        <f>TimeEntry[[#This Row],[Year]]&amp;"-"&amp;TimeEntry[[#This Row],[WkNo]]</f>
        <v>2019-51</v>
      </c>
    </row>
    <row r="245" spans="1:17" ht="30" x14ac:dyDescent="0.25">
      <c r="A245" s="9">
        <f>MOD(IF(ROW()=11,0.1,IF(INDEX(TimeEntry[WkEnd],ROW()-10)            =            INDEX(TimeEntry[WkEnd],ROW()-11),               INDEX(TimeEntry[format],ROW()-11),               INDEX(TimeEntry[format],ROW()-11)    +1)),2)</f>
        <v>0.10000000000000009</v>
      </c>
      <c r="B245" s="14"/>
      <c r="C245" s="7">
        <v>43811</v>
      </c>
      <c r="D245" s="7"/>
      <c r="E245" s="7"/>
      <c r="F245" s="6" t="s">
        <v>70</v>
      </c>
      <c r="G245" s="6"/>
      <c r="H245" s="7">
        <f>IF(TimeEntry[[#This Row],[Date]]=0,H244,C245+(7-N245))</f>
        <v>43814</v>
      </c>
      <c r="I245" s="7">
        <f>TimeEntry[[#This Row],[Date]]</f>
        <v>43811</v>
      </c>
      <c r="J245" s="10" t="str">
        <f>IF(TimeEntry[[#This Row],[Date]]=0,"",TEXT(TimeEntry[[#This Row],[Date]],"ddd"))</f>
        <v>Thu</v>
      </c>
      <c r="K245" s="9" t="str">
        <f>IF(TimeEntry[[#This Row],[Project]]=0,"",INDEX(ProjectsAll[job number],MATCH(TimeEntry[[#This Row],[Project]],ProjectsAll[Project],0)))</f>
        <v>255375-00</v>
      </c>
      <c r="L245" s="6" t="s">
        <v>128</v>
      </c>
      <c r="M245" s="6">
        <v>7.5</v>
      </c>
      <c r="N245" s="9">
        <f>IF(TimeEntry[[#This Row],[Date]]=0,"",WEEKDAY(C245,2))</f>
        <v>4</v>
      </c>
      <c r="O245" s="10">
        <f>YEAR(TimeEntry[[#This Row],[WkEnd]])</f>
        <v>2019</v>
      </c>
      <c r="P245" s="10">
        <f>WEEKNUM(TimeEntry[[#This Row],[WkEnd]])</f>
        <v>51</v>
      </c>
      <c r="Q245" s="10" t="str">
        <f>TimeEntry[[#This Row],[Year]]&amp;"-"&amp;TimeEntry[[#This Row],[WkNo]]</f>
        <v>2019-51</v>
      </c>
    </row>
    <row r="246" spans="1:17" ht="30" x14ac:dyDescent="0.25">
      <c r="A246" s="9">
        <f>MOD(IF(ROW()=11,0.1,IF(INDEX(TimeEntry[WkEnd],ROW()-10)            =            INDEX(TimeEntry[WkEnd],ROW()-11),               INDEX(TimeEntry[format],ROW()-11),               INDEX(TimeEntry[format],ROW()-11)    +1)),2)</f>
        <v>0.10000000000000009</v>
      </c>
      <c r="B246" s="14"/>
      <c r="C246" s="7">
        <v>43812</v>
      </c>
      <c r="D246" s="7"/>
      <c r="E246" s="7"/>
      <c r="F246" s="6" t="s">
        <v>65</v>
      </c>
      <c r="G246" s="6"/>
      <c r="H246" s="7">
        <f>IF(TimeEntry[[#This Row],[Date]]=0,H245,C246+(7-N246))</f>
        <v>43814</v>
      </c>
      <c r="I246" s="7">
        <f>TimeEntry[[#This Row],[Date]]</f>
        <v>43812</v>
      </c>
      <c r="J246" s="10" t="str">
        <f>IF(TimeEntry[[#This Row],[Date]]=0,"",TEXT(TimeEntry[[#This Row],[Date]],"ddd"))</f>
        <v>Fri</v>
      </c>
      <c r="K246" s="9" t="str">
        <f>IF(TimeEntry[[#This Row],[Project]]=0,"",INDEX(ProjectsAll[job number],MATCH(TimeEntry[[#This Row],[Project]],ProjectsAll[Project],0)))</f>
        <v xml:space="preserve">268017-25 </v>
      </c>
      <c r="L246" s="6" t="s">
        <v>131</v>
      </c>
      <c r="M246" s="6">
        <v>7.5</v>
      </c>
      <c r="N246" s="9">
        <f>IF(TimeEntry[[#This Row],[Date]]=0,"",WEEKDAY(C246,2))</f>
        <v>5</v>
      </c>
      <c r="O246" s="10">
        <f>YEAR(TimeEntry[[#This Row],[WkEnd]])</f>
        <v>2019</v>
      </c>
      <c r="P246" s="10">
        <f>WEEKNUM(TimeEntry[[#This Row],[WkEnd]])</f>
        <v>51</v>
      </c>
      <c r="Q246" s="10" t="str">
        <f>TimeEntry[[#This Row],[Year]]&amp;"-"&amp;TimeEntry[[#This Row],[WkNo]]</f>
        <v>2019-51</v>
      </c>
    </row>
    <row r="247" spans="1:17" ht="30" x14ac:dyDescent="0.25">
      <c r="A247" s="9">
        <f>MOD(IF(ROW()=11,0.1,IF(INDEX(TimeEntry[WkEnd],ROW()-10)            =            INDEX(TimeEntry[WkEnd],ROW()-11),               INDEX(TimeEntry[format],ROW()-11),               INDEX(TimeEntry[format],ROW()-11)    +1)),2)</f>
        <v>1.1000000000000001</v>
      </c>
      <c r="B247" s="14"/>
      <c r="C247" s="7">
        <v>43801</v>
      </c>
      <c r="D247" s="7"/>
      <c r="E247" s="7"/>
      <c r="F247" s="6" t="s">
        <v>65</v>
      </c>
      <c r="G247" s="6"/>
      <c r="H247" s="7">
        <f>IF(TimeEntry[[#This Row],[Date]]=0,H246,C247+(7-N247))</f>
        <v>43807</v>
      </c>
      <c r="I247" s="7">
        <f>TimeEntry[[#This Row],[Date]]</f>
        <v>43801</v>
      </c>
      <c r="J247" s="10" t="str">
        <f>IF(TimeEntry[[#This Row],[Date]]=0,"",TEXT(TimeEntry[[#This Row],[Date]],"ddd"))</f>
        <v>Mon</v>
      </c>
      <c r="K247" s="9" t="str">
        <f>IF(TimeEntry[[#This Row],[Project]]=0,"",INDEX(ProjectsAll[job number],MATCH(TimeEntry[[#This Row],[Project]],ProjectsAll[Project],0)))</f>
        <v xml:space="preserve">268017-25 </v>
      </c>
      <c r="L247" s="6" t="s">
        <v>132</v>
      </c>
      <c r="M247" s="6">
        <v>5.5</v>
      </c>
      <c r="N247" s="9">
        <f>IF(TimeEntry[[#This Row],[Date]]=0,"",WEEKDAY(C247,2))</f>
        <v>1</v>
      </c>
      <c r="O247" s="10">
        <f>YEAR(TimeEntry[[#This Row],[WkEnd]])</f>
        <v>2019</v>
      </c>
      <c r="P247" s="10">
        <f>WEEKNUM(TimeEntry[[#This Row],[WkEnd]])</f>
        <v>50</v>
      </c>
      <c r="Q247" s="10" t="str">
        <f>TimeEntry[[#This Row],[Year]]&amp;"-"&amp;TimeEntry[[#This Row],[WkNo]]</f>
        <v>2019-50</v>
      </c>
    </row>
    <row r="248" spans="1:17" ht="30" x14ac:dyDescent="0.25">
      <c r="A248" s="9">
        <f>MOD(IF(ROW()=11,0.1,IF(INDEX(TimeEntry[WkEnd],ROW()-10)            =            INDEX(TimeEntry[WkEnd],ROW()-11),               INDEX(TimeEntry[format],ROW()-11),               INDEX(TimeEntry[format],ROW()-11)    +1)),2)</f>
        <v>1.1000000000000001</v>
      </c>
      <c r="B248" s="14"/>
      <c r="C248" s="7">
        <v>43801</v>
      </c>
      <c r="D248" s="7"/>
      <c r="E248" s="7"/>
      <c r="F248" s="6" t="s">
        <v>65</v>
      </c>
      <c r="G248" s="6"/>
      <c r="H248" s="7">
        <f>IF(TimeEntry[[#This Row],[Date]]=0,H247,C248+(7-N248))</f>
        <v>43807</v>
      </c>
      <c r="I248" s="7">
        <f>TimeEntry[[#This Row],[Date]]</f>
        <v>43801</v>
      </c>
      <c r="J248" s="10" t="str">
        <f>IF(TimeEntry[[#This Row],[Date]]=0,"",TEXT(TimeEntry[[#This Row],[Date]],"ddd"))</f>
        <v>Mon</v>
      </c>
      <c r="K248" s="9" t="str">
        <f>IF(TimeEntry[[#This Row],[Project]]=0,"",INDEX(ProjectsAll[job number],MATCH(TimeEntry[[#This Row],[Project]],ProjectsAll[Project],0)))</f>
        <v xml:space="preserve">268017-25 </v>
      </c>
      <c r="L248" s="6" t="s">
        <v>125</v>
      </c>
      <c r="M248" s="6">
        <v>2</v>
      </c>
      <c r="N248" s="9">
        <f>IF(TimeEntry[[#This Row],[Date]]=0,"",WEEKDAY(C248,2))</f>
        <v>1</v>
      </c>
      <c r="O248" s="10">
        <f>YEAR(TimeEntry[[#This Row],[WkEnd]])</f>
        <v>2019</v>
      </c>
      <c r="P248" s="10">
        <f>WEEKNUM(TimeEntry[[#This Row],[WkEnd]])</f>
        <v>50</v>
      </c>
      <c r="Q248" s="10" t="str">
        <f>TimeEntry[[#This Row],[Year]]&amp;"-"&amp;TimeEntry[[#This Row],[WkNo]]</f>
        <v>2019-50</v>
      </c>
    </row>
    <row r="249" spans="1:17" ht="30" x14ac:dyDescent="0.25">
      <c r="A249" s="9">
        <f>MOD(IF(ROW()=11,0.1,IF(INDEX(TimeEntry[WkEnd],ROW()-10)            =            INDEX(TimeEntry[WkEnd],ROW()-11),               INDEX(TimeEntry[format],ROW()-11),               INDEX(TimeEntry[format],ROW()-11)    +1)),2)</f>
        <v>1.1000000000000001</v>
      </c>
      <c r="B249" s="14"/>
      <c r="C249" s="7">
        <v>43802</v>
      </c>
      <c r="D249" s="7"/>
      <c r="E249" s="7"/>
      <c r="F249" s="6" t="s">
        <v>88</v>
      </c>
      <c r="G249" s="6"/>
      <c r="H249" s="7">
        <f>IF(TimeEntry[[#This Row],[Date]]=0,H248,C249+(7-N249))</f>
        <v>43807</v>
      </c>
      <c r="I249" s="7">
        <f>TimeEntry[[#This Row],[Date]]</f>
        <v>43802</v>
      </c>
      <c r="J249" s="10" t="str">
        <f>IF(TimeEntry[[#This Row],[Date]]=0,"",TEXT(TimeEntry[[#This Row],[Date]],"ddd"))</f>
        <v>Tue</v>
      </c>
      <c r="K249" s="9" t="str">
        <f>IF(TimeEntry[[#This Row],[Project]]=0,"",INDEX(ProjectsAll[job number],MATCH(TimeEntry[[#This Row],[Project]],ProjectsAll[Project],0)))</f>
        <v>210035-51</v>
      </c>
      <c r="L249" s="6" t="s">
        <v>133</v>
      </c>
      <c r="M249" s="6">
        <v>2.5</v>
      </c>
      <c r="N249" s="9">
        <f>IF(TimeEntry[[#This Row],[Date]]=0,"",WEEKDAY(C249,2))</f>
        <v>2</v>
      </c>
      <c r="O249" s="10">
        <f>YEAR(TimeEntry[[#This Row],[WkEnd]])</f>
        <v>2019</v>
      </c>
      <c r="P249" s="10">
        <f>WEEKNUM(TimeEntry[[#This Row],[WkEnd]])</f>
        <v>50</v>
      </c>
      <c r="Q249" s="10" t="str">
        <f>TimeEntry[[#This Row],[Year]]&amp;"-"&amp;TimeEntry[[#This Row],[WkNo]]</f>
        <v>2019-50</v>
      </c>
    </row>
    <row r="250" spans="1:17" ht="30" x14ac:dyDescent="0.25">
      <c r="A250" s="9">
        <f>MOD(IF(ROW()=11,0.1,IF(INDEX(TimeEntry[WkEnd],ROW()-10)            =            INDEX(TimeEntry[WkEnd],ROW()-11),               INDEX(TimeEntry[format],ROW()-11),               INDEX(TimeEntry[format],ROW()-11)    +1)),2)</f>
        <v>1.1000000000000001</v>
      </c>
      <c r="B250" s="14"/>
      <c r="C250" s="7">
        <v>43802</v>
      </c>
      <c r="D250" s="7"/>
      <c r="E250" s="7"/>
      <c r="F250" s="6" t="s">
        <v>88</v>
      </c>
      <c r="G250" s="6"/>
      <c r="H250" s="7">
        <f>IF(TimeEntry[[#This Row],[Date]]=0,H249,C250+(7-N250))</f>
        <v>43807</v>
      </c>
      <c r="I250" s="7">
        <f>TimeEntry[[#This Row],[Date]]</f>
        <v>43802</v>
      </c>
      <c r="J250" s="10" t="str">
        <f>IF(TimeEntry[[#This Row],[Date]]=0,"",TEXT(TimeEntry[[#This Row],[Date]],"ddd"))</f>
        <v>Tue</v>
      </c>
      <c r="K250" s="9" t="str">
        <f>IF(TimeEntry[[#This Row],[Project]]=0,"",INDEX(ProjectsAll[job number],MATCH(TimeEntry[[#This Row],[Project]],ProjectsAll[Project],0)))</f>
        <v>210035-51</v>
      </c>
      <c r="L250" s="6" t="s">
        <v>134</v>
      </c>
      <c r="M250" s="6">
        <v>2</v>
      </c>
      <c r="N250" s="9">
        <f>IF(TimeEntry[[#This Row],[Date]]=0,"",WEEKDAY(C250,2))</f>
        <v>2</v>
      </c>
      <c r="O250" s="10">
        <f>YEAR(TimeEntry[[#This Row],[WkEnd]])</f>
        <v>2019</v>
      </c>
      <c r="P250" s="10">
        <f>WEEKNUM(TimeEntry[[#This Row],[WkEnd]])</f>
        <v>50</v>
      </c>
      <c r="Q250" s="10" t="str">
        <f>TimeEntry[[#This Row],[Year]]&amp;"-"&amp;TimeEntry[[#This Row],[WkNo]]</f>
        <v>2019-50</v>
      </c>
    </row>
    <row r="251" spans="1:17" ht="30" x14ac:dyDescent="0.25">
      <c r="A251" s="9">
        <f>MOD(IF(ROW()=11,0.1,IF(INDEX(TimeEntry[WkEnd],ROW()-10)            =            INDEX(TimeEntry[WkEnd],ROW()-11),               INDEX(TimeEntry[format],ROW()-11),               INDEX(TimeEntry[format],ROW()-11)    +1)),2)</f>
        <v>1.1000000000000001</v>
      </c>
      <c r="B251" s="14"/>
      <c r="C251" s="7">
        <v>43802</v>
      </c>
      <c r="D251" s="7"/>
      <c r="E251" s="7"/>
      <c r="F251" s="6" t="s">
        <v>65</v>
      </c>
      <c r="G251" s="6"/>
      <c r="H251" s="7">
        <f>IF(TimeEntry[[#This Row],[Date]]=0,H250,C251+(7-N251))</f>
        <v>43807</v>
      </c>
      <c r="I251" s="7">
        <f>TimeEntry[[#This Row],[Date]]</f>
        <v>43802</v>
      </c>
      <c r="J251" s="10" t="str">
        <f>IF(TimeEntry[[#This Row],[Date]]=0,"",TEXT(TimeEntry[[#This Row],[Date]],"ddd"))</f>
        <v>Tue</v>
      </c>
      <c r="K251" s="9" t="str">
        <f>IF(TimeEntry[[#This Row],[Project]]=0,"",INDEX(ProjectsAll[job number],MATCH(TimeEntry[[#This Row],[Project]],ProjectsAll[Project],0)))</f>
        <v xml:space="preserve">268017-25 </v>
      </c>
      <c r="L251" s="6" t="s">
        <v>135</v>
      </c>
      <c r="M251" s="6">
        <v>3</v>
      </c>
      <c r="N251" s="9">
        <f>IF(TimeEntry[[#This Row],[Date]]=0,"",WEEKDAY(C251,2))</f>
        <v>2</v>
      </c>
      <c r="O251" s="10">
        <f>YEAR(TimeEntry[[#This Row],[WkEnd]])</f>
        <v>2019</v>
      </c>
      <c r="P251" s="10">
        <f>WEEKNUM(TimeEntry[[#This Row],[WkEnd]])</f>
        <v>50</v>
      </c>
      <c r="Q251" s="10" t="str">
        <f>TimeEntry[[#This Row],[Year]]&amp;"-"&amp;TimeEntry[[#This Row],[WkNo]]</f>
        <v>2019-50</v>
      </c>
    </row>
    <row r="252" spans="1:17" ht="30" x14ac:dyDescent="0.25">
      <c r="A252" s="9">
        <f>MOD(IF(ROW()=11,0.1,IF(INDEX(TimeEntry[WkEnd],ROW()-10)            =            INDEX(TimeEntry[WkEnd],ROW()-11),               INDEX(TimeEntry[format],ROW()-11),               INDEX(TimeEntry[format],ROW()-11)    +1)),2)</f>
        <v>1.1000000000000001</v>
      </c>
      <c r="B252" s="14"/>
      <c r="C252" s="7">
        <v>43803</v>
      </c>
      <c r="D252" s="7"/>
      <c r="E252" s="7"/>
      <c r="F252" s="6" t="s">
        <v>65</v>
      </c>
      <c r="G252" s="6"/>
      <c r="H252" s="7">
        <f>IF(TimeEntry[[#This Row],[Date]]=0,H251,C252+(7-N252))</f>
        <v>43807</v>
      </c>
      <c r="I252" s="7">
        <f>TimeEntry[[#This Row],[Date]]</f>
        <v>43803</v>
      </c>
      <c r="J252" s="10" t="str">
        <f>IF(TimeEntry[[#This Row],[Date]]=0,"",TEXT(TimeEntry[[#This Row],[Date]],"ddd"))</f>
        <v>Wed</v>
      </c>
      <c r="K252" s="9" t="str">
        <f>IF(TimeEntry[[#This Row],[Project]]=0,"",INDEX(ProjectsAll[job number],MATCH(TimeEntry[[#This Row],[Project]],ProjectsAll[Project],0)))</f>
        <v xml:space="preserve">268017-25 </v>
      </c>
      <c r="L252" s="6" t="s">
        <v>132</v>
      </c>
      <c r="M252" s="6">
        <v>2</v>
      </c>
      <c r="N252" s="9">
        <f>IF(TimeEntry[[#This Row],[Date]]=0,"",WEEKDAY(C252,2))</f>
        <v>3</v>
      </c>
      <c r="O252" s="10">
        <f>YEAR(TimeEntry[[#This Row],[WkEnd]])</f>
        <v>2019</v>
      </c>
      <c r="P252" s="10">
        <f>WEEKNUM(TimeEntry[[#This Row],[WkEnd]])</f>
        <v>50</v>
      </c>
      <c r="Q252" s="10" t="str">
        <f>TimeEntry[[#This Row],[Year]]&amp;"-"&amp;TimeEntry[[#This Row],[WkNo]]</f>
        <v>2019-50</v>
      </c>
    </row>
    <row r="253" spans="1:17" ht="30" x14ac:dyDescent="0.25">
      <c r="A253" s="9">
        <f>MOD(IF(ROW()=11,0.1,IF(INDEX(TimeEntry[WkEnd],ROW()-10)            =            INDEX(TimeEntry[WkEnd],ROW()-11),               INDEX(TimeEntry[format],ROW()-11),               INDEX(TimeEntry[format],ROW()-11)    +1)),2)</f>
        <v>1.1000000000000001</v>
      </c>
      <c r="B253" s="14"/>
      <c r="C253" s="7">
        <v>43803</v>
      </c>
      <c r="D253" s="7"/>
      <c r="E253" s="7"/>
      <c r="F253" s="6" t="s">
        <v>88</v>
      </c>
      <c r="G253" s="6"/>
      <c r="H253" s="7">
        <f>IF(TimeEntry[[#This Row],[Date]]=0,H252,C253+(7-N253))</f>
        <v>43807</v>
      </c>
      <c r="I253" s="7">
        <f>TimeEntry[[#This Row],[Date]]</f>
        <v>43803</v>
      </c>
      <c r="J253" s="10" t="str">
        <f>IF(TimeEntry[[#This Row],[Date]]=0,"",TEXT(TimeEntry[[#This Row],[Date]],"ddd"))</f>
        <v>Wed</v>
      </c>
      <c r="K253" s="9" t="str">
        <f>IF(TimeEntry[[#This Row],[Project]]=0,"",INDEX(ProjectsAll[job number],MATCH(TimeEntry[[#This Row],[Project]],ProjectsAll[Project],0)))</f>
        <v>210035-51</v>
      </c>
      <c r="L253" s="6" t="s">
        <v>133</v>
      </c>
      <c r="M253" s="6">
        <v>5.5</v>
      </c>
      <c r="N253" s="9">
        <f>IF(TimeEntry[[#This Row],[Date]]=0,"",WEEKDAY(C253,2))</f>
        <v>3</v>
      </c>
      <c r="O253" s="10">
        <f>YEAR(TimeEntry[[#This Row],[WkEnd]])</f>
        <v>2019</v>
      </c>
      <c r="P253" s="10">
        <f>WEEKNUM(TimeEntry[[#This Row],[WkEnd]])</f>
        <v>50</v>
      </c>
      <c r="Q253" s="10" t="str">
        <f>TimeEntry[[#This Row],[Year]]&amp;"-"&amp;TimeEntry[[#This Row],[WkNo]]</f>
        <v>2019-50</v>
      </c>
    </row>
    <row r="254" spans="1:17" ht="30" x14ac:dyDescent="0.25">
      <c r="A254" s="9">
        <f>MOD(IF(ROW()=11,0.1,IF(INDEX(TimeEntry[WkEnd],ROW()-10)            =            INDEX(TimeEntry[WkEnd],ROW()-11),               INDEX(TimeEntry[format],ROW()-11),               INDEX(TimeEntry[format],ROW()-11)    +1)),2)</f>
        <v>1.1000000000000001</v>
      </c>
      <c r="B254" s="14"/>
      <c r="C254" s="7">
        <v>43804</v>
      </c>
      <c r="D254" s="7"/>
      <c r="E254" s="7"/>
      <c r="F254" s="6" t="s">
        <v>88</v>
      </c>
      <c r="G254" s="6"/>
      <c r="H254" s="7">
        <f>IF(TimeEntry[[#This Row],[Date]]=0,H253,C254+(7-N254))</f>
        <v>43807</v>
      </c>
      <c r="I254" s="7">
        <f>TimeEntry[[#This Row],[Date]]</f>
        <v>43804</v>
      </c>
      <c r="J254" s="10" t="str">
        <f>IF(TimeEntry[[#This Row],[Date]]=0,"",TEXT(TimeEntry[[#This Row],[Date]],"ddd"))</f>
        <v>Thu</v>
      </c>
      <c r="K254" s="9" t="str">
        <f>IF(TimeEntry[[#This Row],[Project]]=0,"",INDEX(ProjectsAll[job number],MATCH(TimeEntry[[#This Row],[Project]],ProjectsAll[Project],0)))</f>
        <v>210035-51</v>
      </c>
      <c r="L254" s="6" t="s">
        <v>133</v>
      </c>
      <c r="M254" s="6">
        <v>2.5</v>
      </c>
      <c r="N254" s="9">
        <f>IF(TimeEntry[[#This Row],[Date]]=0,"",WEEKDAY(C254,2))</f>
        <v>4</v>
      </c>
      <c r="O254" s="10">
        <f>YEAR(TimeEntry[[#This Row],[WkEnd]])</f>
        <v>2019</v>
      </c>
      <c r="P254" s="10">
        <f>WEEKNUM(TimeEntry[[#This Row],[WkEnd]])</f>
        <v>50</v>
      </c>
      <c r="Q254" s="10" t="str">
        <f>TimeEntry[[#This Row],[Year]]&amp;"-"&amp;TimeEntry[[#This Row],[WkNo]]</f>
        <v>2019-50</v>
      </c>
    </row>
    <row r="255" spans="1:17" ht="30" x14ac:dyDescent="0.25">
      <c r="A255" s="9">
        <f>MOD(IF(ROW()=11,0.1,IF(INDEX(TimeEntry[WkEnd],ROW()-10)            =            INDEX(TimeEntry[WkEnd],ROW()-11),               INDEX(TimeEntry[format],ROW()-11),               INDEX(TimeEntry[format],ROW()-11)    +1)),2)</f>
        <v>1.1000000000000001</v>
      </c>
      <c r="B255" s="14"/>
      <c r="C255" s="7">
        <v>43804</v>
      </c>
      <c r="D255" s="7"/>
      <c r="E255" s="7"/>
      <c r="F255" s="6" t="s">
        <v>88</v>
      </c>
      <c r="G255" s="6"/>
      <c r="H255" s="7">
        <f>IF(TimeEntry[[#This Row],[Date]]=0,H254,C255+(7-N255))</f>
        <v>43807</v>
      </c>
      <c r="I255" s="7">
        <f>TimeEntry[[#This Row],[Date]]</f>
        <v>43804</v>
      </c>
      <c r="J255" s="10" t="str">
        <f>IF(TimeEntry[[#This Row],[Date]]=0,"",TEXT(TimeEntry[[#This Row],[Date]],"ddd"))</f>
        <v>Thu</v>
      </c>
      <c r="K255" s="9" t="str">
        <f>IF(TimeEntry[[#This Row],[Project]]=0,"",INDEX(ProjectsAll[job number],MATCH(TimeEntry[[#This Row],[Project]],ProjectsAll[Project],0)))</f>
        <v>210035-51</v>
      </c>
      <c r="L255" s="6" t="s">
        <v>136</v>
      </c>
      <c r="M255" s="6">
        <v>2</v>
      </c>
      <c r="N255" s="9">
        <f>IF(TimeEntry[[#This Row],[Date]]=0,"",WEEKDAY(C255,2))</f>
        <v>4</v>
      </c>
      <c r="O255" s="10">
        <f>YEAR(TimeEntry[[#This Row],[WkEnd]])</f>
        <v>2019</v>
      </c>
      <c r="P255" s="10">
        <f>WEEKNUM(TimeEntry[[#This Row],[WkEnd]])</f>
        <v>50</v>
      </c>
      <c r="Q255" s="10" t="str">
        <f>TimeEntry[[#This Row],[Year]]&amp;"-"&amp;TimeEntry[[#This Row],[WkNo]]</f>
        <v>2019-50</v>
      </c>
    </row>
    <row r="256" spans="1:17" ht="30" x14ac:dyDescent="0.25">
      <c r="A256" s="9">
        <f>MOD(IF(ROW()=11,0.1,IF(INDEX(TimeEntry[WkEnd],ROW()-10)            =            INDEX(TimeEntry[WkEnd],ROW()-11),               INDEX(TimeEntry[format],ROW()-11),               INDEX(TimeEntry[format],ROW()-11)    +1)),2)</f>
        <v>1.1000000000000001</v>
      </c>
      <c r="B256" s="14"/>
      <c r="C256" s="7">
        <v>43804</v>
      </c>
      <c r="D256" s="7"/>
      <c r="E256" s="7"/>
      <c r="F256" s="6" t="s">
        <v>65</v>
      </c>
      <c r="G256" s="6"/>
      <c r="H256" s="7">
        <f>IF(TimeEntry[[#This Row],[Date]]=0,H255,C256+(7-N256))</f>
        <v>43807</v>
      </c>
      <c r="I256" s="7">
        <f>TimeEntry[[#This Row],[Date]]</f>
        <v>43804</v>
      </c>
      <c r="J256" s="10" t="str">
        <f>IF(TimeEntry[[#This Row],[Date]]=0,"",TEXT(TimeEntry[[#This Row],[Date]],"ddd"))</f>
        <v>Thu</v>
      </c>
      <c r="K256" s="9" t="str">
        <f>IF(TimeEntry[[#This Row],[Project]]=0,"",INDEX(ProjectsAll[job number],MATCH(TimeEntry[[#This Row],[Project]],ProjectsAll[Project],0)))</f>
        <v xml:space="preserve">268017-25 </v>
      </c>
      <c r="L256" s="6" t="s">
        <v>137</v>
      </c>
      <c r="M256" s="6">
        <v>3</v>
      </c>
      <c r="N256" s="9">
        <f>IF(TimeEntry[[#This Row],[Date]]=0,"",WEEKDAY(C256,2))</f>
        <v>4</v>
      </c>
      <c r="O256" s="10">
        <f>YEAR(TimeEntry[[#This Row],[WkEnd]])</f>
        <v>2019</v>
      </c>
      <c r="P256" s="10">
        <f>WEEKNUM(TimeEntry[[#This Row],[WkEnd]])</f>
        <v>50</v>
      </c>
      <c r="Q256" s="10" t="str">
        <f>TimeEntry[[#This Row],[Year]]&amp;"-"&amp;TimeEntry[[#This Row],[WkNo]]</f>
        <v>2019-50</v>
      </c>
    </row>
    <row r="257" spans="1:17" ht="30" x14ac:dyDescent="0.25">
      <c r="A257" s="9">
        <f>MOD(IF(ROW()=11,0.1,IF(INDEX(TimeEntry[WkEnd],ROW()-10)            =            INDEX(TimeEntry[WkEnd],ROW()-11),               INDEX(TimeEntry[format],ROW()-11),               INDEX(TimeEntry[format],ROW()-11)    +1)),2)</f>
        <v>1.1000000000000001</v>
      </c>
      <c r="B257" s="14"/>
      <c r="C257" s="7">
        <v>43805</v>
      </c>
      <c r="D257" s="7"/>
      <c r="E257" s="7"/>
      <c r="F257" s="6" t="s">
        <v>65</v>
      </c>
      <c r="G257" s="6"/>
      <c r="H257" s="7">
        <f>IF(TimeEntry[[#This Row],[Date]]=0,H256,C257+(7-N257))</f>
        <v>43807</v>
      </c>
      <c r="I257" s="7">
        <f>TimeEntry[[#This Row],[Date]]</f>
        <v>43805</v>
      </c>
      <c r="J257" s="10" t="str">
        <f>IF(TimeEntry[[#This Row],[Date]]=0,"",TEXT(TimeEntry[[#This Row],[Date]],"ddd"))</f>
        <v>Fri</v>
      </c>
      <c r="K257" s="9" t="str">
        <f>IF(TimeEntry[[#This Row],[Project]]=0,"",INDEX(ProjectsAll[job number],MATCH(TimeEntry[[#This Row],[Project]],ProjectsAll[Project],0)))</f>
        <v xml:space="preserve">268017-25 </v>
      </c>
      <c r="L257" s="6" t="s">
        <v>137</v>
      </c>
      <c r="M257" s="6">
        <v>4.5</v>
      </c>
      <c r="N257" s="9">
        <f>IF(TimeEntry[[#This Row],[Date]]=0,"",WEEKDAY(C257,2))</f>
        <v>5</v>
      </c>
      <c r="O257" s="10">
        <f>YEAR(TimeEntry[[#This Row],[WkEnd]])</f>
        <v>2019</v>
      </c>
      <c r="P257" s="10">
        <f>WEEKNUM(TimeEntry[[#This Row],[WkEnd]])</f>
        <v>50</v>
      </c>
      <c r="Q257" s="10" t="str">
        <f>TimeEntry[[#This Row],[Year]]&amp;"-"&amp;TimeEntry[[#This Row],[WkNo]]</f>
        <v>2019-50</v>
      </c>
    </row>
    <row r="258" spans="1:17" ht="30" x14ac:dyDescent="0.25">
      <c r="A258" s="9">
        <f>MOD(IF(ROW()=11,0.1,IF(INDEX(TimeEntry[WkEnd],ROW()-10)            =            INDEX(TimeEntry[WkEnd],ROW()-11),               INDEX(TimeEntry[format],ROW()-11),               INDEX(TimeEntry[format],ROW()-11)    +1)),2)</f>
        <v>1.1000000000000001</v>
      </c>
      <c r="B258" s="14"/>
      <c r="C258" s="7">
        <v>43805</v>
      </c>
      <c r="D258" s="7"/>
      <c r="E258" s="7"/>
      <c r="F258" s="6" t="s">
        <v>88</v>
      </c>
      <c r="G258" s="6"/>
      <c r="H258" s="7">
        <f>IF(TimeEntry[[#This Row],[Date]]=0,H257,C258+(7-N258))</f>
        <v>43807</v>
      </c>
      <c r="I258" s="7">
        <f>TimeEntry[[#This Row],[Date]]</f>
        <v>43805</v>
      </c>
      <c r="J258" s="10" t="str">
        <f>IF(TimeEntry[[#This Row],[Date]]=0,"",TEXT(TimeEntry[[#This Row],[Date]],"ddd"))</f>
        <v>Fri</v>
      </c>
      <c r="K258" s="9" t="str">
        <f>IF(TimeEntry[[#This Row],[Project]]=0,"",INDEX(ProjectsAll[job number],MATCH(TimeEntry[[#This Row],[Project]],ProjectsAll[Project],0)))</f>
        <v>210035-51</v>
      </c>
      <c r="L258" s="6" t="s">
        <v>133</v>
      </c>
      <c r="M258" s="6">
        <v>3</v>
      </c>
      <c r="N258" s="9">
        <f>IF(TimeEntry[[#This Row],[Date]]=0,"",WEEKDAY(C258,2))</f>
        <v>5</v>
      </c>
      <c r="O258" s="10">
        <f>YEAR(TimeEntry[[#This Row],[WkEnd]])</f>
        <v>2019</v>
      </c>
      <c r="P258" s="10">
        <f>WEEKNUM(TimeEntry[[#This Row],[WkEnd]])</f>
        <v>50</v>
      </c>
      <c r="Q258" s="10" t="str">
        <f>TimeEntry[[#This Row],[Year]]&amp;"-"&amp;TimeEntry[[#This Row],[WkNo]]</f>
        <v>2019-50</v>
      </c>
    </row>
    <row r="259" spans="1:17" ht="30" x14ac:dyDescent="0.25">
      <c r="A259" s="9">
        <f>MOD(IF(ROW()=11,0.1,IF(INDEX(TimeEntry[WkEnd],ROW()-10)            =            INDEX(TimeEntry[WkEnd],ROW()-11),               INDEX(TimeEntry[format],ROW()-11),               INDEX(TimeEntry[format],ROW()-11)    +1)),2)</f>
        <v>0.10000000000000009</v>
      </c>
      <c r="B259" s="14"/>
      <c r="C259" s="7">
        <v>43794</v>
      </c>
      <c r="D259" s="7"/>
      <c r="E259" s="7"/>
      <c r="F259" s="6" t="s">
        <v>65</v>
      </c>
      <c r="G259" s="6"/>
      <c r="H259" s="7">
        <f>IF(TimeEntry[[#This Row],[Date]]=0,H258,C259+(7-N259))</f>
        <v>43800</v>
      </c>
      <c r="I259" s="7">
        <f>TimeEntry[[#This Row],[Date]]</f>
        <v>43794</v>
      </c>
      <c r="J259" s="10" t="str">
        <f>IF(TimeEntry[[#This Row],[Date]]=0,"",TEXT(TimeEntry[[#This Row],[Date]],"ddd"))</f>
        <v>Mon</v>
      </c>
      <c r="K259" s="9" t="str">
        <f>IF(TimeEntry[[#This Row],[Project]]=0,"",INDEX(ProjectsAll[job number],MATCH(TimeEntry[[#This Row],[Project]],ProjectsAll[Project],0)))</f>
        <v xml:space="preserve">268017-25 </v>
      </c>
      <c r="L259" s="6" t="s">
        <v>132</v>
      </c>
      <c r="M259" s="6">
        <v>5.5</v>
      </c>
      <c r="N259" s="9">
        <f>IF(TimeEntry[[#This Row],[Date]]=0,"",WEEKDAY(C259,2))</f>
        <v>1</v>
      </c>
      <c r="O259" s="10">
        <f>YEAR(TimeEntry[[#This Row],[WkEnd]])</f>
        <v>2019</v>
      </c>
      <c r="P259" s="10">
        <f>WEEKNUM(TimeEntry[[#This Row],[WkEnd]])</f>
        <v>49</v>
      </c>
      <c r="Q259" s="10" t="str">
        <f>TimeEntry[[#This Row],[Year]]&amp;"-"&amp;TimeEntry[[#This Row],[WkNo]]</f>
        <v>2019-49</v>
      </c>
    </row>
    <row r="260" spans="1:17" ht="30" x14ac:dyDescent="0.25">
      <c r="A260" s="9">
        <f>MOD(IF(ROW()=11,0.1,IF(INDEX(TimeEntry[WkEnd],ROW()-10)            =            INDEX(TimeEntry[WkEnd],ROW()-11),               INDEX(TimeEntry[format],ROW()-11),               INDEX(TimeEntry[format],ROW()-11)    +1)),2)</f>
        <v>0.10000000000000009</v>
      </c>
      <c r="B260" s="14"/>
      <c r="C260" s="7">
        <v>43794</v>
      </c>
      <c r="D260" s="7"/>
      <c r="E260" s="7"/>
      <c r="F260" s="6" t="s">
        <v>65</v>
      </c>
      <c r="G260" s="6"/>
      <c r="H260" s="7">
        <f>IF(TimeEntry[[#This Row],[Date]]=0,H259,C260+(7-N260))</f>
        <v>43800</v>
      </c>
      <c r="I260" s="7">
        <f>TimeEntry[[#This Row],[Date]]</f>
        <v>43794</v>
      </c>
      <c r="J260" s="10" t="str">
        <f>IF(TimeEntry[[#This Row],[Date]]=0,"",TEXT(TimeEntry[[#This Row],[Date]],"ddd"))</f>
        <v>Mon</v>
      </c>
      <c r="K260" s="9" t="str">
        <f>IF(TimeEntry[[#This Row],[Project]]=0,"",INDEX(ProjectsAll[job number],MATCH(TimeEntry[[#This Row],[Project]],ProjectsAll[Project],0)))</f>
        <v xml:space="preserve">268017-25 </v>
      </c>
      <c r="L260" s="6" t="s">
        <v>125</v>
      </c>
      <c r="M260" s="6">
        <v>2</v>
      </c>
      <c r="N260" s="9">
        <f>IF(TimeEntry[[#This Row],[Date]]=0,"",WEEKDAY(C260,2))</f>
        <v>1</v>
      </c>
      <c r="O260" s="10">
        <f>YEAR(TimeEntry[[#This Row],[WkEnd]])</f>
        <v>2019</v>
      </c>
      <c r="P260" s="10">
        <f>WEEKNUM(TimeEntry[[#This Row],[WkEnd]])</f>
        <v>49</v>
      </c>
      <c r="Q260" s="10" t="str">
        <f>TimeEntry[[#This Row],[Year]]&amp;"-"&amp;TimeEntry[[#This Row],[WkNo]]</f>
        <v>2019-49</v>
      </c>
    </row>
    <row r="261" spans="1:17" ht="30" x14ac:dyDescent="0.25">
      <c r="A261" s="9">
        <f>MOD(IF(ROW()=11,0.1,IF(INDEX(TimeEntry[WkEnd],ROW()-10)            =            INDEX(TimeEntry[WkEnd],ROW()-11),               INDEX(TimeEntry[format],ROW()-11),               INDEX(TimeEntry[format],ROW()-11)    +1)),2)</f>
        <v>0.10000000000000009</v>
      </c>
      <c r="B261" s="14"/>
      <c r="C261" s="7">
        <v>43795</v>
      </c>
      <c r="D261" s="7"/>
      <c r="E261" s="7"/>
      <c r="F261" s="6" t="s">
        <v>88</v>
      </c>
      <c r="G261" s="6"/>
      <c r="H261" s="7">
        <f>IF(TimeEntry[[#This Row],[Date]]=0,H260,C261+(7-N261))</f>
        <v>43800</v>
      </c>
      <c r="I261" s="7">
        <f>TimeEntry[[#This Row],[Date]]</f>
        <v>43795</v>
      </c>
      <c r="J261" s="10" t="str">
        <f>IF(TimeEntry[[#This Row],[Date]]=0,"",TEXT(TimeEntry[[#This Row],[Date]],"ddd"))</f>
        <v>Tue</v>
      </c>
      <c r="K261" s="9" t="str">
        <f>IF(TimeEntry[[#This Row],[Project]]=0,"",INDEX(ProjectsAll[job number],MATCH(TimeEntry[[#This Row],[Project]],ProjectsAll[Project],0)))</f>
        <v>210035-51</v>
      </c>
      <c r="L261" s="6" t="s">
        <v>138</v>
      </c>
      <c r="M261" s="6">
        <v>5.5</v>
      </c>
      <c r="N261" s="9">
        <f>IF(TimeEntry[[#This Row],[Date]]=0,"",WEEKDAY(C261,2))</f>
        <v>2</v>
      </c>
      <c r="O261" s="10">
        <f>YEAR(TimeEntry[[#This Row],[WkEnd]])</f>
        <v>2019</v>
      </c>
      <c r="P261" s="10">
        <f>WEEKNUM(TimeEntry[[#This Row],[WkEnd]])</f>
        <v>49</v>
      </c>
      <c r="Q261" s="10" t="str">
        <f>TimeEntry[[#This Row],[Year]]&amp;"-"&amp;TimeEntry[[#This Row],[WkNo]]</f>
        <v>2019-49</v>
      </c>
    </row>
    <row r="262" spans="1:17" ht="30" x14ac:dyDescent="0.25">
      <c r="A262" s="9">
        <f>MOD(IF(ROW()=11,0.1,IF(INDEX(TimeEntry[WkEnd],ROW()-10)            =            INDEX(TimeEntry[WkEnd],ROW()-11),               INDEX(TimeEntry[format],ROW()-11),               INDEX(TimeEntry[format],ROW()-11)    +1)),2)</f>
        <v>0.10000000000000009</v>
      </c>
      <c r="B262" s="14"/>
      <c r="C262" s="7">
        <v>43795</v>
      </c>
      <c r="D262" s="7"/>
      <c r="E262" s="7"/>
      <c r="F262" s="6" t="s">
        <v>10</v>
      </c>
      <c r="G262" s="6"/>
      <c r="H262" s="7">
        <f>IF(TimeEntry[[#This Row],[Date]]=0,H261,C262+(7-N262))</f>
        <v>43800</v>
      </c>
      <c r="I262" s="7">
        <f>TimeEntry[[#This Row],[Date]]</f>
        <v>43795</v>
      </c>
      <c r="J262" s="10" t="str">
        <f>IF(TimeEntry[[#This Row],[Date]]=0,"",TEXT(TimeEntry[[#This Row],[Date]],"ddd"))</f>
        <v>Tue</v>
      </c>
      <c r="K262" s="9" t="str">
        <f>IF(TimeEntry[[#This Row],[Project]]=0,"",INDEX(ProjectsAll[job number],MATCH(TimeEntry[[#This Row],[Project]],ProjectsAll[Project],0)))</f>
        <v>074097-29</v>
      </c>
      <c r="L262" s="6" t="s">
        <v>139</v>
      </c>
      <c r="M262" s="6">
        <v>2</v>
      </c>
      <c r="N262" s="9">
        <f>IF(TimeEntry[[#This Row],[Date]]=0,"",WEEKDAY(C262,2))</f>
        <v>2</v>
      </c>
      <c r="O262" s="10">
        <f>YEAR(TimeEntry[[#This Row],[WkEnd]])</f>
        <v>2019</v>
      </c>
      <c r="P262" s="10">
        <f>WEEKNUM(TimeEntry[[#This Row],[WkEnd]])</f>
        <v>49</v>
      </c>
      <c r="Q262" s="10" t="str">
        <f>TimeEntry[[#This Row],[Year]]&amp;"-"&amp;TimeEntry[[#This Row],[WkNo]]</f>
        <v>2019-49</v>
      </c>
    </row>
    <row r="263" spans="1:17" ht="30" x14ac:dyDescent="0.25">
      <c r="A263" s="9">
        <f>MOD(IF(ROW()=11,0.1,IF(INDEX(TimeEntry[WkEnd],ROW()-10)            =            INDEX(TimeEntry[WkEnd],ROW()-11),               INDEX(TimeEntry[format],ROW()-11),               INDEX(TimeEntry[format],ROW()-11)    +1)),2)</f>
        <v>0.10000000000000009</v>
      </c>
      <c r="B263" s="14"/>
      <c r="C263" s="7">
        <v>43796</v>
      </c>
      <c r="D263" s="7"/>
      <c r="E263" s="7"/>
      <c r="F263" s="6" t="s">
        <v>65</v>
      </c>
      <c r="G263" s="6"/>
      <c r="H263" s="7">
        <f>IF(TimeEntry[[#This Row],[Date]]=0,H262,C263+(7-N263))</f>
        <v>43800</v>
      </c>
      <c r="I263" s="7">
        <f>TimeEntry[[#This Row],[Date]]</f>
        <v>43796</v>
      </c>
      <c r="J263" s="10" t="str">
        <f>IF(TimeEntry[[#This Row],[Date]]=0,"",TEXT(TimeEntry[[#This Row],[Date]],"ddd"))</f>
        <v>Wed</v>
      </c>
      <c r="K263" s="9" t="str">
        <f>IF(TimeEntry[[#This Row],[Project]]=0,"",INDEX(ProjectsAll[job number],MATCH(TimeEntry[[#This Row],[Project]],ProjectsAll[Project],0)))</f>
        <v xml:space="preserve">268017-25 </v>
      </c>
      <c r="L263" s="6" t="s">
        <v>140</v>
      </c>
      <c r="M263" s="6">
        <v>1</v>
      </c>
      <c r="N263" s="9">
        <f>IF(TimeEntry[[#This Row],[Date]]=0,"",WEEKDAY(C263,2))</f>
        <v>3</v>
      </c>
      <c r="O263" s="10">
        <f>YEAR(TimeEntry[[#This Row],[WkEnd]])</f>
        <v>2019</v>
      </c>
      <c r="P263" s="10">
        <f>WEEKNUM(TimeEntry[[#This Row],[WkEnd]])</f>
        <v>49</v>
      </c>
      <c r="Q263" s="10" t="str">
        <f>TimeEntry[[#This Row],[Year]]&amp;"-"&amp;TimeEntry[[#This Row],[WkNo]]</f>
        <v>2019-49</v>
      </c>
    </row>
    <row r="264" spans="1:17" ht="30" x14ac:dyDescent="0.25">
      <c r="A264" s="9">
        <f>MOD(IF(ROW()=11,0.1,IF(INDEX(TimeEntry[WkEnd],ROW()-10)            =            INDEX(TimeEntry[WkEnd],ROW()-11),               INDEX(TimeEntry[format],ROW()-11),               INDEX(TimeEntry[format],ROW()-11)    +1)),2)</f>
        <v>0.10000000000000009</v>
      </c>
      <c r="B264" s="14"/>
      <c r="C264" s="7">
        <v>43796</v>
      </c>
      <c r="D264" s="7"/>
      <c r="E264" s="7"/>
      <c r="F264" s="6" t="s">
        <v>88</v>
      </c>
      <c r="G264" s="6"/>
      <c r="H264" s="7">
        <f>IF(TimeEntry[[#This Row],[Date]]=0,H263,C264+(7-N264))</f>
        <v>43800</v>
      </c>
      <c r="I264" s="7">
        <f>TimeEntry[[#This Row],[Date]]</f>
        <v>43796</v>
      </c>
      <c r="J264" s="10" t="str">
        <f>IF(TimeEntry[[#This Row],[Date]]=0,"",TEXT(TimeEntry[[#This Row],[Date]],"ddd"))</f>
        <v>Wed</v>
      </c>
      <c r="K264" s="9" t="str">
        <f>IF(TimeEntry[[#This Row],[Project]]=0,"",INDEX(ProjectsAll[job number],MATCH(TimeEntry[[#This Row],[Project]],ProjectsAll[Project],0)))</f>
        <v>210035-51</v>
      </c>
      <c r="L264" s="6" t="s">
        <v>141</v>
      </c>
      <c r="M264" s="6">
        <v>2.5</v>
      </c>
      <c r="N264" s="9">
        <f>IF(TimeEntry[[#This Row],[Date]]=0,"",WEEKDAY(C264,2))</f>
        <v>3</v>
      </c>
      <c r="O264" s="10">
        <f>YEAR(TimeEntry[[#This Row],[WkEnd]])</f>
        <v>2019</v>
      </c>
      <c r="P264" s="10">
        <f>WEEKNUM(TimeEntry[[#This Row],[WkEnd]])</f>
        <v>49</v>
      </c>
      <c r="Q264" s="10" t="str">
        <f>TimeEntry[[#This Row],[Year]]&amp;"-"&amp;TimeEntry[[#This Row],[WkNo]]</f>
        <v>2019-49</v>
      </c>
    </row>
    <row r="265" spans="1:17" ht="30" x14ac:dyDescent="0.25">
      <c r="A265" s="9">
        <f>MOD(IF(ROW()=11,0.1,IF(INDEX(TimeEntry[WkEnd],ROW()-10)            =            INDEX(TimeEntry[WkEnd],ROW()-11),               INDEX(TimeEntry[format],ROW()-11),               INDEX(TimeEntry[format],ROW()-11)    +1)),2)</f>
        <v>0.10000000000000009</v>
      </c>
      <c r="B265" s="14"/>
      <c r="C265" s="7">
        <v>43796</v>
      </c>
      <c r="D265" s="7"/>
      <c r="E265" s="7"/>
      <c r="F265" s="6" t="s">
        <v>65</v>
      </c>
      <c r="G265" s="6"/>
      <c r="H265" s="7">
        <f>IF(TimeEntry[[#This Row],[Date]]=0,H264,C265+(7-N265))</f>
        <v>43800</v>
      </c>
      <c r="I265" s="7">
        <f>TimeEntry[[#This Row],[Date]]</f>
        <v>43796</v>
      </c>
      <c r="J265" s="10" t="str">
        <f>IF(TimeEntry[[#This Row],[Date]]=0,"",TEXT(TimeEntry[[#This Row],[Date]],"ddd"))</f>
        <v>Wed</v>
      </c>
      <c r="K265" s="9" t="str">
        <f>IF(TimeEntry[[#This Row],[Project]]=0,"",INDEX(ProjectsAll[job number],MATCH(TimeEntry[[#This Row],[Project]],ProjectsAll[Project],0)))</f>
        <v xml:space="preserve">268017-25 </v>
      </c>
      <c r="L265" s="6" t="s">
        <v>132</v>
      </c>
      <c r="M265" s="6">
        <v>4</v>
      </c>
      <c r="N265" s="9">
        <f>IF(TimeEntry[[#This Row],[Date]]=0,"",WEEKDAY(C265,2))</f>
        <v>3</v>
      </c>
      <c r="O265" s="10">
        <f>YEAR(TimeEntry[[#This Row],[WkEnd]])</f>
        <v>2019</v>
      </c>
      <c r="P265" s="10">
        <f>WEEKNUM(TimeEntry[[#This Row],[WkEnd]])</f>
        <v>49</v>
      </c>
      <c r="Q265" s="10" t="str">
        <f>TimeEntry[[#This Row],[Year]]&amp;"-"&amp;TimeEntry[[#This Row],[WkNo]]</f>
        <v>2019-49</v>
      </c>
    </row>
    <row r="266" spans="1:17" ht="30" x14ac:dyDescent="0.25">
      <c r="A266" s="9">
        <f>MOD(IF(ROW()=11,0.1,IF(INDEX(TimeEntry[WkEnd],ROW()-10)            =            INDEX(TimeEntry[WkEnd],ROW()-11),               INDEX(TimeEntry[format],ROW()-11),               INDEX(TimeEntry[format],ROW()-11)    +1)),2)</f>
        <v>0.10000000000000009</v>
      </c>
      <c r="B266" s="14"/>
      <c r="C266" s="7">
        <v>43797</v>
      </c>
      <c r="D266" s="7"/>
      <c r="E266" s="7"/>
      <c r="F266" s="6" t="s">
        <v>65</v>
      </c>
      <c r="G266" s="6"/>
      <c r="H266" s="7">
        <f>IF(TimeEntry[[#This Row],[Date]]=0,H265,C266+(7-N266))</f>
        <v>43800</v>
      </c>
      <c r="I266" s="7">
        <f>TimeEntry[[#This Row],[Date]]</f>
        <v>43797</v>
      </c>
      <c r="J266" s="10" t="str">
        <f>IF(TimeEntry[[#This Row],[Date]]=0,"",TEXT(TimeEntry[[#This Row],[Date]],"ddd"))</f>
        <v>Thu</v>
      </c>
      <c r="K266" s="9" t="str">
        <f>IF(TimeEntry[[#This Row],[Project]]=0,"",INDEX(ProjectsAll[job number],MATCH(TimeEntry[[#This Row],[Project]],ProjectsAll[Project],0)))</f>
        <v xml:space="preserve">268017-25 </v>
      </c>
      <c r="L266" s="6" t="s">
        <v>132</v>
      </c>
      <c r="M266" s="6">
        <v>7.5</v>
      </c>
      <c r="N266" s="9">
        <f>IF(TimeEntry[[#This Row],[Date]]=0,"",WEEKDAY(C266,2))</f>
        <v>4</v>
      </c>
      <c r="O266" s="10">
        <f>YEAR(TimeEntry[[#This Row],[WkEnd]])</f>
        <v>2019</v>
      </c>
      <c r="P266" s="10">
        <f>WEEKNUM(TimeEntry[[#This Row],[WkEnd]])</f>
        <v>49</v>
      </c>
      <c r="Q266" s="10" t="str">
        <f>TimeEntry[[#This Row],[Year]]&amp;"-"&amp;TimeEntry[[#This Row],[WkNo]]</f>
        <v>2019-49</v>
      </c>
    </row>
    <row r="267" spans="1:17" ht="30" x14ac:dyDescent="0.25">
      <c r="A267" s="9">
        <f>MOD(IF(ROW()=11,0.1,IF(INDEX(TimeEntry[WkEnd],ROW()-10)            =            INDEX(TimeEntry[WkEnd],ROW()-11),               INDEX(TimeEntry[format],ROW()-11),               INDEX(TimeEntry[format],ROW()-11)    +1)),2)</f>
        <v>0.10000000000000009</v>
      </c>
      <c r="B267" s="14"/>
      <c r="C267" s="7">
        <v>43798</v>
      </c>
      <c r="D267" s="7"/>
      <c r="E267" s="7"/>
      <c r="F267" s="6" t="s">
        <v>88</v>
      </c>
      <c r="G267" s="6"/>
      <c r="H267" s="7">
        <f>IF(TimeEntry[[#This Row],[Date]]=0,H266,C267+(7-N267))</f>
        <v>43800</v>
      </c>
      <c r="I267" s="7">
        <f>TimeEntry[[#This Row],[Date]]</f>
        <v>43798</v>
      </c>
      <c r="J267" s="10" t="str">
        <f>IF(TimeEntry[[#This Row],[Date]]=0,"",TEXT(TimeEntry[[#This Row],[Date]],"ddd"))</f>
        <v>Fri</v>
      </c>
      <c r="K267" s="9" t="str">
        <f>IF(TimeEntry[[#This Row],[Project]]=0,"",INDEX(ProjectsAll[job number],MATCH(TimeEntry[[#This Row],[Project]],ProjectsAll[Project],0)))</f>
        <v>210035-51</v>
      </c>
      <c r="L267" s="6" t="s">
        <v>138</v>
      </c>
      <c r="M267" s="6">
        <v>7.5</v>
      </c>
      <c r="N267" s="9">
        <f>IF(TimeEntry[[#This Row],[Date]]=0,"",WEEKDAY(C267,2))</f>
        <v>5</v>
      </c>
      <c r="O267" s="10">
        <f>YEAR(TimeEntry[[#This Row],[WkEnd]])</f>
        <v>2019</v>
      </c>
      <c r="P267" s="10">
        <f>WEEKNUM(TimeEntry[[#This Row],[WkEnd]])</f>
        <v>49</v>
      </c>
      <c r="Q267" s="10" t="str">
        <f>TimeEntry[[#This Row],[Year]]&amp;"-"&amp;TimeEntry[[#This Row],[WkNo]]</f>
        <v>2019-49</v>
      </c>
    </row>
    <row r="268" spans="1:17" ht="30" x14ac:dyDescent="0.25">
      <c r="A268" s="9">
        <f>MOD(IF(ROW()=11,0.1,IF(INDEX(TimeEntry[WkEnd],ROW()-10)            =            INDEX(TimeEntry[WkEnd],ROW()-11),               INDEX(TimeEntry[format],ROW()-11),               INDEX(TimeEntry[format],ROW()-11)    +1)),2)</f>
        <v>1.1000000000000001</v>
      </c>
      <c r="B268" s="14"/>
      <c r="C268" s="7">
        <v>43787</v>
      </c>
      <c r="D268" s="7"/>
      <c r="E268" s="7"/>
      <c r="F268" s="6" t="s">
        <v>65</v>
      </c>
      <c r="G268" s="6"/>
      <c r="H268" s="7">
        <f>IF(TimeEntry[[#This Row],[Date]]=0,H267,C268+(7-N268))</f>
        <v>43793</v>
      </c>
      <c r="I268" s="7">
        <f>TimeEntry[[#This Row],[Date]]</f>
        <v>43787</v>
      </c>
      <c r="J268" s="10" t="str">
        <f>IF(TimeEntry[[#This Row],[Date]]=0,"",TEXT(TimeEntry[[#This Row],[Date]],"ddd"))</f>
        <v>Mon</v>
      </c>
      <c r="K268" s="9" t="str">
        <f>IF(TimeEntry[[#This Row],[Project]]=0,"",INDEX(ProjectsAll[job number],MATCH(TimeEntry[[#This Row],[Project]],ProjectsAll[Project],0)))</f>
        <v xml:space="preserve">268017-25 </v>
      </c>
      <c r="L268" s="6" t="s">
        <v>142</v>
      </c>
      <c r="M268" s="6">
        <v>5.5</v>
      </c>
      <c r="N268" s="9">
        <f>IF(TimeEntry[[#This Row],[Date]]=0,"",WEEKDAY(C268,2))</f>
        <v>1</v>
      </c>
      <c r="O268" s="10">
        <f>YEAR(TimeEntry[[#This Row],[WkEnd]])</f>
        <v>2019</v>
      </c>
      <c r="P268" s="10">
        <f>WEEKNUM(TimeEntry[[#This Row],[WkEnd]])</f>
        <v>48</v>
      </c>
      <c r="Q268" s="10" t="str">
        <f>TimeEntry[[#This Row],[Year]]&amp;"-"&amp;TimeEntry[[#This Row],[WkNo]]</f>
        <v>2019-48</v>
      </c>
    </row>
    <row r="269" spans="1:17" ht="30" x14ac:dyDescent="0.25">
      <c r="A269" s="9">
        <f>MOD(IF(ROW()=11,0.1,IF(INDEX(TimeEntry[WkEnd],ROW()-10)            =            INDEX(TimeEntry[WkEnd],ROW()-11),               INDEX(TimeEntry[format],ROW()-11),               INDEX(TimeEntry[format],ROW()-11)    +1)),2)</f>
        <v>1.1000000000000001</v>
      </c>
      <c r="B269" s="14"/>
      <c r="C269" s="7">
        <v>43787</v>
      </c>
      <c r="D269" s="7"/>
      <c r="E269" s="7"/>
      <c r="F269" s="6" t="s">
        <v>65</v>
      </c>
      <c r="G269" s="6"/>
      <c r="H269" s="7">
        <f>IF(TimeEntry[[#This Row],[Date]]=0,H268,C269+(7-N269))</f>
        <v>43793</v>
      </c>
      <c r="I269" s="7">
        <f>TimeEntry[[#This Row],[Date]]</f>
        <v>43787</v>
      </c>
      <c r="J269" s="10" t="str">
        <f>IF(TimeEntry[[#This Row],[Date]]=0,"",TEXT(TimeEntry[[#This Row],[Date]],"ddd"))</f>
        <v>Mon</v>
      </c>
      <c r="K269" s="9" t="str">
        <f>IF(TimeEntry[[#This Row],[Project]]=0,"",INDEX(ProjectsAll[job number],MATCH(TimeEntry[[#This Row],[Project]],ProjectsAll[Project],0)))</f>
        <v xml:space="preserve">268017-25 </v>
      </c>
      <c r="L269" s="6" t="s">
        <v>125</v>
      </c>
      <c r="M269" s="6">
        <v>2</v>
      </c>
      <c r="N269" s="9">
        <f>IF(TimeEntry[[#This Row],[Date]]=0,"",WEEKDAY(C269,2))</f>
        <v>1</v>
      </c>
      <c r="O269" s="10">
        <f>YEAR(TimeEntry[[#This Row],[WkEnd]])</f>
        <v>2019</v>
      </c>
      <c r="P269" s="10">
        <f>WEEKNUM(TimeEntry[[#This Row],[WkEnd]])</f>
        <v>48</v>
      </c>
      <c r="Q269" s="10" t="str">
        <f>TimeEntry[[#This Row],[Year]]&amp;"-"&amp;TimeEntry[[#This Row],[WkNo]]</f>
        <v>2019-48</v>
      </c>
    </row>
    <row r="270" spans="1:17" ht="30" x14ac:dyDescent="0.25">
      <c r="A270" s="9">
        <f>MOD(IF(ROW()=11,0.1,IF(INDEX(TimeEntry[WkEnd],ROW()-10)            =            INDEX(TimeEntry[WkEnd],ROW()-11),               INDEX(TimeEntry[format],ROW()-11),               INDEX(TimeEntry[format],ROW()-11)    +1)),2)</f>
        <v>1.1000000000000001</v>
      </c>
      <c r="B270" s="14"/>
      <c r="C270" s="7">
        <v>43788</v>
      </c>
      <c r="D270" s="7"/>
      <c r="E270" s="7"/>
      <c r="F270" s="6" t="s">
        <v>99</v>
      </c>
      <c r="G270" s="6"/>
      <c r="H270" s="7">
        <f>IF(TimeEntry[[#This Row],[Date]]=0,H269,C270+(7-N270))</f>
        <v>43793</v>
      </c>
      <c r="I270" s="7">
        <f>TimeEntry[[#This Row],[Date]]</f>
        <v>43788</v>
      </c>
      <c r="J270" s="10" t="str">
        <f>IF(TimeEntry[[#This Row],[Date]]=0,"",TEXT(TimeEntry[[#This Row],[Date]],"ddd"))</f>
        <v>Tue</v>
      </c>
      <c r="K270" s="9" t="str">
        <f>IF(TimeEntry[[#This Row],[Project]]=0,"",INDEX(ProjectsAll[job number],MATCH(TimeEntry[[#This Row],[Project]],ProjectsAll[Project],0)))</f>
        <v xml:space="preserve">210035-58 </v>
      </c>
      <c r="L270" s="6" t="s">
        <v>143</v>
      </c>
      <c r="M270" s="6">
        <v>2</v>
      </c>
      <c r="N270" s="9">
        <f>IF(TimeEntry[[#This Row],[Date]]=0,"",WEEKDAY(C270,2))</f>
        <v>2</v>
      </c>
      <c r="O270" s="10">
        <f>YEAR(TimeEntry[[#This Row],[WkEnd]])</f>
        <v>2019</v>
      </c>
      <c r="P270" s="10">
        <f>WEEKNUM(TimeEntry[[#This Row],[WkEnd]])</f>
        <v>48</v>
      </c>
      <c r="Q270" s="10" t="str">
        <f>TimeEntry[[#This Row],[Year]]&amp;"-"&amp;TimeEntry[[#This Row],[WkNo]]</f>
        <v>2019-48</v>
      </c>
    </row>
    <row r="271" spans="1:17" ht="30" x14ac:dyDescent="0.25">
      <c r="A271" s="9">
        <f>MOD(IF(ROW()=11,0.1,IF(INDEX(TimeEntry[WkEnd],ROW()-10)            =            INDEX(TimeEntry[WkEnd],ROW()-11),               INDEX(TimeEntry[format],ROW()-11),               INDEX(TimeEntry[format],ROW()-11)    +1)),2)</f>
        <v>1.1000000000000001</v>
      </c>
      <c r="B271" s="14"/>
      <c r="C271" s="7">
        <v>43788</v>
      </c>
      <c r="D271" s="7"/>
      <c r="E271" s="7"/>
      <c r="F271" s="6" t="s">
        <v>88</v>
      </c>
      <c r="G271" s="6"/>
      <c r="H271" s="7">
        <f>IF(TimeEntry[[#This Row],[Date]]=0,H270,C271+(7-N271))</f>
        <v>43793</v>
      </c>
      <c r="I271" s="7">
        <f>TimeEntry[[#This Row],[Date]]</f>
        <v>43788</v>
      </c>
      <c r="J271" s="10" t="str">
        <f>IF(TimeEntry[[#This Row],[Date]]=0,"",TEXT(TimeEntry[[#This Row],[Date]],"ddd"))</f>
        <v>Tue</v>
      </c>
      <c r="K271" s="9" t="str">
        <f>IF(TimeEntry[[#This Row],[Project]]=0,"",INDEX(ProjectsAll[job number],MATCH(TimeEntry[[#This Row],[Project]],ProjectsAll[Project],0)))</f>
        <v>210035-51</v>
      </c>
      <c r="L271" s="6" t="s">
        <v>144</v>
      </c>
      <c r="M271" s="6">
        <v>5.5</v>
      </c>
      <c r="N271" s="9">
        <f>IF(TimeEntry[[#This Row],[Date]]=0,"",WEEKDAY(C271,2))</f>
        <v>2</v>
      </c>
      <c r="O271" s="10">
        <f>YEAR(TimeEntry[[#This Row],[WkEnd]])</f>
        <v>2019</v>
      </c>
      <c r="P271" s="10">
        <f>WEEKNUM(TimeEntry[[#This Row],[WkEnd]])</f>
        <v>48</v>
      </c>
      <c r="Q271" s="10" t="str">
        <f>TimeEntry[[#This Row],[Year]]&amp;"-"&amp;TimeEntry[[#This Row],[WkNo]]</f>
        <v>2019-48</v>
      </c>
    </row>
    <row r="272" spans="1:17" ht="30" x14ac:dyDescent="0.25">
      <c r="A272" s="9">
        <f>MOD(IF(ROW()=11,0.1,IF(INDEX(TimeEntry[WkEnd],ROW()-10)            =            INDEX(TimeEntry[WkEnd],ROW()-11),               INDEX(TimeEntry[format],ROW()-11),               INDEX(TimeEntry[format],ROW()-11)    +1)),2)</f>
        <v>1.1000000000000001</v>
      </c>
      <c r="B272" s="14"/>
      <c r="C272" s="7">
        <v>43789</v>
      </c>
      <c r="D272" s="7"/>
      <c r="E272" s="7"/>
      <c r="F272" s="6" t="s">
        <v>99</v>
      </c>
      <c r="G272" s="6"/>
      <c r="H272" s="7">
        <f>IF(TimeEntry[[#This Row],[Date]]=0,H271,C272+(7-N272))</f>
        <v>43793</v>
      </c>
      <c r="I272" s="7">
        <f>TimeEntry[[#This Row],[Date]]</f>
        <v>43789</v>
      </c>
      <c r="J272" s="10" t="str">
        <f>IF(TimeEntry[[#This Row],[Date]]=0,"",TEXT(TimeEntry[[#This Row],[Date]],"ddd"))</f>
        <v>Wed</v>
      </c>
      <c r="K272" s="9" t="str">
        <f>IF(TimeEntry[[#This Row],[Project]]=0,"",INDEX(ProjectsAll[job number],MATCH(TimeEntry[[#This Row],[Project]],ProjectsAll[Project],0)))</f>
        <v xml:space="preserve">210035-58 </v>
      </c>
      <c r="L272" s="6" t="s">
        <v>145</v>
      </c>
      <c r="M272" s="6">
        <v>3.75</v>
      </c>
      <c r="N272" s="9">
        <f>IF(TimeEntry[[#This Row],[Date]]=0,"",WEEKDAY(C272,2))</f>
        <v>3</v>
      </c>
      <c r="O272" s="10">
        <f>YEAR(TimeEntry[[#This Row],[WkEnd]])</f>
        <v>2019</v>
      </c>
      <c r="P272" s="10">
        <f>WEEKNUM(TimeEntry[[#This Row],[WkEnd]])</f>
        <v>48</v>
      </c>
      <c r="Q272" s="10" t="str">
        <f>TimeEntry[[#This Row],[Year]]&amp;"-"&amp;TimeEntry[[#This Row],[WkNo]]</f>
        <v>2019-48</v>
      </c>
    </row>
    <row r="273" spans="1:17" ht="30" x14ac:dyDescent="0.25">
      <c r="A273" s="9">
        <f>MOD(IF(ROW()=11,0.1,IF(INDEX(TimeEntry[WkEnd],ROW()-10)            =            INDEX(TimeEntry[WkEnd],ROW()-11),               INDEX(TimeEntry[format],ROW()-11),               INDEX(TimeEntry[format],ROW()-11)    +1)),2)</f>
        <v>1.1000000000000001</v>
      </c>
      <c r="B273" s="14"/>
      <c r="C273" s="7">
        <v>43789</v>
      </c>
      <c r="D273" s="7"/>
      <c r="E273" s="7"/>
      <c r="F273" s="6" t="s">
        <v>88</v>
      </c>
      <c r="G273" s="6"/>
      <c r="H273" s="7">
        <f>IF(TimeEntry[[#This Row],[Date]]=0,H272,C273+(7-N273))</f>
        <v>43793</v>
      </c>
      <c r="I273" s="7">
        <f>TimeEntry[[#This Row],[Date]]</f>
        <v>43789</v>
      </c>
      <c r="J273" s="10" t="str">
        <f>IF(TimeEntry[[#This Row],[Date]]=0,"",TEXT(TimeEntry[[#This Row],[Date]],"ddd"))</f>
        <v>Wed</v>
      </c>
      <c r="K273" s="9" t="str">
        <f>IF(TimeEntry[[#This Row],[Project]]=0,"",INDEX(ProjectsAll[job number],MATCH(TimeEntry[[#This Row],[Project]],ProjectsAll[Project],0)))</f>
        <v>210035-51</v>
      </c>
      <c r="L273" s="6" t="s">
        <v>146</v>
      </c>
      <c r="M273" s="6">
        <v>3.75</v>
      </c>
      <c r="N273" s="9">
        <f>IF(TimeEntry[[#This Row],[Date]]=0,"",WEEKDAY(C273,2))</f>
        <v>3</v>
      </c>
      <c r="O273" s="10">
        <f>YEAR(TimeEntry[[#This Row],[WkEnd]])</f>
        <v>2019</v>
      </c>
      <c r="P273" s="10">
        <f>WEEKNUM(TimeEntry[[#This Row],[WkEnd]])</f>
        <v>48</v>
      </c>
      <c r="Q273" s="10" t="str">
        <f>TimeEntry[[#This Row],[Year]]&amp;"-"&amp;TimeEntry[[#This Row],[WkNo]]</f>
        <v>2019-48</v>
      </c>
    </row>
    <row r="274" spans="1:17" ht="30" x14ac:dyDescent="0.25">
      <c r="A274" s="9">
        <f>MOD(IF(ROW()=11,0.1,IF(INDEX(TimeEntry[WkEnd],ROW()-10)            =            INDEX(TimeEntry[WkEnd],ROW()-11),               INDEX(TimeEntry[format],ROW()-11),               INDEX(TimeEntry[format],ROW()-11)    +1)),2)</f>
        <v>1.1000000000000001</v>
      </c>
      <c r="B274" s="14"/>
      <c r="C274" s="7">
        <v>43790</v>
      </c>
      <c r="D274" s="7"/>
      <c r="E274" s="7"/>
      <c r="F274" s="6" t="s">
        <v>65</v>
      </c>
      <c r="G274" s="6"/>
      <c r="H274" s="7">
        <f>IF(TimeEntry[[#This Row],[Date]]=0,H273,C274+(7-N274))</f>
        <v>43793</v>
      </c>
      <c r="I274" s="7">
        <f>TimeEntry[[#This Row],[Date]]</f>
        <v>43790</v>
      </c>
      <c r="J274" s="10" t="str">
        <f>IF(TimeEntry[[#This Row],[Date]]=0,"",TEXT(TimeEntry[[#This Row],[Date]],"ddd"))</f>
        <v>Thu</v>
      </c>
      <c r="K274" s="9" t="str">
        <f>IF(TimeEntry[[#This Row],[Project]]=0,"",INDEX(ProjectsAll[job number],MATCH(TimeEntry[[#This Row],[Project]],ProjectsAll[Project],0)))</f>
        <v xml:space="preserve">268017-25 </v>
      </c>
      <c r="L274" s="6" t="s">
        <v>147</v>
      </c>
      <c r="M274" s="6">
        <v>3.75</v>
      </c>
      <c r="N274" s="9">
        <f>IF(TimeEntry[[#This Row],[Date]]=0,"",WEEKDAY(C274,2))</f>
        <v>4</v>
      </c>
      <c r="O274" s="10">
        <f>YEAR(TimeEntry[[#This Row],[WkEnd]])</f>
        <v>2019</v>
      </c>
      <c r="P274" s="10">
        <f>WEEKNUM(TimeEntry[[#This Row],[WkEnd]])</f>
        <v>48</v>
      </c>
      <c r="Q274" s="10" t="str">
        <f>TimeEntry[[#This Row],[Year]]&amp;"-"&amp;TimeEntry[[#This Row],[WkNo]]</f>
        <v>2019-48</v>
      </c>
    </row>
    <row r="275" spans="1:17" ht="30" x14ac:dyDescent="0.25">
      <c r="A275" s="9">
        <f>MOD(IF(ROW()=11,0.1,IF(INDEX(TimeEntry[WkEnd],ROW()-10)            =            INDEX(TimeEntry[WkEnd],ROW()-11),               INDEX(TimeEntry[format],ROW()-11),               INDEX(TimeEntry[format],ROW()-11)    +1)),2)</f>
        <v>1.1000000000000001</v>
      </c>
      <c r="B275" s="14"/>
      <c r="C275" s="7">
        <v>43790</v>
      </c>
      <c r="D275" s="7"/>
      <c r="E275" s="7"/>
      <c r="F275" s="6" t="s">
        <v>88</v>
      </c>
      <c r="G275" s="6"/>
      <c r="H275" s="7">
        <f>IF(TimeEntry[[#This Row],[Date]]=0,H274,C275+(7-N275))</f>
        <v>43793</v>
      </c>
      <c r="I275" s="7">
        <f>TimeEntry[[#This Row],[Date]]</f>
        <v>43790</v>
      </c>
      <c r="J275" s="10" t="str">
        <f>IF(TimeEntry[[#This Row],[Date]]=0,"",TEXT(TimeEntry[[#This Row],[Date]],"ddd"))</f>
        <v>Thu</v>
      </c>
      <c r="K275" s="9" t="str">
        <f>IF(TimeEntry[[#This Row],[Project]]=0,"",INDEX(ProjectsAll[job number],MATCH(TimeEntry[[#This Row],[Project]],ProjectsAll[Project],0)))</f>
        <v>210035-51</v>
      </c>
      <c r="L275" s="6" t="s">
        <v>148</v>
      </c>
      <c r="M275" s="6">
        <v>3.75</v>
      </c>
      <c r="N275" s="9">
        <f>IF(TimeEntry[[#This Row],[Date]]=0,"",WEEKDAY(C275,2))</f>
        <v>4</v>
      </c>
      <c r="O275" s="10">
        <f>YEAR(TimeEntry[[#This Row],[WkEnd]])</f>
        <v>2019</v>
      </c>
      <c r="P275" s="10">
        <f>WEEKNUM(TimeEntry[[#This Row],[WkEnd]])</f>
        <v>48</v>
      </c>
      <c r="Q275" s="10" t="str">
        <f>TimeEntry[[#This Row],[Year]]&amp;"-"&amp;TimeEntry[[#This Row],[WkNo]]</f>
        <v>2019-48</v>
      </c>
    </row>
    <row r="276" spans="1:17" ht="30" x14ac:dyDescent="0.25">
      <c r="A276" s="9">
        <f>MOD(IF(ROW()=11,0.1,IF(INDEX(TimeEntry[WkEnd],ROW()-10)            =            INDEX(TimeEntry[WkEnd],ROW()-11),               INDEX(TimeEntry[format],ROW()-11),               INDEX(TimeEntry[format],ROW()-11)    +1)),2)</f>
        <v>1.1000000000000001</v>
      </c>
      <c r="B276" s="14"/>
      <c r="C276" s="7">
        <v>43791</v>
      </c>
      <c r="D276" s="7"/>
      <c r="E276" s="7"/>
      <c r="F276" s="6" t="s">
        <v>65</v>
      </c>
      <c r="G276" s="6"/>
      <c r="H276" s="7">
        <f>IF(TimeEntry[[#This Row],[Date]]=0,H275,C276+(7-N276))</f>
        <v>43793</v>
      </c>
      <c r="I276" s="7">
        <f>TimeEntry[[#This Row],[Date]]</f>
        <v>43791</v>
      </c>
      <c r="J276" s="10" t="str">
        <f>IF(TimeEntry[[#This Row],[Date]]=0,"",TEXT(TimeEntry[[#This Row],[Date]],"ddd"))</f>
        <v>Fri</v>
      </c>
      <c r="K276" s="9" t="str">
        <f>IF(TimeEntry[[#This Row],[Project]]=0,"",INDEX(ProjectsAll[job number],MATCH(TimeEntry[[#This Row],[Project]],ProjectsAll[Project],0)))</f>
        <v xml:space="preserve">268017-25 </v>
      </c>
      <c r="L276" s="6" t="s">
        <v>149</v>
      </c>
      <c r="M276" s="6">
        <v>5.5</v>
      </c>
      <c r="N276" s="9">
        <f>IF(TimeEntry[[#This Row],[Date]]=0,"",WEEKDAY(C276,2))</f>
        <v>5</v>
      </c>
      <c r="O276" s="10">
        <f>YEAR(TimeEntry[[#This Row],[WkEnd]])</f>
        <v>2019</v>
      </c>
      <c r="P276" s="10">
        <f>WEEKNUM(TimeEntry[[#This Row],[WkEnd]])</f>
        <v>48</v>
      </c>
      <c r="Q276" s="10" t="str">
        <f>TimeEntry[[#This Row],[Year]]&amp;"-"&amp;TimeEntry[[#This Row],[WkNo]]</f>
        <v>2019-48</v>
      </c>
    </row>
    <row r="277" spans="1:17" ht="30" x14ac:dyDescent="0.25">
      <c r="A277" s="9">
        <f>MOD(IF(ROW()=11,0.1,IF(INDEX(TimeEntry[WkEnd],ROW()-10)            =            INDEX(TimeEntry[WkEnd],ROW()-11),               INDEX(TimeEntry[format],ROW()-11),               INDEX(TimeEntry[format],ROW()-11)    +1)),2)</f>
        <v>1.1000000000000001</v>
      </c>
      <c r="B277" s="14"/>
      <c r="C277" s="7">
        <v>43791</v>
      </c>
      <c r="D277" s="7"/>
      <c r="E277" s="7"/>
      <c r="F277" s="6" t="s">
        <v>10</v>
      </c>
      <c r="G277" s="6"/>
      <c r="H277" s="7">
        <f>IF(TimeEntry[[#This Row],[Date]]=0,H276,C277+(7-N277))</f>
        <v>43793</v>
      </c>
      <c r="I277" s="7">
        <f>TimeEntry[[#This Row],[Date]]</f>
        <v>43791</v>
      </c>
      <c r="J277" s="10" t="str">
        <f>IF(TimeEntry[[#This Row],[Date]]=0,"",TEXT(TimeEntry[[#This Row],[Date]],"ddd"))</f>
        <v>Fri</v>
      </c>
      <c r="K277" s="9" t="str">
        <f>IF(TimeEntry[[#This Row],[Project]]=0,"",INDEX(ProjectsAll[job number],MATCH(TimeEntry[[#This Row],[Project]],ProjectsAll[Project],0)))</f>
        <v>074097-29</v>
      </c>
      <c r="L277" s="6"/>
      <c r="M277" s="6">
        <v>2</v>
      </c>
      <c r="N277" s="9">
        <f>IF(TimeEntry[[#This Row],[Date]]=0,"",WEEKDAY(C277,2))</f>
        <v>5</v>
      </c>
      <c r="O277" s="10">
        <f>YEAR(TimeEntry[[#This Row],[WkEnd]])</f>
        <v>2019</v>
      </c>
      <c r="P277" s="10">
        <f>WEEKNUM(TimeEntry[[#This Row],[WkEnd]])</f>
        <v>48</v>
      </c>
      <c r="Q277" s="10" t="str">
        <f>TimeEntry[[#This Row],[Year]]&amp;"-"&amp;TimeEntry[[#This Row],[WkNo]]</f>
        <v>2019-48</v>
      </c>
    </row>
    <row r="278" spans="1:17" ht="30" x14ac:dyDescent="0.25">
      <c r="A278" s="9">
        <f>MOD(IF(ROW()=11,0.1,IF(INDEX(TimeEntry[WkEnd],ROW()-10)            =            INDEX(TimeEntry[WkEnd],ROW()-11),               INDEX(TimeEntry[format],ROW()-11),               INDEX(TimeEntry[format],ROW()-11)    +1)),2)</f>
        <v>0.10000000000000009</v>
      </c>
      <c r="B278" s="14"/>
      <c r="C278" s="7">
        <v>43780</v>
      </c>
      <c r="D278" s="7"/>
      <c r="E278" s="7"/>
      <c r="F278" s="6" t="s">
        <v>88</v>
      </c>
      <c r="G278" s="6"/>
      <c r="H278" s="7">
        <f>IF(TimeEntry[[#This Row],[Date]]=0,H277,C278+(7-N278))</f>
        <v>43786</v>
      </c>
      <c r="I278" s="7">
        <f>TimeEntry[[#This Row],[Date]]</f>
        <v>43780</v>
      </c>
      <c r="J278" s="10" t="str">
        <f>IF(TimeEntry[[#This Row],[Date]]=0,"",TEXT(TimeEntry[[#This Row],[Date]],"ddd"))</f>
        <v>Mon</v>
      </c>
      <c r="K278" s="9" t="str">
        <f>IF(TimeEntry[[#This Row],[Project]]=0,"",INDEX(ProjectsAll[job number],MATCH(TimeEntry[[#This Row],[Project]],ProjectsAll[Project],0)))</f>
        <v>210035-51</v>
      </c>
      <c r="L278" s="6" t="s">
        <v>150</v>
      </c>
      <c r="M278" s="6">
        <v>2.5</v>
      </c>
      <c r="N278" s="9">
        <f>IF(TimeEntry[[#This Row],[Date]]=0,"",WEEKDAY(C278,2))</f>
        <v>1</v>
      </c>
      <c r="O278" s="10">
        <f>YEAR(TimeEntry[[#This Row],[WkEnd]])</f>
        <v>2019</v>
      </c>
      <c r="P278" s="10">
        <f>WEEKNUM(TimeEntry[[#This Row],[WkEnd]])</f>
        <v>47</v>
      </c>
      <c r="Q278" s="10" t="str">
        <f>TimeEntry[[#This Row],[Year]]&amp;"-"&amp;TimeEntry[[#This Row],[WkNo]]</f>
        <v>2019-47</v>
      </c>
    </row>
    <row r="279" spans="1:17" ht="30" x14ac:dyDescent="0.25">
      <c r="A279" s="9">
        <f>MOD(IF(ROW()=11,0.1,IF(INDEX(TimeEntry[WkEnd],ROW()-10)            =            INDEX(TimeEntry[WkEnd],ROW()-11),               INDEX(TimeEntry[format],ROW()-11),               INDEX(TimeEntry[format],ROW()-11)    +1)),2)</f>
        <v>0.10000000000000009</v>
      </c>
      <c r="B279" s="14"/>
      <c r="C279" s="7">
        <v>43781</v>
      </c>
      <c r="D279" s="7"/>
      <c r="E279" s="7"/>
      <c r="F279" s="6" t="s">
        <v>65</v>
      </c>
      <c r="G279" s="6"/>
      <c r="H279" s="7">
        <f>IF(TimeEntry[[#This Row],[Date]]=0,H278,C279+(7-N279))</f>
        <v>43786</v>
      </c>
      <c r="I279" s="7">
        <f>TimeEntry[[#This Row],[Date]]</f>
        <v>43781</v>
      </c>
      <c r="J279" s="10" t="str">
        <f>IF(TimeEntry[[#This Row],[Date]]=0,"",TEXT(TimeEntry[[#This Row],[Date]],"ddd"))</f>
        <v>Tue</v>
      </c>
      <c r="K279" s="9" t="str">
        <f>IF(TimeEntry[[#This Row],[Project]]=0,"",INDEX(ProjectsAll[job number],MATCH(TimeEntry[[#This Row],[Project]],ProjectsAll[Project],0)))</f>
        <v xml:space="preserve">268017-25 </v>
      </c>
      <c r="L279" s="6" t="s">
        <v>151</v>
      </c>
      <c r="M279" s="6">
        <v>5</v>
      </c>
      <c r="N279" s="9">
        <f>IF(TimeEntry[[#This Row],[Date]]=0,"",WEEKDAY(C279,2))</f>
        <v>2</v>
      </c>
      <c r="O279" s="10">
        <f>YEAR(TimeEntry[[#This Row],[WkEnd]])</f>
        <v>2019</v>
      </c>
      <c r="P279" s="10">
        <f>WEEKNUM(TimeEntry[[#This Row],[WkEnd]])</f>
        <v>47</v>
      </c>
      <c r="Q279" s="10" t="str">
        <f>TimeEntry[[#This Row],[Year]]&amp;"-"&amp;TimeEntry[[#This Row],[WkNo]]</f>
        <v>2019-47</v>
      </c>
    </row>
    <row r="280" spans="1:17" ht="30" x14ac:dyDescent="0.25">
      <c r="A280" s="9">
        <f>MOD(IF(ROW()=11,0.1,IF(INDEX(TimeEntry[WkEnd],ROW()-10)            =            INDEX(TimeEntry[WkEnd],ROW()-11),               INDEX(TimeEntry[format],ROW()-11),               INDEX(TimeEntry[format],ROW()-11)    +1)),2)</f>
        <v>0.10000000000000009</v>
      </c>
      <c r="B280" s="14"/>
      <c r="C280" s="7">
        <v>43781</v>
      </c>
      <c r="D280" s="7"/>
      <c r="E280" s="7"/>
      <c r="F280" s="6" t="s">
        <v>65</v>
      </c>
      <c r="G280" s="6"/>
      <c r="H280" s="7">
        <f>IF(TimeEntry[[#This Row],[Date]]=0,H279,C280+(7-N280))</f>
        <v>43786</v>
      </c>
      <c r="I280" s="7">
        <f>TimeEntry[[#This Row],[Date]]</f>
        <v>43781</v>
      </c>
      <c r="J280" s="10" t="str">
        <f>IF(TimeEntry[[#This Row],[Date]]=0,"",TEXT(TimeEntry[[#This Row],[Date]],"ddd"))</f>
        <v>Tue</v>
      </c>
      <c r="K280" s="9" t="str">
        <f>IF(TimeEntry[[#This Row],[Project]]=0,"",INDEX(ProjectsAll[job number],MATCH(TimeEntry[[#This Row],[Project]],ProjectsAll[Project],0)))</f>
        <v xml:space="preserve">268017-25 </v>
      </c>
      <c r="L280" s="6" t="s">
        <v>152</v>
      </c>
      <c r="M280" s="6">
        <v>7.5</v>
      </c>
      <c r="N280" s="9">
        <f>IF(TimeEntry[[#This Row],[Date]]=0,"",WEEKDAY(C280,2))</f>
        <v>2</v>
      </c>
      <c r="O280" s="10">
        <f>YEAR(TimeEntry[[#This Row],[WkEnd]])</f>
        <v>2019</v>
      </c>
      <c r="P280" s="10">
        <f>WEEKNUM(TimeEntry[[#This Row],[WkEnd]])</f>
        <v>47</v>
      </c>
      <c r="Q280" s="10" t="str">
        <f>TimeEntry[[#This Row],[Year]]&amp;"-"&amp;TimeEntry[[#This Row],[WkNo]]</f>
        <v>2019-47</v>
      </c>
    </row>
    <row r="281" spans="1:17" ht="30" x14ac:dyDescent="0.25">
      <c r="A281" s="9">
        <f>MOD(IF(ROW()=11,0.1,IF(INDEX(TimeEntry[WkEnd],ROW()-10)            =            INDEX(TimeEntry[WkEnd],ROW()-11),               INDEX(TimeEntry[format],ROW()-11),               INDEX(TimeEntry[format],ROW()-11)    +1)),2)</f>
        <v>0.10000000000000009</v>
      </c>
      <c r="B281" s="14"/>
      <c r="C281" s="7">
        <v>43782</v>
      </c>
      <c r="D281" s="7"/>
      <c r="E281" s="7"/>
      <c r="F281" s="6" t="s">
        <v>88</v>
      </c>
      <c r="G281" s="6"/>
      <c r="H281" s="7">
        <f>IF(TimeEntry[[#This Row],[Date]]=0,H280,C281+(7-N281))</f>
        <v>43786</v>
      </c>
      <c r="I281" s="7">
        <f>TimeEntry[[#This Row],[Date]]</f>
        <v>43782</v>
      </c>
      <c r="J281" s="10" t="str">
        <f>IF(TimeEntry[[#This Row],[Date]]=0,"",TEXT(TimeEntry[[#This Row],[Date]],"ddd"))</f>
        <v>Wed</v>
      </c>
      <c r="K281" s="9" t="str">
        <f>IF(TimeEntry[[#This Row],[Project]]=0,"",INDEX(ProjectsAll[job number],MATCH(TimeEntry[[#This Row],[Project]],ProjectsAll[Project],0)))</f>
        <v>210035-51</v>
      </c>
      <c r="L281" s="6" t="s">
        <v>153</v>
      </c>
      <c r="M281" s="6">
        <v>7.5</v>
      </c>
      <c r="N281" s="9">
        <f>IF(TimeEntry[[#This Row],[Date]]=0,"",WEEKDAY(C281,2))</f>
        <v>3</v>
      </c>
      <c r="O281" s="10">
        <f>YEAR(TimeEntry[[#This Row],[WkEnd]])</f>
        <v>2019</v>
      </c>
      <c r="P281" s="10">
        <f>WEEKNUM(TimeEntry[[#This Row],[WkEnd]])</f>
        <v>47</v>
      </c>
      <c r="Q281" s="10" t="str">
        <f>TimeEntry[[#This Row],[Year]]&amp;"-"&amp;TimeEntry[[#This Row],[WkNo]]</f>
        <v>2019-47</v>
      </c>
    </row>
    <row r="282" spans="1:17" ht="30" x14ac:dyDescent="0.25">
      <c r="A282" s="9">
        <f>MOD(IF(ROW()=11,0.1,IF(INDEX(TimeEntry[WkEnd],ROW()-10)            =            INDEX(TimeEntry[WkEnd],ROW()-11),               INDEX(TimeEntry[format],ROW()-11),               INDEX(TimeEntry[format],ROW()-11)    +1)),2)</f>
        <v>0.10000000000000009</v>
      </c>
      <c r="B282" s="14"/>
      <c r="C282" s="7">
        <v>43783</v>
      </c>
      <c r="D282" s="7"/>
      <c r="E282" s="7"/>
      <c r="F282" s="6" t="s">
        <v>65</v>
      </c>
      <c r="G282" s="6"/>
      <c r="H282" s="7">
        <f>IF(TimeEntry[[#This Row],[Date]]=0,H281,C282+(7-N282))</f>
        <v>43786</v>
      </c>
      <c r="I282" s="7">
        <f>TimeEntry[[#This Row],[Date]]</f>
        <v>43783</v>
      </c>
      <c r="J282" s="10" t="str">
        <f>IF(TimeEntry[[#This Row],[Date]]=0,"",TEXT(TimeEntry[[#This Row],[Date]],"ddd"))</f>
        <v>Thu</v>
      </c>
      <c r="K282" s="9" t="str">
        <f>IF(TimeEntry[[#This Row],[Project]]=0,"",INDEX(ProjectsAll[job number],MATCH(TimeEntry[[#This Row],[Project]],ProjectsAll[Project],0)))</f>
        <v xml:space="preserve">268017-25 </v>
      </c>
      <c r="L282" s="6" t="s">
        <v>154</v>
      </c>
      <c r="M282" s="6">
        <v>7.5</v>
      </c>
      <c r="N282" s="9">
        <f>IF(TimeEntry[[#This Row],[Date]]=0,"",WEEKDAY(C282,2))</f>
        <v>4</v>
      </c>
      <c r="O282" s="10">
        <f>YEAR(TimeEntry[[#This Row],[WkEnd]])</f>
        <v>2019</v>
      </c>
      <c r="P282" s="10">
        <f>WEEKNUM(TimeEntry[[#This Row],[WkEnd]])</f>
        <v>47</v>
      </c>
      <c r="Q282" s="10" t="str">
        <f>TimeEntry[[#This Row],[Year]]&amp;"-"&amp;TimeEntry[[#This Row],[WkNo]]</f>
        <v>2019-47</v>
      </c>
    </row>
    <row r="283" spans="1:17" ht="30" x14ac:dyDescent="0.25">
      <c r="A283" s="9">
        <f>MOD(IF(ROW()=11,0.1,IF(INDEX(TimeEntry[WkEnd],ROW()-10)            =            INDEX(TimeEntry[WkEnd],ROW()-11),               INDEX(TimeEntry[format],ROW()-11),               INDEX(TimeEntry[format],ROW()-11)    +1)),2)</f>
        <v>0.10000000000000009</v>
      </c>
      <c r="B283" s="14"/>
      <c r="C283" s="7">
        <v>43784</v>
      </c>
      <c r="D283" s="7"/>
      <c r="E283" s="7"/>
      <c r="F283" s="6" t="s">
        <v>65</v>
      </c>
      <c r="G283" s="6"/>
      <c r="H283" s="7">
        <f>IF(TimeEntry[[#This Row],[Date]]=0,H282,C283+(7-N283))</f>
        <v>43786</v>
      </c>
      <c r="I283" s="7">
        <f>TimeEntry[[#This Row],[Date]]</f>
        <v>43784</v>
      </c>
      <c r="J283" s="10" t="str">
        <f>IF(TimeEntry[[#This Row],[Date]]=0,"",TEXT(TimeEntry[[#This Row],[Date]],"ddd"))</f>
        <v>Fri</v>
      </c>
      <c r="K283" s="9" t="str">
        <f>IF(TimeEntry[[#This Row],[Project]]=0,"",INDEX(ProjectsAll[job number],MATCH(TimeEntry[[#This Row],[Project]],ProjectsAll[Project],0)))</f>
        <v xml:space="preserve">268017-25 </v>
      </c>
      <c r="L283" s="6" t="s">
        <v>154</v>
      </c>
      <c r="M283" s="6">
        <v>7.5</v>
      </c>
      <c r="N283" s="9">
        <f>IF(TimeEntry[[#This Row],[Date]]=0,"",WEEKDAY(C283,2))</f>
        <v>5</v>
      </c>
      <c r="O283" s="10">
        <f>YEAR(TimeEntry[[#This Row],[WkEnd]])</f>
        <v>2019</v>
      </c>
      <c r="P283" s="10">
        <f>WEEKNUM(TimeEntry[[#This Row],[WkEnd]])</f>
        <v>47</v>
      </c>
      <c r="Q283" s="10" t="str">
        <f>TimeEntry[[#This Row],[Year]]&amp;"-"&amp;TimeEntry[[#This Row],[WkNo]]</f>
        <v>2019-47</v>
      </c>
    </row>
    <row r="284" spans="1:17" ht="30" x14ac:dyDescent="0.25">
      <c r="A284" s="9">
        <f>MOD(IF(ROW()=11,0.1,IF(INDEX(TimeEntry[WkEnd],ROW()-10)            =            INDEX(TimeEntry[WkEnd],ROW()-11),               INDEX(TimeEntry[format],ROW()-11),               INDEX(TimeEntry[format],ROW()-11)    +1)),2)</f>
        <v>1.1000000000000001</v>
      </c>
      <c r="B284" s="14"/>
      <c r="C284" s="7">
        <v>43773</v>
      </c>
      <c r="D284" s="7"/>
      <c r="E284" s="7"/>
      <c r="F284" s="6" t="s">
        <v>65</v>
      </c>
      <c r="G284" s="6"/>
      <c r="H284" s="7">
        <f>IF(TimeEntry[[#This Row],[Date]]=0,H283,C284+(7-N284))</f>
        <v>43779</v>
      </c>
      <c r="I284" s="7">
        <f>TimeEntry[[#This Row],[Date]]</f>
        <v>43773</v>
      </c>
      <c r="J284" s="10" t="str">
        <f>IF(TimeEntry[[#This Row],[Date]]=0,"",TEXT(TimeEntry[[#This Row],[Date]],"ddd"))</f>
        <v>Mon</v>
      </c>
      <c r="K284" s="9" t="str">
        <f>IF(TimeEntry[[#This Row],[Project]]=0,"",INDEX(ProjectsAll[job number],MATCH(TimeEntry[[#This Row],[Project]],ProjectsAll[Project],0)))</f>
        <v xml:space="preserve">268017-25 </v>
      </c>
      <c r="L284" s="6" t="s">
        <v>155</v>
      </c>
      <c r="M284" s="6">
        <v>5.5</v>
      </c>
      <c r="N284" s="9">
        <f>IF(TimeEntry[[#This Row],[Date]]=0,"",WEEKDAY(C284,2))</f>
        <v>1</v>
      </c>
      <c r="O284" s="10">
        <f>YEAR(TimeEntry[[#This Row],[WkEnd]])</f>
        <v>2019</v>
      </c>
      <c r="P284" s="10">
        <f>WEEKNUM(TimeEntry[[#This Row],[WkEnd]])</f>
        <v>46</v>
      </c>
      <c r="Q284" s="10" t="str">
        <f>TimeEntry[[#This Row],[Year]]&amp;"-"&amp;TimeEntry[[#This Row],[WkNo]]</f>
        <v>2019-46</v>
      </c>
    </row>
    <row r="285" spans="1:17" ht="30" x14ac:dyDescent="0.25">
      <c r="A285" s="9">
        <f>MOD(IF(ROW()=11,0.1,IF(INDEX(TimeEntry[WkEnd],ROW()-10)            =            INDEX(TimeEntry[WkEnd],ROW()-11),               INDEX(TimeEntry[format],ROW()-11),               INDEX(TimeEntry[format],ROW()-11)    +1)),2)</f>
        <v>1.1000000000000001</v>
      </c>
      <c r="B285" s="14"/>
      <c r="C285" s="7">
        <v>43773</v>
      </c>
      <c r="D285" s="7"/>
      <c r="E285" s="7"/>
      <c r="F285" s="6" t="s">
        <v>65</v>
      </c>
      <c r="G285" s="6"/>
      <c r="H285" s="7">
        <f>IF(TimeEntry[[#This Row],[Date]]=0,H284,C285+(7-N285))</f>
        <v>43779</v>
      </c>
      <c r="I285" s="7">
        <f>TimeEntry[[#This Row],[Date]]</f>
        <v>43773</v>
      </c>
      <c r="J285" s="10" t="str">
        <f>IF(TimeEntry[[#This Row],[Date]]=0,"",TEXT(TimeEntry[[#This Row],[Date]],"ddd"))</f>
        <v>Mon</v>
      </c>
      <c r="K285" s="9" t="str">
        <f>IF(TimeEntry[[#This Row],[Project]]=0,"",INDEX(ProjectsAll[job number],MATCH(TimeEntry[[#This Row],[Project]],ProjectsAll[Project],0)))</f>
        <v xml:space="preserve">268017-25 </v>
      </c>
      <c r="L285" s="6" t="s">
        <v>125</v>
      </c>
      <c r="M285" s="6">
        <v>2</v>
      </c>
      <c r="N285" s="9">
        <f>IF(TimeEntry[[#This Row],[Date]]=0,"",WEEKDAY(C285,2))</f>
        <v>1</v>
      </c>
      <c r="O285" s="10">
        <f>YEAR(TimeEntry[[#This Row],[WkEnd]])</f>
        <v>2019</v>
      </c>
      <c r="P285" s="10">
        <f>WEEKNUM(TimeEntry[[#This Row],[WkEnd]])</f>
        <v>46</v>
      </c>
      <c r="Q285" s="10" t="str">
        <f>TimeEntry[[#This Row],[Year]]&amp;"-"&amp;TimeEntry[[#This Row],[WkNo]]</f>
        <v>2019-46</v>
      </c>
    </row>
    <row r="286" spans="1:17" ht="30" x14ac:dyDescent="0.25">
      <c r="A286" s="9">
        <f>MOD(IF(ROW()=11,0.1,IF(INDEX(TimeEntry[WkEnd],ROW()-10)            =            INDEX(TimeEntry[WkEnd],ROW()-11),               INDEX(TimeEntry[format],ROW()-11),               INDEX(TimeEntry[format],ROW()-11)    +1)),2)</f>
        <v>1.1000000000000001</v>
      </c>
      <c r="B286" s="14"/>
      <c r="C286" s="7">
        <v>43774</v>
      </c>
      <c r="D286" s="7"/>
      <c r="E286" s="7"/>
      <c r="F286" s="6" t="s">
        <v>80</v>
      </c>
      <c r="G286" s="6"/>
      <c r="H286" s="7">
        <f>IF(TimeEntry[[#This Row],[Date]]=0,H285,C286+(7-N286))</f>
        <v>43779</v>
      </c>
      <c r="I286" s="7">
        <f>TimeEntry[[#This Row],[Date]]</f>
        <v>43774</v>
      </c>
      <c r="J286" s="10" t="str">
        <f>IF(TimeEntry[[#This Row],[Date]]=0,"",TEXT(TimeEntry[[#This Row],[Date]],"ddd"))</f>
        <v>Tue</v>
      </c>
      <c r="K286" s="9" t="str">
        <f>IF(TimeEntry[[#This Row],[Project]]=0,"",INDEX(ProjectsAll[job number],MATCH(TimeEntry[[#This Row],[Project]],ProjectsAll[Project],0)))</f>
        <v>TRAINING</v>
      </c>
      <c r="L286" s="6" t="s">
        <v>156</v>
      </c>
      <c r="M286" s="6">
        <v>2</v>
      </c>
      <c r="N286" s="9">
        <f>IF(TimeEntry[[#This Row],[Date]]=0,"",WEEKDAY(C286,2))</f>
        <v>2</v>
      </c>
      <c r="O286" s="10">
        <f>YEAR(TimeEntry[[#This Row],[WkEnd]])</f>
        <v>2019</v>
      </c>
      <c r="P286" s="10">
        <f>WEEKNUM(TimeEntry[[#This Row],[WkEnd]])</f>
        <v>46</v>
      </c>
      <c r="Q286" s="10" t="str">
        <f>TimeEntry[[#This Row],[Year]]&amp;"-"&amp;TimeEntry[[#This Row],[WkNo]]</f>
        <v>2019-46</v>
      </c>
    </row>
    <row r="287" spans="1:17" ht="30" x14ac:dyDescent="0.25">
      <c r="A287" s="9">
        <f>MOD(IF(ROW()=11,0.1,IF(INDEX(TimeEntry[WkEnd],ROW()-10)            =            INDEX(TimeEntry[WkEnd],ROW()-11),               INDEX(TimeEntry[format],ROW()-11),               INDEX(TimeEntry[format],ROW()-11)    +1)),2)</f>
        <v>1.1000000000000001</v>
      </c>
      <c r="B287" s="14"/>
      <c r="C287" s="7">
        <v>43774</v>
      </c>
      <c r="D287" s="7"/>
      <c r="E287" s="7"/>
      <c r="F287" s="6" t="s">
        <v>65</v>
      </c>
      <c r="G287" s="6"/>
      <c r="H287" s="7">
        <f>IF(TimeEntry[[#This Row],[Date]]=0,H286,C287+(7-N287))</f>
        <v>43779</v>
      </c>
      <c r="I287" s="7">
        <f>TimeEntry[[#This Row],[Date]]</f>
        <v>43774</v>
      </c>
      <c r="J287" s="10" t="str">
        <f>IF(TimeEntry[[#This Row],[Date]]=0,"",TEXT(TimeEntry[[#This Row],[Date]],"ddd"))</f>
        <v>Tue</v>
      </c>
      <c r="K287" s="9" t="str">
        <f>IF(TimeEntry[[#This Row],[Project]]=0,"",INDEX(ProjectsAll[job number],MATCH(TimeEntry[[#This Row],[Project]],ProjectsAll[Project],0)))</f>
        <v xml:space="preserve">268017-25 </v>
      </c>
      <c r="L287" s="6" t="s">
        <v>157</v>
      </c>
      <c r="M287" s="6">
        <v>5.5</v>
      </c>
      <c r="N287" s="9">
        <f>IF(TimeEntry[[#This Row],[Date]]=0,"",WEEKDAY(C287,2))</f>
        <v>2</v>
      </c>
      <c r="O287" s="10">
        <f>YEAR(TimeEntry[[#This Row],[WkEnd]])</f>
        <v>2019</v>
      </c>
      <c r="P287" s="10">
        <f>WEEKNUM(TimeEntry[[#This Row],[WkEnd]])</f>
        <v>46</v>
      </c>
      <c r="Q287" s="10" t="str">
        <f>TimeEntry[[#This Row],[Year]]&amp;"-"&amp;TimeEntry[[#This Row],[WkNo]]</f>
        <v>2019-46</v>
      </c>
    </row>
    <row r="288" spans="1:17" ht="30" x14ac:dyDescent="0.25">
      <c r="A288" s="9">
        <f>MOD(IF(ROW()=11,0.1,IF(INDEX(TimeEntry[WkEnd],ROW()-10)            =            INDEX(TimeEntry[WkEnd],ROW()-11),               INDEX(TimeEntry[format],ROW()-11),               INDEX(TimeEntry[format],ROW()-11)    +1)),2)</f>
        <v>1.1000000000000001</v>
      </c>
      <c r="B288" s="14"/>
      <c r="C288" s="7">
        <v>43775</v>
      </c>
      <c r="D288" s="7"/>
      <c r="E288" s="7"/>
      <c r="F288" s="6" t="s">
        <v>88</v>
      </c>
      <c r="G288" s="6"/>
      <c r="H288" s="7">
        <f>IF(TimeEntry[[#This Row],[Date]]=0,H287,C288+(7-N288))</f>
        <v>43779</v>
      </c>
      <c r="I288" s="7">
        <f>TimeEntry[[#This Row],[Date]]</f>
        <v>43775</v>
      </c>
      <c r="J288" s="10" t="str">
        <f>IF(TimeEntry[[#This Row],[Date]]=0,"",TEXT(TimeEntry[[#This Row],[Date]],"ddd"))</f>
        <v>Wed</v>
      </c>
      <c r="K288" s="9" t="str">
        <f>IF(TimeEntry[[#This Row],[Project]]=0,"",INDEX(ProjectsAll[job number],MATCH(TimeEntry[[#This Row],[Project]],ProjectsAll[Project],0)))</f>
        <v>210035-51</v>
      </c>
      <c r="L288" s="6" t="s">
        <v>158</v>
      </c>
      <c r="M288" s="6">
        <v>3.75</v>
      </c>
      <c r="N288" s="9">
        <f>IF(TimeEntry[[#This Row],[Date]]=0,"",WEEKDAY(C288,2))</f>
        <v>3</v>
      </c>
      <c r="O288" s="10">
        <f>YEAR(TimeEntry[[#This Row],[WkEnd]])</f>
        <v>2019</v>
      </c>
      <c r="P288" s="10">
        <f>WEEKNUM(TimeEntry[[#This Row],[WkEnd]])</f>
        <v>46</v>
      </c>
      <c r="Q288" s="10" t="str">
        <f>TimeEntry[[#This Row],[Year]]&amp;"-"&amp;TimeEntry[[#This Row],[WkNo]]</f>
        <v>2019-46</v>
      </c>
    </row>
    <row r="289" spans="1:17" ht="30" x14ac:dyDescent="0.25">
      <c r="A289" s="9">
        <f>MOD(IF(ROW()=11,0.1,IF(INDEX(TimeEntry[WkEnd],ROW()-10)            =            INDEX(TimeEntry[WkEnd],ROW()-11),               INDEX(TimeEntry[format],ROW()-11),               INDEX(TimeEntry[format],ROW()-11)    +1)),2)</f>
        <v>1.1000000000000001</v>
      </c>
      <c r="B289" s="14"/>
      <c r="C289" s="7">
        <v>43775</v>
      </c>
      <c r="D289" s="7"/>
      <c r="E289" s="7"/>
      <c r="F289" s="6" t="s">
        <v>65</v>
      </c>
      <c r="G289" s="6"/>
      <c r="H289" s="7">
        <f>IF(TimeEntry[[#This Row],[Date]]=0,H288,C289+(7-N289))</f>
        <v>43779</v>
      </c>
      <c r="I289" s="7">
        <f>TimeEntry[[#This Row],[Date]]</f>
        <v>43775</v>
      </c>
      <c r="J289" s="10" t="str">
        <f>IF(TimeEntry[[#This Row],[Date]]=0,"",TEXT(TimeEntry[[#This Row],[Date]],"ddd"))</f>
        <v>Wed</v>
      </c>
      <c r="K289" s="9" t="str">
        <f>IF(TimeEntry[[#This Row],[Project]]=0,"",INDEX(ProjectsAll[job number],MATCH(TimeEntry[[#This Row],[Project]],ProjectsAll[Project],0)))</f>
        <v xml:space="preserve">268017-25 </v>
      </c>
      <c r="L289" s="6" t="s">
        <v>157</v>
      </c>
      <c r="M289" s="6">
        <v>3.75</v>
      </c>
      <c r="N289" s="9">
        <f>IF(TimeEntry[[#This Row],[Date]]=0,"",WEEKDAY(C289,2))</f>
        <v>3</v>
      </c>
      <c r="O289" s="10">
        <f>YEAR(TimeEntry[[#This Row],[WkEnd]])</f>
        <v>2019</v>
      </c>
      <c r="P289" s="10">
        <f>WEEKNUM(TimeEntry[[#This Row],[WkEnd]])</f>
        <v>46</v>
      </c>
      <c r="Q289" s="10" t="str">
        <f>TimeEntry[[#This Row],[Year]]&amp;"-"&amp;TimeEntry[[#This Row],[WkNo]]</f>
        <v>2019-46</v>
      </c>
    </row>
    <row r="290" spans="1:17" ht="30" x14ac:dyDescent="0.25">
      <c r="A290" s="9">
        <f>MOD(IF(ROW()=11,0.1,IF(INDEX(TimeEntry[WkEnd],ROW()-10)            =            INDEX(TimeEntry[WkEnd],ROW()-11),               INDEX(TimeEntry[format],ROW()-11),               INDEX(TimeEntry[format],ROW()-11)    +1)),2)</f>
        <v>1.1000000000000001</v>
      </c>
      <c r="B290" s="14"/>
      <c r="C290" s="7">
        <v>43776</v>
      </c>
      <c r="D290" s="7"/>
      <c r="E290" s="7"/>
      <c r="F290" s="6" t="s">
        <v>65</v>
      </c>
      <c r="G290" s="6"/>
      <c r="H290" s="7">
        <f>IF(TimeEntry[[#This Row],[Date]]=0,H289,C290+(7-N290))</f>
        <v>43779</v>
      </c>
      <c r="I290" s="7">
        <f>TimeEntry[[#This Row],[Date]]</f>
        <v>43776</v>
      </c>
      <c r="J290" s="10" t="str">
        <f>IF(TimeEntry[[#This Row],[Date]]=0,"",TEXT(TimeEntry[[#This Row],[Date]],"ddd"))</f>
        <v>Thu</v>
      </c>
      <c r="K290" s="9" t="str">
        <f>IF(TimeEntry[[#This Row],[Project]]=0,"",INDEX(ProjectsAll[job number],MATCH(TimeEntry[[#This Row],[Project]],ProjectsAll[Project],0)))</f>
        <v xml:space="preserve">268017-25 </v>
      </c>
      <c r="L290" s="6" t="s">
        <v>159</v>
      </c>
      <c r="M290" s="6">
        <v>3.75</v>
      </c>
      <c r="N290" s="9">
        <f>IF(TimeEntry[[#This Row],[Date]]=0,"",WEEKDAY(C290,2))</f>
        <v>4</v>
      </c>
      <c r="O290" s="10">
        <f>YEAR(TimeEntry[[#This Row],[WkEnd]])</f>
        <v>2019</v>
      </c>
      <c r="P290" s="10">
        <f>WEEKNUM(TimeEntry[[#This Row],[WkEnd]])</f>
        <v>46</v>
      </c>
      <c r="Q290" s="10" t="str">
        <f>TimeEntry[[#This Row],[Year]]&amp;"-"&amp;TimeEntry[[#This Row],[WkNo]]</f>
        <v>2019-46</v>
      </c>
    </row>
    <row r="291" spans="1:17" ht="30" x14ac:dyDescent="0.25">
      <c r="A291" s="9">
        <f>MOD(IF(ROW()=11,0.1,IF(INDEX(TimeEntry[WkEnd],ROW()-10)            =            INDEX(TimeEntry[WkEnd],ROW()-11),               INDEX(TimeEntry[format],ROW()-11),               INDEX(TimeEntry[format],ROW()-11)    +1)),2)</f>
        <v>1.1000000000000001</v>
      </c>
      <c r="B291" s="14"/>
      <c r="C291" s="7">
        <v>43776</v>
      </c>
      <c r="D291" s="7"/>
      <c r="E291" s="7"/>
      <c r="F291" s="6" t="s">
        <v>88</v>
      </c>
      <c r="G291" s="6"/>
      <c r="H291" s="7">
        <f>IF(TimeEntry[[#This Row],[Date]]=0,H290,C291+(7-N291))</f>
        <v>43779</v>
      </c>
      <c r="I291" s="7">
        <f>TimeEntry[[#This Row],[Date]]</f>
        <v>43776</v>
      </c>
      <c r="J291" s="10" t="str">
        <f>IF(TimeEntry[[#This Row],[Date]]=0,"",TEXT(TimeEntry[[#This Row],[Date]],"ddd"))</f>
        <v>Thu</v>
      </c>
      <c r="K291" s="9" t="str">
        <f>IF(TimeEntry[[#This Row],[Project]]=0,"",INDEX(ProjectsAll[job number],MATCH(TimeEntry[[#This Row],[Project]],ProjectsAll[Project],0)))</f>
        <v>210035-51</v>
      </c>
      <c r="L291" s="6" t="s">
        <v>160</v>
      </c>
      <c r="M291" s="6">
        <v>3.75</v>
      </c>
      <c r="N291" s="9">
        <f>IF(TimeEntry[[#This Row],[Date]]=0,"",WEEKDAY(C291,2))</f>
        <v>4</v>
      </c>
      <c r="O291" s="10">
        <f>YEAR(TimeEntry[[#This Row],[WkEnd]])</f>
        <v>2019</v>
      </c>
      <c r="P291" s="10">
        <f>WEEKNUM(TimeEntry[[#This Row],[WkEnd]])</f>
        <v>46</v>
      </c>
      <c r="Q291" s="10" t="str">
        <f>TimeEntry[[#This Row],[Year]]&amp;"-"&amp;TimeEntry[[#This Row],[WkNo]]</f>
        <v>2019-46</v>
      </c>
    </row>
    <row r="292" spans="1:17" ht="30" x14ac:dyDescent="0.25">
      <c r="A292" s="9">
        <f>MOD(IF(ROW()=11,0.1,IF(INDEX(TimeEntry[WkEnd],ROW()-10)            =            INDEX(TimeEntry[WkEnd],ROW()-11),               INDEX(TimeEntry[format],ROW()-11),               INDEX(TimeEntry[format],ROW()-11)    +1)),2)</f>
        <v>1.1000000000000001</v>
      </c>
      <c r="B292" s="14"/>
      <c r="C292" s="7">
        <v>43777</v>
      </c>
      <c r="D292" s="7"/>
      <c r="E292" s="7"/>
      <c r="F292" s="6" t="s">
        <v>88</v>
      </c>
      <c r="G292" s="6"/>
      <c r="H292" s="7">
        <f>IF(TimeEntry[[#This Row],[Date]]=0,H291,C292+(7-N292))</f>
        <v>43779</v>
      </c>
      <c r="I292" s="7">
        <f>TimeEntry[[#This Row],[Date]]</f>
        <v>43777</v>
      </c>
      <c r="J292" s="10" t="str">
        <f>IF(TimeEntry[[#This Row],[Date]]=0,"",TEXT(TimeEntry[[#This Row],[Date]],"ddd"))</f>
        <v>Fri</v>
      </c>
      <c r="K292" s="9" t="str">
        <f>IF(TimeEntry[[#This Row],[Project]]=0,"",INDEX(ProjectsAll[job number],MATCH(TimeEntry[[#This Row],[Project]],ProjectsAll[Project],0)))</f>
        <v>210035-51</v>
      </c>
      <c r="L292" s="6" t="s">
        <v>161</v>
      </c>
      <c r="M292" s="6">
        <v>3.75</v>
      </c>
      <c r="N292" s="9">
        <f>IF(TimeEntry[[#This Row],[Date]]=0,"",WEEKDAY(C292,2))</f>
        <v>5</v>
      </c>
      <c r="O292" s="10">
        <f>YEAR(TimeEntry[[#This Row],[WkEnd]])</f>
        <v>2019</v>
      </c>
      <c r="P292" s="10">
        <f>WEEKNUM(TimeEntry[[#This Row],[WkEnd]])</f>
        <v>46</v>
      </c>
      <c r="Q292" s="10" t="str">
        <f>TimeEntry[[#This Row],[Year]]&amp;"-"&amp;TimeEntry[[#This Row],[WkNo]]</f>
        <v>2019-46</v>
      </c>
    </row>
    <row r="293" spans="1:17" ht="30" x14ac:dyDescent="0.25">
      <c r="A293" s="9">
        <f>MOD(IF(ROW()=11,0.1,IF(INDEX(TimeEntry[WkEnd],ROW()-10)            =            INDEX(TimeEntry[WkEnd],ROW()-11),               INDEX(TimeEntry[format],ROW()-11),               INDEX(TimeEntry[format],ROW()-11)    +1)),2)</f>
        <v>1.1000000000000001</v>
      </c>
      <c r="B293" s="14"/>
      <c r="C293" s="7">
        <v>43777</v>
      </c>
      <c r="D293" s="7"/>
      <c r="E293" s="7"/>
      <c r="F293" s="6" t="s">
        <v>65</v>
      </c>
      <c r="G293" s="6"/>
      <c r="H293" s="7">
        <f>IF(TimeEntry[[#This Row],[Date]]=0,H292,C293+(7-N293))</f>
        <v>43779</v>
      </c>
      <c r="I293" s="7">
        <f>TimeEntry[[#This Row],[Date]]</f>
        <v>43777</v>
      </c>
      <c r="J293" s="10" t="str">
        <f>IF(TimeEntry[[#This Row],[Date]]=0,"",TEXT(TimeEntry[[#This Row],[Date]],"ddd"))</f>
        <v>Fri</v>
      </c>
      <c r="K293" s="9" t="str">
        <f>IF(TimeEntry[[#This Row],[Project]]=0,"",INDEX(ProjectsAll[job number],MATCH(TimeEntry[[#This Row],[Project]],ProjectsAll[Project],0)))</f>
        <v xml:space="preserve">268017-25 </v>
      </c>
      <c r="L293" s="6" t="s">
        <v>142</v>
      </c>
      <c r="M293" s="6">
        <v>3.75</v>
      </c>
      <c r="N293" s="9">
        <f>IF(TimeEntry[[#This Row],[Date]]=0,"",WEEKDAY(C293,2))</f>
        <v>5</v>
      </c>
      <c r="O293" s="10">
        <f>YEAR(TimeEntry[[#This Row],[WkEnd]])</f>
        <v>2019</v>
      </c>
      <c r="P293" s="10">
        <f>WEEKNUM(TimeEntry[[#This Row],[WkEnd]])</f>
        <v>46</v>
      </c>
      <c r="Q293" s="10" t="str">
        <f>TimeEntry[[#This Row],[Year]]&amp;"-"&amp;TimeEntry[[#This Row],[WkNo]]</f>
        <v>2019-46</v>
      </c>
    </row>
    <row r="294" spans="1:17" ht="30" x14ac:dyDescent="0.25">
      <c r="A294" s="9">
        <f>MOD(IF(ROW()=11,0.1,IF(INDEX(TimeEntry[WkEnd],ROW()-10)            =            INDEX(TimeEntry[WkEnd],ROW()-11),               INDEX(TimeEntry[format],ROW()-11),               INDEX(TimeEntry[format],ROW()-11)    +1)),2)</f>
        <v>0.10000000000000009</v>
      </c>
      <c r="B294" s="14"/>
      <c r="C294" s="7">
        <v>43766</v>
      </c>
      <c r="D294" s="7"/>
      <c r="E294" s="7"/>
      <c r="F294" s="6" t="s">
        <v>65</v>
      </c>
      <c r="G294" s="6"/>
      <c r="H294" s="7">
        <f>IF(TimeEntry[[#This Row],[Date]]=0,H293,C294+(7-N294))</f>
        <v>43772</v>
      </c>
      <c r="I294" s="7">
        <f>TimeEntry[[#This Row],[Date]]</f>
        <v>43766</v>
      </c>
      <c r="J294" s="10" t="str">
        <f>IF(TimeEntry[[#This Row],[Date]]=0,"",TEXT(TimeEntry[[#This Row],[Date]],"ddd"))</f>
        <v>Mon</v>
      </c>
      <c r="K294" s="9" t="str">
        <f>IF(TimeEntry[[#This Row],[Project]]=0,"",INDEX(ProjectsAll[job number],MATCH(TimeEntry[[#This Row],[Project]],ProjectsAll[Project],0)))</f>
        <v xml:space="preserve">268017-25 </v>
      </c>
      <c r="L294" s="6" t="s">
        <v>162</v>
      </c>
      <c r="M294" s="6">
        <v>5</v>
      </c>
      <c r="N294" s="9">
        <f>IF(TimeEntry[[#This Row],[Date]]=0,"",WEEKDAY(C294,2))</f>
        <v>1</v>
      </c>
      <c r="O294" s="10">
        <f>YEAR(TimeEntry[[#This Row],[WkEnd]])</f>
        <v>2019</v>
      </c>
      <c r="P294" s="10">
        <f>WEEKNUM(TimeEntry[[#This Row],[WkEnd]])</f>
        <v>45</v>
      </c>
      <c r="Q294" s="10" t="str">
        <f>TimeEntry[[#This Row],[Year]]&amp;"-"&amp;TimeEntry[[#This Row],[WkNo]]</f>
        <v>2019-45</v>
      </c>
    </row>
    <row r="295" spans="1:17" ht="30" x14ac:dyDescent="0.25">
      <c r="A295" s="9">
        <f>MOD(IF(ROW()=11,0.1,IF(INDEX(TimeEntry[WkEnd],ROW()-10)            =            INDEX(TimeEntry[WkEnd],ROW()-11),               INDEX(TimeEntry[format],ROW()-11),               INDEX(TimeEntry[format],ROW()-11)    +1)),2)</f>
        <v>0.10000000000000009</v>
      </c>
      <c r="B295" s="14"/>
      <c r="C295" s="7">
        <v>43766</v>
      </c>
      <c r="D295" s="7"/>
      <c r="E295" s="7"/>
      <c r="F295" s="6" t="s">
        <v>65</v>
      </c>
      <c r="G295" s="6"/>
      <c r="H295" s="7">
        <f>IF(TimeEntry[[#This Row],[Date]]=0,H294,C295+(7-N295))</f>
        <v>43772</v>
      </c>
      <c r="I295" s="7">
        <f>TimeEntry[[#This Row],[Date]]</f>
        <v>43766</v>
      </c>
      <c r="J295" s="10" t="str">
        <f>IF(TimeEntry[[#This Row],[Date]]=0,"",TEXT(TimeEntry[[#This Row],[Date]],"ddd"))</f>
        <v>Mon</v>
      </c>
      <c r="K295" s="9" t="str">
        <f>IF(TimeEntry[[#This Row],[Project]]=0,"",INDEX(ProjectsAll[job number],MATCH(TimeEntry[[#This Row],[Project]],ProjectsAll[Project],0)))</f>
        <v xml:space="preserve">268017-25 </v>
      </c>
      <c r="L295" s="6" t="s">
        <v>125</v>
      </c>
      <c r="M295" s="6">
        <v>2.5</v>
      </c>
      <c r="N295" s="9">
        <f>IF(TimeEntry[[#This Row],[Date]]=0,"",WEEKDAY(C295,2))</f>
        <v>1</v>
      </c>
      <c r="O295" s="10">
        <f>YEAR(TimeEntry[[#This Row],[WkEnd]])</f>
        <v>2019</v>
      </c>
      <c r="P295" s="10">
        <f>WEEKNUM(TimeEntry[[#This Row],[WkEnd]])</f>
        <v>45</v>
      </c>
      <c r="Q295" s="10" t="str">
        <f>TimeEntry[[#This Row],[Year]]&amp;"-"&amp;TimeEntry[[#This Row],[WkNo]]</f>
        <v>2019-45</v>
      </c>
    </row>
    <row r="296" spans="1:17" ht="30" x14ac:dyDescent="0.25">
      <c r="A296" s="9">
        <f>MOD(IF(ROW()=11,0.1,IF(INDEX(TimeEntry[WkEnd],ROW()-10)            =            INDEX(TimeEntry[WkEnd],ROW()-11),               INDEX(TimeEntry[format],ROW()-11),               INDEX(TimeEntry[format],ROW()-11)    +1)),2)</f>
        <v>0.10000000000000009</v>
      </c>
      <c r="B296" s="14"/>
      <c r="C296" s="7">
        <v>43767</v>
      </c>
      <c r="D296" s="7"/>
      <c r="E296" s="7"/>
      <c r="F296" s="6" t="s">
        <v>65</v>
      </c>
      <c r="G296" s="6"/>
      <c r="H296" s="7">
        <f>IF(TimeEntry[[#This Row],[Date]]=0,H295,C296+(7-N296))</f>
        <v>43772</v>
      </c>
      <c r="I296" s="7">
        <f>TimeEntry[[#This Row],[Date]]</f>
        <v>43767</v>
      </c>
      <c r="J296" s="10" t="str">
        <f>IF(TimeEntry[[#This Row],[Date]]=0,"",TEXT(TimeEntry[[#This Row],[Date]],"ddd"))</f>
        <v>Tue</v>
      </c>
      <c r="K296" s="9" t="str">
        <f>IF(TimeEntry[[#This Row],[Project]]=0,"",INDEX(ProjectsAll[job number],MATCH(TimeEntry[[#This Row],[Project]],ProjectsAll[Project],0)))</f>
        <v xml:space="preserve">268017-25 </v>
      </c>
      <c r="L296" s="6" t="s">
        <v>155</v>
      </c>
      <c r="M296" s="6">
        <v>7.5</v>
      </c>
      <c r="N296" s="9">
        <f>IF(TimeEntry[[#This Row],[Date]]=0,"",WEEKDAY(C296,2))</f>
        <v>2</v>
      </c>
      <c r="O296" s="10">
        <f>YEAR(TimeEntry[[#This Row],[WkEnd]])</f>
        <v>2019</v>
      </c>
      <c r="P296" s="10">
        <f>WEEKNUM(TimeEntry[[#This Row],[WkEnd]])</f>
        <v>45</v>
      </c>
      <c r="Q296" s="10" t="str">
        <f>TimeEntry[[#This Row],[Year]]&amp;"-"&amp;TimeEntry[[#This Row],[WkNo]]</f>
        <v>2019-45</v>
      </c>
    </row>
    <row r="297" spans="1:17" ht="30" x14ac:dyDescent="0.25">
      <c r="A297" s="9">
        <f>MOD(IF(ROW()=11,0.1,IF(INDEX(TimeEntry[WkEnd],ROW()-10)            =            INDEX(TimeEntry[WkEnd],ROW()-11),               INDEX(TimeEntry[format],ROW()-11),               INDEX(TimeEntry[format],ROW()-11)    +1)),2)</f>
        <v>0.10000000000000009</v>
      </c>
      <c r="B297" s="14"/>
      <c r="C297" s="7">
        <v>43768</v>
      </c>
      <c r="D297" s="7"/>
      <c r="E297" s="7"/>
      <c r="F297" s="6" t="s">
        <v>65</v>
      </c>
      <c r="G297" s="6"/>
      <c r="H297" s="7">
        <f>IF(TimeEntry[[#This Row],[Date]]=0,H296,C297+(7-N297))</f>
        <v>43772</v>
      </c>
      <c r="I297" s="7">
        <f>TimeEntry[[#This Row],[Date]]</f>
        <v>43768</v>
      </c>
      <c r="J297" s="10" t="str">
        <f>IF(TimeEntry[[#This Row],[Date]]=0,"",TEXT(TimeEntry[[#This Row],[Date]],"ddd"))</f>
        <v>Wed</v>
      </c>
      <c r="K297" s="9" t="str">
        <f>IF(TimeEntry[[#This Row],[Project]]=0,"",INDEX(ProjectsAll[job number],MATCH(TimeEntry[[#This Row],[Project]],ProjectsAll[Project],0)))</f>
        <v xml:space="preserve">268017-25 </v>
      </c>
      <c r="L297" s="6" t="s">
        <v>162</v>
      </c>
      <c r="M297" s="6">
        <v>7.5</v>
      </c>
      <c r="N297" s="9">
        <f>IF(TimeEntry[[#This Row],[Date]]=0,"",WEEKDAY(C297,2))</f>
        <v>3</v>
      </c>
      <c r="O297" s="10">
        <f>YEAR(TimeEntry[[#This Row],[WkEnd]])</f>
        <v>2019</v>
      </c>
      <c r="P297" s="10">
        <f>WEEKNUM(TimeEntry[[#This Row],[WkEnd]])</f>
        <v>45</v>
      </c>
      <c r="Q297" s="10" t="str">
        <f>TimeEntry[[#This Row],[Year]]&amp;"-"&amp;TimeEntry[[#This Row],[WkNo]]</f>
        <v>2019-45</v>
      </c>
    </row>
    <row r="298" spans="1:17" ht="30" x14ac:dyDescent="0.25">
      <c r="A298" s="9">
        <f>MOD(IF(ROW()=11,0.1,IF(INDEX(TimeEntry[WkEnd],ROW()-10)            =            INDEX(TimeEntry[WkEnd],ROW()-11),               INDEX(TimeEntry[format],ROW()-11),               INDEX(TimeEntry[format],ROW()-11)    +1)),2)</f>
        <v>0.10000000000000009</v>
      </c>
      <c r="B298" s="14"/>
      <c r="C298" s="7">
        <v>43769</v>
      </c>
      <c r="D298" s="7"/>
      <c r="E298" s="7"/>
      <c r="F298" s="6" t="s">
        <v>88</v>
      </c>
      <c r="G298" s="6"/>
      <c r="H298" s="7">
        <f>IF(TimeEntry[[#This Row],[Date]]=0,H297,C298+(7-N298))</f>
        <v>43772</v>
      </c>
      <c r="I298" s="7">
        <f>TimeEntry[[#This Row],[Date]]</f>
        <v>43769</v>
      </c>
      <c r="J298" s="10" t="str">
        <f>IF(TimeEntry[[#This Row],[Date]]=0,"",TEXT(TimeEntry[[#This Row],[Date]],"ddd"))</f>
        <v>Thu</v>
      </c>
      <c r="K298" s="9" t="str">
        <f>IF(TimeEntry[[#This Row],[Project]]=0,"",INDEX(ProjectsAll[job number],MATCH(TimeEntry[[#This Row],[Project]],ProjectsAll[Project],0)))</f>
        <v>210035-51</v>
      </c>
      <c r="L298" s="6" t="s">
        <v>163</v>
      </c>
      <c r="M298" s="6">
        <v>2</v>
      </c>
      <c r="N298" s="9">
        <f>IF(TimeEntry[[#This Row],[Date]]=0,"",WEEKDAY(C298,2))</f>
        <v>4</v>
      </c>
      <c r="O298" s="10">
        <f>YEAR(TimeEntry[[#This Row],[WkEnd]])</f>
        <v>2019</v>
      </c>
      <c r="P298" s="10">
        <f>WEEKNUM(TimeEntry[[#This Row],[WkEnd]])</f>
        <v>45</v>
      </c>
      <c r="Q298" s="10" t="str">
        <f>TimeEntry[[#This Row],[Year]]&amp;"-"&amp;TimeEntry[[#This Row],[WkNo]]</f>
        <v>2019-45</v>
      </c>
    </row>
    <row r="299" spans="1:17" ht="30" x14ac:dyDescent="0.25">
      <c r="A299" s="9">
        <f>MOD(IF(ROW()=11,0.1,IF(INDEX(TimeEntry[WkEnd],ROW()-10)            =            INDEX(TimeEntry[WkEnd],ROW()-11),               INDEX(TimeEntry[format],ROW()-11),               INDEX(TimeEntry[format],ROW()-11)    +1)),2)</f>
        <v>0.10000000000000009</v>
      </c>
      <c r="B299" s="14"/>
      <c r="C299" s="7">
        <v>43769</v>
      </c>
      <c r="D299" s="7"/>
      <c r="E299" s="7"/>
      <c r="F299" s="6" t="s">
        <v>88</v>
      </c>
      <c r="G299" s="6"/>
      <c r="H299" s="7">
        <f>IF(TimeEntry[[#This Row],[Date]]=0,H298,C299+(7-N299))</f>
        <v>43772</v>
      </c>
      <c r="I299" s="7">
        <f>TimeEntry[[#This Row],[Date]]</f>
        <v>43769</v>
      </c>
      <c r="J299" s="10" t="str">
        <f>IF(TimeEntry[[#This Row],[Date]]=0,"",TEXT(TimeEntry[[#This Row],[Date]],"ddd"))</f>
        <v>Thu</v>
      </c>
      <c r="K299" s="9" t="str">
        <f>IF(TimeEntry[[#This Row],[Project]]=0,"",INDEX(ProjectsAll[job number],MATCH(TimeEntry[[#This Row],[Project]],ProjectsAll[Project],0)))</f>
        <v>210035-51</v>
      </c>
      <c r="L299" s="6" t="s">
        <v>146</v>
      </c>
      <c r="M299" s="6">
        <v>5.5</v>
      </c>
      <c r="N299" s="9">
        <f>IF(TimeEntry[[#This Row],[Date]]=0,"",WEEKDAY(C299,2))</f>
        <v>4</v>
      </c>
      <c r="O299" s="10">
        <f>YEAR(TimeEntry[[#This Row],[WkEnd]])</f>
        <v>2019</v>
      </c>
      <c r="P299" s="10">
        <f>WEEKNUM(TimeEntry[[#This Row],[WkEnd]])</f>
        <v>45</v>
      </c>
      <c r="Q299" s="10" t="str">
        <f>TimeEntry[[#This Row],[Year]]&amp;"-"&amp;TimeEntry[[#This Row],[WkNo]]</f>
        <v>2019-45</v>
      </c>
    </row>
    <row r="300" spans="1:17" ht="30" x14ac:dyDescent="0.25">
      <c r="A300" s="9">
        <f>MOD(IF(ROW()=11,0.1,IF(INDEX(TimeEntry[WkEnd],ROW()-10)            =            INDEX(TimeEntry[WkEnd],ROW()-11),               INDEX(TimeEntry[format],ROW()-11),               INDEX(TimeEntry[format],ROW()-11)    +1)),2)</f>
        <v>0.10000000000000009</v>
      </c>
      <c r="B300" s="14"/>
      <c r="C300" s="7">
        <v>43770</v>
      </c>
      <c r="D300" s="7"/>
      <c r="E300" s="7"/>
      <c r="F300" s="6" t="s">
        <v>65</v>
      </c>
      <c r="G300" s="6"/>
      <c r="H300" s="7">
        <f>IF(TimeEntry[[#This Row],[Date]]=0,H299,C300+(7-N300))</f>
        <v>43772</v>
      </c>
      <c r="I300" s="7">
        <f>TimeEntry[[#This Row],[Date]]</f>
        <v>43770</v>
      </c>
      <c r="J300" s="10" t="str">
        <f>IF(TimeEntry[[#This Row],[Date]]=0,"",TEXT(TimeEntry[[#This Row],[Date]],"ddd"))</f>
        <v>Fri</v>
      </c>
      <c r="K300" s="9" t="str">
        <f>IF(TimeEntry[[#This Row],[Project]]=0,"",INDEX(ProjectsAll[job number],MATCH(TimeEntry[[#This Row],[Project]],ProjectsAll[Project],0)))</f>
        <v xml:space="preserve">268017-25 </v>
      </c>
      <c r="L300" s="6" t="s">
        <v>155</v>
      </c>
      <c r="M300" s="6">
        <v>7.5</v>
      </c>
      <c r="N300" s="9">
        <f>IF(TimeEntry[[#This Row],[Date]]=0,"",WEEKDAY(C300,2))</f>
        <v>5</v>
      </c>
      <c r="O300" s="10">
        <f>YEAR(TimeEntry[[#This Row],[WkEnd]])</f>
        <v>2019</v>
      </c>
      <c r="P300" s="10">
        <f>WEEKNUM(TimeEntry[[#This Row],[WkEnd]])</f>
        <v>45</v>
      </c>
      <c r="Q300" s="10" t="str">
        <f>TimeEntry[[#This Row],[Year]]&amp;"-"&amp;TimeEntry[[#This Row],[WkNo]]</f>
        <v>2019-45</v>
      </c>
    </row>
    <row r="301" spans="1:17" ht="30" x14ac:dyDescent="0.25">
      <c r="A301" s="9">
        <f>MOD(IF(ROW()=11,0.1,IF(INDEX(TimeEntry[WkEnd],ROW()-10)            =            INDEX(TimeEntry[WkEnd],ROW()-11),               INDEX(TimeEntry[format],ROW()-11),               INDEX(TimeEntry[format],ROW()-11)    +1)),2)</f>
        <v>1.1000000000000001</v>
      </c>
      <c r="B301" s="14"/>
      <c r="C301" s="7">
        <v>43759</v>
      </c>
      <c r="D301" s="7"/>
      <c r="E301" s="7"/>
      <c r="F301" s="6" t="s">
        <v>65</v>
      </c>
      <c r="G301" s="6"/>
      <c r="H301" s="7">
        <f>IF(TimeEntry[[#This Row],[Date]]=0,H300,C301+(7-N301))</f>
        <v>43765</v>
      </c>
      <c r="I301" s="7">
        <f>TimeEntry[[#This Row],[Date]]</f>
        <v>43759</v>
      </c>
      <c r="J301" s="10" t="str">
        <f>IF(TimeEntry[[#This Row],[Date]]=0,"",TEXT(TimeEntry[[#This Row],[Date]],"ddd"))</f>
        <v>Mon</v>
      </c>
      <c r="K301" s="9" t="str">
        <f>IF(TimeEntry[[#This Row],[Project]]=0,"",INDEX(ProjectsAll[job number],MATCH(TimeEntry[[#This Row],[Project]],ProjectsAll[Project],0)))</f>
        <v xml:space="preserve">268017-25 </v>
      </c>
      <c r="L301" s="6" t="s">
        <v>162</v>
      </c>
      <c r="M301" s="6">
        <v>5</v>
      </c>
      <c r="N301" s="9">
        <f>IF(TimeEntry[[#This Row],[Date]]=0,"",WEEKDAY(C301,2))</f>
        <v>1</v>
      </c>
      <c r="O301" s="10">
        <f>YEAR(TimeEntry[[#This Row],[WkEnd]])</f>
        <v>2019</v>
      </c>
      <c r="P301" s="10">
        <f>WEEKNUM(TimeEntry[[#This Row],[WkEnd]])</f>
        <v>44</v>
      </c>
      <c r="Q301" s="10" t="str">
        <f>TimeEntry[[#This Row],[Year]]&amp;"-"&amp;TimeEntry[[#This Row],[WkNo]]</f>
        <v>2019-44</v>
      </c>
    </row>
    <row r="302" spans="1:17" ht="30" x14ac:dyDescent="0.25">
      <c r="A302" s="9">
        <f>MOD(IF(ROW()=11,0.1,IF(INDEX(TimeEntry[WkEnd],ROW()-10)            =            INDEX(TimeEntry[WkEnd],ROW()-11),               INDEX(TimeEntry[format],ROW()-11),               INDEX(TimeEntry[format],ROW()-11)    +1)),2)</f>
        <v>1.1000000000000001</v>
      </c>
      <c r="B302" s="14"/>
      <c r="C302" s="7">
        <v>43760</v>
      </c>
      <c r="D302" s="7"/>
      <c r="E302" s="7"/>
      <c r="F302" s="6" t="s">
        <v>63</v>
      </c>
      <c r="G302" s="6"/>
      <c r="H302" s="7">
        <f>IF(TimeEntry[[#This Row],[Date]]=0,H301,C302+(7-N302))</f>
        <v>43765</v>
      </c>
      <c r="I302" s="7">
        <f>TimeEntry[[#This Row],[Date]]</f>
        <v>43760</v>
      </c>
      <c r="J302" s="10" t="str">
        <f>IF(TimeEntry[[#This Row],[Date]]=0,"",TEXT(TimeEntry[[#This Row],[Date]],"ddd"))</f>
        <v>Tue</v>
      </c>
      <c r="K302" s="9" t="str">
        <f>IF(TimeEntry[[#This Row],[Project]]=0,"",INDEX(ProjectsAll[job number],MATCH(TimeEntry[[#This Row],[Project]],ProjectsAll[Project],0)))</f>
        <v>268017-10</v>
      </c>
      <c r="L302" s="6" t="s">
        <v>164</v>
      </c>
      <c r="M302" s="6">
        <v>2.5</v>
      </c>
      <c r="N302" s="9">
        <f>IF(TimeEntry[[#This Row],[Date]]=0,"",WEEKDAY(C302,2))</f>
        <v>2</v>
      </c>
      <c r="O302" s="10">
        <f>YEAR(TimeEntry[[#This Row],[WkEnd]])</f>
        <v>2019</v>
      </c>
      <c r="P302" s="10">
        <f>WEEKNUM(TimeEntry[[#This Row],[WkEnd]])</f>
        <v>44</v>
      </c>
      <c r="Q302" s="10" t="str">
        <f>TimeEntry[[#This Row],[Year]]&amp;"-"&amp;TimeEntry[[#This Row],[WkNo]]</f>
        <v>2019-44</v>
      </c>
    </row>
    <row r="303" spans="1:17" ht="30" x14ac:dyDescent="0.25">
      <c r="A303" s="9">
        <f>MOD(IF(ROW()=11,0.1,IF(INDEX(TimeEntry[WkEnd],ROW()-10)            =            INDEX(TimeEntry[WkEnd],ROW()-11),               INDEX(TimeEntry[format],ROW()-11),               INDEX(TimeEntry[format],ROW()-11)    +1)),2)</f>
        <v>1.1000000000000001</v>
      </c>
      <c r="B303" s="14"/>
      <c r="C303" s="7">
        <v>43760</v>
      </c>
      <c r="D303" s="7"/>
      <c r="E303" s="7"/>
      <c r="F303" s="6" t="s">
        <v>65</v>
      </c>
      <c r="G303" s="6"/>
      <c r="H303" s="7">
        <f>IF(TimeEntry[[#This Row],[Date]]=0,H302,C303+(7-N303))</f>
        <v>43765</v>
      </c>
      <c r="I303" s="7">
        <f>TimeEntry[[#This Row],[Date]]</f>
        <v>43760</v>
      </c>
      <c r="J303" s="10" t="str">
        <f>IF(TimeEntry[[#This Row],[Date]]=0,"",TEXT(TimeEntry[[#This Row],[Date]],"ddd"))</f>
        <v>Tue</v>
      </c>
      <c r="K303" s="9" t="str">
        <f>IF(TimeEntry[[#This Row],[Project]]=0,"",INDEX(ProjectsAll[job number],MATCH(TimeEntry[[#This Row],[Project]],ProjectsAll[Project],0)))</f>
        <v xml:space="preserve">268017-25 </v>
      </c>
      <c r="L303" s="6" t="s">
        <v>162</v>
      </c>
      <c r="M303" s="6">
        <v>7.5</v>
      </c>
      <c r="N303" s="9">
        <f>IF(TimeEntry[[#This Row],[Date]]=0,"",WEEKDAY(C303,2))</f>
        <v>2</v>
      </c>
      <c r="O303" s="10">
        <f>YEAR(TimeEntry[[#This Row],[WkEnd]])</f>
        <v>2019</v>
      </c>
      <c r="P303" s="10">
        <f>WEEKNUM(TimeEntry[[#This Row],[WkEnd]])</f>
        <v>44</v>
      </c>
      <c r="Q303" s="10" t="str">
        <f>TimeEntry[[#This Row],[Year]]&amp;"-"&amp;TimeEntry[[#This Row],[WkNo]]</f>
        <v>2019-44</v>
      </c>
    </row>
    <row r="304" spans="1:17" ht="30" x14ac:dyDescent="0.25">
      <c r="A304" s="9">
        <f>MOD(IF(ROW()=11,0.1,IF(INDEX(TimeEntry[WkEnd],ROW()-10)            =            INDEX(TimeEntry[WkEnd],ROW()-11),               INDEX(TimeEntry[format],ROW()-11),               INDEX(TimeEntry[format],ROW()-11)    +1)),2)</f>
        <v>1.1000000000000001</v>
      </c>
      <c r="B304" s="14"/>
      <c r="C304" s="7">
        <v>43761</v>
      </c>
      <c r="D304" s="7"/>
      <c r="E304" s="7"/>
      <c r="F304" s="6" t="s">
        <v>84</v>
      </c>
      <c r="G304" s="6"/>
      <c r="H304" s="7">
        <f>IF(TimeEntry[[#This Row],[Date]]=0,H303,C304+(7-N304))</f>
        <v>43765</v>
      </c>
      <c r="I304" s="7">
        <f>TimeEntry[[#This Row],[Date]]</f>
        <v>43761</v>
      </c>
      <c r="J304" s="10" t="str">
        <f>IF(TimeEntry[[#This Row],[Date]]=0,"",TEXT(TimeEntry[[#This Row],[Date]],"ddd"))</f>
        <v>Wed</v>
      </c>
      <c r="K304" s="9" t="str">
        <f>IF(TimeEntry[[#This Row],[Project]]=0,"",INDEX(ProjectsAll[job number],MATCH(TimeEntry[[#This Row],[Project]],ProjectsAll[Project],0)))</f>
        <v>265720-20</v>
      </c>
      <c r="L304" s="6" t="s">
        <v>165</v>
      </c>
      <c r="M304" s="6">
        <v>7.5</v>
      </c>
      <c r="N304" s="9">
        <f>IF(TimeEntry[[#This Row],[Date]]=0,"",WEEKDAY(C304,2))</f>
        <v>3</v>
      </c>
      <c r="O304" s="10">
        <f>YEAR(TimeEntry[[#This Row],[WkEnd]])</f>
        <v>2019</v>
      </c>
      <c r="P304" s="10">
        <f>WEEKNUM(TimeEntry[[#This Row],[WkEnd]])</f>
        <v>44</v>
      </c>
      <c r="Q304" s="10" t="str">
        <f>TimeEntry[[#This Row],[Year]]&amp;"-"&amp;TimeEntry[[#This Row],[WkNo]]</f>
        <v>2019-44</v>
      </c>
    </row>
    <row r="305" spans="1:17" ht="30" x14ac:dyDescent="0.25">
      <c r="A305" s="9">
        <f>MOD(IF(ROW()=11,0.1,IF(INDEX(TimeEntry[WkEnd],ROW()-10)            =            INDEX(TimeEntry[WkEnd],ROW()-11),               INDEX(TimeEntry[format],ROW()-11),               INDEX(TimeEntry[format],ROW()-11)    +1)),2)</f>
        <v>1.1000000000000001</v>
      </c>
      <c r="B305" s="14"/>
      <c r="C305" s="7">
        <v>43762</v>
      </c>
      <c r="D305" s="7"/>
      <c r="E305" s="7"/>
      <c r="F305" s="6" t="s">
        <v>88</v>
      </c>
      <c r="G305" s="6"/>
      <c r="H305" s="7">
        <f>IF(TimeEntry[[#This Row],[Date]]=0,H304,C305+(7-N305))</f>
        <v>43765</v>
      </c>
      <c r="I305" s="7">
        <f>TimeEntry[[#This Row],[Date]]</f>
        <v>43762</v>
      </c>
      <c r="J305" s="10" t="str">
        <f>IF(TimeEntry[[#This Row],[Date]]=0,"",TEXT(TimeEntry[[#This Row],[Date]],"ddd"))</f>
        <v>Thu</v>
      </c>
      <c r="K305" s="9" t="str">
        <f>IF(TimeEntry[[#This Row],[Project]]=0,"",INDEX(ProjectsAll[job number],MATCH(TimeEntry[[#This Row],[Project]],ProjectsAll[Project],0)))</f>
        <v>210035-51</v>
      </c>
      <c r="L305" s="6" t="s">
        <v>163</v>
      </c>
      <c r="M305" s="6">
        <v>7.5</v>
      </c>
      <c r="N305" s="9">
        <f>IF(TimeEntry[[#This Row],[Date]]=0,"",WEEKDAY(C305,2))</f>
        <v>4</v>
      </c>
      <c r="O305" s="10">
        <f>YEAR(TimeEntry[[#This Row],[WkEnd]])</f>
        <v>2019</v>
      </c>
      <c r="P305" s="10">
        <f>WEEKNUM(TimeEntry[[#This Row],[WkEnd]])</f>
        <v>44</v>
      </c>
      <c r="Q305" s="10" t="str">
        <f>TimeEntry[[#This Row],[Year]]&amp;"-"&amp;TimeEntry[[#This Row],[WkNo]]</f>
        <v>2019-44</v>
      </c>
    </row>
    <row r="306" spans="1:17" ht="30" x14ac:dyDescent="0.25">
      <c r="A306" s="9">
        <f>MOD(IF(ROW()=11,0.1,IF(INDEX(TimeEntry[WkEnd],ROW()-10)            =            INDEX(TimeEntry[WkEnd],ROW()-11),               INDEX(TimeEntry[format],ROW()-11),               INDEX(TimeEntry[format],ROW()-11)    +1)),2)</f>
        <v>1.1000000000000001</v>
      </c>
      <c r="B306" s="14"/>
      <c r="C306" s="7">
        <v>43763</v>
      </c>
      <c r="D306" s="7"/>
      <c r="E306" s="7"/>
      <c r="F306" s="6" t="s">
        <v>65</v>
      </c>
      <c r="G306" s="6"/>
      <c r="H306" s="7">
        <f>IF(TimeEntry[[#This Row],[Date]]=0,H305,C306+(7-N306))</f>
        <v>43765</v>
      </c>
      <c r="I306" s="7">
        <f>TimeEntry[[#This Row],[Date]]</f>
        <v>43763</v>
      </c>
      <c r="J306" s="10" t="str">
        <f>IF(TimeEntry[[#This Row],[Date]]=0,"",TEXT(TimeEntry[[#This Row],[Date]],"ddd"))</f>
        <v>Fri</v>
      </c>
      <c r="K306" s="9" t="str">
        <f>IF(TimeEntry[[#This Row],[Project]]=0,"",INDEX(ProjectsAll[job number],MATCH(TimeEntry[[#This Row],[Project]],ProjectsAll[Project],0)))</f>
        <v xml:space="preserve">268017-25 </v>
      </c>
      <c r="L306" s="6" t="s">
        <v>162</v>
      </c>
      <c r="M306" s="6">
        <v>7.5</v>
      </c>
      <c r="N306" s="9">
        <f>IF(TimeEntry[[#This Row],[Date]]=0,"",WEEKDAY(C306,2))</f>
        <v>5</v>
      </c>
      <c r="O306" s="10">
        <f>YEAR(TimeEntry[[#This Row],[WkEnd]])</f>
        <v>2019</v>
      </c>
      <c r="P306" s="10">
        <f>WEEKNUM(TimeEntry[[#This Row],[WkEnd]])</f>
        <v>44</v>
      </c>
      <c r="Q306" s="10" t="str">
        <f>TimeEntry[[#This Row],[Year]]&amp;"-"&amp;TimeEntry[[#This Row],[WkNo]]</f>
        <v>2019-44</v>
      </c>
    </row>
    <row r="307" spans="1:17" ht="30" x14ac:dyDescent="0.25">
      <c r="A307" s="9">
        <f>MOD(IF(ROW()=11,0.1,IF(INDEX(TimeEntry[WkEnd],ROW()-10)            =            INDEX(TimeEntry[WkEnd],ROW()-11),               INDEX(TimeEntry[format],ROW()-11),               INDEX(TimeEntry[format],ROW()-11)    +1)),2)</f>
        <v>0.10000000000000009</v>
      </c>
      <c r="B307" s="14"/>
      <c r="C307" s="7">
        <v>43752</v>
      </c>
      <c r="D307" s="7"/>
      <c r="E307" s="7"/>
      <c r="F307" s="6" t="s">
        <v>65</v>
      </c>
      <c r="G307" s="6"/>
      <c r="H307" s="7">
        <f>IF(TimeEntry[[#This Row],[Date]]=0,H306,C307+(7-N307))</f>
        <v>43758</v>
      </c>
      <c r="I307" s="7">
        <f>TimeEntry[[#This Row],[Date]]</f>
        <v>43752</v>
      </c>
      <c r="J307" s="10" t="str">
        <f>IF(TimeEntry[[#This Row],[Date]]=0,"",TEXT(TimeEntry[[#This Row],[Date]],"ddd"))</f>
        <v>Mon</v>
      </c>
      <c r="K307" s="9" t="str">
        <f>IF(TimeEntry[[#This Row],[Project]]=0,"",INDEX(ProjectsAll[job number],MATCH(TimeEntry[[#This Row],[Project]],ProjectsAll[Project],0)))</f>
        <v xml:space="preserve">268017-25 </v>
      </c>
      <c r="L307" s="6" t="s">
        <v>125</v>
      </c>
      <c r="M307" s="6">
        <v>3.75</v>
      </c>
      <c r="N307" s="9">
        <f>IF(TimeEntry[[#This Row],[Date]]=0,"",WEEKDAY(C307,2))</f>
        <v>1</v>
      </c>
      <c r="O307" s="10">
        <f>YEAR(TimeEntry[[#This Row],[WkEnd]])</f>
        <v>2019</v>
      </c>
      <c r="P307" s="10">
        <f>WEEKNUM(TimeEntry[[#This Row],[WkEnd]])</f>
        <v>43</v>
      </c>
      <c r="Q307" s="10" t="str">
        <f>TimeEntry[[#This Row],[Year]]&amp;"-"&amp;TimeEntry[[#This Row],[WkNo]]</f>
        <v>2019-43</v>
      </c>
    </row>
    <row r="308" spans="1:17" ht="30" x14ac:dyDescent="0.25">
      <c r="A308" s="9">
        <f>MOD(IF(ROW()=11,0.1,IF(INDEX(TimeEntry[WkEnd],ROW()-10)            =            INDEX(TimeEntry[WkEnd],ROW()-11),               INDEX(TimeEntry[format],ROW()-11),               INDEX(TimeEntry[format],ROW()-11)    +1)),2)</f>
        <v>0.10000000000000009</v>
      </c>
      <c r="B308" s="14"/>
      <c r="C308" s="7">
        <v>43752</v>
      </c>
      <c r="D308" s="7"/>
      <c r="E308" s="7"/>
      <c r="F308" s="6" t="s">
        <v>63</v>
      </c>
      <c r="G308" s="6"/>
      <c r="H308" s="7">
        <f>IF(TimeEntry[[#This Row],[Date]]=0,H307,C308+(7-N308))</f>
        <v>43758</v>
      </c>
      <c r="I308" s="7">
        <f>TimeEntry[[#This Row],[Date]]</f>
        <v>43752</v>
      </c>
      <c r="J308" s="10" t="str">
        <f>IF(TimeEntry[[#This Row],[Date]]=0,"",TEXT(TimeEntry[[#This Row],[Date]],"ddd"))</f>
        <v>Mon</v>
      </c>
      <c r="K308" s="9" t="str">
        <f>IF(TimeEntry[[#This Row],[Project]]=0,"",INDEX(ProjectsAll[job number],MATCH(TimeEntry[[#This Row],[Project]],ProjectsAll[Project],0)))</f>
        <v>268017-10</v>
      </c>
      <c r="L308" s="6" t="s">
        <v>166</v>
      </c>
      <c r="M308" s="6">
        <v>3.75</v>
      </c>
      <c r="N308" s="9">
        <f>IF(TimeEntry[[#This Row],[Date]]=0,"",WEEKDAY(C308,2))</f>
        <v>1</v>
      </c>
      <c r="O308" s="10">
        <f>YEAR(TimeEntry[[#This Row],[WkEnd]])</f>
        <v>2019</v>
      </c>
      <c r="P308" s="10">
        <f>WEEKNUM(TimeEntry[[#This Row],[WkEnd]])</f>
        <v>43</v>
      </c>
      <c r="Q308" s="10" t="str">
        <f>TimeEntry[[#This Row],[Year]]&amp;"-"&amp;TimeEntry[[#This Row],[WkNo]]</f>
        <v>2019-43</v>
      </c>
    </row>
    <row r="309" spans="1:17" ht="30" x14ac:dyDescent="0.25">
      <c r="A309" s="9">
        <f>MOD(IF(ROW()=11,0.1,IF(INDEX(TimeEntry[WkEnd],ROW()-10)            =            INDEX(TimeEntry[WkEnd],ROW()-11),               INDEX(TimeEntry[format],ROW()-11),               INDEX(TimeEntry[format],ROW()-11)    +1)),2)</f>
        <v>0.10000000000000009</v>
      </c>
      <c r="B309" s="14"/>
      <c r="C309" s="7">
        <v>43753</v>
      </c>
      <c r="D309" s="7"/>
      <c r="E309" s="7"/>
      <c r="F309" s="6" t="s">
        <v>63</v>
      </c>
      <c r="G309" s="6"/>
      <c r="H309" s="7">
        <f>IF(TimeEntry[[#This Row],[Date]]=0,H308,C309+(7-N309))</f>
        <v>43758</v>
      </c>
      <c r="I309" s="7">
        <f>TimeEntry[[#This Row],[Date]]</f>
        <v>43753</v>
      </c>
      <c r="J309" s="10" t="str">
        <f>IF(TimeEntry[[#This Row],[Date]]=0,"",TEXT(TimeEntry[[#This Row],[Date]],"ddd"))</f>
        <v>Tue</v>
      </c>
      <c r="K309" s="9" t="str">
        <f>IF(TimeEntry[[#This Row],[Project]]=0,"",INDEX(ProjectsAll[job number],MATCH(TimeEntry[[#This Row],[Project]],ProjectsAll[Project],0)))</f>
        <v>268017-10</v>
      </c>
      <c r="L309" s="6" t="s">
        <v>166</v>
      </c>
      <c r="M309" s="6">
        <v>7.5</v>
      </c>
      <c r="N309" s="9">
        <f>IF(TimeEntry[[#This Row],[Date]]=0,"",WEEKDAY(C309,2))</f>
        <v>2</v>
      </c>
      <c r="O309" s="10">
        <f>YEAR(TimeEntry[[#This Row],[WkEnd]])</f>
        <v>2019</v>
      </c>
      <c r="P309" s="10">
        <f>WEEKNUM(TimeEntry[[#This Row],[WkEnd]])</f>
        <v>43</v>
      </c>
      <c r="Q309" s="10" t="str">
        <f>TimeEntry[[#This Row],[Year]]&amp;"-"&amp;TimeEntry[[#This Row],[WkNo]]</f>
        <v>2019-43</v>
      </c>
    </row>
    <row r="310" spans="1:17" ht="30" x14ac:dyDescent="0.25">
      <c r="A310" s="9">
        <f>MOD(IF(ROW()=11,0.1,IF(INDEX(TimeEntry[WkEnd],ROW()-10)            =            INDEX(TimeEntry[WkEnd],ROW()-11),               INDEX(TimeEntry[format],ROW()-11),               INDEX(TimeEntry[format],ROW()-11)    +1)),2)</f>
        <v>0.10000000000000009</v>
      </c>
      <c r="B310" s="14"/>
      <c r="C310" s="7">
        <v>43754</v>
      </c>
      <c r="D310" s="7"/>
      <c r="E310" s="7"/>
      <c r="F310" s="6" t="s">
        <v>43</v>
      </c>
      <c r="G310" s="6"/>
      <c r="H310" s="7">
        <f>IF(TimeEntry[[#This Row],[Date]]=0,H309,C310+(7-N310))</f>
        <v>43758</v>
      </c>
      <c r="I310" s="7">
        <f>TimeEntry[[#This Row],[Date]]</f>
        <v>43754</v>
      </c>
      <c r="J310" s="10" t="str">
        <f>IF(TimeEntry[[#This Row],[Date]]=0,"",TEXT(TimeEntry[[#This Row],[Date]],"ddd"))</f>
        <v>Wed</v>
      </c>
      <c r="K310" s="9" t="str">
        <f>IF(TimeEntry[[#This Row],[Project]]=0,"",INDEX(ProjectsAll[job number],MATCH(TimeEntry[[#This Row],[Project]],ProjectsAll[Project],0)))</f>
        <v>236808-69</v>
      </c>
      <c r="L310" s="6" t="s">
        <v>167</v>
      </c>
      <c r="M310" s="6">
        <v>7.5</v>
      </c>
      <c r="N310" s="9">
        <f>IF(TimeEntry[[#This Row],[Date]]=0,"",WEEKDAY(C310,2))</f>
        <v>3</v>
      </c>
      <c r="O310" s="10">
        <f>YEAR(TimeEntry[[#This Row],[WkEnd]])</f>
        <v>2019</v>
      </c>
      <c r="P310" s="10">
        <f>WEEKNUM(TimeEntry[[#This Row],[WkEnd]])</f>
        <v>43</v>
      </c>
      <c r="Q310" s="10" t="str">
        <f>TimeEntry[[#This Row],[Year]]&amp;"-"&amp;TimeEntry[[#This Row],[WkNo]]</f>
        <v>2019-43</v>
      </c>
    </row>
    <row r="311" spans="1:17" ht="30" x14ac:dyDescent="0.25">
      <c r="A311" s="9">
        <f>MOD(IF(ROW()=11,0.1,IF(INDEX(TimeEntry[WkEnd],ROW()-10)            =            INDEX(TimeEntry[WkEnd],ROW()-11),               INDEX(TimeEntry[format],ROW()-11),               INDEX(TimeEntry[format],ROW()-11)    +1)),2)</f>
        <v>0.10000000000000009</v>
      </c>
      <c r="B311" s="14"/>
      <c r="C311" s="7">
        <v>43755</v>
      </c>
      <c r="D311" s="7"/>
      <c r="E311" s="7"/>
      <c r="F311" s="6" t="s">
        <v>88</v>
      </c>
      <c r="G311" s="6"/>
      <c r="H311" s="7">
        <f>IF(TimeEntry[[#This Row],[Date]]=0,H310,C311+(7-N311))</f>
        <v>43758</v>
      </c>
      <c r="I311" s="7">
        <f>TimeEntry[[#This Row],[Date]]</f>
        <v>43755</v>
      </c>
      <c r="J311" s="10" t="str">
        <f>IF(TimeEntry[[#This Row],[Date]]=0,"",TEXT(TimeEntry[[#This Row],[Date]],"ddd"))</f>
        <v>Thu</v>
      </c>
      <c r="K311" s="9" t="str">
        <f>IF(TimeEntry[[#This Row],[Project]]=0,"",INDEX(ProjectsAll[job number],MATCH(TimeEntry[[#This Row],[Project]],ProjectsAll[Project],0)))</f>
        <v>210035-51</v>
      </c>
      <c r="L311" s="6" t="s">
        <v>168</v>
      </c>
      <c r="M311" s="6">
        <v>3.75</v>
      </c>
      <c r="N311" s="9">
        <f>IF(TimeEntry[[#This Row],[Date]]=0,"",WEEKDAY(C311,2))</f>
        <v>4</v>
      </c>
      <c r="O311" s="10">
        <f>YEAR(TimeEntry[[#This Row],[WkEnd]])</f>
        <v>2019</v>
      </c>
      <c r="P311" s="10">
        <f>WEEKNUM(TimeEntry[[#This Row],[WkEnd]])</f>
        <v>43</v>
      </c>
      <c r="Q311" s="10" t="str">
        <f>TimeEntry[[#This Row],[Year]]&amp;"-"&amp;TimeEntry[[#This Row],[WkNo]]</f>
        <v>2019-43</v>
      </c>
    </row>
    <row r="312" spans="1:17" ht="30" x14ac:dyDescent="0.25">
      <c r="A312" s="9">
        <f>MOD(IF(ROW()=11,0.1,IF(INDEX(TimeEntry[WkEnd],ROW()-10)            =            INDEX(TimeEntry[WkEnd],ROW()-11),               INDEX(TimeEntry[format],ROW()-11),               INDEX(TimeEntry[format],ROW()-11)    +1)),2)</f>
        <v>0.10000000000000009</v>
      </c>
      <c r="B312" s="14"/>
      <c r="C312" s="7">
        <v>43755</v>
      </c>
      <c r="D312" s="7"/>
      <c r="E312" s="7"/>
      <c r="F312" s="6" t="s">
        <v>88</v>
      </c>
      <c r="G312" s="6"/>
      <c r="H312" s="7">
        <f>IF(TimeEntry[[#This Row],[Date]]=0,H311,C312+(7-N312))</f>
        <v>43758</v>
      </c>
      <c r="I312" s="7">
        <f>TimeEntry[[#This Row],[Date]]</f>
        <v>43755</v>
      </c>
      <c r="J312" s="10" t="str">
        <f>IF(TimeEntry[[#This Row],[Date]]=0,"",TEXT(TimeEntry[[#This Row],[Date]],"ddd"))</f>
        <v>Thu</v>
      </c>
      <c r="K312" s="9" t="str">
        <f>IF(TimeEntry[[#This Row],[Project]]=0,"",INDEX(ProjectsAll[job number],MATCH(TimeEntry[[#This Row],[Project]],ProjectsAll[Project],0)))</f>
        <v>210035-51</v>
      </c>
      <c r="L312" s="6" t="s">
        <v>169</v>
      </c>
      <c r="M312" s="6">
        <v>3.75</v>
      </c>
      <c r="N312" s="9">
        <f>IF(TimeEntry[[#This Row],[Date]]=0,"",WEEKDAY(C312,2))</f>
        <v>4</v>
      </c>
      <c r="O312" s="10">
        <f>YEAR(TimeEntry[[#This Row],[WkEnd]])</f>
        <v>2019</v>
      </c>
      <c r="P312" s="10">
        <f>WEEKNUM(TimeEntry[[#This Row],[WkEnd]])</f>
        <v>43</v>
      </c>
      <c r="Q312" s="10" t="str">
        <f>TimeEntry[[#This Row],[Year]]&amp;"-"&amp;TimeEntry[[#This Row],[WkNo]]</f>
        <v>2019-43</v>
      </c>
    </row>
    <row r="313" spans="1:17" ht="30" x14ac:dyDescent="0.25">
      <c r="A313" s="9">
        <f>MOD(IF(ROW()=11,0.1,IF(INDEX(TimeEntry[WkEnd],ROW()-10)            =            INDEX(TimeEntry[WkEnd],ROW()-11),               INDEX(TimeEntry[format],ROW()-11),               INDEX(TimeEntry[format],ROW()-11)    +1)),2)</f>
        <v>0.10000000000000009</v>
      </c>
      <c r="B313" s="14"/>
      <c r="C313" s="7">
        <v>43756</v>
      </c>
      <c r="D313" s="7"/>
      <c r="E313" s="7"/>
      <c r="F313" s="6" t="s">
        <v>43</v>
      </c>
      <c r="G313" s="6"/>
      <c r="H313" s="7">
        <f>IF(TimeEntry[[#This Row],[Date]]=0,H312,C313+(7-N313))</f>
        <v>43758</v>
      </c>
      <c r="I313" s="7">
        <f>TimeEntry[[#This Row],[Date]]</f>
        <v>43756</v>
      </c>
      <c r="J313" s="10" t="str">
        <f>IF(TimeEntry[[#This Row],[Date]]=0,"",TEXT(TimeEntry[[#This Row],[Date]],"ddd"))</f>
        <v>Fri</v>
      </c>
      <c r="K313" s="9" t="str">
        <f>IF(TimeEntry[[#This Row],[Project]]=0,"",INDEX(ProjectsAll[job number],MATCH(TimeEntry[[#This Row],[Project]],ProjectsAll[Project],0)))</f>
        <v>236808-69</v>
      </c>
      <c r="L313" s="6" t="s">
        <v>167</v>
      </c>
      <c r="M313" s="6">
        <v>2</v>
      </c>
      <c r="N313" s="9">
        <f>IF(TimeEntry[[#This Row],[Date]]=0,"",WEEKDAY(C313,2))</f>
        <v>5</v>
      </c>
      <c r="O313" s="10">
        <f>YEAR(TimeEntry[[#This Row],[WkEnd]])</f>
        <v>2019</v>
      </c>
      <c r="P313" s="10">
        <f>WEEKNUM(TimeEntry[[#This Row],[WkEnd]])</f>
        <v>43</v>
      </c>
      <c r="Q313" s="10" t="str">
        <f>TimeEntry[[#This Row],[Year]]&amp;"-"&amp;TimeEntry[[#This Row],[WkNo]]</f>
        <v>2019-43</v>
      </c>
    </row>
    <row r="314" spans="1:17" ht="30" x14ac:dyDescent="0.25">
      <c r="A314" s="9">
        <f>MOD(IF(ROW()=11,0.1,IF(INDEX(TimeEntry[WkEnd],ROW()-10)            =            INDEX(TimeEntry[WkEnd],ROW()-11),               INDEX(TimeEntry[format],ROW()-11),               INDEX(TimeEntry[format],ROW()-11)    +1)),2)</f>
        <v>0.10000000000000009</v>
      </c>
      <c r="B314" s="14"/>
      <c r="C314" s="7">
        <v>43756</v>
      </c>
      <c r="D314" s="7"/>
      <c r="E314" s="7"/>
      <c r="F314" s="6" t="s">
        <v>65</v>
      </c>
      <c r="G314" s="6"/>
      <c r="H314" s="7">
        <f>IF(TimeEntry[[#This Row],[Date]]=0,H313,C314+(7-N314))</f>
        <v>43758</v>
      </c>
      <c r="I314" s="7">
        <f>TimeEntry[[#This Row],[Date]]</f>
        <v>43756</v>
      </c>
      <c r="J314" s="10" t="str">
        <f>IF(TimeEntry[[#This Row],[Date]]=0,"",TEXT(TimeEntry[[#This Row],[Date]],"ddd"))</f>
        <v>Fri</v>
      </c>
      <c r="K314" s="9" t="str">
        <f>IF(TimeEntry[[#This Row],[Project]]=0,"",INDEX(ProjectsAll[job number],MATCH(TimeEntry[[#This Row],[Project]],ProjectsAll[Project],0)))</f>
        <v xml:space="preserve">268017-25 </v>
      </c>
      <c r="L314" s="6" t="s">
        <v>142</v>
      </c>
      <c r="M314" s="6">
        <v>5.5</v>
      </c>
      <c r="N314" s="9">
        <f>IF(TimeEntry[[#This Row],[Date]]=0,"",WEEKDAY(C314,2))</f>
        <v>5</v>
      </c>
      <c r="O314" s="10">
        <f>YEAR(TimeEntry[[#This Row],[WkEnd]])</f>
        <v>2019</v>
      </c>
      <c r="P314" s="10">
        <f>WEEKNUM(TimeEntry[[#This Row],[WkEnd]])</f>
        <v>43</v>
      </c>
      <c r="Q314" s="10" t="str">
        <f>TimeEntry[[#This Row],[Year]]&amp;"-"&amp;TimeEntry[[#This Row],[WkNo]]</f>
        <v>2019-43</v>
      </c>
    </row>
    <row r="315" spans="1:17" ht="30" x14ac:dyDescent="0.25">
      <c r="A315" s="9">
        <f>MOD(IF(ROW()=11,0.1,IF(INDEX(TimeEntry[WkEnd],ROW()-10)            =            INDEX(TimeEntry[WkEnd],ROW()-11),               INDEX(TimeEntry[format],ROW()-11),               INDEX(TimeEntry[format],ROW()-11)    +1)),2)</f>
        <v>1.1000000000000001</v>
      </c>
      <c r="B315" s="14"/>
      <c r="C315" s="7">
        <v>43745</v>
      </c>
      <c r="D315" s="7"/>
      <c r="E315" s="7"/>
      <c r="F315" s="6" t="s">
        <v>65</v>
      </c>
      <c r="G315" s="6"/>
      <c r="H315" s="7">
        <f>IF(TimeEntry[[#This Row],[Date]]=0,H314,C315+(7-N315))</f>
        <v>43751</v>
      </c>
      <c r="I315" s="7">
        <f>TimeEntry[[#This Row],[Date]]</f>
        <v>43745</v>
      </c>
      <c r="J315" s="10" t="str">
        <f>IF(TimeEntry[[#This Row],[Date]]=0,"",TEXT(TimeEntry[[#This Row],[Date]],"ddd"))</f>
        <v>Mon</v>
      </c>
      <c r="K315" s="9" t="str">
        <f>IF(TimeEntry[[#This Row],[Project]]=0,"",INDEX(ProjectsAll[job number],MATCH(TimeEntry[[#This Row],[Project]],ProjectsAll[Project],0)))</f>
        <v xml:space="preserve">268017-25 </v>
      </c>
      <c r="L315" s="6" t="s">
        <v>125</v>
      </c>
      <c r="M315" s="6">
        <v>2</v>
      </c>
      <c r="N315" s="9">
        <f>IF(TimeEntry[[#This Row],[Date]]=0,"",WEEKDAY(C315,2))</f>
        <v>1</v>
      </c>
      <c r="O315" s="10">
        <f>YEAR(TimeEntry[[#This Row],[WkEnd]])</f>
        <v>2019</v>
      </c>
      <c r="P315" s="10">
        <f>WEEKNUM(TimeEntry[[#This Row],[WkEnd]])</f>
        <v>42</v>
      </c>
      <c r="Q315" s="10" t="str">
        <f>TimeEntry[[#This Row],[Year]]&amp;"-"&amp;TimeEntry[[#This Row],[WkNo]]</f>
        <v>2019-42</v>
      </c>
    </row>
    <row r="316" spans="1:17" ht="30" x14ac:dyDescent="0.25">
      <c r="A316" s="9">
        <f>MOD(IF(ROW()=11,0.1,IF(INDEX(TimeEntry[WkEnd],ROW()-10)            =            INDEX(TimeEntry[WkEnd],ROW()-11),               INDEX(TimeEntry[format],ROW()-11),               INDEX(TimeEntry[format],ROW()-11)    +1)),2)</f>
        <v>1.1000000000000001</v>
      </c>
      <c r="B316" s="14"/>
      <c r="C316" s="7">
        <v>43745</v>
      </c>
      <c r="D316" s="7"/>
      <c r="E316" s="7"/>
      <c r="F316" s="6" t="s">
        <v>65</v>
      </c>
      <c r="G316" s="6"/>
      <c r="H316" s="7">
        <f>IF(TimeEntry[[#This Row],[Date]]=0,H315,C316+(7-N316))</f>
        <v>43751</v>
      </c>
      <c r="I316" s="7">
        <f>TimeEntry[[#This Row],[Date]]</f>
        <v>43745</v>
      </c>
      <c r="J316" s="10" t="str">
        <f>IF(TimeEntry[[#This Row],[Date]]=0,"",TEXT(TimeEntry[[#This Row],[Date]],"ddd"))</f>
        <v>Mon</v>
      </c>
      <c r="K316" s="9" t="str">
        <f>IF(TimeEntry[[#This Row],[Project]]=0,"",INDEX(ProjectsAll[job number],MATCH(TimeEntry[[#This Row],[Project]],ProjectsAll[Project],0)))</f>
        <v xml:space="preserve">268017-25 </v>
      </c>
      <c r="L316" s="6" t="s">
        <v>170</v>
      </c>
      <c r="M316" s="6">
        <v>5.5</v>
      </c>
      <c r="N316" s="9">
        <f>IF(TimeEntry[[#This Row],[Date]]=0,"",WEEKDAY(C316,2))</f>
        <v>1</v>
      </c>
      <c r="O316" s="10">
        <f>YEAR(TimeEntry[[#This Row],[WkEnd]])</f>
        <v>2019</v>
      </c>
      <c r="P316" s="10">
        <f>WEEKNUM(TimeEntry[[#This Row],[WkEnd]])</f>
        <v>42</v>
      </c>
      <c r="Q316" s="10" t="str">
        <f>TimeEntry[[#This Row],[Year]]&amp;"-"&amp;TimeEntry[[#This Row],[WkNo]]</f>
        <v>2019-42</v>
      </c>
    </row>
    <row r="317" spans="1:17" ht="30" x14ac:dyDescent="0.25">
      <c r="A317" s="9">
        <f>MOD(IF(ROW()=11,0.1,IF(INDEX(TimeEntry[WkEnd],ROW()-10)            =            INDEX(TimeEntry[WkEnd],ROW()-11),               INDEX(TimeEntry[format],ROW()-11),               INDEX(TimeEntry[format],ROW()-11)    +1)),2)</f>
        <v>1.1000000000000001</v>
      </c>
      <c r="B317" s="14"/>
      <c r="C317" s="7">
        <v>43746</v>
      </c>
      <c r="D317" s="7"/>
      <c r="E317" s="7"/>
      <c r="F317" s="6" t="s">
        <v>63</v>
      </c>
      <c r="G317" s="6"/>
      <c r="H317" s="7">
        <f>IF(TimeEntry[[#This Row],[Date]]=0,H316,C317+(7-N317))</f>
        <v>43751</v>
      </c>
      <c r="I317" s="7">
        <f>TimeEntry[[#This Row],[Date]]</f>
        <v>43746</v>
      </c>
      <c r="J317" s="10" t="str">
        <f>IF(TimeEntry[[#This Row],[Date]]=0,"",TEXT(TimeEntry[[#This Row],[Date]],"ddd"))</f>
        <v>Tue</v>
      </c>
      <c r="K317" s="9" t="str">
        <f>IF(TimeEntry[[#This Row],[Project]]=0,"",INDEX(ProjectsAll[job number],MATCH(TimeEntry[[#This Row],[Project]],ProjectsAll[Project],0)))</f>
        <v>268017-10</v>
      </c>
      <c r="L317" s="6" t="s">
        <v>171</v>
      </c>
      <c r="M317" s="6">
        <v>3.5</v>
      </c>
      <c r="N317" s="9">
        <f>IF(TimeEntry[[#This Row],[Date]]=0,"",WEEKDAY(C317,2))</f>
        <v>2</v>
      </c>
      <c r="O317" s="10">
        <f>YEAR(TimeEntry[[#This Row],[WkEnd]])</f>
        <v>2019</v>
      </c>
      <c r="P317" s="10">
        <f>WEEKNUM(TimeEntry[[#This Row],[WkEnd]])</f>
        <v>42</v>
      </c>
      <c r="Q317" s="10" t="str">
        <f>TimeEntry[[#This Row],[Year]]&amp;"-"&amp;TimeEntry[[#This Row],[WkNo]]</f>
        <v>2019-42</v>
      </c>
    </row>
    <row r="318" spans="1:17" ht="30" x14ac:dyDescent="0.25">
      <c r="A318" s="9">
        <f>MOD(IF(ROW()=11,0.1,IF(INDEX(TimeEntry[WkEnd],ROW()-10)            =            INDEX(TimeEntry[WkEnd],ROW()-11),               INDEX(TimeEntry[format],ROW()-11),               INDEX(TimeEntry[format],ROW()-11)    +1)),2)</f>
        <v>1.1000000000000001</v>
      </c>
      <c r="B318" s="14"/>
      <c r="C318" s="7">
        <v>43746</v>
      </c>
      <c r="D318" s="7"/>
      <c r="E318" s="7"/>
      <c r="F318" s="6" t="s">
        <v>88</v>
      </c>
      <c r="G318" s="6"/>
      <c r="H318" s="7">
        <f>IF(TimeEntry[[#This Row],[Date]]=0,H317,C318+(7-N318))</f>
        <v>43751</v>
      </c>
      <c r="I318" s="7">
        <f>TimeEntry[[#This Row],[Date]]</f>
        <v>43746</v>
      </c>
      <c r="J318" s="10" t="str">
        <f>IF(TimeEntry[[#This Row],[Date]]=0,"",TEXT(TimeEntry[[#This Row],[Date]],"ddd"))</f>
        <v>Tue</v>
      </c>
      <c r="K318" s="9" t="str">
        <f>IF(TimeEntry[[#This Row],[Project]]=0,"",INDEX(ProjectsAll[job number],MATCH(TimeEntry[[#This Row],[Project]],ProjectsAll[Project],0)))</f>
        <v>210035-51</v>
      </c>
      <c r="L318" s="6" t="s">
        <v>172</v>
      </c>
      <c r="M318" s="6">
        <v>4</v>
      </c>
      <c r="N318" s="9">
        <f>IF(TimeEntry[[#This Row],[Date]]=0,"",WEEKDAY(C318,2))</f>
        <v>2</v>
      </c>
      <c r="O318" s="10">
        <f>YEAR(TimeEntry[[#This Row],[WkEnd]])</f>
        <v>2019</v>
      </c>
      <c r="P318" s="10">
        <f>WEEKNUM(TimeEntry[[#This Row],[WkEnd]])</f>
        <v>42</v>
      </c>
      <c r="Q318" s="10" t="str">
        <f>TimeEntry[[#This Row],[Year]]&amp;"-"&amp;TimeEntry[[#This Row],[WkNo]]</f>
        <v>2019-42</v>
      </c>
    </row>
    <row r="319" spans="1:17" ht="30" x14ac:dyDescent="0.25">
      <c r="A319" s="9">
        <f>MOD(IF(ROW()=11,0.1,IF(INDEX(TimeEntry[WkEnd],ROW()-10)            =            INDEX(TimeEntry[WkEnd],ROW()-11),               INDEX(TimeEntry[format],ROW()-11),               INDEX(TimeEntry[format],ROW()-11)    +1)),2)</f>
        <v>1.1000000000000001</v>
      </c>
      <c r="B319" s="14"/>
      <c r="C319" s="7">
        <v>43747</v>
      </c>
      <c r="D319" s="7"/>
      <c r="E319" s="7"/>
      <c r="F319" s="6" t="s">
        <v>63</v>
      </c>
      <c r="G319" s="6"/>
      <c r="H319" s="7">
        <f>IF(TimeEntry[[#This Row],[Date]]=0,H318,C319+(7-N319))</f>
        <v>43751</v>
      </c>
      <c r="I319" s="7">
        <f>TimeEntry[[#This Row],[Date]]</f>
        <v>43747</v>
      </c>
      <c r="J319" s="10" t="str">
        <f>IF(TimeEntry[[#This Row],[Date]]=0,"",TEXT(TimeEntry[[#This Row],[Date]],"ddd"))</f>
        <v>Wed</v>
      </c>
      <c r="K319" s="9" t="str">
        <f>IF(TimeEntry[[#This Row],[Project]]=0,"",INDEX(ProjectsAll[job number],MATCH(TimeEntry[[#This Row],[Project]],ProjectsAll[Project],0)))</f>
        <v>268017-10</v>
      </c>
      <c r="L319" s="6" t="s">
        <v>173</v>
      </c>
      <c r="M319" s="6">
        <v>7.5</v>
      </c>
      <c r="N319" s="9">
        <f>IF(TimeEntry[[#This Row],[Date]]=0,"",WEEKDAY(C319,2))</f>
        <v>3</v>
      </c>
      <c r="O319" s="10">
        <f>YEAR(TimeEntry[[#This Row],[WkEnd]])</f>
        <v>2019</v>
      </c>
      <c r="P319" s="10">
        <f>WEEKNUM(TimeEntry[[#This Row],[WkEnd]])</f>
        <v>42</v>
      </c>
      <c r="Q319" s="10" t="str">
        <f>TimeEntry[[#This Row],[Year]]&amp;"-"&amp;TimeEntry[[#This Row],[WkNo]]</f>
        <v>2019-42</v>
      </c>
    </row>
    <row r="320" spans="1:17" ht="30" x14ac:dyDescent="0.25">
      <c r="A320" s="9">
        <f>MOD(IF(ROW()=11,0.1,IF(INDEX(TimeEntry[WkEnd],ROW()-10)            =            INDEX(TimeEntry[WkEnd],ROW()-11),               INDEX(TimeEntry[format],ROW()-11),               INDEX(TimeEntry[format],ROW()-11)    +1)),2)</f>
        <v>1.1000000000000001</v>
      </c>
      <c r="B320" s="14"/>
      <c r="C320" s="7">
        <v>43748</v>
      </c>
      <c r="D320" s="7"/>
      <c r="E320" s="7"/>
      <c r="F320" s="6" t="s">
        <v>88</v>
      </c>
      <c r="G320" s="6"/>
      <c r="H320" s="7">
        <f>IF(TimeEntry[[#This Row],[Date]]=0,H319,C320+(7-N320))</f>
        <v>43751</v>
      </c>
      <c r="I320" s="7">
        <f>TimeEntry[[#This Row],[Date]]</f>
        <v>43748</v>
      </c>
      <c r="J320" s="10" t="str">
        <f>IF(TimeEntry[[#This Row],[Date]]=0,"",TEXT(TimeEntry[[#This Row],[Date]],"ddd"))</f>
        <v>Thu</v>
      </c>
      <c r="K320" s="9" t="str">
        <f>IF(TimeEntry[[#This Row],[Project]]=0,"",INDEX(ProjectsAll[job number],MATCH(TimeEntry[[#This Row],[Project]],ProjectsAll[Project],0)))</f>
        <v>210035-51</v>
      </c>
      <c r="L320" s="6" t="s">
        <v>174</v>
      </c>
      <c r="M320" s="6">
        <v>3</v>
      </c>
      <c r="N320" s="9">
        <f>IF(TimeEntry[[#This Row],[Date]]=0,"",WEEKDAY(C320,2))</f>
        <v>4</v>
      </c>
      <c r="O320" s="10">
        <f>YEAR(TimeEntry[[#This Row],[WkEnd]])</f>
        <v>2019</v>
      </c>
      <c r="P320" s="10">
        <f>WEEKNUM(TimeEntry[[#This Row],[WkEnd]])</f>
        <v>42</v>
      </c>
      <c r="Q320" s="10" t="str">
        <f>TimeEntry[[#This Row],[Year]]&amp;"-"&amp;TimeEntry[[#This Row],[WkNo]]</f>
        <v>2019-42</v>
      </c>
    </row>
    <row r="321" spans="1:17" ht="30" x14ac:dyDescent="0.25">
      <c r="A321" s="9">
        <f>MOD(IF(ROW()=11,0.1,IF(INDEX(TimeEntry[WkEnd],ROW()-10)            =            INDEX(TimeEntry[WkEnd],ROW()-11),               INDEX(TimeEntry[format],ROW()-11),               INDEX(TimeEntry[format],ROW()-11)    +1)),2)</f>
        <v>1.1000000000000001</v>
      </c>
      <c r="B321" s="14"/>
      <c r="C321" s="7">
        <v>43748</v>
      </c>
      <c r="D321" s="7"/>
      <c r="E321" s="7"/>
      <c r="F321" s="6" t="s">
        <v>88</v>
      </c>
      <c r="G321" s="6"/>
      <c r="H321" s="7">
        <f>IF(TimeEntry[[#This Row],[Date]]=0,H320,C321+(7-N321))</f>
        <v>43751</v>
      </c>
      <c r="I321" s="7">
        <f>TimeEntry[[#This Row],[Date]]</f>
        <v>43748</v>
      </c>
      <c r="J321" s="10" t="str">
        <f>IF(TimeEntry[[#This Row],[Date]]=0,"",TEXT(TimeEntry[[#This Row],[Date]],"ddd"))</f>
        <v>Thu</v>
      </c>
      <c r="K321" s="9" t="str">
        <f>IF(TimeEntry[[#This Row],[Project]]=0,"",INDEX(ProjectsAll[job number],MATCH(TimeEntry[[#This Row],[Project]],ProjectsAll[Project],0)))</f>
        <v>210035-51</v>
      </c>
      <c r="L321" s="6" t="s">
        <v>175</v>
      </c>
      <c r="M321" s="6">
        <v>4.5</v>
      </c>
      <c r="N321" s="9">
        <f>IF(TimeEntry[[#This Row],[Date]]=0,"",WEEKDAY(C321,2))</f>
        <v>4</v>
      </c>
      <c r="O321" s="10">
        <f>YEAR(TimeEntry[[#This Row],[WkEnd]])</f>
        <v>2019</v>
      </c>
      <c r="P321" s="10">
        <f>WEEKNUM(TimeEntry[[#This Row],[WkEnd]])</f>
        <v>42</v>
      </c>
      <c r="Q321" s="10" t="str">
        <f>TimeEntry[[#This Row],[Year]]&amp;"-"&amp;TimeEntry[[#This Row],[WkNo]]</f>
        <v>2019-42</v>
      </c>
    </row>
    <row r="322" spans="1:17" ht="30" x14ac:dyDescent="0.25">
      <c r="A322" s="9">
        <f>MOD(IF(ROW()=11,0.1,IF(INDEX(TimeEntry[WkEnd],ROW()-10)            =            INDEX(TimeEntry[WkEnd],ROW()-11),               INDEX(TimeEntry[format],ROW()-11),               INDEX(TimeEntry[format],ROW()-11)    +1)),2)</f>
        <v>1.1000000000000001</v>
      </c>
      <c r="B322" s="14"/>
      <c r="C322" s="7">
        <v>43749</v>
      </c>
      <c r="D322" s="7"/>
      <c r="E322" s="7"/>
      <c r="F322" s="6" t="s">
        <v>63</v>
      </c>
      <c r="G322" s="6"/>
      <c r="H322" s="7">
        <f>IF(TimeEntry[[#This Row],[Date]]=0,H321,C322+(7-N322))</f>
        <v>43751</v>
      </c>
      <c r="I322" s="7">
        <f>TimeEntry[[#This Row],[Date]]</f>
        <v>43749</v>
      </c>
      <c r="J322" s="10" t="str">
        <f>IF(TimeEntry[[#This Row],[Date]]=0,"",TEXT(TimeEntry[[#This Row],[Date]],"ddd"))</f>
        <v>Fri</v>
      </c>
      <c r="K322" s="9" t="str">
        <f>IF(TimeEntry[[#This Row],[Project]]=0,"",INDEX(ProjectsAll[job number],MATCH(TimeEntry[[#This Row],[Project]],ProjectsAll[Project],0)))</f>
        <v>268017-10</v>
      </c>
      <c r="L322" s="6" t="s">
        <v>176</v>
      </c>
      <c r="M322" s="6">
        <v>3</v>
      </c>
      <c r="N322" s="9">
        <f>IF(TimeEntry[[#This Row],[Date]]=0,"",WEEKDAY(C322,2))</f>
        <v>5</v>
      </c>
      <c r="O322" s="10">
        <f>YEAR(TimeEntry[[#This Row],[WkEnd]])</f>
        <v>2019</v>
      </c>
      <c r="P322" s="10">
        <f>WEEKNUM(TimeEntry[[#This Row],[WkEnd]])</f>
        <v>42</v>
      </c>
      <c r="Q322" s="10" t="str">
        <f>TimeEntry[[#This Row],[Year]]&amp;"-"&amp;TimeEntry[[#This Row],[WkNo]]</f>
        <v>2019-42</v>
      </c>
    </row>
    <row r="323" spans="1:17" ht="30" x14ac:dyDescent="0.25">
      <c r="A323" s="9">
        <f>MOD(IF(ROW()=11,0.1,IF(INDEX(TimeEntry[WkEnd],ROW()-10)            =            INDEX(TimeEntry[WkEnd],ROW()-11),               INDEX(TimeEntry[format],ROW()-11),               INDEX(TimeEntry[format],ROW()-11)    +1)),2)</f>
        <v>1.1000000000000001</v>
      </c>
      <c r="B323" s="14"/>
      <c r="C323" s="7">
        <v>43749</v>
      </c>
      <c r="D323" s="7"/>
      <c r="E323" s="7"/>
      <c r="F323" s="6" t="s">
        <v>63</v>
      </c>
      <c r="G323" s="6"/>
      <c r="H323" s="7">
        <f>IF(TimeEntry[[#This Row],[Date]]=0,H322,C323+(7-N323))</f>
        <v>43751</v>
      </c>
      <c r="I323" s="7">
        <f>TimeEntry[[#This Row],[Date]]</f>
        <v>43749</v>
      </c>
      <c r="J323" s="10" t="str">
        <f>IF(TimeEntry[[#This Row],[Date]]=0,"",TEXT(TimeEntry[[#This Row],[Date]],"ddd"))</f>
        <v>Fri</v>
      </c>
      <c r="K323" s="9" t="str">
        <f>IF(TimeEntry[[#This Row],[Project]]=0,"",INDEX(ProjectsAll[job number],MATCH(TimeEntry[[#This Row],[Project]],ProjectsAll[Project],0)))</f>
        <v>268017-10</v>
      </c>
      <c r="L323" s="6" t="s">
        <v>177</v>
      </c>
      <c r="M323" s="6">
        <v>4.5</v>
      </c>
      <c r="N323" s="9">
        <f>IF(TimeEntry[[#This Row],[Date]]=0,"",WEEKDAY(C323,2))</f>
        <v>5</v>
      </c>
      <c r="O323" s="10">
        <f>YEAR(TimeEntry[[#This Row],[WkEnd]])</f>
        <v>2019</v>
      </c>
      <c r="P323" s="10">
        <f>WEEKNUM(TimeEntry[[#This Row],[WkEnd]])</f>
        <v>42</v>
      </c>
      <c r="Q323" s="10" t="str">
        <f>TimeEntry[[#This Row],[Year]]&amp;"-"&amp;TimeEntry[[#This Row],[WkNo]]</f>
        <v>2019-42</v>
      </c>
    </row>
    <row r="324" spans="1:17" ht="30" x14ac:dyDescent="0.25">
      <c r="A324" s="9">
        <f>MOD(IF(ROW()=11,0.1,IF(INDEX(TimeEntry[WkEnd],ROW()-10)            =            INDEX(TimeEntry[WkEnd],ROW()-11),               INDEX(TimeEntry[format],ROW()-11),               INDEX(TimeEntry[format],ROW()-11)    +1)),2)</f>
        <v>0.10000000000000009</v>
      </c>
      <c r="B324" s="14"/>
      <c r="C324" s="7">
        <v>43738</v>
      </c>
      <c r="D324" s="7"/>
      <c r="E324" s="7"/>
      <c r="F324" s="6" t="s">
        <v>65</v>
      </c>
      <c r="G324" s="6"/>
      <c r="H324" s="7">
        <f>IF(TimeEntry[[#This Row],[Date]]=0,H323,C324+(7-N324))</f>
        <v>43744</v>
      </c>
      <c r="I324" s="7">
        <f>TimeEntry[[#This Row],[Date]]</f>
        <v>43738</v>
      </c>
      <c r="J324" s="10" t="str">
        <f>IF(TimeEntry[[#This Row],[Date]]=0,"",TEXT(TimeEntry[[#This Row],[Date]],"ddd"))</f>
        <v>Mon</v>
      </c>
      <c r="K324" s="9" t="str">
        <f>IF(TimeEntry[[#This Row],[Project]]=0,"",INDEX(ProjectsAll[job number],MATCH(TimeEntry[[#This Row],[Project]],ProjectsAll[Project],0)))</f>
        <v xml:space="preserve">268017-25 </v>
      </c>
      <c r="L324" s="6" t="s">
        <v>142</v>
      </c>
      <c r="M324" s="6">
        <v>5.5</v>
      </c>
      <c r="N324" s="9">
        <f>IF(TimeEntry[[#This Row],[Date]]=0,"",WEEKDAY(C324,2))</f>
        <v>1</v>
      </c>
      <c r="O324" s="10">
        <f>YEAR(TimeEntry[[#This Row],[WkEnd]])</f>
        <v>2019</v>
      </c>
      <c r="P324" s="10">
        <f>WEEKNUM(TimeEntry[[#This Row],[WkEnd]])</f>
        <v>41</v>
      </c>
      <c r="Q324" s="10" t="str">
        <f>TimeEntry[[#This Row],[Year]]&amp;"-"&amp;TimeEntry[[#This Row],[WkNo]]</f>
        <v>2019-41</v>
      </c>
    </row>
    <row r="325" spans="1:17" ht="30" x14ac:dyDescent="0.25">
      <c r="A325" s="9">
        <f>MOD(IF(ROW()=11,0.1,IF(INDEX(TimeEntry[WkEnd],ROW()-10)            =            INDEX(TimeEntry[WkEnd],ROW()-11),               INDEX(TimeEntry[format],ROW()-11),               INDEX(TimeEntry[format],ROW()-11)    +1)),2)</f>
        <v>0.10000000000000009</v>
      </c>
      <c r="B325" s="14"/>
      <c r="C325" s="7">
        <v>43738</v>
      </c>
      <c r="D325" s="7"/>
      <c r="E325" s="7"/>
      <c r="F325" s="6" t="s">
        <v>65</v>
      </c>
      <c r="G325" s="6"/>
      <c r="H325" s="7">
        <f>IF(TimeEntry[[#This Row],[Date]]=0,H324,C325+(7-N325))</f>
        <v>43744</v>
      </c>
      <c r="I325" s="7">
        <f>TimeEntry[[#This Row],[Date]]</f>
        <v>43738</v>
      </c>
      <c r="J325" s="10" t="str">
        <f>IF(TimeEntry[[#This Row],[Date]]=0,"",TEXT(TimeEntry[[#This Row],[Date]],"ddd"))</f>
        <v>Mon</v>
      </c>
      <c r="K325" s="9" t="str">
        <f>IF(TimeEntry[[#This Row],[Project]]=0,"",INDEX(ProjectsAll[job number],MATCH(TimeEntry[[#This Row],[Project]],ProjectsAll[Project],0)))</f>
        <v xml:space="preserve">268017-25 </v>
      </c>
      <c r="L325" s="6" t="s">
        <v>178</v>
      </c>
      <c r="M325" s="6">
        <v>2</v>
      </c>
      <c r="N325" s="9">
        <f>IF(TimeEntry[[#This Row],[Date]]=0,"",WEEKDAY(C325,2))</f>
        <v>1</v>
      </c>
      <c r="O325" s="10">
        <f>YEAR(TimeEntry[[#This Row],[WkEnd]])</f>
        <v>2019</v>
      </c>
      <c r="P325" s="10">
        <f>WEEKNUM(TimeEntry[[#This Row],[WkEnd]])</f>
        <v>41</v>
      </c>
      <c r="Q325" s="10" t="str">
        <f>TimeEntry[[#This Row],[Year]]&amp;"-"&amp;TimeEntry[[#This Row],[WkNo]]</f>
        <v>2019-41</v>
      </c>
    </row>
    <row r="326" spans="1:17" ht="30" x14ac:dyDescent="0.25">
      <c r="A326" s="9">
        <f>MOD(IF(ROW()=11,0.1,IF(INDEX(TimeEntry[WkEnd],ROW()-10)            =            INDEX(TimeEntry[WkEnd],ROW()-11),               INDEX(TimeEntry[format],ROW()-11),               INDEX(TimeEntry[format],ROW()-11)    +1)),2)</f>
        <v>0.10000000000000009</v>
      </c>
      <c r="B326" s="14"/>
      <c r="C326" s="7">
        <v>43739</v>
      </c>
      <c r="D326" s="7"/>
      <c r="E326" s="7"/>
      <c r="F326" s="6" t="s">
        <v>88</v>
      </c>
      <c r="G326" s="6"/>
      <c r="H326" s="7">
        <f>IF(TimeEntry[[#This Row],[Date]]=0,H325,C326+(7-N326))</f>
        <v>43744</v>
      </c>
      <c r="I326" s="7">
        <f>TimeEntry[[#This Row],[Date]]</f>
        <v>43739</v>
      </c>
      <c r="J326" s="10" t="str">
        <f>IF(TimeEntry[[#This Row],[Date]]=0,"",TEXT(TimeEntry[[#This Row],[Date]],"ddd"))</f>
        <v>Tue</v>
      </c>
      <c r="K326" s="9" t="str">
        <f>IF(TimeEntry[[#This Row],[Project]]=0,"",INDEX(ProjectsAll[job number],MATCH(TimeEntry[[#This Row],[Project]],ProjectsAll[Project],0)))</f>
        <v>210035-51</v>
      </c>
      <c r="L326" s="6" t="s">
        <v>179</v>
      </c>
      <c r="M326" s="6">
        <v>3.75</v>
      </c>
      <c r="N326" s="9">
        <f>IF(TimeEntry[[#This Row],[Date]]=0,"",WEEKDAY(C326,2))</f>
        <v>2</v>
      </c>
      <c r="O326" s="10">
        <f>YEAR(TimeEntry[[#This Row],[WkEnd]])</f>
        <v>2019</v>
      </c>
      <c r="P326" s="10">
        <f>WEEKNUM(TimeEntry[[#This Row],[WkEnd]])</f>
        <v>41</v>
      </c>
      <c r="Q326" s="10" t="str">
        <f>TimeEntry[[#This Row],[Year]]&amp;"-"&amp;TimeEntry[[#This Row],[WkNo]]</f>
        <v>2019-41</v>
      </c>
    </row>
    <row r="327" spans="1:17" ht="30" x14ac:dyDescent="0.25">
      <c r="A327" s="9">
        <f>MOD(IF(ROW()=11,0.1,IF(INDEX(TimeEntry[WkEnd],ROW()-10)            =            INDEX(TimeEntry[WkEnd],ROW()-11),               INDEX(TimeEntry[format],ROW()-11),               INDEX(TimeEntry[format],ROW()-11)    +1)),2)</f>
        <v>0.10000000000000009</v>
      </c>
      <c r="B327" s="14"/>
      <c r="C327" s="7">
        <v>43739</v>
      </c>
      <c r="D327" s="7"/>
      <c r="E327" s="7"/>
      <c r="F327" s="6" t="s">
        <v>88</v>
      </c>
      <c r="G327" s="6"/>
      <c r="H327" s="7">
        <f>IF(TimeEntry[[#This Row],[Date]]=0,H326,C327+(7-N327))</f>
        <v>43744</v>
      </c>
      <c r="I327" s="7">
        <f>TimeEntry[[#This Row],[Date]]</f>
        <v>43739</v>
      </c>
      <c r="J327" s="10" t="str">
        <f>IF(TimeEntry[[#This Row],[Date]]=0,"",TEXT(TimeEntry[[#This Row],[Date]],"ddd"))</f>
        <v>Tue</v>
      </c>
      <c r="K327" s="9" t="str">
        <f>IF(TimeEntry[[#This Row],[Project]]=0,"",INDEX(ProjectsAll[job number],MATCH(TimeEntry[[#This Row],[Project]],ProjectsAll[Project],0)))</f>
        <v>210035-51</v>
      </c>
      <c r="L327" s="6" t="s">
        <v>180</v>
      </c>
      <c r="M327" s="6">
        <v>3.75</v>
      </c>
      <c r="N327" s="9">
        <f>IF(TimeEntry[[#This Row],[Date]]=0,"",WEEKDAY(C327,2))</f>
        <v>2</v>
      </c>
      <c r="O327" s="10">
        <f>YEAR(TimeEntry[[#This Row],[WkEnd]])</f>
        <v>2019</v>
      </c>
      <c r="P327" s="10">
        <f>WEEKNUM(TimeEntry[[#This Row],[WkEnd]])</f>
        <v>41</v>
      </c>
      <c r="Q327" s="10" t="str">
        <f>TimeEntry[[#This Row],[Year]]&amp;"-"&amp;TimeEntry[[#This Row],[WkNo]]</f>
        <v>2019-41</v>
      </c>
    </row>
    <row r="328" spans="1:17" ht="30" x14ac:dyDescent="0.25">
      <c r="A328" s="9">
        <f>MOD(IF(ROW()=11,0.1,IF(INDEX(TimeEntry[WkEnd],ROW()-10)            =            INDEX(TimeEntry[WkEnd],ROW()-11),               INDEX(TimeEntry[format],ROW()-11),               INDEX(TimeEntry[format],ROW()-11)    +1)),2)</f>
        <v>0.10000000000000009</v>
      </c>
      <c r="B328" s="14"/>
      <c r="C328" s="7">
        <v>43740</v>
      </c>
      <c r="D328" s="7"/>
      <c r="E328" s="7"/>
      <c r="F328" s="6" t="s">
        <v>65</v>
      </c>
      <c r="G328" s="6"/>
      <c r="H328" s="7">
        <f>IF(TimeEntry[[#This Row],[Date]]=0,H327,C328+(7-N328))</f>
        <v>43744</v>
      </c>
      <c r="I328" s="7">
        <f>TimeEntry[[#This Row],[Date]]</f>
        <v>43740</v>
      </c>
      <c r="J328" s="10" t="str">
        <f>IF(TimeEntry[[#This Row],[Date]]=0,"",TEXT(TimeEntry[[#This Row],[Date]],"ddd"))</f>
        <v>Wed</v>
      </c>
      <c r="K328" s="9" t="str">
        <f>IF(TimeEntry[[#This Row],[Project]]=0,"",INDEX(ProjectsAll[job number],MATCH(TimeEntry[[#This Row],[Project]],ProjectsAll[Project],0)))</f>
        <v xml:space="preserve">268017-25 </v>
      </c>
      <c r="L328" s="6" t="s">
        <v>181</v>
      </c>
      <c r="M328" s="6">
        <v>3.75</v>
      </c>
      <c r="N328" s="9">
        <f>IF(TimeEntry[[#This Row],[Date]]=0,"",WEEKDAY(C328,2))</f>
        <v>3</v>
      </c>
      <c r="O328" s="10">
        <f>YEAR(TimeEntry[[#This Row],[WkEnd]])</f>
        <v>2019</v>
      </c>
      <c r="P328" s="10">
        <f>WEEKNUM(TimeEntry[[#This Row],[WkEnd]])</f>
        <v>41</v>
      </c>
      <c r="Q328" s="10" t="str">
        <f>TimeEntry[[#This Row],[Year]]&amp;"-"&amp;TimeEntry[[#This Row],[WkNo]]</f>
        <v>2019-41</v>
      </c>
    </row>
    <row r="329" spans="1:17" ht="30" x14ac:dyDescent="0.25">
      <c r="A329" s="9">
        <f>MOD(IF(ROW()=11,0.1,IF(INDEX(TimeEntry[WkEnd],ROW()-10)            =            INDEX(TimeEntry[WkEnd],ROW()-11),               INDEX(TimeEntry[format],ROW()-11),               INDEX(TimeEntry[format],ROW()-11)    +1)),2)</f>
        <v>0.10000000000000009</v>
      </c>
      <c r="B329" s="14"/>
      <c r="C329" s="7">
        <v>43740</v>
      </c>
      <c r="D329" s="7"/>
      <c r="E329" s="7"/>
      <c r="F329" s="6" t="s">
        <v>88</v>
      </c>
      <c r="G329" s="6"/>
      <c r="H329" s="7">
        <f>IF(TimeEntry[[#This Row],[Date]]=0,H328,C329+(7-N329))</f>
        <v>43744</v>
      </c>
      <c r="I329" s="7">
        <f>TimeEntry[[#This Row],[Date]]</f>
        <v>43740</v>
      </c>
      <c r="J329" s="10" t="str">
        <f>IF(TimeEntry[[#This Row],[Date]]=0,"",TEXT(TimeEntry[[#This Row],[Date]],"ddd"))</f>
        <v>Wed</v>
      </c>
      <c r="K329" s="9" t="str">
        <f>IF(TimeEntry[[#This Row],[Project]]=0,"",INDEX(ProjectsAll[job number],MATCH(TimeEntry[[#This Row],[Project]],ProjectsAll[Project],0)))</f>
        <v>210035-51</v>
      </c>
      <c r="L329" s="6" t="s">
        <v>182</v>
      </c>
      <c r="M329" s="6">
        <v>3.75</v>
      </c>
      <c r="N329" s="9">
        <f>IF(TimeEntry[[#This Row],[Date]]=0,"",WEEKDAY(C329,2))</f>
        <v>3</v>
      </c>
      <c r="O329" s="10">
        <f>YEAR(TimeEntry[[#This Row],[WkEnd]])</f>
        <v>2019</v>
      </c>
      <c r="P329" s="10">
        <f>WEEKNUM(TimeEntry[[#This Row],[WkEnd]])</f>
        <v>41</v>
      </c>
      <c r="Q329" s="10" t="str">
        <f>TimeEntry[[#This Row],[Year]]&amp;"-"&amp;TimeEntry[[#This Row],[WkNo]]</f>
        <v>2019-41</v>
      </c>
    </row>
    <row r="330" spans="1:17" ht="30" x14ac:dyDescent="0.25">
      <c r="A330" s="9">
        <f>MOD(IF(ROW()=11,0.1,IF(INDEX(TimeEntry[WkEnd],ROW()-10)            =            INDEX(TimeEntry[WkEnd],ROW()-11),               INDEX(TimeEntry[format],ROW()-11),               INDEX(TimeEntry[format],ROW()-11)    +1)),2)</f>
        <v>0.10000000000000009</v>
      </c>
      <c r="B330" s="14"/>
      <c r="C330" s="7">
        <v>43741</v>
      </c>
      <c r="D330" s="7"/>
      <c r="E330" s="7"/>
      <c r="F330" s="6" t="s">
        <v>88</v>
      </c>
      <c r="G330" s="6"/>
      <c r="H330" s="7">
        <f>IF(TimeEntry[[#This Row],[Date]]=0,H329,C330+(7-N330))</f>
        <v>43744</v>
      </c>
      <c r="I330" s="7">
        <f>TimeEntry[[#This Row],[Date]]</f>
        <v>43741</v>
      </c>
      <c r="J330" s="10" t="str">
        <f>IF(TimeEntry[[#This Row],[Date]]=0,"",TEXT(TimeEntry[[#This Row],[Date]],"ddd"))</f>
        <v>Thu</v>
      </c>
      <c r="K330" s="9" t="str">
        <f>IF(TimeEntry[[#This Row],[Project]]=0,"",INDEX(ProjectsAll[job number],MATCH(TimeEntry[[#This Row],[Project]],ProjectsAll[Project],0)))</f>
        <v>210035-51</v>
      </c>
      <c r="L330" s="6" t="s">
        <v>183</v>
      </c>
      <c r="M330" s="6">
        <v>3.75</v>
      </c>
      <c r="N330" s="9">
        <f>IF(TimeEntry[[#This Row],[Date]]=0,"",WEEKDAY(C330,2))</f>
        <v>4</v>
      </c>
      <c r="O330" s="10">
        <f>YEAR(TimeEntry[[#This Row],[WkEnd]])</f>
        <v>2019</v>
      </c>
      <c r="P330" s="10">
        <f>WEEKNUM(TimeEntry[[#This Row],[WkEnd]])</f>
        <v>41</v>
      </c>
      <c r="Q330" s="10" t="str">
        <f>TimeEntry[[#This Row],[Year]]&amp;"-"&amp;TimeEntry[[#This Row],[WkNo]]</f>
        <v>2019-41</v>
      </c>
    </row>
    <row r="331" spans="1:17" ht="30" x14ac:dyDescent="0.25">
      <c r="A331" s="9">
        <f>MOD(IF(ROW()=11,0.1,IF(INDEX(TimeEntry[WkEnd],ROW()-10)            =            INDEX(TimeEntry[WkEnd],ROW()-11),               INDEX(TimeEntry[format],ROW()-11),               INDEX(TimeEntry[format],ROW()-11)    +1)),2)</f>
        <v>0.10000000000000009</v>
      </c>
      <c r="B331" s="14"/>
      <c r="C331" s="7">
        <v>43741</v>
      </c>
      <c r="D331" s="7"/>
      <c r="E331" s="7"/>
      <c r="F331" s="6" t="s">
        <v>65</v>
      </c>
      <c r="G331" s="6"/>
      <c r="H331" s="7">
        <f>IF(TimeEntry[[#This Row],[Date]]=0,H330,C331+(7-N331))</f>
        <v>43744</v>
      </c>
      <c r="I331" s="7">
        <f>TimeEntry[[#This Row],[Date]]</f>
        <v>43741</v>
      </c>
      <c r="J331" s="10" t="str">
        <f>IF(TimeEntry[[#This Row],[Date]]=0,"",TEXT(TimeEntry[[#This Row],[Date]],"ddd"))</f>
        <v>Thu</v>
      </c>
      <c r="K331" s="9" t="str">
        <f>IF(TimeEntry[[#This Row],[Project]]=0,"",INDEX(ProjectsAll[job number],MATCH(TimeEntry[[#This Row],[Project]],ProjectsAll[Project],0)))</f>
        <v xml:space="preserve">268017-25 </v>
      </c>
      <c r="L331" s="6" t="s">
        <v>142</v>
      </c>
      <c r="M331" s="6">
        <v>3.75</v>
      </c>
      <c r="N331" s="9">
        <f>IF(TimeEntry[[#This Row],[Date]]=0,"",WEEKDAY(C331,2))</f>
        <v>4</v>
      </c>
      <c r="O331" s="10">
        <f>YEAR(TimeEntry[[#This Row],[WkEnd]])</f>
        <v>2019</v>
      </c>
      <c r="P331" s="10">
        <f>WEEKNUM(TimeEntry[[#This Row],[WkEnd]])</f>
        <v>41</v>
      </c>
      <c r="Q331" s="10" t="str">
        <f>TimeEntry[[#This Row],[Year]]&amp;"-"&amp;TimeEntry[[#This Row],[WkNo]]</f>
        <v>2019-41</v>
      </c>
    </row>
    <row r="332" spans="1:17" ht="30" x14ac:dyDescent="0.25">
      <c r="A332" s="9">
        <f>MOD(IF(ROW()=11,0.1,IF(INDEX(TimeEntry[WkEnd],ROW()-10)            =            INDEX(TimeEntry[WkEnd],ROW()-11),               INDEX(TimeEntry[format],ROW()-11),               INDEX(TimeEntry[format],ROW()-11)    +1)),2)</f>
        <v>0.10000000000000009</v>
      </c>
      <c r="B332" s="14"/>
      <c r="C332" s="7">
        <v>43742</v>
      </c>
      <c r="D332" s="7"/>
      <c r="E332" s="7"/>
      <c r="F332" s="6" t="s">
        <v>65</v>
      </c>
      <c r="G332" s="6"/>
      <c r="H332" s="7">
        <f>IF(TimeEntry[[#This Row],[Date]]=0,H331,C332+(7-N332))</f>
        <v>43744</v>
      </c>
      <c r="I332" s="7">
        <f>TimeEntry[[#This Row],[Date]]</f>
        <v>43742</v>
      </c>
      <c r="J332" s="10" t="str">
        <f>IF(TimeEntry[[#This Row],[Date]]=0,"",TEXT(TimeEntry[[#This Row],[Date]],"ddd"))</f>
        <v>Fri</v>
      </c>
      <c r="K332" s="9" t="str">
        <f>IF(TimeEntry[[#This Row],[Project]]=0,"",INDEX(ProjectsAll[job number],MATCH(TimeEntry[[#This Row],[Project]],ProjectsAll[Project],0)))</f>
        <v xml:space="preserve">268017-25 </v>
      </c>
      <c r="L332" s="6" t="s">
        <v>142</v>
      </c>
      <c r="M332" s="6">
        <v>3.75</v>
      </c>
      <c r="N332" s="9">
        <f>IF(TimeEntry[[#This Row],[Date]]=0,"",WEEKDAY(C332,2))</f>
        <v>5</v>
      </c>
      <c r="O332" s="10">
        <f>YEAR(TimeEntry[[#This Row],[WkEnd]])</f>
        <v>2019</v>
      </c>
      <c r="P332" s="10">
        <f>WEEKNUM(TimeEntry[[#This Row],[WkEnd]])</f>
        <v>41</v>
      </c>
      <c r="Q332" s="10" t="str">
        <f>TimeEntry[[#This Row],[Year]]&amp;"-"&amp;TimeEntry[[#This Row],[WkNo]]</f>
        <v>2019-41</v>
      </c>
    </row>
    <row r="333" spans="1:17" ht="30" x14ac:dyDescent="0.25">
      <c r="A333" s="9">
        <f>MOD(IF(ROW()=11,0.1,IF(INDEX(TimeEntry[WkEnd],ROW()-10)            =            INDEX(TimeEntry[WkEnd],ROW()-11),               INDEX(TimeEntry[format],ROW()-11),               INDEX(TimeEntry[format],ROW()-11)    +1)),2)</f>
        <v>0.10000000000000009</v>
      </c>
      <c r="B333" s="14"/>
      <c r="C333" s="7">
        <v>43742</v>
      </c>
      <c r="D333" s="7"/>
      <c r="E333" s="7"/>
      <c r="F333" s="6" t="s">
        <v>88</v>
      </c>
      <c r="G333" s="6"/>
      <c r="H333" s="7">
        <f>IF(TimeEntry[[#This Row],[Date]]=0,H332,C333+(7-N333))</f>
        <v>43744</v>
      </c>
      <c r="I333" s="7">
        <f>TimeEntry[[#This Row],[Date]]</f>
        <v>43742</v>
      </c>
      <c r="J333" s="10" t="str">
        <f>IF(TimeEntry[[#This Row],[Date]]=0,"",TEXT(TimeEntry[[#This Row],[Date]],"ddd"))</f>
        <v>Fri</v>
      </c>
      <c r="K333" s="9" t="str">
        <f>IF(TimeEntry[[#This Row],[Project]]=0,"",INDEX(ProjectsAll[job number],MATCH(TimeEntry[[#This Row],[Project]],ProjectsAll[Project],0)))</f>
        <v>210035-51</v>
      </c>
      <c r="L333" s="6" t="s">
        <v>184</v>
      </c>
      <c r="M333" s="6">
        <v>3.75</v>
      </c>
      <c r="N333" s="9">
        <f>IF(TimeEntry[[#This Row],[Date]]=0,"",WEEKDAY(C333,2))</f>
        <v>5</v>
      </c>
      <c r="O333" s="10">
        <f>YEAR(TimeEntry[[#This Row],[WkEnd]])</f>
        <v>2019</v>
      </c>
      <c r="P333" s="10">
        <f>WEEKNUM(TimeEntry[[#This Row],[WkEnd]])</f>
        <v>41</v>
      </c>
      <c r="Q333" s="10" t="str">
        <f>TimeEntry[[#This Row],[Year]]&amp;"-"&amp;TimeEntry[[#This Row],[WkNo]]</f>
        <v>2019-41</v>
      </c>
    </row>
    <row r="334" spans="1:17" ht="30" x14ac:dyDescent="0.25">
      <c r="A334" s="9">
        <f>MOD(IF(ROW()=11,0.1,IF(INDEX(TimeEntry[WkEnd],ROW()-10)            =            INDEX(TimeEntry[WkEnd],ROW()-11),               INDEX(TimeEntry[format],ROW()-11),               INDEX(TimeEntry[format],ROW()-11)    +1)),2)</f>
        <v>1.1000000000000001</v>
      </c>
      <c r="B334" s="14"/>
      <c r="C334" s="7">
        <v>43731</v>
      </c>
      <c r="D334" s="7"/>
      <c r="E334" s="7"/>
      <c r="F334" s="6" t="s">
        <v>65</v>
      </c>
      <c r="G334" s="6"/>
      <c r="H334" s="7">
        <f>IF(TimeEntry[[#This Row],[Date]]=0,H333,C334+(7-N334))</f>
        <v>43737</v>
      </c>
      <c r="I334" s="7">
        <f>TimeEntry[[#This Row],[Date]]</f>
        <v>43731</v>
      </c>
      <c r="J334" s="10" t="str">
        <f>IF(TimeEntry[[#This Row],[Date]]=0,"",TEXT(TimeEntry[[#This Row],[Date]],"ddd"))</f>
        <v>Mon</v>
      </c>
      <c r="K334" s="9" t="str">
        <f>IF(TimeEntry[[#This Row],[Project]]=0,"",INDEX(ProjectsAll[job number],MATCH(TimeEntry[[#This Row],[Project]],ProjectsAll[Project],0)))</f>
        <v xml:space="preserve">268017-25 </v>
      </c>
      <c r="L334" s="6" t="s">
        <v>185</v>
      </c>
      <c r="M334" s="6">
        <v>7.5</v>
      </c>
      <c r="N334" s="9">
        <f>IF(TimeEntry[[#This Row],[Date]]=0,"",WEEKDAY(C334,2))</f>
        <v>1</v>
      </c>
      <c r="O334" s="10">
        <f>YEAR(TimeEntry[[#This Row],[WkEnd]])</f>
        <v>2019</v>
      </c>
      <c r="P334" s="10">
        <f>WEEKNUM(TimeEntry[[#This Row],[WkEnd]])</f>
        <v>40</v>
      </c>
      <c r="Q334" s="10" t="str">
        <f>TimeEntry[[#This Row],[Year]]&amp;"-"&amp;TimeEntry[[#This Row],[WkNo]]</f>
        <v>2019-40</v>
      </c>
    </row>
    <row r="335" spans="1:17" ht="30" x14ac:dyDescent="0.25">
      <c r="A335" s="9">
        <f>MOD(IF(ROW()=11,0.1,IF(INDEX(TimeEntry[WkEnd],ROW()-10)            =            INDEX(TimeEntry[WkEnd],ROW()-11),               INDEX(TimeEntry[format],ROW()-11),               INDEX(TimeEntry[format],ROW()-11)    +1)),2)</f>
        <v>1.1000000000000001</v>
      </c>
      <c r="B335" s="14"/>
      <c r="C335" s="7">
        <v>43732</v>
      </c>
      <c r="D335" s="7"/>
      <c r="E335" s="7"/>
      <c r="F335" s="6" t="s">
        <v>65</v>
      </c>
      <c r="G335" s="6"/>
      <c r="H335" s="7">
        <f>IF(TimeEntry[[#This Row],[Date]]=0,H334,C335+(7-N335))</f>
        <v>43737</v>
      </c>
      <c r="I335" s="7">
        <f>TimeEntry[[#This Row],[Date]]</f>
        <v>43732</v>
      </c>
      <c r="J335" s="10" t="str">
        <f>IF(TimeEntry[[#This Row],[Date]]=0,"",TEXT(TimeEntry[[#This Row],[Date]],"ddd"))</f>
        <v>Tue</v>
      </c>
      <c r="K335" s="9" t="str">
        <f>IF(TimeEntry[[#This Row],[Project]]=0,"",INDEX(ProjectsAll[job number],MATCH(TimeEntry[[#This Row],[Project]],ProjectsAll[Project],0)))</f>
        <v xml:space="preserve">268017-25 </v>
      </c>
      <c r="L335" s="6" t="s">
        <v>185</v>
      </c>
      <c r="M335" s="6">
        <v>3.75</v>
      </c>
      <c r="N335" s="9">
        <f>IF(TimeEntry[[#This Row],[Date]]=0,"",WEEKDAY(C335,2))</f>
        <v>2</v>
      </c>
      <c r="O335" s="10">
        <f>YEAR(TimeEntry[[#This Row],[WkEnd]])</f>
        <v>2019</v>
      </c>
      <c r="P335" s="10">
        <f>WEEKNUM(TimeEntry[[#This Row],[WkEnd]])</f>
        <v>40</v>
      </c>
      <c r="Q335" s="10" t="str">
        <f>TimeEntry[[#This Row],[Year]]&amp;"-"&amp;TimeEntry[[#This Row],[WkNo]]</f>
        <v>2019-40</v>
      </c>
    </row>
    <row r="336" spans="1:17" ht="30" x14ac:dyDescent="0.25">
      <c r="A336" s="9">
        <f>MOD(IF(ROW()=11,0.1,IF(INDEX(TimeEntry[WkEnd],ROW()-10)            =            INDEX(TimeEntry[WkEnd],ROW()-11),               INDEX(TimeEntry[format],ROW()-11),               INDEX(TimeEntry[format],ROW()-11)    +1)),2)</f>
        <v>1.1000000000000001</v>
      </c>
      <c r="B336" s="14"/>
      <c r="C336" s="7">
        <v>43732</v>
      </c>
      <c r="D336" s="7"/>
      <c r="E336" s="7"/>
      <c r="F336" s="6" t="s">
        <v>88</v>
      </c>
      <c r="G336" s="6"/>
      <c r="H336" s="7">
        <f>IF(TimeEntry[[#This Row],[Date]]=0,H335,C336+(7-N336))</f>
        <v>43737</v>
      </c>
      <c r="I336" s="7">
        <f>TimeEntry[[#This Row],[Date]]</f>
        <v>43732</v>
      </c>
      <c r="J336" s="10" t="str">
        <f>IF(TimeEntry[[#This Row],[Date]]=0,"",TEXT(TimeEntry[[#This Row],[Date]],"ddd"))</f>
        <v>Tue</v>
      </c>
      <c r="K336" s="9" t="str">
        <f>IF(TimeEntry[[#This Row],[Project]]=0,"",INDEX(ProjectsAll[job number],MATCH(TimeEntry[[#This Row],[Project]],ProjectsAll[Project],0)))</f>
        <v>210035-51</v>
      </c>
      <c r="L336" s="6" t="s">
        <v>186</v>
      </c>
      <c r="M336" s="6">
        <v>3.75</v>
      </c>
      <c r="N336" s="9">
        <f>IF(TimeEntry[[#This Row],[Date]]=0,"",WEEKDAY(C336,2))</f>
        <v>2</v>
      </c>
      <c r="O336" s="10">
        <f>YEAR(TimeEntry[[#This Row],[WkEnd]])</f>
        <v>2019</v>
      </c>
      <c r="P336" s="10">
        <f>WEEKNUM(TimeEntry[[#This Row],[WkEnd]])</f>
        <v>40</v>
      </c>
      <c r="Q336" s="10" t="str">
        <f>TimeEntry[[#This Row],[Year]]&amp;"-"&amp;TimeEntry[[#This Row],[WkNo]]</f>
        <v>2019-40</v>
      </c>
    </row>
    <row r="337" spans="1:17" ht="30" x14ac:dyDescent="0.25">
      <c r="A337" s="9">
        <f>MOD(IF(ROW()=11,0.1,IF(INDEX(TimeEntry[WkEnd],ROW()-10)            =            INDEX(TimeEntry[WkEnd],ROW()-11),               INDEX(TimeEntry[format],ROW()-11),               INDEX(TimeEntry[format],ROW()-11)    +1)),2)</f>
        <v>1.1000000000000001</v>
      </c>
      <c r="B337" s="14"/>
      <c r="C337" s="7">
        <v>43733</v>
      </c>
      <c r="D337" s="7"/>
      <c r="E337" s="7"/>
      <c r="F337" s="6" t="s">
        <v>84</v>
      </c>
      <c r="G337" s="6"/>
      <c r="H337" s="7">
        <f>IF(TimeEntry[[#This Row],[Date]]=0,H336,C337+(7-N337))</f>
        <v>43737</v>
      </c>
      <c r="I337" s="7">
        <f>TimeEntry[[#This Row],[Date]]</f>
        <v>43733</v>
      </c>
      <c r="J337" s="10" t="str">
        <f>IF(TimeEntry[[#This Row],[Date]]=0,"",TEXT(TimeEntry[[#This Row],[Date]],"ddd"))</f>
        <v>Wed</v>
      </c>
      <c r="K337" s="9" t="str">
        <f>IF(TimeEntry[[#This Row],[Project]]=0,"",INDEX(ProjectsAll[job number],MATCH(TimeEntry[[#This Row],[Project]],ProjectsAll[Project],0)))</f>
        <v>265720-20</v>
      </c>
      <c r="L337" s="6" t="s">
        <v>187</v>
      </c>
      <c r="M337" s="6">
        <v>7.5</v>
      </c>
      <c r="N337" s="9">
        <f>IF(TimeEntry[[#This Row],[Date]]=0,"",WEEKDAY(C337,2))</f>
        <v>3</v>
      </c>
      <c r="O337" s="10">
        <f>YEAR(TimeEntry[[#This Row],[WkEnd]])</f>
        <v>2019</v>
      </c>
      <c r="P337" s="10">
        <f>WEEKNUM(TimeEntry[[#This Row],[WkEnd]])</f>
        <v>40</v>
      </c>
      <c r="Q337" s="10" t="str">
        <f>TimeEntry[[#This Row],[Year]]&amp;"-"&amp;TimeEntry[[#This Row],[WkNo]]</f>
        <v>2019-40</v>
      </c>
    </row>
    <row r="338" spans="1:17" ht="30" x14ac:dyDescent="0.25">
      <c r="A338" s="9">
        <f>MOD(IF(ROW()=11,0.1,IF(INDEX(TimeEntry[WkEnd],ROW()-10)            =            INDEX(TimeEntry[WkEnd],ROW()-11),               INDEX(TimeEntry[format],ROW()-11),               INDEX(TimeEntry[format],ROW()-11)    +1)),2)</f>
        <v>1.1000000000000001</v>
      </c>
      <c r="B338" s="14"/>
      <c r="C338" s="7">
        <v>43734</v>
      </c>
      <c r="D338" s="7"/>
      <c r="E338" s="7"/>
      <c r="F338" s="6" t="s">
        <v>88</v>
      </c>
      <c r="G338" s="6"/>
      <c r="H338" s="7">
        <f>IF(TimeEntry[[#This Row],[Date]]=0,H337,C338+(7-N338))</f>
        <v>43737</v>
      </c>
      <c r="I338" s="7">
        <f>TimeEntry[[#This Row],[Date]]</f>
        <v>43734</v>
      </c>
      <c r="J338" s="10" t="str">
        <f>IF(TimeEntry[[#This Row],[Date]]=0,"",TEXT(TimeEntry[[#This Row],[Date]],"ddd"))</f>
        <v>Thu</v>
      </c>
      <c r="K338" s="9" t="str">
        <f>IF(TimeEntry[[#This Row],[Project]]=0,"",INDEX(ProjectsAll[job number],MATCH(TimeEntry[[#This Row],[Project]],ProjectsAll[Project],0)))</f>
        <v>210035-51</v>
      </c>
      <c r="L338" s="6" t="s">
        <v>188</v>
      </c>
      <c r="M338" s="6">
        <v>2</v>
      </c>
      <c r="N338" s="9">
        <f>IF(TimeEntry[[#This Row],[Date]]=0,"",WEEKDAY(C338,2))</f>
        <v>4</v>
      </c>
      <c r="O338" s="10">
        <f>YEAR(TimeEntry[[#This Row],[WkEnd]])</f>
        <v>2019</v>
      </c>
      <c r="P338" s="10">
        <f>WEEKNUM(TimeEntry[[#This Row],[WkEnd]])</f>
        <v>40</v>
      </c>
      <c r="Q338" s="10" t="str">
        <f>TimeEntry[[#This Row],[Year]]&amp;"-"&amp;TimeEntry[[#This Row],[WkNo]]</f>
        <v>2019-40</v>
      </c>
    </row>
    <row r="339" spans="1:17" ht="30" x14ac:dyDescent="0.25">
      <c r="A339" s="9">
        <f>MOD(IF(ROW()=11,0.1,IF(INDEX(TimeEntry[WkEnd],ROW()-10)            =            INDEX(TimeEntry[WkEnd],ROW()-11),               INDEX(TimeEntry[format],ROW()-11),               INDEX(TimeEntry[format],ROW()-11)    +1)),2)</f>
        <v>1.1000000000000001</v>
      </c>
      <c r="B339" s="14"/>
      <c r="C339" s="7">
        <v>43734</v>
      </c>
      <c r="D339" s="7"/>
      <c r="E339" s="7"/>
      <c r="F339" s="6" t="s">
        <v>88</v>
      </c>
      <c r="G339" s="6"/>
      <c r="H339" s="7">
        <f>IF(TimeEntry[[#This Row],[Date]]=0,H338,C339+(7-N339))</f>
        <v>43737</v>
      </c>
      <c r="I339" s="7">
        <f>TimeEntry[[#This Row],[Date]]</f>
        <v>43734</v>
      </c>
      <c r="J339" s="10" t="str">
        <f>IF(TimeEntry[[#This Row],[Date]]=0,"",TEXT(TimeEntry[[#This Row],[Date]],"ddd"))</f>
        <v>Thu</v>
      </c>
      <c r="K339" s="9" t="str">
        <f>IF(TimeEntry[[#This Row],[Project]]=0,"",INDEX(ProjectsAll[job number],MATCH(TimeEntry[[#This Row],[Project]],ProjectsAll[Project],0)))</f>
        <v>210035-51</v>
      </c>
      <c r="L339" s="6" t="s">
        <v>186</v>
      </c>
      <c r="M339" s="6">
        <v>5.5</v>
      </c>
      <c r="N339" s="9">
        <f>IF(TimeEntry[[#This Row],[Date]]=0,"",WEEKDAY(C339,2))</f>
        <v>4</v>
      </c>
      <c r="O339" s="10">
        <f>YEAR(TimeEntry[[#This Row],[WkEnd]])</f>
        <v>2019</v>
      </c>
      <c r="P339" s="10">
        <f>WEEKNUM(TimeEntry[[#This Row],[WkEnd]])</f>
        <v>40</v>
      </c>
      <c r="Q339" s="10" t="str">
        <f>TimeEntry[[#This Row],[Year]]&amp;"-"&amp;TimeEntry[[#This Row],[WkNo]]</f>
        <v>2019-40</v>
      </c>
    </row>
    <row r="340" spans="1:17" ht="30" x14ac:dyDescent="0.25">
      <c r="A340" s="9">
        <f>MOD(IF(ROW()=11,0.1,IF(INDEX(TimeEntry[WkEnd],ROW()-10)            =            INDEX(TimeEntry[WkEnd],ROW()-11),               INDEX(TimeEntry[format],ROW()-11),               INDEX(TimeEntry[format],ROW()-11)    +1)),2)</f>
        <v>1.1000000000000001</v>
      </c>
      <c r="B340" s="14"/>
      <c r="C340" s="7">
        <v>43735</v>
      </c>
      <c r="D340" s="7"/>
      <c r="E340" s="7"/>
      <c r="F340" s="6" t="s">
        <v>65</v>
      </c>
      <c r="G340" s="6"/>
      <c r="H340" s="7">
        <f>IF(TimeEntry[[#This Row],[Date]]=0,H339,C340+(7-N340))</f>
        <v>43737</v>
      </c>
      <c r="I340" s="7">
        <f>TimeEntry[[#This Row],[Date]]</f>
        <v>43735</v>
      </c>
      <c r="J340" s="10" t="str">
        <f>IF(TimeEntry[[#This Row],[Date]]=0,"",TEXT(TimeEntry[[#This Row],[Date]],"ddd"))</f>
        <v>Fri</v>
      </c>
      <c r="K340" s="9" t="str">
        <f>IF(TimeEntry[[#This Row],[Project]]=0,"",INDEX(ProjectsAll[job number],MATCH(TimeEntry[[#This Row],[Project]],ProjectsAll[Project],0)))</f>
        <v xml:space="preserve">268017-25 </v>
      </c>
      <c r="L340" s="6" t="s">
        <v>168</v>
      </c>
      <c r="M340" s="6">
        <v>2</v>
      </c>
      <c r="N340" s="9">
        <f>IF(TimeEntry[[#This Row],[Date]]=0,"",WEEKDAY(C340,2))</f>
        <v>5</v>
      </c>
      <c r="O340" s="10">
        <f>YEAR(TimeEntry[[#This Row],[WkEnd]])</f>
        <v>2019</v>
      </c>
      <c r="P340" s="10">
        <f>WEEKNUM(TimeEntry[[#This Row],[WkEnd]])</f>
        <v>40</v>
      </c>
      <c r="Q340" s="10" t="str">
        <f>TimeEntry[[#This Row],[Year]]&amp;"-"&amp;TimeEntry[[#This Row],[WkNo]]</f>
        <v>2019-40</v>
      </c>
    </row>
    <row r="341" spans="1:17" ht="30" x14ac:dyDescent="0.25">
      <c r="A341" s="9">
        <f>MOD(IF(ROW()=11,0.1,IF(INDEX(TimeEntry[WkEnd],ROW()-10)            =            INDEX(TimeEntry[WkEnd],ROW()-11),               INDEX(TimeEntry[format],ROW()-11),               INDEX(TimeEntry[format],ROW()-11)    +1)),2)</f>
        <v>1.1000000000000001</v>
      </c>
      <c r="B341" s="14"/>
      <c r="C341" s="7">
        <v>43735</v>
      </c>
      <c r="D341" s="7"/>
      <c r="E341" s="7"/>
      <c r="F341" s="6" t="s">
        <v>88</v>
      </c>
      <c r="G341" s="6"/>
      <c r="H341" s="7">
        <f>IF(TimeEntry[[#This Row],[Date]]=0,H340,C341+(7-N341))</f>
        <v>43737</v>
      </c>
      <c r="I341" s="7">
        <f>TimeEntry[[#This Row],[Date]]</f>
        <v>43735</v>
      </c>
      <c r="J341" s="10" t="str">
        <f>IF(TimeEntry[[#This Row],[Date]]=0,"",TEXT(TimeEntry[[#This Row],[Date]],"ddd"))</f>
        <v>Fri</v>
      </c>
      <c r="K341" s="9" t="str">
        <f>IF(TimeEntry[[#This Row],[Project]]=0,"",INDEX(ProjectsAll[job number],MATCH(TimeEntry[[#This Row],[Project]],ProjectsAll[Project],0)))</f>
        <v>210035-51</v>
      </c>
      <c r="L341" s="6" t="s">
        <v>189</v>
      </c>
      <c r="M341" s="6">
        <v>3</v>
      </c>
      <c r="N341" s="9">
        <f>IF(TimeEntry[[#This Row],[Date]]=0,"",WEEKDAY(C341,2))</f>
        <v>5</v>
      </c>
      <c r="O341" s="10">
        <f>YEAR(TimeEntry[[#This Row],[WkEnd]])</f>
        <v>2019</v>
      </c>
      <c r="P341" s="10">
        <f>WEEKNUM(TimeEntry[[#This Row],[WkEnd]])</f>
        <v>40</v>
      </c>
      <c r="Q341" s="10" t="str">
        <f>TimeEntry[[#This Row],[Year]]&amp;"-"&amp;TimeEntry[[#This Row],[WkNo]]</f>
        <v>2019-40</v>
      </c>
    </row>
    <row r="342" spans="1:17" ht="30" x14ac:dyDescent="0.25">
      <c r="A342" s="9">
        <f>MOD(IF(ROW()=11,0.1,IF(INDEX(TimeEntry[WkEnd],ROW()-10)            =            INDEX(TimeEntry[WkEnd],ROW()-11),               INDEX(TimeEntry[format],ROW()-11),               INDEX(TimeEntry[format],ROW()-11)    +1)),2)</f>
        <v>1.1000000000000001</v>
      </c>
      <c r="B342" s="14"/>
      <c r="C342" s="7">
        <v>43735</v>
      </c>
      <c r="D342" s="7"/>
      <c r="E342" s="7"/>
      <c r="F342" s="6" t="s">
        <v>88</v>
      </c>
      <c r="G342" s="6"/>
      <c r="H342" s="7">
        <f>IF(TimeEntry[[#This Row],[Date]]=0,H341,C342+(7-N342))</f>
        <v>43737</v>
      </c>
      <c r="I342" s="7">
        <f>TimeEntry[[#This Row],[Date]]</f>
        <v>43735</v>
      </c>
      <c r="J342" s="10" t="str">
        <f>IF(TimeEntry[[#This Row],[Date]]=0,"",TEXT(TimeEntry[[#This Row],[Date]],"ddd"))</f>
        <v>Fri</v>
      </c>
      <c r="K342" s="9" t="str">
        <f>IF(TimeEntry[[#This Row],[Project]]=0,"",INDEX(ProjectsAll[job number],MATCH(TimeEntry[[#This Row],[Project]],ProjectsAll[Project],0)))</f>
        <v>210035-51</v>
      </c>
      <c r="L342" s="6" t="s">
        <v>190</v>
      </c>
      <c r="M342" s="6">
        <v>2.5</v>
      </c>
      <c r="N342" s="9">
        <f>IF(TimeEntry[[#This Row],[Date]]=0,"",WEEKDAY(C342,2))</f>
        <v>5</v>
      </c>
      <c r="O342" s="10">
        <f>YEAR(TimeEntry[[#This Row],[WkEnd]])</f>
        <v>2019</v>
      </c>
      <c r="P342" s="10">
        <f>WEEKNUM(TimeEntry[[#This Row],[WkEnd]])</f>
        <v>40</v>
      </c>
      <c r="Q342" s="10" t="str">
        <f>TimeEntry[[#This Row],[Year]]&amp;"-"&amp;TimeEntry[[#This Row],[WkNo]]</f>
        <v>2019-40</v>
      </c>
    </row>
    <row r="343" spans="1:17" ht="30" x14ac:dyDescent="0.25">
      <c r="A343" s="9">
        <f>MOD(IF(ROW()=11,0.1,IF(INDEX(TimeEntry[WkEnd],ROW()-10)            =            INDEX(TimeEntry[WkEnd],ROW()-11),               INDEX(TimeEntry[format],ROW()-11),               INDEX(TimeEntry[format],ROW()-11)    +1)),2)</f>
        <v>0.10000000000000009</v>
      </c>
      <c r="B343" s="14"/>
      <c r="C343" s="7">
        <v>43724</v>
      </c>
      <c r="D343" s="7"/>
      <c r="E343" s="7"/>
      <c r="F343" s="6" t="s">
        <v>65</v>
      </c>
      <c r="G343" s="6"/>
      <c r="H343" s="7">
        <f>IF(TimeEntry[[#This Row],[Date]]=0,H342,C343+(7-N343))</f>
        <v>43730</v>
      </c>
      <c r="I343" s="7">
        <f>TimeEntry[[#This Row],[Date]]</f>
        <v>43724</v>
      </c>
      <c r="J343" s="10" t="str">
        <f>IF(TimeEntry[[#This Row],[Date]]=0,"",TEXT(TimeEntry[[#This Row],[Date]],"ddd"))</f>
        <v>Mon</v>
      </c>
      <c r="K343" s="9" t="str">
        <f>IF(TimeEntry[[#This Row],[Project]]=0,"",INDEX(ProjectsAll[job number],MATCH(TimeEntry[[#This Row],[Project]],ProjectsAll[Project],0)))</f>
        <v xml:space="preserve">268017-25 </v>
      </c>
      <c r="L343" s="6" t="s">
        <v>191</v>
      </c>
      <c r="M343" s="6">
        <v>7.5</v>
      </c>
      <c r="N343" s="9">
        <f>IF(TimeEntry[[#This Row],[Date]]=0,"",WEEKDAY(C343,2))</f>
        <v>1</v>
      </c>
      <c r="O343" s="10">
        <f>YEAR(TimeEntry[[#This Row],[WkEnd]])</f>
        <v>2019</v>
      </c>
      <c r="P343" s="10">
        <f>WEEKNUM(TimeEntry[[#This Row],[WkEnd]])</f>
        <v>39</v>
      </c>
      <c r="Q343" s="10" t="str">
        <f>TimeEntry[[#This Row],[Year]]&amp;"-"&amp;TimeEntry[[#This Row],[WkNo]]</f>
        <v>2019-39</v>
      </c>
    </row>
    <row r="344" spans="1:17" ht="30" x14ac:dyDescent="0.25">
      <c r="A344" s="9">
        <f>MOD(IF(ROW()=11,0.1,IF(INDEX(TimeEntry[WkEnd],ROW()-10)            =            INDEX(TimeEntry[WkEnd],ROW()-11),               INDEX(TimeEntry[format],ROW()-11),               INDEX(TimeEntry[format],ROW()-11)    +1)),2)</f>
        <v>0.10000000000000009</v>
      </c>
      <c r="B344" s="14"/>
      <c r="C344" s="7">
        <v>43725</v>
      </c>
      <c r="D344" s="7"/>
      <c r="E344" s="7"/>
      <c r="F344" s="6" t="s">
        <v>65</v>
      </c>
      <c r="G344" s="6"/>
      <c r="H344" s="7">
        <f>IF(TimeEntry[[#This Row],[Date]]=0,H343,C344+(7-N344))</f>
        <v>43730</v>
      </c>
      <c r="I344" s="7">
        <f>TimeEntry[[#This Row],[Date]]</f>
        <v>43725</v>
      </c>
      <c r="J344" s="10" t="str">
        <f>IF(TimeEntry[[#This Row],[Date]]=0,"",TEXT(TimeEntry[[#This Row],[Date]],"ddd"))</f>
        <v>Tue</v>
      </c>
      <c r="K344" s="9" t="str">
        <f>IF(TimeEntry[[#This Row],[Project]]=0,"",INDEX(ProjectsAll[job number],MATCH(TimeEntry[[#This Row],[Project]],ProjectsAll[Project],0)))</f>
        <v xml:space="preserve">268017-25 </v>
      </c>
      <c r="L344" s="6" t="s">
        <v>191</v>
      </c>
      <c r="M344" s="6">
        <v>7.5</v>
      </c>
      <c r="N344" s="9">
        <f>IF(TimeEntry[[#This Row],[Date]]=0,"",WEEKDAY(C344,2))</f>
        <v>2</v>
      </c>
      <c r="O344" s="10">
        <f>YEAR(TimeEntry[[#This Row],[WkEnd]])</f>
        <v>2019</v>
      </c>
      <c r="P344" s="10">
        <f>WEEKNUM(TimeEntry[[#This Row],[WkEnd]])</f>
        <v>39</v>
      </c>
      <c r="Q344" s="10" t="str">
        <f>TimeEntry[[#This Row],[Year]]&amp;"-"&amp;TimeEntry[[#This Row],[WkNo]]</f>
        <v>2019-39</v>
      </c>
    </row>
    <row r="345" spans="1:17" ht="30" x14ac:dyDescent="0.25">
      <c r="A345" s="9">
        <f>MOD(IF(ROW()=11,0.1,IF(INDEX(TimeEntry[WkEnd],ROW()-10)            =            INDEX(TimeEntry[WkEnd],ROW()-11),               INDEX(TimeEntry[format],ROW()-11),               INDEX(TimeEntry[format],ROW()-11)    +1)),2)</f>
        <v>0.10000000000000009</v>
      </c>
      <c r="B345" s="14"/>
      <c r="C345" s="7">
        <v>43726</v>
      </c>
      <c r="D345" s="7"/>
      <c r="E345" s="7"/>
      <c r="F345" s="6" t="s">
        <v>65</v>
      </c>
      <c r="G345" s="6"/>
      <c r="H345" s="7">
        <f>IF(TimeEntry[[#This Row],[Date]]=0,H344,C345+(7-N345))</f>
        <v>43730</v>
      </c>
      <c r="I345" s="7">
        <f>TimeEntry[[#This Row],[Date]]</f>
        <v>43726</v>
      </c>
      <c r="J345" s="10" t="str">
        <f>IF(TimeEntry[[#This Row],[Date]]=0,"",TEXT(TimeEntry[[#This Row],[Date]],"ddd"))</f>
        <v>Wed</v>
      </c>
      <c r="K345" s="9" t="str">
        <f>IF(TimeEntry[[#This Row],[Project]]=0,"",INDEX(ProjectsAll[job number],MATCH(TimeEntry[[#This Row],[Project]],ProjectsAll[Project],0)))</f>
        <v xml:space="preserve">268017-25 </v>
      </c>
      <c r="L345" s="6" t="s">
        <v>192</v>
      </c>
      <c r="M345" s="6">
        <v>7.5</v>
      </c>
      <c r="N345" s="9">
        <f>IF(TimeEntry[[#This Row],[Date]]=0,"",WEEKDAY(C345,2))</f>
        <v>3</v>
      </c>
      <c r="O345" s="10">
        <f>YEAR(TimeEntry[[#This Row],[WkEnd]])</f>
        <v>2019</v>
      </c>
      <c r="P345" s="10">
        <f>WEEKNUM(TimeEntry[[#This Row],[WkEnd]])</f>
        <v>39</v>
      </c>
      <c r="Q345" s="10" t="str">
        <f>TimeEntry[[#This Row],[Year]]&amp;"-"&amp;TimeEntry[[#This Row],[WkNo]]</f>
        <v>2019-39</v>
      </c>
    </row>
    <row r="346" spans="1:17" ht="30" x14ac:dyDescent="0.25">
      <c r="A346" s="9">
        <f>MOD(IF(ROW()=11,0.1,IF(INDEX(TimeEntry[WkEnd],ROW()-10)            =            INDEX(TimeEntry[WkEnd],ROW()-11),               INDEX(TimeEntry[format],ROW()-11),               INDEX(TimeEntry[format],ROW()-11)    +1)),2)</f>
        <v>0.10000000000000009</v>
      </c>
      <c r="B346" s="14"/>
      <c r="C346" s="7">
        <v>43727</v>
      </c>
      <c r="D346" s="7"/>
      <c r="E346" s="7"/>
      <c r="F346" s="6" t="s">
        <v>65</v>
      </c>
      <c r="G346" s="6"/>
      <c r="H346" s="7">
        <f>IF(TimeEntry[[#This Row],[Date]]=0,H345,C346+(7-N346))</f>
        <v>43730</v>
      </c>
      <c r="I346" s="7">
        <f>TimeEntry[[#This Row],[Date]]</f>
        <v>43727</v>
      </c>
      <c r="J346" s="10" t="str">
        <f>IF(TimeEntry[[#This Row],[Date]]=0,"",TEXT(TimeEntry[[#This Row],[Date]],"ddd"))</f>
        <v>Thu</v>
      </c>
      <c r="K346" s="9" t="str">
        <f>IF(TimeEntry[[#This Row],[Project]]=0,"",INDEX(ProjectsAll[job number],MATCH(TimeEntry[[#This Row],[Project]],ProjectsAll[Project],0)))</f>
        <v xml:space="preserve">268017-25 </v>
      </c>
      <c r="L346" s="6" t="s">
        <v>192</v>
      </c>
      <c r="M346" s="6">
        <v>7.5</v>
      </c>
      <c r="N346" s="9">
        <f>IF(TimeEntry[[#This Row],[Date]]=0,"",WEEKDAY(C346,2))</f>
        <v>4</v>
      </c>
      <c r="O346" s="10">
        <f>YEAR(TimeEntry[[#This Row],[WkEnd]])</f>
        <v>2019</v>
      </c>
      <c r="P346" s="10">
        <f>WEEKNUM(TimeEntry[[#This Row],[WkEnd]])</f>
        <v>39</v>
      </c>
      <c r="Q346" s="10" t="str">
        <f>TimeEntry[[#This Row],[Year]]&amp;"-"&amp;TimeEntry[[#This Row],[WkNo]]</f>
        <v>2019-39</v>
      </c>
    </row>
    <row r="347" spans="1:17" ht="30" x14ac:dyDescent="0.25">
      <c r="A347" s="9">
        <f>MOD(IF(ROW()=11,0.1,IF(INDEX(TimeEntry[WkEnd],ROW()-10)            =            INDEX(TimeEntry[WkEnd],ROW()-11),               INDEX(TimeEntry[format],ROW()-11),               INDEX(TimeEntry[format],ROW()-11)    +1)),2)</f>
        <v>0.10000000000000009</v>
      </c>
      <c r="B347" s="14"/>
      <c r="C347" s="7">
        <v>43728</v>
      </c>
      <c r="D347" s="7"/>
      <c r="E347" s="7"/>
      <c r="F347" s="6" t="s">
        <v>65</v>
      </c>
      <c r="G347" s="6"/>
      <c r="H347" s="7">
        <f>IF(TimeEntry[[#This Row],[Date]]=0,H346,C347+(7-N347))</f>
        <v>43730</v>
      </c>
      <c r="I347" s="7">
        <f>TimeEntry[[#This Row],[Date]]</f>
        <v>43728</v>
      </c>
      <c r="J347" s="10" t="str">
        <f>IF(TimeEntry[[#This Row],[Date]]=0,"",TEXT(TimeEntry[[#This Row],[Date]],"ddd"))</f>
        <v>Fri</v>
      </c>
      <c r="K347" s="9" t="str">
        <f>IF(TimeEntry[[#This Row],[Project]]=0,"",INDEX(ProjectsAll[job number],MATCH(TimeEntry[[#This Row],[Project]],ProjectsAll[Project],0)))</f>
        <v xml:space="preserve">268017-25 </v>
      </c>
      <c r="L347" s="6" t="s">
        <v>192</v>
      </c>
      <c r="M347" s="6">
        <v>7.5</v>
      </c>
      <c r="N347" s="9">
        <f>IF(TimeEntry[[#This Row],[Date]]=0,"",WEEKDAY(C347,2))</f>
        <v>5</v>
      </c>
      <c r="O347" s="10">
        <f>YEAR(TimeEntry[[#This Row],[WkEnd]])</f>
        <v>2019</v>
      </c>
      <c r="P347" s="10">
        <f>WEEKNUM(TimeEntry[[#This Row],[WkEnd]])</f>
        <v>39</v>
      </c>
      <c r="Q347" s="10" t="str">
        <f>TimeEntry[[#This Row],[Year]]&amp;"-"&amp;TimeEntry[[#This Row],[WkNo]]</f>
        <v>2019-39</v>
      </c>
    </row>
    <row r="348" spans="1:17" ht="30" x14ac:dyDescent="0.25">
      <c r="A348" s="9">
        <f>MOD(IF(ROW()=11,0.1,IF(INDEX(TimeEntry[WkEnd],ROW()-10)            =            INDEX(TimeEntry[WkEnd],ROW()-11),               INDEX(TimeEntry[format],ROW()-11),               INDEX(TimeEntry[format],ROW()-11)    +1)),2)</f>
        <v>1.1000000000000001</v>
      </c>
      <c r="B348" s="14"/>
      <c r="C348" s="7">
        <v>43717</v>
      </c>
      <c r="D348" s="7"/>
      <c r="E348" s="7"/>
      <c r="F348" s="6" t="s">
        <v>65</v>
      </c>
      <c r="G348" s="6"/>
      <c r="H348" s="7">
        <f>IF(TimeEntry[[#This Row],[Date]]=0,H347,C348+(7-N348))</f>
        <v>43723</v>
      </c>
      <c r="I348" s="7">
        <f>TimeEntry[[#This Row],[Date]]</f>
        <v>43717</v>
      </c>
      <c r="J348" s="10" t="str">
        <f>IF(TimeEntry[[#This Row],[Date]]=0,"",TEXT(TimeEntry[[#This Row],[Date]],"ddd"))</f>
        <v>Mon</v>
      </c>
      <c r="K348" s="9" t="str">
        <f>IF(TimeEntry[[#This Row],[Project]]=0,"",INDEX(ProjectsAll[job number],MATCH(TimeEntry[[#This Row],[Project]],ProjectsAll[Project],0)))</f>
        <v xml:space="preserve">268017-25 </v>
      </c>
      <c r="L348" s="6" t="s">
        <v>193</v>
      </c>
      <c r="M348" s="6">
        <v>7.5</v>
      </c>
      <c r="N348" s="9">
        <f>IF(TimeEntry[[#This Row],[Date]]=0,"",WEEKDAY(C348,2))</f>
        <v>1</v>
      </c>
      <c r="O348" s="10">
        <f>YEAR(TimeEntry[[#This Row],[WkEnd]])</f>
        <v>2019</v>
      </c>
      <c r="P348" s="10">
        <f>WEEKNUM(TimeEntry[[#This Row],[WkEnd]])</f>
        <v>38</v>
      </c>
      <c r="Q348" s="10" t="str">
        <f>TimeEntry[[#This Row],[Year]]&amp;"-"&amp;TimeEntry[[#This Row],[WkNo]]</f>
        <v>2019-38</v>
      </c>
    </row>
    <row r="349" spans="1:17" ht="30" x14ac:dyDescent="0.25">
      <c r="A349" s="9">
        <f>MOD(IF(ROW()=11,0.1,IF(INDEX(TimeEntry[WkEnd],ROW()-10)            =            INDEX(TimeEntry[WkEnd],ROW()-11),               INDEX(TimeEntry[format],ROW()-11),               INDEX(TimeEntry[format],ROW()-11)    +1)),2)</f>
        <v>1.1000000000000001</v>
      </c>
      <c r="B349" s="14"/>
      <c r="C349" s="7">
        <v>43718</v>
      </c>
      <c r="D349" s="7"/>
      <c r="E349" s="7"/>
      <c r="F349" s="6" t="s">
        <v>84</v>
      </c>
      <c r="G349" s="6"/>
      <c r="H349" s="7">
        <f>IF(TimeEntry[[#This Row],[Date]]=0,H348,C349+(7-N349))</f>
        <v>43723</v>
      </c>
      <c r="I349" s="7">
        <f>TimeEntry[[#This Row],[Date]]</f>
        <v>43718</v>
      </c>
      <c r="J349" s="10" t="str">
        <f>IF(TimeEntry[[#This Row],[Date]]=0,"",TEXT(TimeEntry[[#This Row],[Date]],"ddd"))</f>
        <v>Tue</v>
      </c>
      <c r="K349" s="9" t="str">
        <f>IF(TimeEntry[[#This Row],[Project]]=0,"",INDEX(ProjectsAll[job number],MATCH(TimeEntry[[#This Row],[Project]],ProjectsAll[Project],0)))</f>
        <v>265720-20</v>
      </c>
      <c r="L349" s="6" t="s">
        <v>194</v>
      </c>
      <c r="M349" s="6">
        <v>7.5</v>
      </c>
      <c r="N349" s="9">
        <f>IF(TimeEntry[[#This Row],[Date]]=0,"",WEEKDAY(C349,2))</f>
        <v>2</v>
      </c>
      <c r="O349" s="10">
        <f>YEAR(TimeEntry[[#This Row],[WkEnd]])</f>
        <v>2019</v>
      </c>
      <c r="P349" s="10">
        <f>WEEKNUM(TimeEntry[[#This Row],[WkEnd]])</f>
        <v>38</v>
      </c>
      <c r="Q349" s="10" t="str">
        <f>TimeEntry[[#This Row],[Year]]&amp;"-"&amp;TimeEntry[[#This Row],[WkNo]]</f>
        <v>2019-38</v>
      </c>
    </row>
    <row r="350" spans="1:17" ht="30" x14ac:dyDescent="0.25">
      <c r="A350" s="9">
        <f>MOD(IF(ROW()=11,0.1,IF(INDEX(TimeEntry[WkEnd],ROW()-10)            =            INDEX(TimeEntry[WkEnd],ROW()-11),               INDEX(TimeEntry[format],ROW()-11),               INDEX(TimeEntry[format],ROW()-11)    +1)),2)</f>
        <v>1.1000000000000001</v>
      </c>
      <c r="B350" s="14"/>
      <c r="C350" s="7">
        <v>43719</v>
      </c>
      <c r="D350" s="7"/>
      <c r="E350" s="7"/>
      <c r="F350" s="6" t="s">
        <v>88</v>
      </c>
      <c r="G350" s="6"/>
      <c r="H350" s="7">
        <f>IF(TimeEntry[[#This Row],[Date]]=0,H349,C350+(7-N350))</f>
        <v>43723</v>
      </c>
      <c r="I350" s="7">
        <f>TimeEntry[[#This Row],[Date]]</f>
        <v>43719</v>
      </c>
      <c r="J350" s="10" t="str">
        <f>IF(TimeEntry[[#This Row],[Date]]=0,"",TEXT(TimeEntry[[#This Row],[Date]],"ddd"))</f>
        <v>Wed</v>
      </c>
      <c r="K350" s="9" t="str">
        <f>IF(TimeEntry[[#This Row],[Project]]=0,"",INDEX(ProjectsAll[job number],MATCH(TimeEntry[[#This Row],[Project]],ProjectsAll[Project],0)))</f>
        <v>210035-51</v>
      </c>
      <c r="L350" s="6" t="s">
        <v>195</v>
      </c>
      <c r="M350" s="6">
        <v>7.5</v>
      </c>
      <c r="N350" s="9">
        <f>IF(TimeEntry[[#This Row],[Date]]=0,"",WEEKDAY(C350,2))</f>
        <v>3</v>
      </c>
      <c r="O350" s="10">
        <f>YEAR(TimeEntry[[#This Row],[WkEnd]])</f>
        <v>2019</v>
      </c>
      <c r="P350" s="10">
        <f>WEEKNUM(TimeEntry[[#This Row],[WkEnd]])</f>
        <v>38</v>
      </c>
      <c r="Q350" s="10" t="str">
        <f>TimeEntry[[#This Row],[Year]]&amp;"-"&amp;TimeEntry[[#This Row],[WkNo]]</f>
        <v>2019-38</v>
      </c>
    </row>
    <row r="351" spans="1:17" ht="30" x14ac:dyDescent="0.25">
      <c r="A351" s="9">
        <f>MOD(IF(ROW()=11,0.1,IF(INDEX(TimeEntry[WkEnd],ROW()-10)            =            INDEX(TimeEntry[WkEnd],ROW()-11),               INDEX(TimeEntry[format],ROW()-11),               INDEX(TimeEntry[format],ROW()-11)    +1)),2)</f>
        <v>1.1000000000000001</v>
      </c>
      <c r="B351" s="14"/>
      <c r="C351" s="7">
        <v>43720</v>
      </c>
      <c r="D351" s="7"/>
      <c r="E351" s="7"/>
      <c r="F351" s="6" t="s">
        <v>88</v>
      </c>
      <c r="G351" s="6"/>
      <c r="H351" s="7">
        <f>IF(TimeEntry[[#This Row],[Date]]=0,H350,C351+(7-N351))</f>
        <v>43723</v>
      </c>
      <c r="I351" s="7">
        <f>TimeEntry[[#This Row],[Date]]</f>
        <v>43720</v>
      </c>
      <c r="J351" s="10" t="str">
        <f>IF(TimeEntry[[#This Row],[Date]]=0,"",TEXT(TimeEntry[[#This Row],[Date]],"ddd"))</f>
        <v>Thu</v>
      </c>
      <c r="K351" s="9" t="str">
        <f>IF(TimeEntry[[#This Row],[Project]]=0,"",INDEX(ProjectsAll[job number],MATCH(TimeEntry[[#This Row],[Project]],ProjectsAll[Project],0)))</f>
        <v>210035-51</v>
      </c>
      <c r="L351" s="6" t="s">
        <v>195</v>
      </c>
      <c r="M351" s="6">
        <v>7.5</v>
      </c>
      <c r="N351" s="9">
        <f>IF(TimeEntry[[#This Row],[Date]]=0,"",WEEKDAY(C351,2))</f>
        <v>4</v>
      </c>
      <c r="O351" s="10">
        <f>YEAR(TimeEntry[[#This Row],[WkEnd]])</f>
        <v>2019</v>
      </c>
      <c r="P351" s="10">
        <f>WEEKNUM(TimeEntry[[#This Row],[WkEnd]])</f>
        <v>38</v>
      </c>
      <c r="Q351" s="10" t="str">
        <f>TimeEntry[[#This Row],[Year]]&amp;"-"&amp;TimeEntry[[#This Row],[WkNo]]</f>
        <v>2019-38</v>
      </c>
    </row>
    <row r="352" spans="1:17" ht="30" x14ac:dyDescent="0.25">
      <c r="A352" s="9">
        <f>MOD(IF(ROW()=11,0.1,IF(INDEX(TimeEntry[WkEnd],ROW()-10)            =            INDEX(TimeEntry[WkEnd],ROW()-11),               INDEX(TimeEntry[format],ROW()-11),               INDEX(TimeEntry[format],ROW()-11)    +1)),2)</f>
        <v>1.1000000000000001</v>
      </c>
      <c r="B352" s="14"/>
      <c r="C352" s="7">
        <v>43721</v>
      </c>
      <c r="D352" s="7"/>
      <c r="E352" s="7"/>
      <c r="F352" s="6" t="s">
        <v>84</v>
      </c>
      <c r="G352" s="6"/>
      <c r="H352" s="7">
        <f>IF(TimeEntry[[#This Row],[Date]]=0,H351,C352+(7-N352))</f>
        <v>43723</v>
      </c>
      <c r="I352" s="7">
        <f>TimeEntry[[#This Row],[Date]]</f>
        <v>43721</v>
      </c>
      <c r="J352" s="10" t="str">
        <f>IF(TimeEntry[[#This Row],[Date]]=0,"",TEXT(TimeEntry[[#This Row],[Date]],"ddd"))</f>
        <v>Fri</v>
      </c>
      <c r="K352" s="9" t="str">
        <f>IF(TimeEntry[[#This Row],[Project]]=0,"",INDEX(ProjectsAll[job number],MATCH(TimeEntry[[#This Row],[Project]],ProjectsAll[Project],0)))</f>
        <v>265720-20</v>
      </c>
      <c r="L352" s="6" t="s">
        <v>194</v>
      </c>
      <c r="M352" s="6">
        <v>7.5</v>
      </c>
      <c r="N352" s="9">
        <f>IF(TimeEntry[[#This Row],[Date]]=0,"",WEEKDAY(C352,2))</f>
        <v>5</v>
      </c>
      <c r="O352" s="10">
        <f>YEAR(TimeEntry[[#This Row],[WkEnd]])</f>
        <v>2019</v>
      </c>
      <c r="P352" s="10">
        <f>WEEKNUM(TimeEntry[[#This Row],[WkEnd]])</f>
        <v>38</v>
      </c>
      <c r="Q352" s="10" t="str">
        <f>TimeEntry[[#This Row],[Year]]&amp;"-"&amp;TimeEntry[[#This Row],[WkNo]]</f>
        <v>2019-38</v>
      </c>
    </row>
    <row r="353" spans="1:17" x14ac:dyDescent="0.25">
      <c r="A353" s="9">
        <f>MOD(IF(ROW()=11,0.1,IF(INDEX(TimeEntry[WkEnd],ROW()-10)            =            INDEX(TimeEntry[WkEnd],ROW()-11),               INDEX(TimeEntry[format],ROW()-11),               INDEX(TimeEntry[format],ROW()-11)    +1)),2)</f>
        <v>0.10000000000000009</v>
      </c>
      <c r="B353" s="14"/>
      <c r="C353" s="7">
        <v>43714</v>
      </c>
      <c r="D353" s="7"/>
      <c r="E353" s="7"/>
      <c r="F353" s="6" t="s">
        <v>68</v>
      </c>
      <c r="G353" s="6"/>
      <c r="H353" s="7">
        <f>IF(TimeEntry[[#This Row],[Date]]=0,H352,C353+(7-N353))</f>
        <v>43716</v>
      </c>
      <c r="I353" s="7">
        <f>TimeEntry[[#This Row],[Date]]</f>
        <v>43714</v>
      </c>
      <c r="J353" s="10" t="str">
        <f>IF(TimeEntry[[#This Row],[Date]]=0,"",TEXT(TimeEntry[[#This Row],[Date]],"ddd"))</f>
        <v>Fri</v>
      </c>
      <c r="K353" s="9" t="str">
        <f>IF(TimeEntry[[#This Row],[Project]]=0,"",INDEX(ProjectsAll[job number],MATCH(TimeEntry[[#This Row],[Project]],ProjectsAll[Project],0)))</f>
        <v>LEAVE</v>
      </c>
      <c r="L353" s="6"/>
      <c r="M353" s="6">
        <v>7.5</v>
      </c>
      <c r="N353" s="9">
        <f>IF(TimeEntry[[#This Row],[Date]]=0,"",WEEKDAY(C353,2))</f>
        <v>5</v>
      </c>
      <c r="O353" s="10">
        <f>YEAR(TimeEntry[[#This Row],[WkEnd]])</f>
        <v>2019</v>
      </c>
      <c r="P353" s="10">
        <f>WEEKNUM(TimeEntry[[#This Row],[WkEnd]])</f>
        <v>37</v>
      </c>
      <c r="Q353" s="10" t="str">
        <f>TimeEntry[[#This Row],[Year]]&amp;"-"&amp;TimeEntry[[#This Row],[WkNo]]</f>
        <v>2019-37</v>
      </c>
    </row>
    <row r="354" spans="1:17" x14ac:dyDescent="0.25">
      <c r="A354" s="9">
        <f>MOD(IF(ROW()=11,0.1,IF(INDEX(TimeEntry[WkEnd],ROW()-10)            =            INDEX(TimeEntry[WkEnd],ROW()-11),               INDEX(TimeEntry[format],ROW()-11),               INDEX(TimeEntry[format],ROW()-11)    +1)),2)</f>
        <v>0.10000000000000009</v>
      </c>
      <c r="B354" s="14"/>
      <c r="C354" s="7">
        <v>43713</v>
      </c>
      <c r="D354" s="7"/>
      <c r="E354" s="7"/>
      <c r="F354" s="6" t="s">
        <v>68</v>
      </c>
      <c r="G354" s="6"/>
      <c r="H354" s="7">
        <f>IF(TimeEntry[[#This Row],[Date]]=0,H353,C354+(7-N354))</f>
        <v>43716</v>
      </c>
      <c r="I354" s="7">
        <f>TimeEntry[[#This Row],[Date]]</f>
        <v>43713</v>
      </c>
      <c r="J354" s="10" t="str">
        <f>IF(TimeEntry[[#This Row],[Date]]=0,"",TEXT(TimeEntry[[#This Row],[Date]],"ddd"))</f>
        <v>Thu</v>
      </c>
      <c r="K354" s="9" t="str">
        <f>IF(TimeEntry[[#This Row],[Project]]=0,"",INDEX(ProjectsAll[job number],MATCH(TimeEntry[[#This Row],[Project]],ProjectsAll[Project],0)))</f>
        <v>LEAVE</v>
      </c>
      <c r="L354" s="6"/>
      <c r="M354" s="6">
        <v>7.5</v>
      </c>
      <c r="N354" s="9">
        <f>IF(TimeEntry[[#This Row],[Date]]=0,"",WEEKDAY(C354,2))</f>
        <v>4</v>
      </c>
      <c r="O354" s="10">
        <f>YEAR(TimeEntry[[#This Row],[WkEnd]])</f>
        <v>2019</v>
      </c>
      <c r="P354" s="10">
        <f>WEEKNUM(TimeEntry[[#This Row],[WkEnd]])</f>
        <v>37</v>
      </c>
      <c r="Q354" s="10" t="str">
        <f>TimeEntry[[#This Row],[Year]]&amp;"-"&amp;TimeEntry[[#This Row],[WkNo]]</f>
        <v>2019-37</v>
      </c>
    </row>
    <row r="355" spans="1:17" x14ac:dyDescent="0.25">
      <c r="A355" s="9">
        <f>MOD(IF(ROW()=11,0.1,IF(INDEX(TimeEntry[WkEnd],ROW()-10)            =            INDEX(TimeEntry[WkEnd],ROW()-11),               INDEX(TimeEntry[format],ROW()-11),               INDEX(TimeEntry[format],ROW()-11)    +1)),2)</f>
        <v>0.10000000000000009</v>
      </c>
      <c r="B355" s="14"/>
      <c r="C355" s="7">
        <v>43712</v>
      </c>
      <c r="D355" s="7"/>
      <c r="E355" s="7"/>
      <c r="F355" s="6" t="s">
        <v>68</v>
      </c>
      <c r="G355" s="6"/>
      <c r="H355" s="7">
        <f>IF(TimeEntry[[#This Row],[Date]]=0,H354,C355+(7-N355))</f>
        <v>43716</v>
      </c>
      <c r="I355" s="7">
        <f>TimeEntry[[#This Row],[Date]]</f>
        <v>43712</v>
      </c>
      <c r="J355" s="10" t="str">
        <f>IF(TimeEntry[[#This Row],[Date]]=0,"",TEXT(TimeEntry[[#This Row],[Date]],"ddd"))</f>
        <v>Wed</v>
      </c>
      <c r="K355" s="9" t="str">
        <f>IF(TimeEntry[[#This Row],[Project]]=0,"",INDEX(ProjectsAll[job number],MATCH(TimeEntry[[#This Row],[Project]],ProjectsAll[Project],0)))</f>
        <v>LEAVE</v>
      </c>
      <c r="L355" s="6"/>
      <c r="M355" s="6">
        <v>7.5</v>
      </c>
      <c r="N355" s="9">
        <f>IF(TimeEntry[[#This Row],[Date]]=0,"",WEEKDAY(C355,2))</f>
        <v>3</v>
      </c>
      <c r="O355" s="10">
        <f>YEAR(TimeEntry[[#This Row],[WkEnd]])</f>
        <v>2019</v>
      </c>
      <c r="P355" s="10">
        <f>WEEKNUM(TimeEntry[[#This Row],[WkEnd]])</f>
        <v>37</v>
      </c>
      <c r="Q355" s="10" t="str">
        <f>TimeEntry[[#This Row],[Year]]&amp;"-"&amp;TimeEntry[[#This Row],[WkNo]]</f>
        <v>2019-37</v>
      </c>
    </row>
    <row r="356" spans="1:17" x14ac:dyDescent="0.25">
      <c r="A356" s="9">
        <f>MOD(IF(ROW()=11,0.1,IF(INDEX(TimeEntry[WkEnd],ROW()-10)            =            INDEX(TimeEntry[WkEnd],ROW()-11),               INDEX(TimeEntry[format],ROW()-11),               INDEX(TimeEntry[format],ROW()-11)    +1)),2)</f>
        <v>0.10000000000000009</v>
      </c>
      <c r="B356" s="14"/>
      <c r="C356" s="7">
        <v>43711</v>
      </c>
      <c r="D356" s="7"/>
      <c r="E356" s="7"/>
      <c r="F356" s="6" t="s">
        <v>68</v>
      </c>
      <c r="G356" s="6"/>
      <c r="H356" s="7">
        <f>IF(TimeEntry[[#This Row],[Date]]=0,H355,C356+(7-N356))</f>
        <v>43716</v>
      </c>
      <c r="I356" s="7">
        <f>TimeEntry[[#This Row],[Date]]</f>
        <v>43711</v>
      </c>
      <c r="J356" s="10" t="str">
        <f>IF(TimeEntry[[#This Row],[Date]]=0,"",TEXT(TimeEntry[[#This Row],[Date]],"ddd"))</f>
        <v>Tue</v>
      </c>
      <c r="K356" s="9" t="str">
        <f>IF(TimeEntry[[#This Row],[Project]]=0,"",INDEX(ProjectsAll[job number],MATCH(TimeEntry[[#This Row],[Project]],ProjectsAll[Project],0)))</f>
        <v>LEAVE</v>
      </c>
      <c r="L356" s="6"/>
      <c r="M356" s="6">
        <v>7.5</v>
      </c>
      <c r="N356" s="9">
        <f>IF(TimeEntry[[#This Row],[Date]]=0,"",WEEKDAY(C356,2))</f>
        <v>2</v>
      </c>
      <c r="O356" s="10">
        <f>YEAR(TimeEntry[[#This Row],[WkEnd]])</f>
        <v>2019</v>
      </c>
      <c r="P356" s="10">
        <f>WEEKNUM(TimeEntry[[#This Row],[WkEnd]])</f>
        <v>37</v>
      </c>
      <c r="Q356" s="10" t="str">
        <f>TimeEntry[[#This Row],[Year]]&amp;"-"&amp;TimeEntry[[#This Row],[WkNo]]</f>
        <v>2019-37</v>
      </c>
    </row>
    <row r="357" spans="1:17" x14ac:dyDescent="0.25">
      <c r="A357" s="9">
        <f>MOD(IF(ROW()=11,0.1,IF(INDEX(TimeEntry[WkEnd],ROW()-10)            =            INDEX(TimeEntry[WkEnd],ROW()-11),               INDEX(TimeEntry[format],ROW()-11),               INDEX(TimeEntry[format],ROW()-11)    +1)),2)</f>
        <v>0.10000000000000009</v>
      </c>
      <c r="B357" s="14"/>
      <c r="C357" s="7">
        <v>43710</v>
      </c>
      <c r="D357" s="7"/>
      <c r="E357" s="7"/>
      <c r="F357" s="6" t="s">
        <v>68</v>
      </c>
      <c r="G357" s="6"/>
      <c r="H357" s="7">
        <f>IF(TimeEntry[[#This Row],[Date]]=0,H356,C357+(7-N357))</f>
        <v>43716</v>
      </c>
      <c r="I357" s="7">
        <f>TimeEntry[[#This Row],[Date]]</f>
        <v>43710</v>
      </c>
      <c r="J357" s="10" t="str">
        <f>IF(TimeEntry[[#This Row],[Date]]=0,"",TEXT(TimeEntry[[#This Row],[Date]],"ddd"))</f>
        <v>Mon</v>
      </c>
      <c r="K357" s="9" t="str">
        <f>IF(TimeEntry[[#This Row],[Project]]=0,"",INDEX(ProjectsAll[job number],MATCH(TimeEntry[[#This Row],[Project]],ProjectsAll[Project],0)))</f>
        <v>LEAVE</v>
      </c>
      <c r="L357" s="6"/>
      <c r="M357" s="6">
        <v>7.5</v>
      </c>
      <c r="N357" s="9">
        <f>IF(TimeEntry[[#This Row],[Date]]=0,"",WEEKDAY(C357,2))</f>
        <v>1</v>
      </c>
      <c r="O357" s="10">
        <f>YEAR(TimeEntry[[#This Row],[WkEnd]])</f>
        <v>2019</v>
      </c>
      <c r="P357" s="10">
        <f>WEEKNUM(TimeEntry[[#This Row],[WkEnd]])</f>
        <v>37</v>
      </c>
      <c r="Q357" s="10" t="str">
        <f>TimeEntry[[#This Row],[Year]]&amp;"-"&amp;TimeEntry[[#This Row],[WkNo]]</f>
        <v>2019-37</v>
      </c>
    </row>
    <row r="358" spans="1:17" x14ac:dyDescent="0.25">
      <c r="A358" s="9">
        <f>MOD(IF(ROW()=11,0.1,IF(INDEX(TimeEntry[WkEnd],ROW()-10)            =            INDEX(TimeEntry[WkEnd],ROW()-11),               INDEX(TimeEntry[format],ROW()-11),               INDEX(TimeEntry[format],ROW()-11)    +1)),2)</f>
        <v>1.1000000000000001</v>
      </c>
      <c r="B358" s="14"/>
      <c r="C358" s="7">
        <v>43707</v>
      </c>
      <c r="D358" s="7"/>
      <c r="E358" s="7"/>
      <c r="F358" s="6" t="s">
        <v>68</v>
      </c>
      <c r="G358" s="6"/>
      <c r="H358" s="7">
        <f>IF(TimeEntry[[#This Row],[Date]]=0,H357,C358+(7-N358))</f>
        <v>43709</v>
      </c>
      <c r="I358" s="7">
        <f>TimeEntry[[#This Row],[Date]]</f>
        <v>43707</v>
      </c>
      <c r="J358" s="10" t="str">
        <f>IF(TimeEntry[[#This Row],[Date]]=0,"",TEXT(TimeEntry[[#This Row],[Date]],"ddd"))</f>
        <v>Fri</v>
      </c>
      <c r="K358" s="9" t="str">
        <f>IF(TimeEntry[[#This Row],[Project]]=0,"",INDEX(ProjectsAll[job number],MATCH(TimeEntry[[#This Row],[Project]],ProjectsAll[Project],0)))</f>
        <v>LEAVE</v>
      </c>
      <c r="L358" s="6"/>
      <c r="M358" s="6">
        <v>7.5</v>
      </c>
      <c r="N358" s="9">
        <f>IF(TimeEntry[[#This Row],[Date]]=0,"",WEEKDAY(C358,2))</f>
        <v>5</v>
      </c>
      <c r="O358" s="10">
        <f>YEAR(TimeEntry[[#This Row],[WkEnd]])</f>
        <v>2019</v>
      </c>
      <c r="P358" s="10">
        <f>WEEKNUM(TimeEntry[[#This Row],[WkEnd]])</f>
        <v>36</v>
      </c>
      <c r="Q358" s="10" t="str">
        <f>TimeEntry[[#This Row],[Year]]&amp;"-"&amp;TimeEntry[[#This Row],[WkNo]]</f>
        <v>2019-36</v>
      </c>
    </row>
    <row r="359" spans="1:17" x14ac:dyDescent="0.25">
      <c r="A359" s="9">
        <f>MOD(IF(ROW()=11,0.1,IF(INDEX(TimeEntry[WkEnd],ROW()-10)            =            INDEX(TimeEntry[WkEnd],ROW()-11),               INDEX(TimeEntry[format],ROW()-11),               INDEX(TimeEntry[format],ROW()-11)    +1)),2)</f>
        <v>1.1000000000000001</v>
      </c>
      <c r="B359" s="14"/>
      <c r="C359" s="7">
        <v>43706</v>
      </c>
      <c r="D359" s="7"/>
      <c r="E359" s="7"/>
      <c r="F359" s="6" t="s">
        <v>68</v>
      </c>
      <c r="G359" s="6"/>
      <c r="H359" s="7">
        <f>IF(TimeEntry[[#This Row],[Date]]=0,H358,C359+(7-N359))</f>
        <v>43709</v>
      </c>
      <c r="I359" s="7">
        <f>TimeEntry[[#This Row],[Date]]</f>
        <v>43706</v>
      </c>
      <c r="J359" s="10" t="str">
        <f>IF(TimeEntry[[#This Row],[Date]]=0,"",TEXT(TimeEntry[[#This Row],[Date]],"ddd"))</f>
        <v>Thu</v>
      </c>
      <c r="K359" s="9" t="str">
        <f>IF(TimeEntry[[#This Row],[Project]]=0,"",INDEX(ProjectsAll[job number],MATCH(TimeEntry[[#This Row],[Project]],ProjectsAll[Project],0)))</f>
        <v>LEAVE</v>
      </c>
      <c r="L359" s="6"/>
      <c r="M359" s="6">
        <v>7.5</v>
      </c>
      <c r="N359" s="9">
        <f>IF(TimeEntry[[#This Row],[Date]]=0,"",WEEKDAY(C359,2))</f>
        <v>4</v>
      </c>
      <c r="O359" s="10">
        <f>YEAR(TimeEntry[[#This Row],[WkEnd]])</f>
        <v>2019</v>
      </c>
      <c r="P359" s="10">
        <f>WEEKNUM(TimeEntry[[#This Row],[WkEnd]])</f>
        <v>36</v>
      </c>
      <c r="Q359" s="10" t="str">
        <f>TimeEntry[[#This Row],[Year]]&amp;"-"&amp;TimeEntry[[#This Row],[WkNo]]</f>
        <v>2019-36</v>
      </c>
    </row>
    <row r="360" spans="1:17" x14ac:dyDescent="0.25">
      <c r="A360" s="9">
        <f>MOD(IF(ROW()=11,0.1,IF(INDEX(TimeEntry[WkEnd],ROW()-10)            =            INDEX(TimeEntry[WkEnd],ROW()-11),               INDEX(TimeEntry[format],ROW()-11),               INDEX(TimeEntry[format],ROW()-11)    +1)),2)</f>
        <v>1.1000000000000001</v>
      </c>
      <c r="B360" s="14"/>
      <c r="C360" s="7">
        <v>43705</v>
      </c>
      <c r="D360" s="7"/>
      <c r="E360" s="7"/>
      <c r="F360" s="6" t="s">
        <v>68</v>
      </c>
      <c r="G360" s="6"/>
      <c r="H360" s="7">
        <f>IF(TimeEntry[[#This Row],[Date]]=0,H359,C360+(7-N360))</f>
        <v>43709</v>
      </c>
      <c r="I360" s="7">
        <f>TimeEntry[[#This Row],[Date]]</f>
        <v>43705</v>
      </c>
      <c r="J360" s="10" t="str">
        <f>IF(TimeEntry[[#This Row],[Date]]=0,"",TEXT(TimeEntry[[#This Row],[Date]],"ddd"))</f>
        <v>Wed</v>
      </c>
      <c r="K360" s="9" t="str">
        <f>IF(TimeEntry[[#This Row],[Project]]=0,"",INDEX(ProjectsAll[job number],MATCH(TimeEntry[[#This Row],[Project]],ProjectsAll[Project],0)))</f>
        <v>LEAVE</v>
      </c>
      <c r="L360" s="6"/>
      <c r="M360" s="6">
        <v>7.5</v>
      </c>
      <c r="N360" s="9">
        <f>IF(TimeEntry[[#This Row],[Date]]=0,"",WEEKDAY(C360,2))</f>
        <v>3</v>
      </c>
      <c r="O360" s="10">
        <f>YEAR(TimeEntry[[#This Row],[WkEnd]])</f>
        <v>2019</v>
      </c>
      <c r="P360" s="10">
        <f>WEEKNUM(TimeEntry[[#This Row],[WkEnd]])</f>
        <v>36</v>
      </c>
      <c r="Q360" s="10" t="str">
        <f>TimeEntry[[#This Row],[Year]]&amp;"-"&amp;TimeEntry[[#This Row],[WkNo]]</f>
        <v>2019-36</v>
      </c>
    </row>
    <row r="361" spans="1:17" x14ac:dyDescent="0.25">
      <c r="A361" s="9">
        <f>MOD(IF(ROW()=11,0.1,IF(INDEX(TimeEntry[WkEnd],ROW()-10)            =            INDEX(TimeEntry[WkEnd],ROW()-11),               INDEX(TimeEntry[format],ROW()-11),               INDEX(TimeEntry[format],ROW()-11)    +1)),2)</f>
        <v>1.1000000000000001</v>
      </c>
      <c r="B361" s="14"/>
      <c r="C361" s="7">
        <v>43704</v>
      </c>
      <c r="D361" s="7"/>
      <c r="E361" s="7"/>
      <c r="F361" s="6" t="s">
        <v>68</v>
      </c>
      <c r="G361" s="6"/>
      <c r="H361" s="7">
        <f>IF(TimeEntry[[#This Row],[Date]]=0,H360,C361+(7-N361))</f>
        <v>43709</v>
      </c>
      <c r="I361" s="7">
        <f>TimeEntry[[#This Row],[Date]]</f>
        <v>43704</v>
      </c>
      <c r="J361" s="10" t="str">
        <f>IF(TimeEntry[[#This Row],[Date]]=0,"",TEXT(TimeEntry[[#This Row],[Date]],"ddd"))</f>
        <v>Tue</v>
      </c>
      <c r="K361" s="9" t="str">
        <f>IF(TimeEntry[[#This Row],[Project]]=0,"",INDEX(ProjectsAll[job number],MATCH(TimeEntry[[#This Row],[Project]],ProjectsAll[Project],0)))</f>
        <v>LEAVE</v>
      </c>
      <c r="L361" s="6"/>
      <c r="M361" s="6">
        <v>7.5</v>
      </c>
      <c r="N361" s="9">
        <f>IF(TimeEntry[[#This Row],[Date]]=0,"",WEEKDAY(C361,2))</f>
        <v>2</v>
      </c>
      <c r="O361" s="10">
        <f>YEAR(TimeEntry[[#This Row],[WkEnd]])</f>
        <v>2019</v>
      </c>
      <c r="P361" s="10">
        <f>WEEKNUM(TimeEntry[[#This Row],[WkEnd]])</f>
        <v>36</v>
      </c>
      <c r="Q361" s="10" t="str">
        <f>TimeEntry[[#This Row],[Year]]&amp;"-"&amp;TimeEntry[[#This Row],[WkNo]]</f>
        <v>2019-36</v>
      </c>
    </row>
    <row r="362" spans="1:17" ht="30" x14ac:dyDescent="0.25">
      <c r="A362" s="9">
        <f>MOD(IF(ROW()=11,0.1,IF(INDEX(TimeEntry[WkEnd],ROW()-10)            =            INDEX(TimeEntry[WkEnd],ROW()-11),               INDEX(TimeEntry[format],ROW()-11),               INDEX(TimeEntry[format],ROW()-11)    +1)),2)</f>
        <v>1.1000000000000001</v>
      </c>
      <c r="B362" s="14"/>
      <c r="C362" s="7">
        <v>43703</v>
      </c>
      <c r="D362" s="7"/>
      <c r="E362" s="7"/>
      <c r="F362" s="6" t="s">
        <v>12</v>
      </c>
      <c r="G362" s="6"/>
      <c r="H362" s="7">
        <f>IF(TimeEntry[[#This Row],[Date]]=0,H361,C362+(7-N362))</f>
        <v>43709</v>
      </c>
      <c r="I362" s="7">
        <f>TimeEntry[[#This Row],[Date]]</f>
        <v>43703</v>
      </c>
      <c r="J362" s="10" t="str">
        <f>IF(TimeEntry[[#This Row],[Date]]=0,"",TEXT(TimeEntry[[#This Row],[Date]],"ddd"))</f>
        <v>Mon</v>
      </c>
      <c r="K362" s="9" t="str">
        <f>IF(TimeEntry[[#This Row],[Project]]=0,"",INDEX(ProjectsAll[job number],MATCH(TimeEntry[[#This Row],[Project]],ProjectsAll[Project],0)))</f>
        <v>BANK HOLIDAY</v>
      </c>
      <c r="L362" s="6"/>
      <c r="M362" s="6">
        <v>7.5</v>
      </c>
      <c r="N362" s="9">
        <f>IF(TimeEntry[[#This Row],[Date]]=0,"",WEEKDAY(C362,2))</f>
        <v>1</v>
      </c>
      <c r="O362" s="10">
        <f>YEAR(TimeEntry[[#This Row],[WkEnd]])</f>
        <v>2019</v>
      </c>
      <c r="P362" s="10">
        <f>WEEKNUM(TimeEntry[[#This Row],[WkEnd]])</f>
        <v>36</v>
      </c>
      <c r="Q362" s="10" t="str">
        <f>TimeEntry[[#This Row],[Year]]&amp;"-"&amp;TimeEntry[[#This Row],[WkNo]]</f>
        <v>2019-36</v>
      </c>
    </row>
    <row r="363" spans="1:17" ht="30" x14ac:dyDescent="0.25">
      <c r="A363" s="9">
        <f>MOD(IF(ROW()=11,0.1,IF(INDEX(TimeEntry[WkEnd],ROW()-10)            =            INDEX(TimeEntry[WkEnd],ROW()-11),               INDEX(TimeEntry[format],ROW()-11),               INDEX(TimeEntry[format],ROW()-11)    +1)),2)</f>
        <v>0.10000000000000009</v>
      </c>
      <c r="B363" s="14"/>
      <c r="C363" s="7">
        <v>43696</v>
      </c>
      <c r="D363" s="7"/>
      <c r="E363" s="7"/>
      <c r="F363" s="6" t="s">
        <v>88</v>
      </c>
      <c r="G363" s="6"/>
      <c r="H363" s="7">
        <f>IF(TimeEntry[[#This Row],[Date]]=0,H362,C363+(7-N363))</f>
        <v>43702</v>
      </c>
      <c r="I363" s="7">
        <f>TimeEntry[[#This Row],[Date]]</f>
        <v>43696</v>
      </c>
      <c r="J363" s="10" t="str">
        <f>IF(TimeEntry[[#This Row],[Date]]=0,"",TEXT(TimeEntry[[#This Row],[Date]],"ddd"))</f>
        <v>Mon</v>
      </c>
      <c r="K363" s="9" t="str">
        <f>IF(TimeEntry[[#This Row],[Project]]=0,"",INDEX(ProjectsAll[job number],MATCH(TimeEntry[[#This Row],[Project]],ProjectsAll[Project],0)))</f>
        <v>210035-51</v>
      </c>
      <c r="L363" s="6" t="s">
        <v>196</v>
      </c>
      <c r="M363" s="6">
        <v>7.5</v>
      </c>
      <c r="N363" s="9">
        <f>IF(TimeEntry[[#This Row],[Date]]=0,"",WEEKDAY(C363,2))</f>
        <v>1</v>
      </c>
      <c r="O363" s="10">
        <f>YEAR(TimeEntry[[#This Row],[WkEnd]])</f>
        <v>2019</v>
      </c>
      <c r="P363" s="10">
        <f>WEEKNUM(TimeEntry[[#This Row],[WkEnd]])</f>
        <v>35</v>
      </c>
      <c r="Q363" s="10" t="str">
        <f>TimeEntry[[#This Row],[Year]]&amp;"-"&amp;TimeEntry[[#This Row],[WkNo]]</f>
        <v>2019-35</v>
      </c>
    </row>
    <row r="364" spans="1:17" ht="30" x14ac:dyDescent="0.25">
      <c r="A364" s="9">
        <f>MOD(IF(ROW()=11,0.1,IF(INDEX(TimeEntry[WkEnd],ROW()-10)            =            INDEX(TimeEntry[WkEnd],ROW()-11),               INDEX(TimeEntry[format],ROW()-11),               INDEX(TimeEntry[format],ROW()-11)    +1)),2)</f>
        <v>0.10000000000000009</v>
      </c>
      <c r="B364" s="14"/>
      <c r="C364" s="7">
        <v>43697</v>
      </c>
      <c r="D364" s="7"/>
      <c r="E364" s="7"/>
      <c r="F364" s="6" t="s">
        <v>84</v>
      </c>
      <c r="G364" s="6"/>
      <c r="H364" s="7">
        <f>IF(TimeEntry[[#This Row],[Date]]=0,H363,C364+(7-N364))</f>
        <v>43702</v>
      </c>
      <c r="I364" s="7">
        <f>TimeEntry[[#This Row],[Date]]</f>
        <v>43697</v>
      </c>
      <c r="J364" s="10" t="str">
        <f>IF(TimeEntry[[#This Row],[Date]]=0,"",TEXT(TimeEntry[[#This Row],[Date]],"ddd"))</f>
        <v>Tue</v>
      </c>
      <c r="K364" s="9" t="str">
        <f>IF(TimeEntry[[#This Row],[Project]]=0,"",INDEX(ProjectsAll[job number],MATCH(TimeEntry[[#This Row],[Project]],ProjectsAll[Project],0)))</f>
        <v>265720-20</v>
      </c>
      <c r="L364" s="6" t="s">
        <v>197</v>
      </c>
      <c r="M364" s="6">
        <v>7.5</v>
      </c>
      <c r="N364" s="9">
        <f>IF(TimeEntry[[#This Row],[Date]]=0,"",WEEKDAY(C364,2))</f>
        <v>2</v>
      </c>
      <c r="O364" s="10">
        <f>YEAR(TimeEntry[[#This Row],[WkEnd]])</f>
        <v>2019</v>
      </c>
      <c r="P364" s="10">
        <f>WEEKNUM(TimeEntry[[#This Row],[WkEnd]])</f>
        <v>35</v>
      </c>
      <c r="Q364" s="10" t="str">
        <f>TimeEntry[[#This Row],[Year]]&amp;"-"&amp;TimeEntry[[#This Row],[WkNo]]</f>
        <v>2019-35</v>
      </c>
    </row>
    <row r="365" spans="1:17" ht="30" x14ac:dyDescent="0.25">
      <c r="A365" s="9">
        <f>MOD(IF(ROW()=11,0.1,IF(INDEX(TimeEntry[WkEnd],ROW()-10)            =            INDEX(TimeEntry[WkEnd],ROW()-11),               INDEX(TimeEntry[format],ROW()-11),               INDEX(TimeEntry[format],ROW()-11)    +1)),2)</f>
        <v>0.10000000000000009</v>
      </c>
      <c r="B365" s="14"/>
      <c r="C365" s="7">
        <v>43698</v>
      </c>
      <c r="D365" s="7"/>
      <c r="E365" s="7"/>
      <c r="F365" s="6" t="s">
        <v>84</v>
      </c>
      <c r="G365" s="6"/>
      <c r="H365" s="7">
        <f>IF(TimeEntry[[#This Row],[Date]]=0,H364,C365+(7-N365))</f>
        <v>43702</v>
      </c>
      <c r="I365" s="7">
        <f>TimeEntry[[#This Row],[Date]]</f>
        <v>43698</v>
      </c>
      <c r="J365" s="10" t="str">
        <f>IF(TimeEntry[[#This Row],[Date]]=0,"",TEXT(TimeEntry[[#This Row],[Date]],"ddd"))</f>
        <v>Wed</v>
      </c>
      <c r="K365" s="9" t="str">
        <f>IF(TimeEntry[[#This Row],[Project]]=0,"",INDEX(ProjectsAll[job number],MATCH(TimeEntry[[#This Row],[Project]],ProjectsAll[Project],0)))</f>
        <v>265720-20</v>
      </c>
      <c r="L365" s="6" t="s">
        <v>198</v>
      </c>
      <c r="M365" s="6">
        <v>2</v>
      </c>
      <c r="N365" s="9">
        <f>IF(TimeEntry[[#This Row],[Date]]=0,"",WEEKDAY(C365,2))</f>
        <v>3</v>
      </c>
      <c r="O365" s="10">
        <f>YEAR(TimeEntry[[#This Row],[WkEnd]])</f>
        <v>2019</v>
      </c>
      <c r="P365" s="10">
        <f>WEEKNUM(TimeEntry[[#This Row],[WkEnd]])</f>
        <v>35</v>
      </c>
      <c r="Q365" s="10" t="str">
        <f>TimeEntry[[#This Row],[Year]]&amp;"-"&amp;TimeEntry[[#This Row],[WkNo]]</f>
        <v>2019-35</v>
      </c>
    </row>
    <row r="366" spans="1:17" ht="30" x14ac:dyDescent="0.25">
      <c r="A366" s="9">
        <f>MOD(IF(ROW()=11,0.1,IF(INDEX(TimeEntry[WkEnd],ROW()-10)            =            INDEX(TimeEntry[WkEnd],ROW()-11),               INDEX(TimeEntry[format],ROW()-11),               INDEX(TimeEntry[format],ROW()-11)    +1)),2)</f>
        <v>0.10000000000000009</v>
      </c>
      <c r="B366" s="14"/>
      <c r="C366" s="7">
        <v>43698</v>
      </c>
      <c r="D366" s="7"/>
      <c r="E366" s="7"/>
      <c r="F366" s="6" t="s">
        <v>88</v>
      </c>
      <c r="G366" s="6"/>
      <c r="H366" s="7">
        <f>IF(TimeEntry[[#This Row],[Date]]=0,H365,C366+(7-N366))</f>
        <v>43702</v>
      </c>
      <c r="I366" s="7">
        <f>TimeEntry[[#This Row],[Date]]</f>
        <v>43698</v>
      </c>
      <c r="J366" s="10" t="str">
        <f>IF(TimeEntry[[#This Row],[Date]]=0,"",TEXT(TimeEntry[[#This Row],[Date]],"ddd"))</f>
        <v>Wed</v>
      </c>
      <c r="K366" s="9" t="str">
        <f>IF(TimeEntry[[#This Row],[Project]]=0,"",INDEX(ProjectsAll[job number],MATCH(TimeEntry[[#This Row],[Project]],ProjectsAll[Project],0)))</f>
        <v>210035-51</v>
      </c>
      <c r="L366" s="6" t="s">
        <v>199</v>
      </c>
      <c r="M366" s="6">
        <v>5.5</v>
      </c>
      <c r="N366" s="9">
        <f>IF(TimeEntry[[#This Row],[Date]]=0,"",WEEKDAY(C366,2))</f>
        <v>3</v>
      </c>
      <c r="O366" s="10">
        <f>YEAR(TimeEntry[[#This Row],[WkEnd]])</f>
        <v>2019</v>
      </c>
      <c r="P366" s="10">
        <f>WEEKNUM(TimeEntry[[#This Row],[WkEnd]])</f>
        <v>35</v>
      </c>
      <c r="Q366" s="10" t="str">
        <f>TimeEntry[[#This Row],[Year]]&amp;"-"&amp;TimeEntry[[#This Row],[WkNo]]</f>
        <v>2019-35</v>
      </c>
    </row>
    <row r="367" spans="1:17" ht="30" x14ac:dyDescent="0.25">
      <c r="A367" s="9">
        <f>MOD(IF(ROW()=11,0.1,IF(INDEX(TimeEntry[WkEnd],ROW()-10)            =            INDEX(TimeEntry[WkEnd],ROW()-11),               INDEX(TimeEntry[format],ROW()-11),               INDEX(TimeEntry[format],ROW()-11)    +1)),2)</f>
        <v>0.10000000000000009</v>
      </c>
      <c r="B367" s="14"/>
      <c r="C367" s="7">
        <v>43699</v>
      </c>
      <c r="D367" s="7"/>
      <c r="E367" s="7"/>
      <c r="F367" s="6" t="s">
        <v>88</v>
      </c>
      <c r="G367" s="6"/>
      <c r="H367" s="7">
        <f>IF(TimeEntry[[#This Row],[Date]]=0,H366,C367+(7-N367))</f>
        <v>43702</v>
      </c>
      <c r="I367" s="7">
        <f>TimeEntry[[#This Row],[Date]]</f>
        <v>43699</v>
      </c>
      <c r="J367" s="10" t="str">
        <f>IF(TimeEntry[[#This Row],[Date]]=0,"",TEXT(TimeEntry[[#This Row],[Date]],"ddd"))</f>
        <v>Thu</v>
      </c>
      <c r="K367" s="9" t="str">
        <f>IF(TimeEntry[[#This Row],[Project]]=0,"",INDEX(ProjectsAll[job number],MATCH(TimeEntry[[#This Row],[Project]],ProjectsAll[Project],0)))</f>
        <v>210035-51</v>
      </c>
      <c r="L367" s="6" t="s">
        <v>200</v>
      </c>
      <c r="M367" s="6">
        <v>5.5</v>
      </c>
      <c r="N367" s="9">
        <f>IF(TimeEntry[[#This Row],[Date]]=0,"",WEEKDAY(C367,2))</f>
        <v>4</v>
      </c>
      <c r="O367" s="10">
        <f>YEAR(TimeEntry[[#This Row],[WkEnd]])</f>
        <v>2019</v>
      </c>
      <c r="P367" s="10">
        <f>WEEKNUM(TimeEntry[[#This Row],[WkEnd]])</f>
        <v>35</v>
      </c>
      <c r="Q367" s="10" t="str">
        <f>TimeEntry[[#This Row],[Year]]&amp;"-"&amp;TimeEntry[[#This Row],[WkNo]]</f>
        <v>2019-35</v>
      </c>
    </row>
    <row r="368" spans="1:17" ht="30" x14ac:dyDescent="0.25">
      <c r="A368" s="9">
        <f>MOD(IF(ROW()=11,0.1,IF(INDEX(TimeEntry[WkEnd],ROW()-10)            =            INDEX(TimeEntry[WkEnd],ROW()-11),               INDEX(TimeEntry[format],ROW()-11),               INDEX(TimeEntry[format],ROW()-11)    +1)),2)</f>
        <v>0.10000000000000009</v>
      </c>
      <c r="B368" s="14"/>
      <c r="C368" s="7">
        <v>43699</v>
      </c>
      <c r="D368" s="7"/>
      <c r="E368" s="7"/>
      <c r="F368" s="6" t="s">
        <v>84</v>
      </c>
      <c r="G368" s="6"/>
      <c r="H368" s="7">
        <f>IF(TimeEntry[[#This Row],[Date]]=0,H367,C368+(7-N368))</f>
        <v>43702</v>
      </c>
      <c r="I368" s="7">
        <f>TimeEntry[[#This Row],[Date]]</f>
        <v>43699</v>
      </c>
      <c r="J368" s="10" t="str">
        <f>IF(TimeEntry[[#This Row],[Date]]=0,"",TEXT(TimeEntry[[#This Row],[Date]],"ddd"))</f>
        <v>Thu</v>
      </c>
      <c r="K368" s="9" t="str">
        <f>IF(TimeEntry[[#This Row],[Project]]=0,"",INDEX(ProjectsAll[job number],MATCH(TimeEntry[[#This Row],[Project]],ProjectsAll[Project],0)))</f>
        <v>265720-20</v>
      </c>
      <c r="L368" s="6" t="s">
        <v>198</v>
      </c>
      <c r="M368" s="6">
        <v>2</v>
      </c>
      <c r="N368" s="9">
        <f>IF(TimeEntry[[#This Row],[Date]]=0,"",WEEKDAY(C368,2))</f>
        <v>4</v>
      </c>
      <c r="O368" s="10">
        <f>YEAR(TimeEntry[[#This Row],[WkEnd]])</f>
        <v>2019</v>
      </c>
      <c r="P368" s="10">
        <f>WEEKNUM(TimeEntry[[#This Row],[WkEnd]])</f>
        <v>35</v>
      </c>
      <c r="Q368" s="10" t="str">
        <f>TimeEntry[[#This Row],[Year]]&amp;"-"&amp;TimeEntry[[#This Row],[WkNo]]</f>
        <v>2019-35</v>
      </c>
    </row>
    <row r="369" spans="1:17" ht="30" x14ac:dyDescent="0.25">
      <c r="A369" s="9">
        <f>MOD(IF(ROW()=11,0.1,IF(INDEX(TimeEntry[WkEnd],ROW()-10)            =            INDEX(TimeEntry[WkEnd],ROW()-11),               INDEX(TimeEntry[format],ROW()-11),               INDEX(TimeEntry[format],ROW()-11)    +1)),2)</f>
        <v>0.10000000000000009</v>
      </c>
      <c r="B369" s="14"/>
      <c r="C369" s="7">
        <v>43700</v>
      </c>
      <c r="D369" s="7"/>
      <c r="E369" s="7"/>
      <c r="F369" s="6" t="s">
        <v>84</v>
      </c>
      <c r="G369" s="6"/>
      <c r="H369" s="7">
        <f>IF(TimeEntry[[#This Row],[Date]]=0,H368,C369+(7-N369))</f>
        <v>43702</v>
      </c>
      <c r="I369" s="7">
        <f>TimeEntry[[#This Row],[Date]]</f>
        <v>43700</v>
      </c>
      <c r="J369" s="10" t="str">
        <f>IF(TimeEntry[[#This Row],[Date]]=0,"",TEXT(TimeEntry[[#This Row],[Date]],"ddd"))</f>
        <v>Fri</v>
      </c>
      <c r="K369" s="9" t="str">
        <f>IF(TimeEntry[[#This Row],[Project]]=0,"",INDEX(ProjectsAll[job number],MATCH(TimeEntry[[#This Row],[Project]],ProjectsAll[Project],0)))</f>
        <v>265720-20</v>
      </c>
      <c r="L369" s="6" t="s">
        <v>201</v>
      </c>
      <c r="M369" s="6">
        <v>7.5</v>
      </c>
      <c r="N369" s="9">
        <f>IF(TimeEntry[[#This Row],[Date]]=0,"",WEEKDAY(C369,2))</f>
        <v>5</v>
      </c>
      <c r="O369" s="10">
        <f>YEAR(TimeEntry[[#This Row],[WkEnd]])</f>
        <v>2019</v>
      </c>
      <c r="P369" s="10">
        <f>WEEKNUM(TimeEntry[[#This Row],[WkEnd]])</f>
        <v>35</v>
      </c>
      <c r="Q369" s="10" t="str">
        <f>TimeEntry[[#This Row],[Year]]&amp;"-"&amp;TimeEntry[[#This Row],[WkNo]]</f>
        <v>2019-35</v>
      </c>
    </row>
    <row r="370" spans="1:17" ht="30" x14ac:dyDescent="0.25">
      <c r="A370" s="9">
        <f>MOD(IF(ROW()=11,0.1,IF(INDEX(TimeEntry[WkEnd],ROW()-10)            =            INDEX(TimeEntry[WkEnd],ROW()-11),               INDEX(TimeEntry[format],ROW()-11),               INDEX(TimeEntry[format],ROW()-11)    +1)),2)</f>
        <v>1.1000000000000001</v>
      </c>
      <c r="B370" s="14"/>
      <c r="C370" s="7">
        <v>43689</v>
      </c>
      <c r="D370" s="7"/>
      <c r="E370" s="7"/>
      <c r="F370" s="6" t="s">
        <v>88</v>
      </c>
      <c r="G370" s="6"/>
      <c r="H370" s="7">
        <f>IF(TimeEntry[[#This Row],[Date]]=0,H369,C370+(7-N370))</f>
        <v>43695</v>
      </c>
      <c r="I370" s="7">
        <f>TimeEntry[[#This Row],[Date]]</f>
        <v>43689</v>
      </c>
      <c r="J370" s="10" t="str">
        <f>IF(TimeEntry[[#This Row],[Date]]=0,"",TEXT(TimeEntry[[#This Row],[Date]],"ddd"))</f>
        <v>Mon</v>
      </c>
      <c r="K370" s="9" t="str">
        <f>IF(TimeEntry[[#This Row],[Project]]=0,"",INDEX(ProjectsAll[job number],MATCH(TimeEntry[[#This Row],[Project]],ProjectsAll[Project],0)))</f>
        <v>210035-51</v>
      </c>
      <c r="L370" s="6" t="s">
        <v>202</v>
      </c>
      <c r="M370" s="6">
        <v>7.5</v>
      </c>
      <c r="N370" s="9">
        <f>IF(TimeEntry[[#This Row],[Date]]=0,"",WEEKDAY(C370,2))</f>
        <v>1</v>
      </c>
      <c r="O370" s="10">
        <f>YEAR(TimeEntry[[#This Row],[WkEnd]])</f>
        <v>2019</v>
      </c>
      <c r="P370" s="10">
        <f>WEEKNUM(TimeEntry[[#This Row],[WkEnd]])</f>
        <v>34</v>
      </c>
      <c r="Q370" s="10" t="str">
        <f>TimeEntry[[#This Row],[Year]]&amp;"-"&amp;TimeEntry[[#This Row],[WkNo]]</f>
        <v>2019-34</v>
      </c>
    </row>
    <row r="371" spans="1:17" ht="30" x14ac:dyDescent="0.25">
      <c r="A371" s="9">
        <f>MOD(IF(ROW()=11,0.1,IF(INDEX(TimeEntry[WkEnd],ROW()-10)            =            INDEX(TimeEntry[WkEnd],ROW()-11),               INDEX(TimeEntry[format],ROW()-11),               INDEX(TimeEntry[format],ROW()-11)    +1)),2)</f>
        <v>1.1000000000000001</v>
      </c>
      <c r="B371" s="14"/>
      <c r="C371" s="7">
        <v>43690</v>
      </c>
      <c r="D371" s="7"/>
      <c r="E371" s="7"/>
      <c r="F371" s="6" t="s">
        <v>88</v>
      </c>
      <c r="G371" s="6"/>
      <c r="H371" s="7">
        <f>IF(TimeEntry[[#This Row],[Date]]=0,H370,C371+(7-N371))</f>
        <v>43695</v>
      </c>
      <c r="I371" s="7">
        <f>TimeEntry[[#This Row],[Date]]</f>
        <v>43690</v>
      </c>
      <c r="J371" s="10" t="str">
        <f>IF(TimeEntry[[#This Row],[Date]]=0,"",TEXT(TimeEntry[[#This Row],[Date]],"ddd"))</f>
        <v>Tue</v>
      </c>
      <c r="K371" s="9" t="str">
        <f>IF(TimeEntry[[#This Row],[Project]]=0,"",INDEX(ProjectsAll[job number],MATCH(TimeEntry[[#This Row],[Project]],ProjectsAll[Project],0)))</f>
        <v>210035-51</v>
      </c>
      <c r="L371" s="6" t="s">
        <v>202</v>
      </c>
      <c r="M371" s="6">
        <v>3.75</v>
      </c>
      <c r="N371" s="9">
        <f>IF(TimeEntry[[#This Row],[Date]]=0,"",WEEKDAY(C371,2))</f>
        <v>2</v>
      </c>
      <c r="O371" s="10">
        <f>YEAR(TimeEntry[[#This Row],[WkEnd]])</f>
        <v>2019</v>
      </c>
      <c r="P371" s="10">
        <f>WEEKNUM(TimeEntry[[#This Row],[WkEnd]])</f>
        <v>34</v>
      </c>
      <c r="Q371" s="10" t="str">
        <f>TimeEntry[[#This Row],[Year]]&amp;"-"&amp;TimeEntry[[#This Row],[WkNo]]</f>
        <v>2019-34</v>
      </c>
    </row>
    <row r="372" spans="1:17" x14ac:dyDescent="0.25">
      <c r="A372" s="9">
        <f>MOD(IF(ROW()=11,0.1,IF(INDEX(TimeEntry[WkEnd],ROW()-10)            =            INDEX(TimeEntry[WkEnd],ROW()-11),               INDEX(TimeEntry[format],ROW()-11),               INDEX(TimeEntry[format],ROW()-11)    +1)),2)</f>
        <v>1.1000000000000001</v>
      </c>
      <c r="B372" s="14"/>
      <c r="C372" s="7">
        <v>43690</v>
      </c>
      <c r="D372" s="7"/>
      <c r="E372" s="7"/>
      <c r="F372" s="6" t="s">
        <v>68</v>
      </c>
      <c r="G372" s="6"/>
      <c r="H372" s="7">
        <f>IF(TimeEntry[[#This Row],[Date]]=0,H371,C372+(7-N372))</f>
        <v>43695</v>
      </c>
      <c r="I372" s="7">
        <f>TimeEntry[[#This Row],[Date]]</f>
        <v>43690</v>
      </c>
      <c r="J372" s="10" t="str">
        <f>IF(TimeEntry[[#This Row],[Date]]=0,"",TEXT(TimeEntry[[#This Row],[Date]],"ddd"))</f>
        <v>Tue</v>
      </c>
      <c r="K372" s="9" t="str">
        <f>IF(TimeEntry[[#This Row],[Project]]=0,"",INDEX(ProjectsAll[job number],MATCH(TimeEntry[[#This Row],[Project]],ProjectsAll[Project],0)))</f>
        <v>LEAVE</v>
      </c>
      <c r="L372" s="6"/>
      <c r="M372" s="6">
        <v>3.75</v>
      </c>
      <c r="N372" s="9">
        <f>IF(TimeEntry[[#This Row],[Date]]=0,"",WEEKDAY(C372,2))</f>
        <v>2</v>
      </c>
      <c r="O372" s="10">
        <f>YEAR(TimeEntry[[#This Row],[WkEnd]])</f>
        <v>2019</v>
      </c>
      <c r="P372" s="10">
        <f>WEEKNUM(TimeEntry[[#This Row],[WkEnd]])</f>
        <v>34</v>
      </c>
      <c r="Q372" s="10" t="str">
        <f>TimeEntry[[#This Row],[Year]]&amp;"-"&amp;TimeEntry[[#This Row],[WkNo]]</f>
        <v>2019-34</v>
      </c>
    </row>
    <row r="373" spans="1:17" ht="30" x14ac:dyDescent="0.25">
      <c r="A373" s="9">
        <f>MOD(IF(ROW()=11,0.1,IF(INDEX(TimeEntry[WkEnd],ROW()-10)            =            INDEX(TimeEntry[WkEnd],ROW()-11),               INDEX(TimeEntry[format],ROW()-11),               INDEX(TimeEntry[format],ROW()-11)    +1)),2)</f>
        <v>1.1000000000000001</v>
      </c>
      <c r="B373" s="14"/>
      <c r="C373" s="7">
        <v>43691</v>
      </c>
      <c r="D373" s="7"/>
      <c r="E373" s="7"/>
      <c r="F373" s="6" t="s">
        <v>88</v>
      </c>
      <c r="G373" s="6"/>
      <c r="H373" s="7">
        <f>IF(TimeEntry[[#This Row],[Date]]=0,H372,C373+(7-N373))</f>
        <v>43695</v>
      </c>
      <c r="I373" s="7">
        <f>TimeEntry[[#This Row],[Date]]</f>
        <v>43691</v>
      </c>
      <c r="J373" s="10" t="str">
        <f>IF(TimeEntry[[#This Row],[Date]]=0,"",TEXT(TimeEntry[[#This Row],[Date]],"ddd"))</f>
        <v>Wed</v>
      </c>
      <c r="K373" s="9" t="str">
        <f>IF(TimeEntry[[#This Row],[Project]]=0,"",INDEX(ProjectsAll[job number],MATCH(TimeEntry[[#This Row],[Project]],ProjectsAll[Project],0)))</f>
        <v>210035-51</v>
      </c>
      <c r="L373" s="6" t="s">
        <v>202</v>
      </c>
      <c r="M373" s="6">
        <v>5.5</v>
      </c>
      <c r="N373" s="9">
        <f>IF(TimeEntry[[#This Row],[Date]]=0,"",WEEKDAY(C373,2))</f>
        <v>3</v>
      </c>
      <c r="O373" s="10">
        <f>YEAR(TimeEntry[[#This Row],[WkEnd]])</f>
        <v>2019</v>
      </c>
      <c r="P373" s="10">
        <f>WEEKNUM(TimeEntry[[#This Row],[WkEnd]])</f>
        <v>34</v>
      </c>
      <c r="Q373" s="10" t="str">
        <f>TimeEntry[[#This Row],[Year]]&amp;"-"&amp;TimeEntry[[#This Row],[WkNo]]</f>
        <v>2019-34</v>
      </c>
    </row>
    <row r="374" spans="1:17" ht="30" x14ac:dyDescent="0.25">
      <c r="A374" s="9">
        <f>MOD(IF(ROW()=11,0.1,IF(INDEX(TimeEntry[WkEnd],ROW()-10)            =            INDEX(TimeEntry[WkEnd],ROW()-11),               INDEX(TimeEntry[format],ROW()-11),               INDEX(TimeEntry[format],ROW()-11)    +1)),2)</f>
        <v>1.1000000000000001</v>
      </c>
      <c r="B374" s="14"/>
      <c r="C374" s="7">
        <v>43691</v>
      </c>
      <c r="D374" s="7"/>
      <c r="E374" s="7"/>
      <c r="F374" s="6" t="s">
        <v>88</v>
      </c>
      <c r="G374" s="6"/>
      <c r="H374" s="7">
        <f>IF(TimeEntry[[#This Row],[Date]]=0,H373,C374+(7-N374))</f>
        <v>43695</v>
      </c>
      <c r="I374" s="7">
        <f>TimeEntry[[#This Row],[Date]]</f>
        <v>43691</v>
      </c>
      <c r="J374" s="10" t="str">
        <f>IF(TimeEntry[[#This Row],[Date]]=0,"",TEXT(TimeEntry[[#This Row],[Date]],"ddd"))</f>
        <v>Wed</v>
      </c>
      <c r="K374" s="9" t="str">
        <f>IF(TimeEntry[[#This Row],[Project]]=0,"",INDEX(ProjectsAll[job number],MATCH(TimeEntry[[#This Row],[Project]],ProjectsAll[Project],0)))</f>
        <v>210035-51</v>
      </c>
      <c r="L374" s="6" t="s">
        <v>203</v>
      </c>
      <c r="M374" s="6">
        <v>2</v>
      </c>
      <c r="N374" s="9">
        <f>IF(TimeEntry[[#This Row],[Date]]=0,"",WEEKDAY(C374,2))</f>
        <v>3</v>
      </c>
      <c r="O374" s="10">
        <f>YEAR(TimeEntry[[#This Row],[WkEnd]])</f>
        <v>2019</v>
      </c>
      <c r="P374" s="10">
        <f>WEEKNUM(TimeEntry[[#This Row],[WkEnd]])</f>
        <v>34</v>
      </c>
      <c r="Q374" s="10" t="str">
        <f>TimeEntry[[#This Row],[Year]]&amp;"-"&amp;TimeEntry[[#This Row],[WkNo]]</f>
        <v>2019-34</v>
      </c>
    </row>
    <row r="375" spans="1:17" ht="30" x14ac:dyDescent="0.25">
      <c r="A375" s="9">
        <f>MOD(IF(ROW()=11,0.1,IF(INDEX(TimeEntry[WkEnd],ROW()-10)            =            INDEX(TimeEntry[WkEnd],ROW()-11),               INDEX(TimeEntry[format],ROW()-11),               INDEX(TimeEntry[format],ROW()-11)    +1)),2)</f>
        <v>1.1000000000000001</v>
      </c>
      <c r="B375" s="14"/>
      <c r="C375" s="7">
        <v>43692</v>
      </c>
      <c r="D375" s="7"/>
      <c r="E375" s="7"/>
      <c r="F375" s="6" t="s">
        <v>84</v>
      </c>
      <c r="G375" s="6"/>
      <c r="H375" s="7">
        <f>IF(TimeEntry[[#This Row],[Date]]=0,H374,C375+(7-N375))</f>
        <v>43695</v>
      </c>
      <c r="I375" s="7">
        <f>TimeEntry[[#This Row],[Date]]</f>
        <v>43692</v>
      </c>
      <c r="J375" s="10" t="str">
        <f>IF(TimeEntry[[#This Row],[Date]]=0,"",TEXT(TimeEntry[[#This Row],[Date]],"ddd"))</f>
        <v>Thu</v>
      </c>
      <c r="K375" s="9" t="str">
        <f>IF(TimeEntry[[#This Row],[Project]]=0,"",INDEX(ProjectsAll[job number],MATCH(TimeEntry[[#This Row],[Project]],ProjectsAll[Project],0)))</f>
        <v>265720-20</v>
      </c>
      <c r="L375" s="6" t="s">
        <v>204</v>
      </c>
      <c r="M375" s="6">
        <v>7.5</v>
      </c>
      <c r="N375" s="9">
        <f>IF(TimeEntry[[#This Row],[Date]]=0,"",WEEKDAY(C375,2))</f>
        <v>4</v>
      </c>
      <c r="O375" s="10">
        <f>YEAR(TimeEntry[[#This Row],[WkEnd]])</f>
        <v>2019</v>
      </c>
      <c r="P375" s="10">
        <f>WEEKNUM(TimeEntry[[#This Row],[WkEnd]])</f>
        <v>34</v>
      </c>
      <c r="Q375" s="10" t="str">
        <f>TimeEntry[[#This Row],[Year]]&amp;"-"&amp;TimeEntry[[#This Row],[WkNo]]</f>
        <v>2019-34</v>
      </c>
    </row>
    <row r="376" spans="1:17" ht="30" x14ac:dyDescent="0.25">
      <c r="A376" s="9">
        <f>MOD(IF(ROW()=11,0.1,IF(INDEX(TimeEntry[WkEnd],ROW()-10)            =            INDEX(TimeEntry[WkEnd],ROW()-11),               INDEX(TimeEntry[format],ROW()-11),               INDEX(TimeEntry[format],ROW()-11)    +1)),2)</f>
        <v>1.1000000000000001</v>
      </c>
      <c r="B376" s="14"/>
      <c r="C376" s="7">
        <v>43693</v>
      </c>
      <c r="D376" s="7"/>
      <c r="E376" s="7"/>
      <c r="F376" s="6" t="s">
        <v>84</v>
      </c>
      <c r="G376" s="6"/>
      <c r="H376" s="7">
        <f>IF(TimeEntry[[#This Row],[Date]]=0,H375,C376+(7-N376))</f>
        <v>43695</v>
      </c>
      <c r="I376" s="7">
        <f>TimeEntry[[#This Row],[Date]]</f>
        <v>43693</v>
      </c>
      <c r="J376" s="10" t="str">
        <f>IF(TimeEntry[[#This Row],[Date]]=0,"",TEXT(TimeEntry[[#This Row],[Date]],"ddd"))</f>
        <v>Fri</v>
      </c>
      <c r="K376" s="9" t="str">
        <f>IF(TimeEntry[[#This Row],[Project]]=0,"",INDEX(ProjectsAll[job number],MATCH(TimeEntry[[#This Row],[Project]],ProjectsAll[Project],0)))</f>
        <v>265720-20</v>
      </c>
      <c r="L376" s="6" t="s">
        <v>204</v>
      </c>
      <c r="M376" s="6">
        <v>3.75</v>
      </c>
      <c r="N376" s="9">
        <f>IF(TimeEntry[[#This Row],[Date]]=0,"",WEEKDAY(C376,2))</f>
        <v>5</v>
      </c>
      <c r="O376" s="10">
        <f>YEAR(TimeEntry[[#This Row],[WkEnd]])</f>
        <v>2019</v>
      </c>
      <c r="P376" s="10">
        <f>WEEKNUM(TimeEntry[[#This Row],[WkEnd]])</f>
        <v>34</v>
      </c>
      <c r="Q376" s="10" t="str">
        <f>TimeEntry[[#This Row],[Year]]&amp;"-"&amp;TimeEntry[[#This Row],[WkNo]]</f>
        <v>2019-34</v>
      </c>
    </row>
    <row r="377" spans="1:17" x14ac:dyDescent="0.25">
      <c r="A377" s="9">
        <f>MOD(IF(ROW()=11,0.1,IF(INDEX(TimeEntry[WkEnd],ROW()-10)            =            INDEX(TimeEntry[WkEnd],ROW()-11),               INDEX(TimeEntry[format],ROW()-11),               INDEX(TimeEntry[format],ROW()-11)    +1)),2)</f>
        <v>1.1000000000000001</v>
      </c>
      <c r="B377" s="14"/>
      <c r="C377" s="7">
        <v>43693</v>
      </c>
      <c r="D377" s="7"/>
      <c r="E377" s="7"/>
      <c r="F377" s="6" t="s">
        <v>68</v>
      </c>
      <c r="G377" s="6"/>
      <c r="H377" s="7">
        <f>IF(TimeEntry[[#This Row],[Date]]=0,H376,C377+(7-N377))</f>
        <v>43695</v>
      </c>
      <c r="I377" s="7">
        <f>TimeEntry[[#This Row],[Date]]</f>
        <v>43693</v>
      </c>
      <c r="J377" s="10" t="str">
        <f>IF(TimeEntry[[#This Row],[Date]]=0,"",TEXT(TimeEntry[[#This Row],[Date]],"ddd"))</f>
        <v>Fri</v>
      </c>
      <c r="K377" s="9" t="str">
        <f>IF(TimeEntry[[#This Row],[Project]]=0,"",INDEX(ProjectsAll[job number],MATCH(TimeEntry[[#This Row],[Project]],ProjectsAll[Project],0)))</f>
        <v>LEAVE</v>
      </c>
      <c r="L377" s="6"/>
      <c r="M377" s="6">
        <v>3.75</v>
      </c>
      <c r="N377" s="9">
        <f>IF(TimeEntry[[#This Row],[Date]]=0,"",WEEKDAY(C377,2))</f>
        <v>5</v>
      </c>
      <c r="O377" s="10">
        <f>YEAR(TimeEntry[[#This Row],[WkEnd]])</f>
        <v>2019</v>
      </c>
      <c r="P377" s="10">
        <f>WEEKNUM(TimeEntry[[#This Row],[WkEnd]])</f>
        <v>34</v>
      </c>
      <c r="Q377" s="10" t="str">
        <f>TimeEntry[[#This Row],[Year]]&amp;"-"&amp;TimeEntry[[#This Row],[WkNo]]</f>
        <v>2019-34</v>
      </c>
    </row>
    <row r="378" spans="1:17" ht="30" x14ac:dyDescent="0.25">
      <c r="A378" s="9">
        <f>MOD(IF(ROW()=11,0.1,IF(INDEX(TimeEntry[WkEnd],ROW()-10)            =            INDEX(TimeEntry[WkEnd],ROW()-11),               INDEX(TimeEntry[format],ROW()-11),               INDEX(TimeEntry[format],ROW()-11)    +1)),2)</f>
        <v>0.10000000000000009</v>
      </c>
      <c r="B378" s="14"/>
      <c r="C378" s="7">
        <v>43682</v>
      </c>
      <c r="D378" s="7"/>
      <c r="E378" s="7"/>
      <c r="F378" s="6" t="s">
        <v>84</v>
      </c>
      <c r="G378" s="6"/>
      <c r="H378" s="7">
        <f>IF(TimeEntry[[#This Row],[Date]]=0,H377,C378+(7-N378))</f>
        <v>43688</v>
      </c>
      <c r="I378" s="7">
        <f>TimeEntry[[#This Row],[Date]]</f>
        <v>43682</v>
      </c>
      <c r="J378" s="10" t="str">
        <f>IF(TimeEntry[[#This Row],[Date]]=0,"",TEXT(TimeEntry[[#This Row],[Date]],"ddd"))</f>
        <v>Mon</v>
      </c>
      <c r="K378" s="9" t="str">
        <f>IF(TimeEntry[[#This Row],[Project]]=0,"",INDEX(ProjectsAll[job number],MATCH(TimeEntry[[#This Row],[Project]],ProjectsAll[Project],0)))</f>
        <v>265720-20</v>
      </c>
      <c r="L378" s="6" t="s">
        <v>205</v>
      </c>
      <c r="M378" s="6"/>
      <c r="N378" s="9">
        <f>IF(TimeEntry[[#This Row],[Date]]=0,"",WEEKDAY(C378,2))</f>
        <v>1</v>
      </c>
      <c r="O378" s="10">
        <f>YEAR(TimeEntry[[#This Row],[WkEnd]])</f>
        <v>2019</v>
      </c>
      <c r="P378" s="10">
        <f>WEEKNUM(TimeEntry[[#This Row],[WkEnd]])</f>
        <v>33</v>
      </c>
      <c r="Q378" s="10" t="str">
        <f>TimeEntry[[#This Row],[Year]]&amp;"-"&amp;TimeEntry[[#This Row],[WkNo]]</f>
        <v>2019-33</v>
      </c>
    </row>
    <row r="379" spans="1:17" ht="30" x14ac:dyDescent="0.25">
      <c r="A379" s="9">
        <f>MOD(IF(ROW()=11,0.1,IF(INDEX(TimeEntry[WkEnd],ROW()-10)            =            INDEX(TimeEntry[WkEnd],ROW()-11),               INDEX(TimeEntry[format],ROW()-11),               INDEX(TimeEntry[format],ROW()-11)    +1)),2)</f>
        <v>0.10000000000000009</v>
      </c>
      <c r="B379" s="14"/>
      <c r="C379" s="7">
        <v>43683</v>
      </c>
      <c r="D379" s="7"/>
      <c r="E379" s="7"/>
      <c r="F379" s="6" t="s">
        <v>88</v>
      </c>
      <c r="G379" s="6"/>
      <c r="H379" s="7">
        <f>IF(TimeEntry[[#This Row],[Date]]=0,H378,C379+(7-N379))</f>
        <v>43688</v>
      </c>
      <c r="I379" s="7">
        <f>TimeEntry[[#This Row],[Date]]</f>
        <v>43683</v>
      </c>
      <c r="J379" s="10" t="str">
        <f>IF(TimeEntry[[#This Row],[Date]]=0,"",TEXT(TimeEntry[[#This Row],[Date]],"ddd"))</f>
        <v>Tue</v>
      </c>
      <c r="K379" s="9" t="str">
        <f>IF(TimeEntry[[#This Row],[Project]]=0,"",INDEX(ProjectsAll[job number],MATCH(TimeEntry[[#This Row],[Project]],ProjectsAll[Project],0)))</f>
        <v>210035-51</v>
      </c>
      <c r="L379" s="6" t="s">
        <v>206</v>
      </c>
      <c r="M379" s="6"/>
      <c r="N379" s="9">
        <f>IF(TimeEntry[[#This Row],[Date]]=0,"",WEEKDAY(C379,2))</f>
        <v>2</v>
      </c>
      <c r="O379" s="10">
        <f>YEAR(TimeEntry[[#This Row],[WkEnd]])</f>
        <v>2019</v>
      </c>
      <c r="P379" s="10">
        <f>WEEKNUM(TimeEntry[[#This Row],[WkEnd]])</f>
        <v>33</v>
      </c>
      <c r="Q379" s="10" t="str">
        <f>TimeEntry[[#This Row],[Year]]&amp;"-"&amp;TimeEntry[[#This Row],[WkNo]]</f>
        <v>2019-33</v>
      </c>
    </row>
    <row r="380" spans="1:17" ht="30" x14ac:dyDescent="0.25">
      <c r="A380" s="9">
        <f>MOD(IF(ROW()=11,0.1,IF(INDEX(TimeEntry[WkEnd],ROW()-10)            =            INDEX(TimeEntry[WkEnd],ROW()-11),               INDEX(TimeEntry[format],ROW()-11),               INDEX(TimeEntry[format],ROW()-11)    +1)),2)</f>
        <v>0.10000000000000009</v>
      </c>
      <c r="B380" s="14"/>
      <c r="C380" s="7">
        <v>43684</v>
      </c>
      <c r="D380" s="7"/>
      <c r="E380" s="7"/>
      <c r="F380" s="6" t="s">
        <v>88</v>
      </c>
      <c r="G380" s="6"/>
      <c r="H380" s="7">
        <f>IF(TimeEntry[[#This Row],[Date]]=0,H379,C380+(7-N380))</f>
        <v>43688</v>
      </c>
      <c r="I380" s="7">
        <f>TimeEntry[[#This Row],[Date]]</f>
        <v>43684</v>
      </c>
      <c r="J380" s="10" t="str">
        <f>IF(TimeEntry[[#This Row],[Date]]=0,"",TEXT(TimeEntry[[#This Row],[Date]],"ddd"))</f>
        <v>Wed</v>
      </c>
      <c r="K380" s="9" t="str">
        <f>IF(TimeEntry[[#This Row],[Project]]=0,"",INDEX(ProjectsAll[job number],MATCH(TimeEntry[[#This Row],[Project]],ProjectsAll[Project],0)))</f>
        <v>210035-51</v>
      </c>
      <c r="L380" s="6" t="s">
        <v>207</v>
      </c>
      <c r="M380" s="6"/>
      <c r="N380" s="9">
        <f>IF(TimeEntry[[#This Row],[Date]]=0,"",WEEKDAY(C380,2))</f>
        <v>3</v>
      </c>
      <c r="O380" s="10">
        <f>YEAR(TimeEntry[[#This Row],[WkEnd]])</f>
        <v>2019</v>
      </c>
      <c r="P380" s="10">
        <f>WEEKNUM(TimeEntry[[#This Row],[WkEnd]])</f>
        <v>33</v>
      </c>
      <c r="Q380" s="10" t="str">
        <f>TimeEntry[[#This Row],[Year]]&amp;"-"&amp;TimeEntry[[#This Row],[WkNo]]</f>
        <v>2019-33</v>
      </c>
    </row>
    <row r="381" spans="1:17" ht="30" x14ac:dyDescent="0.25">
      <c r="A381" s="9">
        <f>MOD(IF(ROW()=11,0.1,IF(INDEX(TimeEntry[WkEnd],ROW()-10)            =            INDEX(TimeEntry[WkEnd],ROW()-11),               INDEX(TimeEntry[format],ROW()-11),               INDEX(TimeEntry[format],ROW()-11)    +1)),2)</f>
        <v>0.10000000000000009</v>
      </c>
      <c r="B381" s="14"/>
      <c r="C381" s="7">
        <v>43685</v>
      </c>
      <c r="D381" s="7"/>
      <c r="E381" s="7"/>
      <c r="F381" s="6" t="s">
        <v>88</v>
      </c>
      <c r="G381" s="6"/>
      <c r="H381" s="7">
        <f>IF(TimeEntry[[#This Row],[Date]]=0,H380,C381+(7-N381))</f>
        <v>43688</v>
      </c>
      <c r="I381" s="7">
        <f>TimeEntry[[#This Row],[Date]]</f>
        <v>43685</v>
      </c>
      <c r="J381" s="10" t="str">
        <f>IF(TimeEntry[[#This Row],[Date]]=0,"",TEXT(TimeEntry[[#This Row],[Date]],"ddd"))</f>
        <v>Thu</v>
      </c>
      <c r="K381" s="9" t="str">
        <f>IF(TimeEntry[[#This Row],[Project]]=0,"",INDEX(ProjectsAll[job number],MATCH(TimeEntry[[#This Row],[Project]],ProjectsAll[Project],0)))</f>
        <v>210035-51</v>
      </c>
      <c r="L381" s="6" t="s">
        <v>208</v>
      </c>
      <c r="M381" s="6"/>
      <c r="N381" s="9">
        <f>IF(TimeEntry[[#This Row],[Date]]=0,"",WEEKDAY(C381,2))</f>
        <v>4</v>
      </c>
      <c r="O381" s="10">
        <f>YEAR(TimeEntry[[#This Row],[WkEnd]])</f>
        <v>2019</v>
      </c>
      <c r="P381" s="10">
        <f>WEEKNUM(TimeEntry[[#This Row],[WkEnd]])</f>
        <v>33</v>
      </c>
      <c r="Q381" s="10" t="str">
        <f>TimeEntry[[#This Row],[Year]]&amp;"-"&amp;TimeEntry[[#This Row],[WkNo]]</f>
        <v>2019-33</v>
      </c>
    </row>
    <row r="382" spans="1:17" ht="30" x14ac:dyDescent="0.25">
      <c r="A382" s="9">
        <f>MOD(IF(ROW()=11,0.1,IF(INDEX(TimeEntry[WkEnd],ROW()-10)            =            INDEX(TimeEntry[WkEnd],ROW()-11),               INDEX(TimeEntry[format],ROW()-11),               INDEX(TimeEntry[format],ROW()-11)    +1)),2)</f>
        <v>0.10000000000000009</v>
      </c>
      <c r="B382" s="14"/>
      <c r="C382" s="7">
        <v>43686</v>
      </c>
      <c r="D382" s="7"/>
      <c r="E382" s="7"/>
      <c r="F382" s="6" t="s">
        <v>84</v>
      </c>
      <c r="G382" s="6"/>
      <c r="H382" s="7">
        <f>IF(TimeEntry[[#This Row],[Date]]=0,H381,C382+(7-N382))</f>
        <v>43688</v>
      </c>
      <c r="I382" s="7">
        <f>TimeEntry[[#This Row],[Date]]</f>
        <v>43686</v>
      </c>
      <c r="J382" s="10" t="str">
        <f>IF(TimeEntry[[#This Row],[Date]]=0,"",TEXT(TimeEntry[[#This Row],[Date]],"ddd"))</f>
        <v>Fri</v>
      </c>
      <c r="K382" s="9" t="str">
        <f>IF(TimeEntry[[#This Row],[Project]]=0,"",INDEX(ProjectsAll[job number],MATCH(TimeEntry[[#This Row],[Project]],ProjectsAll[Project],0)))</f>
        <v>265720-20</v>
      </c>
      <c r="L382" s="6" t="s">
        <v>209</v>
      </c>
      <c r="M382" s="6"/>
      <c r="N382" s="9">
        <f>IF(TimeEntry[[#This Row],[Date]]=0,"",WEEKDAY(C382,2))</f>
        <v>5</v>
      </c>
      <c r="O382" s="10">
        <f>YEAR(TimeEntry[[#This Row],[WkEnd]])</f>
        <v>2019</v>
      </c>
      <c r="P382" s="10">
        <f>WEEKNUM(TimeEntry[[#This Row],[WkEnd]])</f>
        <v>33</v>
      </c>
      <c r="Q382" s="10" t="str">
        <f>TimeEntry[[#This Row],[Year]]&amp;"-"&amp;TimeEntry[[#This Row],[WkNo]]</f>
        <v>2019-33</v>
      </c>
    </row>
    <row r="383" spans="1:17" ht="30" x14ac:dyDescent="0.25">
      <c r="A383" s="9">
        <f>MOD(IF(ROW()=11,0.1,IF(INDEX(TimeEntry[WkEnd],ROW()-10)            =            INDEX(TimeEntry[WkEnd],ROW()-11),               INDEX(TimeEntry[format],ROW()-11),               INDEX(TimeEntry[format],ROW()-11)    +1)),2)</f>
        <v>1.1000000000000001</v>
      </c>
      <c r="B383" s="14"/>
      <c r="C383" s="7">
        <v>43675</v>
      </c>
      <c r="D383" s="7"/>
      <c r="E383" s="7"/>
      <c r="F383" s="6" t="s">
        <v>88</v>
      </c>
      <c r="G383" s="6"/>
      <c r="H383" s="7">
        <f>IF(TimeEntry[[#This Row],[Date]]=0,H382,C383+(7-N383))</f>
        <v>43681</v>
      </c>
      <c r="I383" s="7">
        <f>TimeEntry[[#This Row],[Date]]</f>
        <v>43675</v>
      </c>
      <c r="J383" s="10" t="str">
        <f>IF(TimeEntry[[#This Row],[Date]]=0,"",TEXT(TimeEntry[[#This Row],[Date]],"ddd"))</f>
        <v>Mon</v>
      </c>
      <c r="K383" s="9" t="str">
        <f>IF(TimeEntry[[#This Row],[Project]]=0,"",INDEX(ProjectsAll[job number],MATCH(TimeEntry[[#This Row],[Project]],ProjectsAll[Project],0)))</f>
        <v>210035-51</v>
      </c>
      <c r="L383" s="6" t="s">
        <v>210</v>
      </c>
      <c r="M383" s="6">
        <v>7.5</v>
      </c>
      <c r="N383" s="9">
        <f>IF(TimeEntry[[#This Row],[Date]]=0,"",WEEKDAY(C383,2))</f>
        <v>1</v>
      </c>
      <c r="O383" s="10">
        <f>YEAR(TimeEntry[[#This Row],[WkEnd]])</f>
        <v>2019</v>
      </c>
      <c r="P383" s="10">
        <f>WEEKNUM(TimeEntry[[#This Row],[WkEnd]])</f>
        <v>32</v>
      </c>
      <c r="Q383" s="10" t="str">
        <f>TimeEntry[[#This Row],[Year]]&amp;"-"&amp;TimeEntry[[#This Row],[WkNo]]</f>
        <v>2019-32</v>
      </c>
    </row>
    <row r="384" spans="1:17" ht="30" x14ac:dyDescent="0.25">
      <c r="A384" s="9">
        <f>MOD(IF(ROW()=11,0.1,IF(INDEX(TimeEntry[WkEnd],ROW()-10)            =            INDEX(TimeEntry[WkEnd],ROW()-11),               INDEX(TimeEntry[format],ROW()-11),               INDEX(TimeEntry[format],ROW()-11)    +1)),2)</f>
        <v>1.1000000000000001</v>
      </c>
      <c r="B384" s="14"/>
      <c r="C384" s="7">
        <v>43676</v>
      </c>
      <c r="D384" s="7"/>
      <c r="E384" s="7"/>
      <c r="F384" s="6" t="s">
        <v>84</v>
      </c>
      <c r="G384" s="6"/>
      <c r="H384" s="7">
        <f>IF(TimeEntry[[#This Row],[Date]]=0,H383,C384+(7-N384))</f>
        <v>43681</v>
      </c>
      <c r="I384" s="7">
        <f>TimeEntry[[#This Row],[Date]]</f>
        <v>43676</v>
      </c>
      <c r="J384" s="10" t="str">
        <f>IF(TimeEntry[[#This Row],[Date]]=0,"",TEXT(TimeEntry[[#This Row],[Date]],"ddd"))</f>
        <v>Tue</v>
      </c>
      <c r="K384" s="9" t="str">
        <f>IF(TimeEntry[[#This Row],[Project]]=0,"",INDEX(ProjectsAll[job number],MATCH(TimeEntry[[#This Row],[Project]],ProjectsAll[Project],0)))</f>
        <v>265720-20</v>
      </c>
      <c r="L384" s="6" t="s">
        <v>211</v>
      </c>
      <c r="M384" s="6">
        <v>7.5</v>
      </c>
      <c r="N384" s="9">
        <f>IF(TimeEntry[[#This Row],[Date]]=0,"",WEEKDAY(C384,2))</f>
        <v>2</v>
      </c>
      <c r="O384" s="10">
        <f>YEAR(TimeEntry[[#This Row],[WkEnd]])</f>
        <v>2019</v>
      </c>
      <c r="P384" s="10">
        <f>WEEKNUM(TimeEntry[[#This Row],[WkEnd]])</f>
        <v>32</v>
      </c>
      <c r="Q384" s="10" t="str">
        <f>TimeEntry[[#This Row],[Year]]&amp;"-"&amp;TimeEntry[[#This Row],[WkNo]]</f>
        <v>2019-32</v>
      </c>
    </row>
    <row r="385" spans="1:17" ht="30" x14ac:dyDescent="0.25">
      <c r="A385" s="9">
        <f>MOD(IF(ROW()=11,0.1,IF(INDEX(TimeEntry[WkEnd],ROW()-10)            =            INDEX(TimeEntry[WkEnd],ROW()-11),               INDEX(TimeEntry[format],ROW()-11),               INDEX(TimeEntry[format],ROW()-11)    +1)),2)</f>
        <v>1.1000000000000001</v>
      </c>
      <c r="B385" s="14"/>
      <c r="C385" s="7">
        <v>43677</v>
      </c>
      <c r="D385" s="7"/>
      <c r="E385" s="7"/>
      <c r="F385" s="6" t="s">
        <v>84</v>
      </c>
      <c r="G385" s="6"/>
      <c r="H385" s="7">
        <f>IF(TimeEntry[[#This Row],[Date]]=0,H384,C385+(7-N385))</f>
        <v>43681</v>
      </c>
      <c r="I385" s="7">
        <f>TimeEntry[[#This Row],[Date]]</f>
        <v>43677</v>
      </c>
      <c r="J385" s="10" t="str">
        <f>IF(TimeEntry[[#This Row],[Date]]=0,"",TEXT(TimeEntry[[#This Row],[Date]],"ddd"))</f>
        <v>Wed</v>
      </c>
      <c r="K385" s="9" t="str">
        <f>IF(TimeEntry[[#This Row],[Project]]=0,"",INDEX(ProjectsAll[job number],MATCH(TimeEntry[[#This Row],[Project]],ProjectsAll[Project],0)))</f>
        <v>265720-20</v>
      </c>
      <c r="L385" s="6" t="s">
        <v>211</v>
      </c>
      <c r="M385" s="6">
        <v>7.5</v>
      </c>
      <c r="N385" s="9">
        <f>IF(TimeEntry[[#This Row],[Date]]=0,"",WEEKDAY(C385,2))</f>
        <v>3</v>
      </c>
      <c r="O385" s="10">
        <f>YEAR(TimeEntry[[#This Row],[WkEnd]])</f>
        <v>2019</v>
      </c>
      <c r="P385" s="10">
        <f>WEEKNUM(TimeEntry[[#This Row],[WkEnd]])</f>
        <v>32</v>
      </c>
      <c r="Q385" s="10" t="str">
        <f>TimeEntry[[#This Row],[Year]]&amp;"-"&amp;TimeEntry[[#This Row],[WkNo]]</f>
        <v>2019-32</v>
      </c>
    </row>
    <row r="386" spans="1:17" ht="30" x14ac:dyDescent="0.25">
      <c r="A386" s="9">
        <f>MOD(IF(ROW()=11,0.1,IF(INDEX(TimeEntry[WkEnd],ROW()-10)            =            INDEX(TimeEntry[WkEnd],ROW()-11),               INDEX(TimeEntry[format],ROW()-11),               INDEX(TimeEntry[format],ROW()-11)    +1)),2)</f>
        <v>1.1000000000000001</v>
      </c>
      <c r="B386" s="14"/>
      <c r="C386" s="7">
        <v>43678</v>
      </c>
      <c r="D386" s="7"/>
      <c r="E386" s="7"/>
      <c r="F386" s="6" t="s">
        <v>88</v>
      </c>
      <c r="G386" s="6"/>
      <c r="H386" s="7">
        <f>IF(TimeEntry[[#This Row],[Date]]=0,H385,C386+(7-N386))</f>
        <v>43681</v>
      </c>
      <c r="I386" s="7">
        <f>TimeEntry[[#This Row],[Date]]</f>
        <v>43678</v>
      </c>
      <c r="J386" s="10" t="str">
        <f>IF(TimeEntry[[#This Row],[Date]]=0,"",TEXT(TimeEntry[[#This Row],[Date]],"ddd"))</f>
        <v>Thu</v>
      </c>
      <c r="K386" s="9" t="str">
        <f>IF(TimeEntry[[#This Row],[Project]]=0,"",INDEX(ProjectsAll[job number],MATCH(TimeEntry[[#This Row],[Project]],ProjectsAll[Project],0)))</f>
        <v>210035-51</v>
      </c>
      <c r="L386" s="6" t="s">
        <v>212</v>
      </c>
      <c r="M386" s="6">
        <v>7.5</v>
      </c>
      <c r="N386" s="9">
        <f>IF(TimeEntry[[#This Row],[Date]]=0,"",WEEKDAY(C386,2))</f>
        <v>4</v>
      </c>
      <c r="O386" s="10">
        <f>YEAR(TimeEntry[[#This Row],[WkEnd]])</f>
        <v>2019</v>
      </c>
      <c r="P386" s="10">
        <f>WEEKNUM(TimeEntry[[#This Row],[WkEnd]])</f>
        <v>32</v>
      </c>
      <c r="Q386" s="10" t="str">
        <f>TimeEntry[[#This Row],[Year]]&amp;"-"&amp;TimeEntry[[#This Row],[WkNo]]</f>
        <v>2019-32</v>
      </c>
    </row>
    <row r="387" spans="1:17" x14ac:dyDescent="0.25">
      <c r="A387" s="9">
        <f>MOD(IF(ROW()=11,0.1,IF(INDEX(TimeEntry[WkEnd],ROW()-10)            =            INDEX(TimeEntry[WkEnd],ROW()-11),               INDEX(TimeEntry[format],ROW()-11),               INDEX(TimeEntry[format],ROW()-11)    +1)),2)</f>
        <v>1.1000000000000001</v>
      </c>
      <c r="B387" s="14"/>
      <c r="C387" s="7">
        <v>43679</v>
      </c>
      <c r="D387" s="7"/>
      <c r="E387" s="7"/>
      <c r="F387" s="6" t="s">
        <v>68</v>
      </c>
      <c r="G387" s="6"/>
      <c r="H387" s="7">
        <f>IF(TimeEntry[[#This Row],[Date]]=0,H386,C387+(7-N387))</f>
        <v>43681</v>
      </c>
      <c r="I387" s="7">
        <f>TimeEntry[[#This Row],[Date]]</f>
        <v>43679</v>
      </c>
      <c r="J387" s="10" t="str">
        <f>IF(TimeEntry[[#This Row],[Date]]=0,"",TEXT(TimeEntry[[#This Row],[Date]],"ddd"))</f>
        <v>Fri</v>
      </c>
      <c r="K387" s="9" t="str">
        <f>IF(TimeEntry[[#This Row],[Project]]=0,"",INDEX(ProjectsAll[job number],MATCH(TimeEntry[[#This Row],[Project]],ProjectsAll[Project],0)))</f>
        <v>LEAVE</v>
      </c>
      <c r="L387" s="6"/>
      <c r="M387" s="6">
        <v>7.5</v>
      </c>
      <c r="N387" s="9">
        <f>IF(TimeEntry[[#This Row],[Date]]=0,"",WEEKDAY(C387,2))</f>
        <v>5</v>
      </c>
      <c r="O387" s="10">
        <f>YEAR(TimeEntry[[#This Row],[WkEnd]])</f>
        <v>2019</v>
      </c>
      <c r="P387" s="10">
        <f>WEEKNUM(TimeEntry[[#This Row],[WkEnd]])</f>
        <v>32</v>
      </c>
      <c r="Q387" s="10" t="str">
        <f>TimeEntry[[#This Row],[Year]]&amp;"-"&amp;TimeEntry[[#This Row],[WkNo]]</f>
        <v>2019-32</v>
      </c>
    </row>
    <row r="388" spans="1:17" ht="30" x14ac:dyDescent="0.25">
      <c r="A388" s="9">
        <f>MOD(IF(ROW()=11,0.1,IF(INDEX(TimeEntry[WkEnd],ROW()-10)            =            INDEX(TimeEntry[WkEnd],ROW()-11),               INDEX(TimeEntry[format],ROW()-11),               INDEX(TimeEntry[format],ROW()-11)    +1)),2)</f>
        <v>0.10000000000000009</v>
      </c>
      <c r="B388" s="14"/>
      <c r="C388" s="7">
        <v>43668</v>
      </c>
      <c r="D388" s="7"/>
      <c r="E388" s="7"/>
      <c r="F388" s="6" t="s">
        <v>16</v>
      </c>
      <c r="G388" s="6"/>
      <c r="H388" s="7">
        <f>IF(TimeEntry[[#This Row],[Date]]=0,H387,C388+(7-N388))</f>
        <v>43674</v>
      </c>
      <c r="I388" s="7">
        <f>TimeEntry[[#This Row],[Date]]</f>
        <v>43668</v>
      </c>
      <c r="J388" s="10" t="str">
        <f>IF(TimeEntry[[#This Row],[Date]]=0,"",TEXT(TimeEntry[[#This Row],[Date]],"ddd"))</f>
        <v>Mon</v>
      </c>
      <c r="K388" s="9" t="str">
        <f>IF(TimeEntry[[#This Row],[Project]]=0,"",INDEX(ProjectsAll[job number],MATCH(TimeEntry[[#This Row],[Project]],ProjectsAll[Project],0)))</f>
        <v>074097-30</v>
      </c>
      <c r="L388" s="6" t="s">
        <v>213</v>
      </c>
      <c r="M388" s="6">
        <v>2.5</v>
      </c>
      <c r="N388" s="9">
        <f>IF(TimeEntry[[#This Row],[Date]]=0,"",WEEKDAY(C388,2))</f>
        <v>1</v>
      </c>
      <c r="O388" s="10">
        <f>YEAR(TimeEntry[[#This Row],[WkEnd]])</f>
        <v>2019</v>
      </c>
      <c r="P388" s="10">
        <f>WEEKNUM(TimeEntry[[#This Row],[WkEnd]])</f>
        <v>31</v>
      </c>
      <c r="Q388" s="10" t="str">
        <f>TimeEntry[[#This Row],[Year]]&amp;"-"&amp;TimeEntry[[#This Row],[WkNo]]</f>
        <v>2019-31</v>
      </c>
    </row>
    <row r="389" spans="1:17" ht="30" x14ac:dyDescent="0.25">
      <c r="A389" s="9">
        <f>MOD(IF(ROW()=11,0.1,IF(INDEX(TimeEntry[WkEnd],ROW()-10)            =            INDEX(TimeEntry[WkEnd],ROW()-11),               INDEX(TimeEntry[format],ROW()-11),               INDEX(TimeEntry[format],ROW()-11)    +1)),2)</f>
        <v>0.10000000000000009</v>
      </c>
      <c r="B389" s="14"/>
      <c r="C389" s="7">
        <v>43668</v>
      </c>
      <c r="D389" s="7"/>
      <c r="E389" s="7"/>
      <c r="F389" s="6" t="s">
        <v>84</v>
      </c>
      <c r="G389" s="6"/>
      <c r="H389" s="7">
        <f>IF(TimeEntry[[#This Row],[Date]]=0,H388,C389+(7-N389))</f>
        <v>43674</v>
      </c>
      <c r="I389" s="7">
        <f>TimeEntry[[#This Row],[Date]]</f>
        <v>43668</v>
      </c>
      <c r="J389" s="10" t="str">
        <f>IF(TimeEntry[[#This Row],[Date]]=0,"",TEXT(TimeEntry[[#This Row],[Date]],"ddd"))</f>
        <v>Mon</v>
      </c>
      <c r="K389" s="9" t="str">
        <f>IF(TimeEntry[[#This Row],[Project]]=0,"",INDEX(ProjectsAll[job number],MATCH(TimeEntry[[#This Row],[Project]],ProjectsAll[Project],0)))</f>
        <v>265720-20</v>
      </c>
      <c r="L389" s="6" t="s">
        <v>214</v>
      </c>
      <c r="M389" s="6">
        <v>5</v>
      </c>
      <c r="N389" s="9">
        <f>IF(TimeEntry[[#This Row],[Date]]=0,"",WEEKDAY(C389,2))</f>
        <v>1</v>
      </c>
      <c r="O389" s="10">
        <f>YEAR(TimeEntry[[#This Row],[WkEnd]])</f>
        <v>2019</v>
      </c>
      <c r="P389" s="10">
        <f>WEEKNUM(TimeEntry[[#This Row],[WkEnd]])</f>
        <v>31</v>
      </c>
      <c r="Q389" s="10" t="str">
        <f>TimeEntry[[#This Row],[Year]]&amp;"-"&amp;TimeEntry[[#This Row],[WkNo]]</f>
        <v>2019-31</v>
      </c>
    </row>
    <row r="390" spans="1:17" ht="30" x14ac:dyDescent="0.25">
      <c r="A390" s="9">
        <f>MOD(IF(ROW()=11,0.1,IF(INDEX(TimeEntry[WkEnd],ROW()-10)            =            INDEX(TimeEntry[WkEnd],ROW()-11),               INDEX(TimeEntry[format],ROW()-11),               INDEX(TimeEntry[format],ROW()-11)    +1)),2)</f>
        <v>0.10000000000000009</v>
      </c>
      <c r="B390" s="14"/>
      <c r="C390" s="7">
        <v>43669</v>
      </c>
      <c r="D390" s="7"/>
      <c r="E390" s="7"/>
      <c r="F390" s="6" t="s">
        <v>88</v>
      </c>
      <c r="G390" s="6"/>
      <c r="H390" s="7">
        <f>IF(TimeEntry[[#This Row],[Date]]=0,H389,C390+(7-N390))</f>
        <v>43674</v>
      </c>
      <c r="I390" s="7">
        <f>TimeEntry[[#This Row],[Date]]</f>
        <v>43669</v>
      </c>
      <c r="J390" s="10" t="str">
        <f>IF(TimeEntry[[#This Row],[Date]]=0,"",TEXT(TimeEntry[[#This Row],[Date]],"ddd"))</f>
        <v>Tue</v>
      </c>
      <c r="K390" s="9" t="str">
        <f>IF(TimeEntry[[#This Row],[Project]]=0,"",INDEX(ProjectsAll[job number],MATCH(TimeEntry[[#This Row],[Project]],ProjectsAll[Project],0)))</f>
        <v>210035-51</v>
      </c>
      <c r="L390" s="6" t="s">
        <v>142</v>
      </c>
      <c r="M390" s="6">
        <v>7.5</v>
      </c>
      <c r="N390" s="9">
        <f>IF(TimeEntry[[#This Row],[Date]]=0,"",WEEKDAY(C390,2))</f>
        <v>2</v>
      </c>
      <c r="O390" s="10">
        <f>YEAR(TimeEntry[[#This Row],[WkEnd]])</f>
        <v>2019</v>
      </c>
      <c r="P390" s="10">
        <f>WEEKNUM(TimeEntry[[#This Row],[WkEnd]])</f>
        <v>31</v>
      </c>
      <c r="Q390" s="10" t="str">
        <f>TimeEntry[[#This Row],[Year]]&amp;"-"&amp;TimeEntry[[#This Row],[WkNo]]</f>
        <v>2019-31</v>
      </c>
    </row>
    <row r="391" spans="1:17" ht="30" x14ac:dyDescent="0.25">
      <c r="A391" s="9">
        <f>MOD(IF(ROW()=11,0.1,IF(INDEX(TimeEntry[WkEnd],ROW()-10)            =            INDEX(TimeEntry[WkEnd],ROW()-11),               INDEX(TimeEntry[format],ROW()-11),               INDEX(TimeEntry[format],ROW()-11)    +1)),2)</f>
        <v>0.10000000000000009</v>
      </c>
      <c r="B391" s="14"/>
      <c r="C391" s="7">
        <v>43670</v>
      </c>
      <c r="D391" s="7"/>
      <c r="E391" s="7"/>
      <c r="F391" s="6" t="s">
        <v>18</v>
      </c>
      <c r="G391" s="6"/>
      <c r="H391" s="7">
        <f>IF(TimeEntry[[#This Row],[Date]]=0,H390,C391+(7-N391))</f>
        <v>43674</v>
      </c>
      <c r="I391" s="7">
        <f>TimeEntry[[#This Row],[Date]]</f>
        <v>43670</v>
      </c>
      <c r="J391" s="10" t="str">
        <f>IF(TimeEntry[[#This Row],[Date]]=0,"",TEXT(TimeEntry[[#This Row],[Date]],"ddd"))</f>
        <v>Wed</v>
      </c>
      <c r="K391" s="9" t="str">
        <f>IF(TimeEntry[[#This Row],[Project]]=0,"",INDEX(ProjectsAll[job number],MATCH(TimeEntry[[#This Row],[Project]],ProjectsAll[Project],0)))</f>
        <v>268268-00</v>
      </c>
      <c r="L391" s="6" t="s">
        <v>215</v>
      </c>
      <c r="M391" s="6">
        <v>7.5</v>
      </c>
      <c r="N391" s="9">
        <f>IF(TimeEntry[[#This Row],[Date]]=0,"",WEEKDAY(C391,2))</f>
        <v>3</v>
      </c>
      <c r="O391" s="10">
        <f>YEAR(TimeEntry[[#This Row],[WkEnd]])</f>
        <v>2019</v>
      </c>
      <c r="P391" s="10">
        <f>WEEKNUM(TimeEntry[[#This Row],[WkEnd]])</f>
        <v>31</v>
      </c>
      <c r="Q391" s="10" t="str">
        <f>TimeEntry[[#This Row],[Year]]&amp;"-"&amp;TimeEntry[[#This Row],[WkNo]]</f>
        <v>2019-31</v>
      </c>
    </row>
    <row r="392" spans="1:17" ht="30" x14ac:dyDescent="0.25">
      <c r="A392" s="9">
        <f>MOD(IF(ROW()=11,0.1,IF(INDEX(TimeEntry[WkEnd],ROW()-10)            =            INDEX(TimeEntry[WkEnd],ROW()-11),               INDEX(TimeEntry[format],ROW()-11),               INDEX(TimeEntry[format],ROW()-11)    +1)),2)</f>
        <v>0.10000000000000009</v>
      </c>
      <c r="B392" s="14"/>
      <c r="C392" s="7">
        <v>43671</v>
      </c>
      <c r="D392" s="7"/>
      <c r="E392" s="7"/>
      <c r="F392" s="6" t="s">
        <v>18</v>
      </c>
      <c r="G392" s="6"/>
      <c r="H392" s="7">
        <f>IF(TimeEntry[[#This Row],[Date]]=0,H391,C392+(7-N392))</f>
        <v>43674</v>
      </c>
      <c r="I392" s="7">
        <f>TimeEntry[[#This Row],[Date]]</f>
        <v>43671</v>
      </c>
      <c r="J392" s="10" t="str">
        <f>IF(TimeEntry[[#This Row],[Date]]=0,"",TEXT(TimeEntry[[#This Row],[Date]],"ddd"))</f>
        <v>Thu</v>
      </c>
      <c r="K392" s="9" t="str">
        <f>IF(TimeEntry[[#This Row],[Project]]=0,"",INDEX(ProjectsAll[job number],MATCH(TimeEntry[[#This Row],[Project]],ProjectsAll[Project],0)))</f>
        <v>268268-00</v>
      </c>
      <c r="L392" s="6" t="s">
        <v>215</v>
      </c>
      <c r="M392" s="6">
        <v>7.5</v>
      </c>
      <c r="N392" s="9">
        <f>IF(TimeEntry[[#This Row],[Date]]=0,"",WEEKDAY(C392,2))</f>
        <v>4</v>
      </c>
      <c r="O392" s="10">
        <f>YEAR(TimeEntry[[#This Row],[WkEnd]])</f>
        <v>2019</v>
      </c>
      <c r="P392" s="10">
        <f>WEEKNUM(TimeEntry[[#This Row],[WkEnd]])</f>
        <v>31</v>
      </c>
      <c r="Q392" s="10" t="str">
        <f>TimeEntry[[#This Row],[Year]]&amp;"-"&amp;TimeEntry[[#This Row],[WkNo]]</f>
        <v>2019-31</v>
      </c>
    </row>
    <row r="393" spans="1:17" ht="30" x14ac:dyDescent="0.25">
      <c r="A393" s="9">
        <f>MOD(IF(ROW()=11,0.1,IF(INDEX(TimeEntry[WkEnd],ROW()-10)            =            INDEX(TimeEntry[WkEnd],ROW()-11),               INDEX(TimeEntry[format],ROW()-11),               INDEX(TimeEntry[format],ROW()-11)    +1)),2)</f>
        <v>0.10000000000000009</v>
      </c>
      <c r="B393" s="14"/>
      <c r="C393" s="7">
        <v>43672</v>
      </c>
      <c r="D393" s="7"/>
      <c r="E393" s="7"/>
      <c r="F393" s="6" t="s">
        <v>18</v>
      </c>
      <c r="G393" s="6"/>
      <c r="H393" s="7">
        <f>IF(TimeEntry[[#This Row],[Date]]=0,H392,C393+(7-N393))</f>
        <v>43674</v>
      </c>
      <c r="I393" s="7">
        <f>TimeEntry[[#This Row],[Date]]</f>
        <v>43672</v>
      </c>
      <c r="J393" s="10" t="str">
        <f>IF(TimeEntry[[#This Row],[Date]]=0,"",TEXT(TimeEntry[[#This Row],[Date]],"ddd"))</f>
        <v>Fri</v>
      </c>
      <c r="K393" s="9" t="str">
        <f>IF(TimeEntry[[#This Row],[Project]]=0,"",INDEX(ProjectsAll[job number],MATCH(TimeEntry[[#This Row],[Project]],ProjectsAll[Project],0)))</f>
        <v>268268-00</v>
      </c>
      <c r="L393" s="6" t="s">
        <v>215</v>
      </c>
      <c r="M393" s="6">
        <v>7.5</v>
      </c>
      <c r="N393" s="9">
        <f>IF(TimeEntry[[#This Row],[Date]]=0,"",WEEKDAY(C393,2))</f>
        <v>5</v>
      </c>
      <c r="O393" s="10">
        <f>YEAR(TimeEntry[[#This Row],[WkEnd]])</f>
        <v>2019</v>
      </c>
      <c r="P393" s="10">
        <f>WEEKNUM(TimeEntry[[#This Row],[WkEnd]])</f>
        <v>31</v>
      </c>
      <c r="Q393" s="10" t="str">
        <f>TimeEntry[[#This Row],[Year]]&amp;"-"&amp;TimeEntry[[#This Row],[WkNo]]</f>
        <v>2019-31</v>
      </c>
    </row>
    <row r="394" spans="1:17" ht="30" x14ac:dyDescent="0.25">
      <c r="A394" s="9">
        <f>MOD(IF(ROW()=11,0.1,IF(INDEX(TimeEntry[WkEnd],ROW()-10)            =            INDEX(TimeEntry[WkEnd],ROW()-11),               INDEX(TimeEntry[format],ROW()-11),               INDEX(TimeEntry[format],ROW()-11)    +1)),2)</f>
        <v>1.1000000000000001</v>
      </c>
      <c r="B394" s="14"/>
      <c r="C394" s="7">
        <v>43661</v>
      </c>
      <c r="D394" s="7"/>
      <c r="E394" s="7"/>
      <c r="F394" s="6" t="s">
        <v>16</v>
      </c>
      <c r="G394" s="6"/>
      <c r="H394" s="7">
        <f>IF(TimeEntry[[#This Row],[Date]]=0,H393,C394+(7-N394))</f>
        <v>43667</v>
      </c>
      <c r="I394" s="7">
        <f>TimeEntry[[#This Row],[Date]]</f>
        <v>43661</v>
      </c>
      <c r="J394" s="10" t="str">
        <f>IF(TimeEntry[[#This Row],[Date]]=0,"",TEXT(TimeEntry[[#This Row],[Date]],"ddd"))</f>
        <v>Mon</v>
      </c>
      <c r="K394" s="9" t="str">
        <f>IF(TimeEntry[[#This Row],[Project]]=0,"",INDEX(ProjectsAll[job number],MATCH(TimeEntry[[#This Row],[Project]],ProjectsAll[Project],0)))</f>
        <v>074097-30</v>
      </c>
      <c r="L394" s="6" t="s">
        <v>213</v>
      </c>
      <c r="M394" s="6">
        <v>2.5</v>
      </c>
      <c r="N394" s="9">
        <f>IF(TimeEntry[[#This Row],[Date]]=0,"",WEEKDAY(C394,2))</f>
        <v>1</v>
      </c>
      <c r="O394" s="10">
        <f>YEAR(TimeEntry[[#This Row],[WkEnd]])</f>
        <v>2019</v>
      </c>
      <c r="P394" s="10">
        <f>WEEKNUM(TimeEntry[[#This Row],[WkEnd]])</f>
        <v>30</v>
      </c>
      <c r="Q394" s="10" t="str">
        <f>TimeEntry[[#This Row],[Year]]&amp;"-"&amp;TimeEntry[[#This Row],[WkNo]]</f>
        <v>2019-30</v>
      </c>
    </row>
    <row r="395" spans="1:17" ht="30" x14ac:dyDescent="0.25">
      <c r="A395" s="9">
        <f>MOD(IF(ROW()=11,0.1,IF(INDEX(TimeEntry[WkEnd],ROW()-10)            =            INDEX(TimeEntry[WkEnd],ROW()-11),               INDEX(TimeEntry[format],ROW()-11),               INDEX(TimeEntry[format],ROW()-11)    +1)),2)</f>
        <v>1.1000000000000001</v>
      </c>
      <c r="B395" s="14"/>
      <c r="C395" s="7">
        <v>43661</v>
      </c>
      <c r="D395" s="7"/>
      <c r="E395" s="7"/>
      <c r="F395" s="6" t="s">
        <v>88</v>
      </c>
      <c r="G395" s="6"/>
      <c r="H395" s="7">
        <f>IF(TimeEntry[[#This Row],[Date]]=0,H394,C395+(7-N395))</f>
        <v>43667</v>
      </c>
      <c r="I395" s="7">
        <f>TimeEntry[[#This Row],[Date]]</f>
        <v>43661</v>
      </c>
      <c r="J395" s="10" t="str">
        <f>IF(TimeEntry[[#This Row],[Date]]=0,"",TEXT(TimeEntry[[#This Row],[Date]],"ddd"))</f>
        <v>Mon</v>
      </c>
      <c r="K395" s="9" t="str">
        <f>IF(TimeEntry[[#This Row],[Project]]=0,"",INDEX(ProjectsAll[job number],MATCH(TimeEntry[[#This Row],[Project]],ProjectsAll[Project],0)))</f>
        <v>210035-51</v>
      </c>
      <c r="L395" s="6" t="s">
        <v>216</v>
      </c>
      <c r="M395" s="6">
        <v>5</v>
      </c>
      <c r="N395" s="9">
        <f>IF(TimeEntry[[#This Row],[Date]]=0,"",WEEKDAY(C395,2))</f>
        <v>1</v>
      </c>
      <c r="O395" s="10">
        <f>YEAR(TimeEntry[[#This Row],[WkEnd]])</f>
        <v>2019</v>
      </c>
      <c r="P395" s="10">
        <f>WEEKNUM(TimeEntry[[#This Row],[WkEnd]])</f>
        <v>30</v>
      </c>
      <c r="Q395" s="10" t="str">
        <f>TimeEntry[[#This Row],[Year]]&amp;"-"&amp;TimeEntry[[#This Row],[WkNo]]</f>
        <v>2019-30</v>
      </c>
    </row>
    <row r="396" spans="1:17" ht="30" x14ac:dyDescent="0.25">
      <c r="A396" s="9">
        <f>MOD(IF(ROW()=11,0.1,IF(INDEX(TimeEntry[WkEnd],ROW()-10)            =            INDEX(TimeEntry[WkEnd],ROW()-11),               INDEX(TimeEntry[format],ROW()-11),               INDEX(TimeEntry[format],ROW()-11)    +1)),2)</f>
        <v>1.1000000000000001</v>
      </c>
      <c r="B396" s="14"/>
      <c r="C396" s="7">
        <v>43662</v>
      </c>
      <c r="D396" s="7"/>
      <c r="E396" s="7"/>
      <c r="F396" s="6" t="s">
        <v>84</v>
      </c>
      <c r="G396" s="6"/>
      <c r="H396" s="7">
        <f>IF(TimeEntry[[#This Row],[Date]]=0,H395,C396+(7-N396))</f>
        <v>43667</v>
      </c>
      <c r="I396" s="7">
        <f>TimeEntry[[#This Row],[Date]]</f>
        <v>43662</v>
      </c>
      <c r="J396" s="10" t="str">
        <f>IF(TimeEntry[[#This Row],[Date]]=0,"",TEXT(TimeEntry[[#This Row],[Date]],"ddd"))</f>
        <v>Tue</v>
      </c>
      <c r="K396" s="9" t="str">
        <f>IF(TimeEntry[[#This Row],[Project]]=0,"",INDEX(ProjectsAll[job number],MATCH(TimeEntry[[#This Row],[Project]],ProjectsAll[Project],0)))</f>
        <v>265720-20</v>
      </c>
      <c r="L396" s="6" t="s">
        <v>217</v>
      </c>
      <c r="M396" s="6">
        <v>5</v>
      </c>
      <c r="N396" s="9">
        <f>IF(TimeEntry[[#This Row],[Date]]=0,"",WEEKDAY(C396,2))</f>
        <v>2</v>
      </c>
      <c r="O396" s="10">
        <f>YEAR(TimeEntry[[#This Row],[WkEnd]])</f>
        <v>2019</v>
      </c>
      <c r="P396" s="10">
        <f>WEEKNUM(TimeEntry[[#This Row],[WkEnd]])</f>
        <v>30</v>
      </c>
      <c r="Q396" s="10" t="str">
        <f>TimeEntry[[#This Row],[Year]]&amp;"-"&amp;TimeEntry[[#This Row],[WkNo]]</f>
        <v>2019-30</v>
      </c>
    </row>
    <row r="397" spans="1:17" ht="30" x14ac:dyDescent="0.25">
      <c r="A397" s="9">
        <f>MOD(IF(ROW()=11,0.1,IF(INDEX(TimeEntry[WkEnd],ROW()-10)            =            INDEX(TimeEntry[WkEnd],ROW()-11),               INDEX(TimeEntry[format],ROW()-11),               INDEX(TimeEntry[format],ROW()-11)    +1)),2)</f>
        <v>1.1000000000000001</v>
      </c>
      <c r="B397" s="14"/>
      <c r="C397" s="7">
        <v>43662</v>
      </c>
      <c r="D397" s="7"/>
      <c r="E397" s="7"/>
      <c r="F397" s="6" t="s">
        <v>88</v>
      </c>
      <c r="G397" s="6"/>
      <c r="H397" s="7">
        <f>IF(TimeEntry[[#This Row],[Date]]=0,H396,C397+(7-N397))</f>
        <v>43667</v>
      </c>
      <c r="I397" s="7">
        <f>TimeEntry[[#This Row],[Date]]</f>
        <v>43662</v>
      </c>
      <c r="J397" s="10" t="str">
        <f>IF(TimeEntry[[#This Row],[Date]]=0,"",TEXT(TimeEntry[[#This Row],[Date]],"ddd"))</f>
        <v>Tue</v>
      </c>
      <c r="K397" s="9" t="str">
        <f>IF(TimeEntry[[#This Row],[Project]]=0,"",INDEX(ProjectsAll[job number],MATCH(TimeEntry[[#This Row],[Project]],ProjectsAll[Project],0)))</f>
        <v>210035-51</v>
      </c>
      <c r="L397" s="6" t="s">
        <v>218</v>
      </c>
      <c r="M397" s="6">
        <v>2.5</v>
      </c>
      <c r="N397" s="9">
        <f>IF(TimeEntry[[#This Row],[Date]]=0,"",WEEKDAY(C397,2))</f>
        <v>2</v>
      </c>
      <c r="O397" s="10">
        <f>YEAR(TimeEntry[[#This Row],[WkEnd]])</f>
        <v>2019</v>
      </c>
      <c r="P397" s="10">
        <f>WEEKNUM(TimeEntry[[#This Row],[WkEnd]])</f>
        <v>30</v>
      </c>
      <c r="Q397" s="10" t="str">
        <f>TimeEntry[[#This Row],[Year]]&amp;"-"&amp;TimeEntry[[#This Row],[WkNo]]</f>
        <v>2019-30</v>
      </c>
    </row>
    <row r="398" spans="1:17" ht="30" x14ac:dyDescent="0.25">
      <c r="A398" s="9">
        <f>MOD(IF(ROW()=11,0.1,IF(INDEX(TimeEntry[WkEnd],ROW()-10)            =            INDEX(TimeEntry[WkEnd],ROW()-11),               INDEX(TimeEntry[format],ROW()-11),               INDEX(TimeEntry[format],ROW()-11)    +1)),2)</f>
        <v>1.1000000000000001</v>
      </c>
      <c r="B398" s="14"/>
      <c r="C398" s="7">
        <v>43663</v>
      </c>
      <c r="D398" s="7"/>
      <c r="E398" s="7"/>
      <c r="F398" s="6" t="s">
        <v>14</v>
      </c>
      <c r="G398" s="6"/>
      <c r="H398" s="7">
        <f>IF(TimeEntry[[#This Row],[Date]]=0,H397,C398+(7-N398))</f>
        <v>43667</v>
      </c>
      <c r="I398" s="7">
        <f>TimeEntry[[#This Row],[Date]]</f>
        <v>43663</v>
      </c>
      <c r="J398" s="10" t="str">
        <f>IF(TimeEntry[[#This Row],[Date]]=0,"",TEXT(TimeEntry[[#This Row],[Date]],"ddd"))</f>
        <v>Wed</v>
      </c>
      <c r="K398" s="9" t="str">
        <f>IF(TimeEntry[[#This Row],[Project]]=0,"",INDEX(ProjectsAll[job number],MATCH(TimeEntry[[#This Row],[Project]],ProjectsAll[Project],0)))</f>
        <v>071945-07</v>
      </c>
      <c r="L398" s="6" t="s">
        <v>219</v>
      </c>
      <c r="M398" s="6">
        <v>2.5</v>
      </c>
      <c r="N398" s="9">
        <f>IF(TimeEntry[[#This Row],[Date]]=0,"",WEEKDAY(C398,2))</f>
        <v>3</v>
      </c>
      <c r="O398" s="10">
        <f>YEAR(TimeEntry[[#This Row],[WkEnd]])</f>
        <v>2019</v>
      </c>
      <c r="P398" s="10">
        <f>WEEKNUM(TimeEntry[[#This Row],[WkEnd]])</f>
        <v>30</v>
      </c>
      <c r="Q398" s="10" t="str">
        <f>TimeEntry[[#This Row],[Year]]&amp;"-"&amp;TimeEntry[[#This Row],[WkNo]]</f>
        <v>2019-30</v>
      </c>
    </row>
    <row r="399" spans="1:17" ht="30" x14ac:dyDescent="0.25">
      <c r="A399" s="9">
        <f>MOD(IF(ROW()=11,0.1,IF(INDEX(TimeEntry[WkEnd],ROW()-10)            =            INDEX(TimeEntry[WkEnd],ROW()-11),               INDEX(TimeEntry[format],ROW()-11),               INDEX(TimeEntry[format],ROW()-11)    +1)),2)</f>
        <v>1.1000000000000001</v>
      </c>
      <c r="B399" s="14"/>
      <c r="C399" s="7">
        <v>43663</v>
      </c>
      <c r="D399" s="7"/>
      <c r="E399" s="7"/>
      <c r="F399" s="6" t="s">
        <v>88</v>
      </c>
      <c r="G399" s="6"/>
      <c r="H399" s="7">
        <f>IF(TimeEntry[[#This Row],[Date]]=0,H398,C399+(7-N399))</f>
        <v>43667</v>
      </c>
      <c r="I399" s="7">
        <f>TimeEntry[[#This Row],[Date]]</f>
        <v>43663</v>
      </c>
      <c r="J399" s="10" t="str">
        <f>IF(TimeEntry[[#This Row],[Date]]=0,"",TEXT(TimeEntry[[#This Row],[Date]],"ddd"))</f>
        <v>Wed</v>
      </c>
      <c r="K399" s="9" t="str">
        <f>IF(TimeEntry[[#This Row],[Project]]=0,"",INDEX(ProjectsAll[job number],MATCH(TimeEntry[[#This Row],[Project]],ProjectsAll[Project],0)))</f>
        <v>210035-51</v>
      </c>
      <c r="L399" s="6" t="s">
        <v>220</v>
      </c>
      <c r="M399" s="6">
        <v>2.5</v>
      </c>
      <c r="N399" s="9">
        <f>IF(TimeEntry[[#This Row],[Date]]=0,"",WEEKDAY(C399,2))</f>
        <v>3</v>
      </c>
      <c r="O399" s="10">
        <f>YEAR(TimeEntry[[#This Row],[WkEnd]])</f>
        <v>2019</v>
      </c>
      <c r="P399" s="10">
        <f>WEEKNUM(TimeEntry[[#This Row],[WkEnd]])</f>
        <v>30</v>
      </c>
      <c r="Q399" s="10" t="str">
        <f>TimeEntry[[#This Row],[Year]]&amp;"-"&amp;TimeEntry[[#This Row],[WkNo]]</f>
        <v>2019-30</v>
      </c>
    </row>
    <row r="400" spans="1:17" ht="30" x14ac:dyDescent="0.25">
      <c r="A400" s="9">
        <f>MOD(IF(ROW()=11,0.1,IF(INDEX(TimeEntry[WkEnd],ROW()-10)            =            INDEX(TimeEntry[WkEnd],ROW()-11),               INDEX(TimeEntry[format],ROW()-11),               INDEX(TimeEntry[format],ROW()-11)    +1)),2)</f>
        <v>1.1000000000000001</v>
      </c>
      <c r="B400" s="14"/>
      <c r="C400" s="7">
        <v>43663</v>
      </c>
      <c r="D400" s="7"/>
      <c r="E400" s="7"/>
      <c r="F400" s="6" t="s">
        <v>88</v>
      </c>
      <c r="G400" s="6"/>
      <c r="H400" s="7">
        <f>IF(TimeEntry[[#This Row],[Date]]=0,H399,C400+(7-N400))</f>
        <v>43667</v>
      </c>
      <c r="I400" s="7">
        <f>TimeEntry[[#This Row],[Date]]</f>
        <v>43663</v>
      </c>
      <c r="J400" s="10" t="str">
        <f>IF(TimeEntry[[#This Row],[Date]]=0,"",TEXT(TimeEntry[[#This Row],[Date]],"ddd"))</f>
        <v>Wed</v>
      </c>
      <c r="K400" s="9" t="str">
        <f>IF(TimeEntry[[#This Row],[Project]]=0,"",INDEX(ProjectsAll[job number],MATCH(TimeEntry[[#This Row],[Project]],ProjectsAll[Project],0)))</f>
        <v>210035-51</v>
      </c>
      <c r="L400" s="6" t="s">
        <v>221</v>
      </c>
      <c r="M400" s="6">
        <v>1</v>
      </c>
      <c r="N400" s="9">
        <f>IF(TimeEntry[[#This Row],[Date]]=0,"",WEEKDAY(C400,2))</f>
        <v>3</v>
      </c>
      <c r="O400" s="10">
        <f>YEAR(TimeEntry[[#This Row],[WkEnd]])</f>
        <v>2019</v>
      </c>
      <c r="P400" s="10">
        <f>WEEKNUM(TimeEntry[[#This Row],[WkEnd]])</f>
        <v>30</v>
      </c>
      <c r="Q400" s="10" t="str">
        <f>TimeEntry[[#This Row],[Year]]&amp;"-"&amp;TimeEntry[[#This Row],[WkNo]]</f>
        <v>2019-30</v>
      </c>
    </row>
    <row r="401" spans="1:17" ht="30" x14ac:dyDescent="0.25">
      <c r="A401" s="9">
        <f>MOD(IF(ROW()=11,0.1,IF(INDEX(TimeEntry[WkEnd],ROW()-10)            =            INDEX(TimeEntry[WkEnd],ROW()-11),               INDEX(TimeEntry[format],ROW()-11),               INDEX(TimeEntry[format],ROW()-11)    +1)),2)</f>
        <v>1.1000000000000001</v>
      </c>
      <c r="B401" s="14"/>
      <c r="C401" s="7">
        <v>43663</v>
      </c>
      <c r="D401" s="7"/>
      <c r="E401" s="7"/>
      <c r="F401" s="6" t="s">
        <v>84</v>
      </c>
      <c r="G401" s="6"/>
      <c r="H401" s="7">
        <f>IF(TimeEntry[[#This Row],[Date]]=0,H400,C401+(7-N401))</f>
        <v>43667</v>
      </c>
      <c r="I401" s="7">
        <f>TimeEntry[[#This Row],[Date]]</f>
        <v>43663</v>
      </c>
      <c r="J401" s="10" t="str">
        <f>IF(TimeEntry[[#This Row],[Date]]=0,"",TEXT(TimeEntry[[#This Row],[Date]],"ddd"))</f>
        <v>Wed</v>
      </c>
      <c r="K401" s="9" t="str">
        <f>IF(TimeEntry[[#This Row],[Project]]=0,"",INDEX(ProjectsAll[job number],MATCH(TimeEntry[[#This Row],[Project]],ProjectsAll[Project],0)))</f>
        <v>265720-20</v>
      </c>
      <c r="L401" s="6" t="s">
        <v>222</v>
      </c>
      <c r="M401" s="6">
        <v>1.5</v>
      </c>
      <c r="N401" s="9">
        <f>IF(TimeEntry[[#This Row],[Date]]=0,"",WEEKDAY(C401,2))</f>
        <v>3</v>
      </c>
      <c r="O401" s="10">
        <f>YEAR(TimeEntry[[#This Row],[WkEnd]])</f>
        <v>2019</v>
      </c>
      <c r="P401" s="10">
        <f>WEEKNUM(TimeEntry[[#This Row],[WkEnd]])</f>
        <v>30</v>
      </c>
      <c r="Q401" s="10" t="str">
        <f>TimeEntry[[#This Row],[Year]]&amp;"-"&amp;TimeEntry[[#This Row],[WkNo]]</f>
        <v>2019-30</v>
      </c>
    </row>
    <row r="402" spans="1:17" ht="30" x14ac:dyDescent="0.25">
      <c r="A402" s="9">
        <f>MOD(IF(ROW()=11,0.1,IF(INDEX(TimeEntry[WkEnd],ROW()-10)            =            INDEX(TimeEntry[WkEnd],ROW()-11),               INDEX(TimeEntry[format],ROW()-11),               INDEX(TimeEntry[format],ROW()-11)    +1)),2)</f>
        <v>1.1000000000000001</v>
      </c>
      <c r="B402" s="14"/>
      <c r="C402" s="7">
        <v>43664</v>
      </c>
      <c r="D402" s="7"/>
      <c r="E402" s="7"/>
      <c r="F402" s="6" t="s">
        <v>84</v>
      </c>
      <c r="G402" s="6"/>
      <c r="H402" s="7">
        <f>IF(TimeEntry[[#This Row],[Date]]=0,H401,C402+(7-N402))</f>
        <v>43667</v>
      </c>
      <c r="I402" s="7">
        <f>TimeEntry[[#This Row],[Date]]</f>
        <v>43664</v>
      </c>
      <c r="J402" s="10" t="str">
        <f>IF(TimeEntry[[#This Row],[Date]]=0,"",TEXT(TimeEntry[[#This Row],[Date]],"ddd"))</f>
        <v>Thu</v>
      </c>
      <c r="K402" s="9" t="str">
        <f>IF(TimeEntry[[#This Row],[Project]]=0,"",INDEX(ProjectsAll[job number],MATCH(TimeEntry[[#This Row],[Project]],ProjectsAll[Project],0)))</f>
        <v>265720-20</v>
      </c>
      <c r="L402" s="6" t="s">
        <v>223</v>
      </c>
      <c r="M402" s="6">
        <v>7.5</v>
      </c>
      <c r="N402" s="9">
        <f>IF(TimeEntry[[#This Row],[Date]]=0,"",WEEKDAY(C402,2))</f>
        <v>4</v>
      </c>
      <c r="O402" s="10">
        <f>YEAR(TimeEntry[[#This Row],[WkEnd]])</f>
        <v>2019</v>
      </c>
      <c r="P402" s="10">
        <f>WEEKNUM(TimeEntry[[#This Row],[WkEnd]])</f>
        <v>30</v>
      </c>
      <c r="Q402" s="10" t="str">
        <f>TimeEntry[[#This Row],[Year]]&amp;"-"&amp;TimeEntry[[#This Row],[WkNo]]</f>
        <v>2019-30</v>
      </c>
    </row>
    <row r="403" spans="1:17" x14ac:dyDescent="0.25">
      <c r="A403" s="9">
        <f>MOD(IF(ROW()=11,0.1,IF(INDEX(TimeEntry[WkEnd],ROW()-10)            =            INDEX(TimeEntry[WkEnd],ROW()-11),               INDEX(TimeEntry[format],ROW()-11),               INDEX(TimeEntry[format],ROW()-11)    +1)),2)</f>
        <v>1.1000000000000001</v>
      </c>
      <c r="B403" s="14"/>
      <c r="C403" s="7">
        <v>43665</v>
      </c>
      <c r="D403" s="7"/>
      <c r="E403" s="7"/>
      <c r="F403" s="6" t="s">
        <v>68</v>
      </c>
      <c r="G403" s="6"/>
      <c r="H403" s="7">
        <f>IF(TimeEntry[[#This Row],[Date]]=0,H402,C403+(7-N403))</f>
        <v>43667</v>
      </c>
      <c r="I403" s="7">
        <f>TimeEntry[[#This Row],[Date]]</f>
        <v>43665</v>
      </c>
      <c r="J403" s="10" t="str">
        <f>IF(TimeEntry[[#This Row],[Date]]=0,"",TEXT(TimeEntry[[#This Row],[Date]],"ddd"))</f>
        <v>Fri</v>
      </c>
      <c r="K403" s="9" t="str">
        <f>IF(TimeEntry[[#This Row],[Project]]=0,"",INDEX(ProjectsAll[job number],MATCH(TimeEntry[[#This Row],[Project]],ProjectsAll[Project],0)))</f>
        <v>LEAVE</v>
      </c>
      <c r="L403" s="6"/>
      <c r="M403" s="6">
        <v>7.5</v>
      </c>
      <c r="N403" s="9">
        <f>IF(TimeEntry[[#This Row],[Date]]=0,"",WEEKDAY(C403,2))</f>
        <v>5</v>
      </c>
      <c r="O403" s="10">
        <f>YEAR(TimeEntry[[#This Row],[WkEnd]])</f>
        <v>2019</v>
      </c>
      <c r="P403" s="10">
        <f>WEEKNUM(TimeEntry[[#This Row],[WkEnd]])</f>
        <v>30</v>
      </c>
      <c r="Q403" s="10" t="str">
        <f>TimeEntry[[#This Row],[Year]]&amp;"-"&amp;TimeEntry[[#This Row],[WkNo]]</f>
        <v>2019-30</v>
      </c>
    </row>
    <row r="404" spans="1:17" x14ac:dyDescent="0.25">
      <c r="A404" s="9">
        <f>MOD(IF(ROW()=11,0.1,IF(INDEX(TimeEntry[WkEnd],ROW()-10)            =            INDEX(TimeEntry[WkEnd],ROW()-11),               INDEX(TimeEntry[format],ROW()-11),               INDEX(TimeEntry[format],ROW()-11)    +1)),2)</f>
        <v>0.10000000000000009</v>
      </c>
      <c r="B404" s="14"/>
      <c r="C404" s="7">
        <v>43654</v>
      </c>
      <c r="D404" s="7"/>
      <c r="E404" s="7"/>
      <c r="F404" s="6" t="s">
        <v>68</v>
      </c>
      <c r="G404" s="6"/>
      <c r="H404" s="7">
        <f>IF(TimeEntry[[#This Row],[Date]]=0,H403,C404+(7-N404))</f>
        <v>43660</v>
      </c>
      <c r="I404" s="7">
        <f>TimeEntry[[#This Row],[Date]]</f>
        <v>43654</v>
      </c>
      <c r="J404" s="10" t="str">
        <f>IF(TimeEntry[[#This Row],[Date]]=0,"",TEXT(TimeEntry[[#This Row],[Date]],"ddd"))</f>
        <v>Mon</v>
      </c>
      <c r="K404" s="9" t="str">
        <f>IF(TimeEntry[[#This Row],[Project]]=0,"",INDEX(ProjectsAll[job number],MATCH(TimeEntry[[#This Row],[Project]],ProjectsAll[Project],0)))</f>
        <v>LEAVE</v>
      </c>
      <c r="L404" s="6"/>
      <c r="M404" s="6">
        <v>7.5</v>
      </c>
      <c r="N404" s="9">
        <f>IF(TimeEntry[[#This Row],[Date]]=0,"",WEEKDAY(C404,2))</f>
        <v>1</v>
      </c>
      <c r="O404" s="10">
        <f>YEAR(TimeEntry[[#This Row],[WkEnd]])</f>
        <v>2019</v>
      </c>
      <c r="P404" s="10">
        <f>WEEKNUM(TimeEntry[[#This Row],[WkEnd]])</f>
        <v>29</v>
      </c>
      <c r="Q404" s="10" t="str">
        <f>TimeEntry[[#This Row],[Year]]&amp;"-"&amp;TimeEntry[[#This Row],[WkNo]]</f>
        <v>2019-29</v>
      </c>
    </row>
    <row r="405" spans="1:17" ht="30" x14ac:dyDescent="0.25">
      <c r="A405" s="9">
        <f>MOD(IF(ROW()=11,0.1,IF(INDEX(TimeEntry[WkEnd],ROW()-10)            =            INDEX(TimeEntry[WkEnd],ROW()-11),               INDEX(TimeEntry[format],ROW()-11),               INDEX(TimeEntry[format],ROW()-11)    +1)),2)</f>
        <v>0.10000000000000009</v>
      </c>
      <c r="B405" s="14"/>
      <c r="C405" s="7">
        <v>43655</v>
      </c>
      <c r="D405" s="7"/>
      <c r="E405" s="7"/>
      <c r="F405" s="6" t="s">
        <v>84</v>
      </c>
      <c r="G405" s="6"/>
      <c r="H405" s="7">
        <f>IF(TimeEntry[[#This Row],[Date]]=0,H404,C405+(7-N405))</f>
        <v>43660</v>
      </c>
      <c r="I405" s="7">
        <f>TimeEntry[[#This Row],[Date]]</f>
        <v>43655</v>
      </c>
      <c r="J405" s="10" t="str">
        <f>IF(TimeEntry[[#This Row],[Date]]=0,"",TEXT(TimeEntry[[#This Row],[Date]],"ddd"))</f>
        <v>Tue</v>
      </c>
      <c r="K405" s="9" t="str">
        <f>IF(TimeEntry[[#This Row],[Project]]=0,"",INDEX(ProjectsAll[job number],MATCH(TimeEntry[[#This Row],[Project]],ProjectsAll[Project],0)))</f>
        <v>265720-20</v>
      </c>
      <c r="L405" s="6" t="s">
        <v>222</v>
      </c>
      <c r="M405" s="6">
        <v>7.5</v>
      </c>
      <c r="N405" s="9">
        <f>IF(TimeEntry[[#This Row],[Date]]=0,"",WEEKDAY(C405,2))</f>
        <v>2</v>
      </c>
      <c r="O405" s="10">
        <f>YEAR(TimeEntry[[#This Row],[WkEnd]])</f>
        <v>2019</v>
      </c>
      <c r="P405" s="10">
        <f>WEEKNUM(TimeEntry[[#This Row],[WkEnd]])</f>
        <v>29</v>
      </c>
      <c r="Q405" s="10" t="str">
        <f>TimeEntry[[#This Row],[Year]]&amp;"-"&amp;TimeEntry[[#This Row],[WkNo]]</f>
        <v>2019-29</v>
      </c>
    </row>
    <row r="406" spans="1:17" ht="30" x14ac:dyDescent="0.25">
      <c r="A406" s="9">
        <f>MOD(IF(ROW()=11,0.1,IF(INDEX(TimeEntry[WkEnd],ROW()-10)            =            INDEX(TimeEntry[WkEnd],ROW()-11),               INDEX(TimeEntry[format],ROW()-11),               INDEX(TimeEntry[format],ROW()-11)    +1)),2)</f>
        <v>0.10000000000000009</v>
      </c>
      <c r="B406" s="14"/>
      <c r="C406" s="7">
        <v>43656</v>
      </c>
      <c r="D406" s="7"/>
      <c r="E406" s="7"/>
      <c r="F406" s="6" t="s">
        <v>88</v>
      </c>
      <c r="G406" s="6"/>
      <c r="H406" s="7">
        <f>IF(TimeEntry[[#This Row],[Date]]=0,H405,C406+(7-N406))</f>
        <v>43660</v>
      </c>
      <c r="I406" s="7">
        <f>TimeEntry[[#This Row],[Date]]</f>
        <v>43656</v>
      </c>
      <c r="J406" s="10" t="str">
        <f>IF(TimeEntry[[#This Row],[Date]]=0,"",TEXT(TimeEntry[[#This Row],[Date]],"ddd"))</f>
        <v>Wed</v>
      </c>
      <c r="K406" s="9" t="str">
        <f>IF(TimeEntry[[#This Row],[Project]]=0,"",INDEX(ProjectsAll[job number],MATCH(TimeEntry[[#This Row],[Project]],ProjectsAll[Project],0)))</f>
        <v>210035-51</v>
      </c>
      <c r="L406" s="6" t="s">
        <v>224</v>
      </c>
      <c r="M406" s="6">
        <v>2</v>
      </c>
      <c r="N406" s="9">
        <f>IF(TimeEntry[[#This Row],[Date]]=0,"",WEEKDAY(C406,2))</f>
        <v>3</v>
      </c>
      <c r="O406" s="10">
        <f>YEAR(TimeEntry[[#This Row],[WkEnd]])</f>
        <v>2019</v>
      </c>
      <c r="P406" s="10">
        <f>WEEKNUM(TimeEntry[[#This Row],[WkEnd]])</f>
        <v>29</v>
      </c>
      <c r="Q406" s="10" t="str">
        <f>TimeEntry[[#This Row],[Year]]&amp;"-"&amp;TimeEntry[[#This Row],[WkNo]]</f>
        <v>2019-29</v>
      </c>
    </row>
    <row r="407" spans="1:17" ht="30" x14ac:dyDescent="0.25">
      <c r="A407" s="9">
        <f>MOD(IF(ROW()=11,0.1,IF(INDEX(TimeEntry[WkEnd],ROW()-10)            =            INDEX(TimeEntry[WkEnd],ROW()-11),               INDEX(TimeEntry[format],ROW()-11),               INDEX(TimeEntry[format],ROW()-11)    +1)),2)</f>
        <v>0.10000000000000009</v>
      </c>
      <c r="B407" s="14"/>
      <c r="C407" s="7">
        <v>43656</v>
      </c>
      <c r="D407" s="7"/>
      <c r="E407" s="7"/>
      <c r="F407" s="6" t="s">
        <v>40</v>
      </c>
      <c r="G407" s="6"/>
      <c r="H407" s="7">
        <f>IF(TimeEntry[[#This Row],[Date]]=0,H406,C407+(7-N407))</f>
        <v>43660</v>
      </c>
      <c r="I407" s="7">
        <f>TimeEntry[[#This Row],[Date]]</f>
        <v>43656</v>
      </c>
      <c r="J407" s="10" t="str">
        <f>IF(TimeEntry[[#This Row],[Date]]=0,"",TEXT(TimeEntry[[#This Row],[Date]],"ddd"))</f>
        <v>Wed</v>
      </c>
      <c r="K407" s="9" t="str">
        <f>IF(TimeEntry[[#This Row],[Project]]=0,"",INDEX(ProjectsAll[job number],MATCH(TimeEntry[[#This Row],[Project]],ProjectsAll[Project],0)))</f>
        <v>255670-17</v>
      </c>
      <c r="L407" s="6" t="s">
        <v>225</v>
      </c>
      <c r="M407" s="6">
        <v>1</v>
      </c>
      <c r="N407" s="9">
        <f>IF(TimeEntry[[#This Row],[Date]]=0,"",WEEKDAY(C407,2))</f>
        <v>3</v>
      </c>
      <c r="O407" s="10">
        <f>YEAR(TimeEntry[[#This Row],[WkEnd]])</f>
        <v>2019</v>
      </c>
      <c r="P407" s="10">
        <f>WEEKNUM(TimeEntry[[#This Row],[WkEnd]])</f>
        <v>29</v>
      </c>
      <c r="Q407" s="10" t="str">
        <f>TimeEntry[[#This Row],[Year]]&amp;"-"&amp;TimeEntry[[#This Row],[WkNo]]</f>
        <v>2019-29</v>
      </c>
    </row>
    <row r="408" spans="1:17" ht="30" x14ac:dyDescent="0.25">
      <c r="A408" s="9">
        <f>MOD(IF(ROW()=11,0.1,IF(INDEX(TimeEntry[WkEnd],ROW()-10)            =            INDEX(TimeEntry[WkEnd],ROW()-11),               INDEX(TimeEntry[format],ROW()-11),               INDEX(TimeEntry[format],ROW()-11)    +1)),2)</f>
        <v>0.10000000000000009</v>
      </c>
      <c r="B408" s="14"/>
      <c r="C408" s="7">
        <v>43656</v>
      </c>
      <c r="D408" s="7"/>
      <c r="E408" s="7"/>
      <c r="F408" s="6" t="s">
        <v>84</v>
      </c>
      <c r="G408" s="6"/>
      <c r="H408" s="7">
        <f>IF(TimeEntry[[#This Row],[Date]]=0,H407,C408+(7-N408))</f>
        <v>43660</v>
      </c>
      <c r="I408" s="7">
        <f>TimeEntry[[#This Row],[Date]]</f>
        <v>43656</v>
      </c>
      <c r="J408" s="10" t="str">
        <f>IF(TimeEntry[[#This Row],[Date]]=0,"",TEXT(TimeEntry[[#This Row],[Date]],"ddd"))</f>
        <v>Wed</v>
      </c>
      <c r="K408" s="9" t="str">
        <f>IF(TimeEntry[[#This Row],[Project]]=0,"",INDEX(ProjectsAll[job number],MATCH(TimeEntry[[#This Row],[Project]],ProjectsAll[Project],0)))</f>
        <v>265720-20</v>
      </c>
      <c r="L408" s="6" t="s">
        <v>226</v>
      </c>
      <c r="M408" s="6">
        <v>4.5</v>
      </c>
      <c r="N408" s="9">
        <f>IF(TimeEntry[[#This Row],[Date]]=0,"",WEEKDAY(C408,2))</f>
        <v>3</v>
      </c>
      <c r="O408" s="10">
        <f>YEAR(TimeEntry[[#This Row],[WkEnd]])</f>
        <v>2019</v>
      </c>
      <c r="P408" s="10">
        <f>WEEKNUM(TimeEntry[[#This Row],[WkEnd]])</f>
        <v>29</v>
      </c>
      <c r="Q408" s="10" t="str">
        <f>TimeEntry[[#This Row],[Year]]&amp;"-"&amp;TimeEntry[[#This Row],[WkNo]]</f>
        <v>2019-29</v>
      </c>
    </row>
    <row r="409" spans="1:17" ht="30" x14ac:dyDescent="0.25">
      <c r="A409" s="9">
        <f>MOD(IF(ROW()=11,0.1,IF(INDEX(TimeEntry[WkEnd],ROW()-10)            =            INDEX(TimeEntry[WkEnd],ROW()-11),               INDEX(TimeEntry[format],ROW()-11),               INDEX(TimeEntry[format],ROW()-11)    +1)),2)</f>
        <v>0.10000000000000009</v>
      </c>
      <c r="B409" s="14"/>
      <c r="C409" s="7">
        <v>43657</v>
      </c>
      <c r="D409" s="7"/>
      <c r="E409" s="7"/>
      <c r="F409" s="6" t="s">
        <v>88</v>
      </c>
      <c r="G409" s="6"/>
      <c r="H409" s="7">
        <f>IF(TimeEntry[[#This Row],[Date]]=0,H408,C409+(7-N409))</f>
        <v>43660</v>
      </c>
      <c r="I409" s="7">
        <f>TimeEntry[[#This Row],[Date]]</f>
        <v>43657</v>
      </c>
      <c r="J409" s="10" t="str">
        <f>IF(TimeEntry[[#This Row],[Date]]=0,"",TEXT(TimeEntry[[#This Row],[Date]],"ddd"))</f>
        <v>Thu</v>
      </c>
      <c r="K409" s="9" t="str">
        <f>IF(TimeEntry[[#This Row],[Project]]=0,"",INDEX(ProjectsAll[job number],MATCH(TimeEntry[[#This Row],[Project]],ProjectsAll[Project],0)))</f>
        <v>210035-51</v>
      </c>
      <c r="L409" s="6" t="s">
        <v>227</v>
      </c>
      <c r="M409" s="6">
        <v>3.75</v>
      </c>
      <c r="N409" s="9">
        <f>IF(TimeEntry[[#This Row],[Date]]=0,"",WEEKDAY(C409,2))</f>
        <v>4</v>
      </c>
      <c r="O409" s="10">
        <f>YEAR(TimeEntry[[#This Row],[WkEnd]])</f>
        <v>2019</v>
      </c>
      <c r="P409" s="10">
        <f>WEEKNUM(TimeEntry[[#This Row],[WkEnd]])</f>
        <v>29</v>
      </c>
      <c r="Q409" s="10" t="str">
        <f>TimeEntry[[#This Row],[Year]]&amp;"-"&amp;TimeEntry[[#This Row],[WkNo]]</f>
        <v>2019-29</v>
      </c>
    </row>
    <row r="410" spans="1:17" ht="30" x14ac:dyDescent="0.25">
      <c r="A410" s="9">
        <f>MOD(IF(ROW()=11,0.1,IF(INDEX(TimeEntry[WkEnd],ROW()-10)            =            INDEX(TimeEntry[WkEnd],ROW()-11),               INDEX(TimeEntry[format],ROW()-11),               INDEX(TimeEntry[format],ROW()-11)    +1)),2)</f>
        <v>0.10000000000000009</v>
      </c>
      <c r="B410" s="14"/>
      <c r="C410" s="7">
        <v>43657</v>
      </c>
      <c r="D410" s="7"/>
      <c r="E410" s="7"/>
      <c r="F410" s="6" t="s">
        <v>84</v>
      </c>
      <c r="G410" s="6"/>
      <c r="H410" s="7">
        <f>IF(TimeEntry[[#This Row],[Date]]=0,H409,C410+(7-N410))</f>
        <v>43660</v>
      </c>
      <c r="I410" s="7">
        <f>TimeEntry[[#This Row],[Date]]</f>
        <v>43657</v>
      </c>
      <c r="J410" s="10" t="str">
        <f>IF(TimeEntry[[#This Row],[Date]]=0,"",TEXT(TimeEntry[[#This Row],[Date]],"ddd"))</f>
        <v>Thu</v>
      </c>
      <c r="K410" s="9" t="str">
        <f>IF(TimeEntry[[#This Row],[Project]]=0,"",INDEX(ProjectsAll[job number],MATCH(TimeEntry[[#This Row],[Project]],ProjectsAll[Project],0)))</f>
        <v>265720-20</v>
      </c>
      <c r="L410" s="6" t="s">
        <v>228</v>
      </c>
      <c r="M410" s="6">
        <v>3.75</v>
      </c>
      <c r="N410" s="9">
        <f>IF(TimeEntry[[#This Row],[Date]]=0,"",WEEKDAY(C410,2))</f>
        <v>4</v>
      </c>
      <c r="O410" s="10">
        <f>YEAR(TimeEntry[[#This Row],[WkEnd]])</f>
        <v>2019</v>
      </c>
      <c r="P410" s="10">
        <f>WEEKNUM(TimeEntry[[#This Row],[WkEnd]])</f>
        <v>29</v>
      </c>
      <c r="Q410" s="10" t="str">
        <f>TimeEntry[[#This Row],[Year]]&amp;"-"&amp;TimeEntry[[#This Row],[WkNo]]</f>
        <v>2019-29</v>
      </c>
    </row>
    <row r="411" spans="1:17" ht="30" x14ac:dyDescent="0.25">
      <c r="A411" s="9">
        <f>MOD(IF(ROW()=11,0.1,IF(INDEX(TimeEntry[WkEnd],ROW()-10)            =            INDEX(TimeEntry[WkEnd],ROW()-11),               INDEX(TimeEntry[format],ROW()-11),               INDEX(TimeEntry[format],ROW()-11)    +1)),2)</f>
        <v>0.10000000000000009</v>
      </c>
      <c r="B411" s="14"/>
      <c r="C411" s="7">
        <v>43658</v>
      </c>
      <c r="D411" s="7"/>
      <c r="E411" s="7"/>
      <c r="F411" s="6" t="s">
        <v>88</v>
      </c>
      <c r="G411" s="6"/>
      <c r="H411" s="7">
        <f>IF(TimeEntry[[#This Row],[Date]]=0,H410,C411+(7-N411))</f>
        <v>43660</v>
      </c>
      <c r="I411" s="7">
        <f>TimeEntry[[#This Row],[Date]]</f>
        <v>43658</v>
      </c>
      <c r="J411" s="10" t="str">
        <f>IF(TimeEntry[[#This Row],[Date]]=0,"",TEXT(TimeEntry[[#This Row],[Date]],"ddd"))</f>
        <v>Fri</v>
      </c>
      <c r="K411" s="9" t="str">
        <f>IF(TimeEntry[[#This Row],[Project]]=0,"",INDEX(ProjectsAll[job number],MATCH(TimeEntry[[#This Row],[Project]],ProjectsAll[Project],0)))</f>
        <v>210035-51</v>
      </c>
      <c r="L411" s="6" t="s">
        <v>229</v>
      </c>
      <c r="M411" s="6">
        <v>3.75</v>
      </c>
      <c r="N411" s="9">
        <f>IF(TimeEntry[[#This Row],[Date]]=0,"",WEEKDAY(C411,2))</f>
        <v>5</v>
      </c>
      <c r="O411" s="10">
        <f>YEAR(TimeEntry[[#This Row],[WkEnd]])</f>
        <v>2019</v>
      </c>
      <c r="P411" s="10">
        <f>WEEKNUM(TimeEntry[[#This Row],[WkEnd]])</f>
        <v>29</v>
      </c>
      <c r="Q411" s="10" t="str">
        <f>TimeEntry[[#This Row],[Year]]&amp;"-"&amp;TimeEntry[[#This Row],[WkNo]]</f>
        <v>2019-29</v>
      </c>
    </row>
    <row r="412" spans="1:17" ht="30" x14ac:dyDescent="0.25">
      <c r="A412" s="9">
        <f>MOD(IF(ROW()=11,0.1,IF(INDEX(TimeEntry[WkEnd],ROW()-10)            =            INDEX(TimeEntry[WkEnd],ROW()-11),               INDEX(TimeEntry[format],ROW()-11),               INDEX(TimeEntry[format],ROW()-11)    +1)),2)</f>
        <v>0.10000000000000009</v>
      </c>
      <c r="B412" s="14"/>
      <c r="C412" s="7">
        <v>43658</v>
      </c>
      <c r="D412" s="7"/>
      <c r="E412" s="7"/>
      <c r="F412" s="6" t="s">
        <v>84</v>
      </c>
      <c r="G412" s="6"/>
      <c r="H412" s="7">
        <f>IF(TimeEntry[[#This Row],[Date]]=0,H411,C412+(7-N412))</f>
        <v>43660</v>
      </c>
      <c r="I412" s="7">
        <f>TimeEntry[[#This Row],[Date]]</f>
        <v>43658</v>
      </c>
      <c r="J412" s="10" t="str">
        <f>IF(TimeEntry[[#This Row],[Date]]=0,"",TEXT(TimeEntry[[#This Row],[Date]],"ddd"))</f>
        <v>Fri</v>
      </c>
      <c r="K412" s="9" t="str">
        <f>IF(TimeEntry[[#This Row],[Project]]=0,"",INDEX(ProjectsAll[job number],MATCH(TimeEntry[[#This Row],[Project]],ProjectsAll[Project],0)))</f>
        <v>265720-20</v>
      </c>
      <c r="L412" s="6" t="s">
        <v>230</v>
      </c>
      <c r="M412" s="6">
        <v>3.75</v>
      </c>
      <c r="N412" s="9">
        <f>IF(TimeEntry[[#This Row],[Date]]=0,"",WEEKDAY(C412,2))</f>
        <v>5</v>
      </c>
      <c r="O412" s="10">
        <f>YEAR(TimeEntry[[#This Row],[WkEnd]])</f>
        <v>2019</v>
      </c>
      <c r="P412" s="10">
        <f>WEEKNUM(TimeEntry[[#This Row],[WkEnd]])</f>
        <v>29</v>
      </c>
      <c r="Q412" s="10" t="str">
        <f>TimeEntry[[#This Row],[Year]]&amp;"-"&amp;TimeEntry[[#This Row],[WkNo]]</f>
        <v>2019-29</v>
      </c>
    </row>
    <row r="413" spans="1:17" x14ac:dyDescent="0.25">
      <c r="A413" s="9">
        <f>MOD(IF(ROW()=11,0.1,IF(INDEX(TimeEntry[WkEnd],ROW()-10)            =            INDEX(TimeEntry[WkEnd],ROW()-11),               INDEX(TimeEntry[format],ROW()-11),               INDEX(TimeEntry[format],ROW()-11)    +1)),2)</f>
        <v>1.1000000000000001</v>
      </c>
      <c r="B413" s="14"/>
      <c r="C413" s="7">
        <v>43647</v>
      </c>
      <c r="D413" s="7"/>
      <c r="E413" s="7"/>
      <c r="F413" s="6" t="s">
        <v>23</v>
      </c>
      <c r="G413" s="6"/>
      <c r="H413" s="7">
        <f>IF(TimeEntry[[#This Row],[Date]]=0,H412,C413+(7-N413))</f>
        <v>43653</v>
      </c>
      <c r="I413" s="7">
        <f>TimeEntry[[#This Row],[Date]]</f>
        <v>43647</v>
      </c>
      <c r="J413" s="10" t="str">
        <f>IF(TimeEntry[[#This Row],[Date]]=0,"",TEXT(TimeEntry[[#This Row],[Date]],"ddd"))</f>
        <v>Mon</v>
      </c>
      <c r="K413" s="9" t="e">
        <f>IF(TimeEntry[[#This Row],[Project]]=0,"",INDEX(ProjectsAll[job number],MATCH(TimeEntry[[#This Row],[Project]],ProjectsAll[Project],0)))</f>
        <v>#N/A</v>
      </c>
      <c r="L413" s="6" t="s">
        <v>231</v>
      </c>
      <c r="M413" s="6">
        <v>3.5</v>
      </c>
      <c r="N413" s="9">
        <f>IF(TimeEntry[[#This Row],[Date]]=0,"",WEEKDAY(C413,2))</f>
        <v>1</v>
      </c>
      <c r="O413" s="10">
        <f>YEAR(TimeEntry[[#This Row],[WkEnd]])</f>
        <v>2019</v>
      </c>
      <c r="P413" s="10">
        <f>WEEKNUM(TimeEntry[[#This Row],[WkEnd]])</f>
        <v>28</v>
      </c>
      <c r="Q413" s="10" t="str">
        <f>TimeEntry[[#This Row],[Year]]&amp;"-"&amp;TimeEntry[[#This Row],[WkNo]]</f>
        <v>2019-28</v>
      </c>
    </row>
    <row r="414" spans="1:17" ht="30" x14ac:dyDescent="0.25">
      <c r="A414" s="9">
        <f>MOD(IF(ROW()=11,0.1,IF(INDEX(TimeEntry[WkEnd],ROW()-10)            =            INDEX(TimeEntry[WkEnd],ROW()-11),               INDEX(TimeEntry[format],ROW()-11),               INDEX(TimeEntry[format],ROW()-11)    +1)),2)</f>
        <v>1.1000000000000001</v>
      </c>
      <c r="B414" s="14"/>
      <c r="C414" s="7">
        <v>43647</v>
      </c>
      <c r="D414" s="7"/>
      <c r="E414" s="7"/>
      <c r="F414" s="6" t="s">
        <v>40</v>
      </c>
      <c r="G414" s="6"/>
      <c r="H414" s="7">
        <f>IF(TimeEntry[[#This Row],[Date]]=0,H413,C414+(7-N414))</f>
        <v>43653</v>
      </c>
      <c r="I414" s="7">
        <f>TimeEntry[[#This Row],[Date]]</f>
        <v>43647</v>
      </c>
      <c r="J414" s="10" t="str">
        <f>IF(TimeEntry[[#This Row],[Date]]=0,"",TEXT(TimeEntry[[#This Row],[Date]],"ddd"))</f>
        <v>Mon</v>
      </c>
      <c r="K414" s="9" t="str">
        <f>IF(TimeEntry[[#This Row],[Project]]=0,"",INDEX(ProjectsAll[job number],MATCH(TimeEntry[[#This Row],[Project]],ProjectsAll[Project],0)))</f>
        <v>255670-17</v>
      </c>
      <c r="L414" s="6" t="s">
        <v>232</v>
      </c>
      <c r="M414" s="6">
        <v>4</v>
      </c>
      <c r="N414" s="9">
        <f>IF(TimeEntry[[#This Row],[Date]]=0,"",WEEKDAY(C414,2))</f>
        <v>1</v>
      </c>
      <c r="O414" s="10">
        <f>YEAR(TimeEntry[[#This Row],[WkEnd]])</f>
        <v>2019</v>
      </c>
      <c r="P414" s="10">
        <f>WEEKNUM(TimeEntry[[#This Row],[WkEnd]])</f>
        <v>28</v>
      </c>
      <c r="Q414" s="10" t="str">
        <f>TimeEntry[[#This Row],[Year]]&amp;"-"&amp;TimeEntry[[#This Row],[WkNo]]</f>
        <v>2019-28</v>
      </c>
    </row>
    <row r="415" spans="1:17" ht="30" x14ac:dyDescent="0.25">
      <c r="A415" s="9">
        <f>MOD(IF(ROW()=11,0.1,IF(INDEX(TimeEntry[WkEnd],ROW()-10)            =            INDEX(TimeEntry[WkEnd],ROW()-11),               INDEX(TimeEntry[format],ROW()-11),               INDEX(TimeEntry[format],ROW()-11)    +1)),2)</f>
        <v>1.1000000000000001</v>
      </c>
      <c r="B415" s="14"/>
      <c r="C415" s="7">
        <v>43648</v>
      </c>
      <c r="D415" s="7"/>
      <c r="E415" s="7"/>
      <c r="F415" s="6" t="s">
        <v>84</v>
      </c>
      <c r="G415" s="6"/>
      <c r="H415" s="7">
        <f>IF(TimeEntry[[#This Row],[Date]]=0,H414,C415+(7-N415))</f>
        <v>43653</v>
      </c>
      <c r="I415" s="7">
        <f>TimeEntry[[#This Row],[Date]]</f>
        <v>43648</v>
      </c>
      <c r="J415" s="10" t="str">
        <f>IF(TimeEntry[[#This Row],[Date]]=0,"",TEXT(TimeEntry[[#This Row],[Date]],"ddd"))</f>
        <v>Tue</v>
      </c>
      <c r="K415" s="9" t="str">
        <f>IF(TimeEntry[[#This Row],[Project]]=0,"",INDEX(ProjectsAll[job number],MATCH(TimeEntry[[#This Row],[Project]],ProjectsAll[Project],0)))</f>
        <v>265720-20</v>
      </c>
      <c r="L415" s="6" t="s">
        <v>233</v>
      </c>
      <c r="M415" s="6">
        <v>3.75</v>
      </c>
      <c r="N415" s="9">
        <f>IF(TimeEntry[[#This Row],[Date]]=0,"",WEEKDAY(C415,2))</f>
        <v>2</v>
      </c>
      <c r="O415" s="10">
        <f>YEAR(TimeEntry[[#This Row],[WkEnd]])</f>
        <v>2019</v>
      </c>
      <c r="P415" s="10">
        <f>WEEKNUM(TimeEntry[[#This Row],[WkEnd]])</f>
        <v>28</v>
      </c>
      <c r="Q415" s="10" t="str">
        <f>TimeEntry[[#This Row],[Year]]&amp;"-"&amp;TimeEntry[[#This Row],[WkNo]]</f>
        <v>2019-28</v>
      </c>
    </row>
    <row r="416" spans="1:17" ht="30" x14ac:dyDescent="0.25">
      <c r="A416" s="9">
        <f>MOD(IF(ROW()=11,0.1,IF(INDEX(TimeEntry[WkEnd],ROW()-10)            =            INDEX(TimeEntry[WkEnd],ROW()-11),               INDEX(TimeEntry[format],ROW()-11),               INDEX(TimeEntry[format],ROW()-11)    +1)),2)</f>
        <v>1.1000000000000001</v>
      </c>
      <c r="B416" s="14"/>
      <c r="C416" s="7">
        <v>43648</v>
      </c>
      <c r="D416" s="7"/>
      <c r="E416" s="7"/>
      <c r="F416" s="6" t="s">
        <v>14</v>
      </c>
      <c r="G416" s="6"/>
      <c r="H416" s="7">
        <f>IF(TimeEntry[[#This Row],[Date]]=0,H415,C416+(7-N416))</f>
        <v>43653</v>
      </c>
      <c r="I416" s="7">
        <f>TimeEntry[[#This Row],[Date]]</f>
        <v>43648</v>
      </c>
      <c r="J416" s="10" t="str">
        <f>IF(TimeEntry[[#This Row],[Date]]=0,"",TEXT(TimeEntry[[#This Row],[Date]],"ddd"))</f>
        <v>Tue</v>
      </c>
      <c r="K416" s="9" t="str">
        <f>IF(TimeEntry[[#This Row],[Project]]=0,"",INDEX(ProjectsAll[job number],MATCH(TimeEntry[[#This Row],[Project]],ProjectsAll[Project],0)))</f>
        <v>071945-07</v>
      </c>
      <c r="L416" s="6" t="s">
        <v>234</v>
      </c>
      <c r="M416" s="6">
        <v>3.75</v>
      </c>
      <c r="N416" s="9">
        <f>IF(TimeEntry[[#This Row],[Date]]=0,"",WEEKDAY(C416,2))</f>
        <v>2</v>
      </c>
      <c r="O416" s="10">
        <f>YEAR(TimeEntry[[#This Row],[WkEnd]])</f>
        <v>2019</v>
      </c>
      <c r="P416" s="10">
        <f>WEEKNUM(TimeEntry[[#This Row],[WkEnd]])</f>
        <v>28</v>
      </c>
      <c r="Q416" s="10" t="str">
        <f>TimeEntry[[#This Row],[Year]]&amp;"-"&amp;TimeEntry[[#This Row],[WkNo]]</f>
        <v>2019-28</v>
      </c>
    </row>
    <row r="417" spans="1:17" ht="30" x14ac:dyDescent="0.25">
      <c r="A417" s="9">
        <f>MOD(IF(ROW()=11,0.1,IF(INDEX(TimeEntry[WkEnd],ROW()-10)            =            INDEX(TimeEntry[WkEnd],ROW()-11),               INDEX(TimeEntry[format],ROW()-11),               INDEX(TimeEntry[format],ROW()-11)    +1)),2)</f>
        <v>1.1000000000000001</v>
      </c>
      <c r="B417" s="14"/>
      <c r="C417" s="7">
        <v>43649</v>
      </c>
      <c r="D417" s="7"/>
      <c r="E417" s="7"/>
      <c r="F417" s="6" t="s">
        <v>84</v>
      </c>
      <c r="G417" s="6"/>
      <c r="H417" s="7">
        <f>IF(TimeEntry[[#This Row],[Date]]=0,H416,C417+(7-N417))</f>
        <v>43653</v>
      </c>
      <c r="I417" s="7">
        <f>TimeEntry[[#This Row],[Date]]</f>
        <v>43649</v>
      </c>
      <c r="J417" s="10" t="str">
        <f>IF(TimeEntry[[#This Row],[Date]]=0,"",TEXT(TimeEntry[[#This Row],[Date]],"ddd"))</f>
        <v>Wed</v>
      </c>
      <c r="K417" s="9" t="str">
        <f>IF(TimeEntry[[#This Row],[Project]]=0,"",INDEX(ProjectsAll[job number],MATCH(TimeEntry[[#This Row],[Project]],ProjectsAll[Project],0)))</f>
        <v>265720-20</v>
      </c>
      <c r="L417" s="6" t="s">
        <v>235</v>
      </c>
      <c r="M417" s="6">
        <v>7.5</v>
      </c>
      <c r="N417" s="9">
        <f>IF(TimeEntry[[#This Row],[Date]]=0,"",WEEKDAY(C417,2))</f>
        <v>3</v>
      </c>
      <c r="O417" s="10">
        <f>YEAR(TimeEntry[[#This Row],[WkEnd]])</f>
        <v>2019</v>
      </c>
      <c r="P417" s="10">
        <f>WEEKNUM(TimeEntry[[#This Row],[WkEnd]])</f>
        <v>28</v>
      </c>
      <c r="Q417" s="10" t="str">
        <f>TimeEntry[[#This Row],[Year]]&amp;"-"&amp;TimeEntry[[#This Row],[WkNo]]</f>
        <v>2019-28</v>
      </c>
    </row>
    <row r="418" spans="1:17" ht="30" x14ac:dyDescent="0.25">
      <c r="A418" s="9">
        <f>MOD(IF(ROW()=11,0.1,IF(INDEX(TimeEntry[WkEnd],ROW()-10)            =            INDEX(TimeEntry[WkEnd],ROW()-11),               INDEX(TimeEntry[format],ROW()-11),               INDEX(TimeEntry[format],ROW()-11)    +1)),2)</f>
        <v>1.1000000000000001</v>
      </c>
      <c r="B418" s="14"/>
      <c r="C418" s="7">
        <v>43650</v>
      </c>
      <c r="D418" s="7"/>
      <c r="E418" s="7"/>
      <c r="F418" s="6" t="s">
        <v>84</v>
      </c>
      <c r="G418" s="6"/>
      <c r="H418" s="7">
        <f>IF(TimeEntry[[#This Row],[Date]]=0,H417,C418+(7-N418))</f>
        <v>43653</v>
      </c>
      <c r="I418" s="7">
        <f>TimeEntry[[#This Row],[Date]]</f>
        <v>43650</v>
      </c>
      <c r="J418" s="10" t="str">
        <f>IF(TimeEntry[[#This Row],[Date]]=0,"",TEXT(TimeEntry[[#This Row],[Date]],"ddd"))</f>
        <v>Thu</v>
      </c>
      <c r="K418" s="9" t="str">
        <f>IF(TimeEntry[[#This Row],[Project]]=0,"",INDEX(ProjectsAll[job number],MATCH(TimeEntry[[#This Row],[Project]],ProjectsAll[Project],0)))</f>
        <v>265720-20</v>
      </c>
      <c r="L418" s="6" t="s">
        <v>236</v>
      </c>
      <c r="M418" s="6">
        <v>3.75</v>
      </c>
      <c r="N418" s="9">
        <f>IF(TimeEntry[[#This Row],[Date]]=0,"",WEEKDAY(C418,2))</f>
        <v>4</v>
      </c>
      <c r="O418" s="10">
        <f>YEAR(TimeEntry[[#This Row],[WkEnd]])</f>
        <v>2019</v>
      </c>
      <c r="P418" s="10">
        <f>WEEKNUM(TimeEntry[[#This Row],[WkEnd]])</f>
        <v>28</v>
      </c>
      <c r="Q418" s="10" t="str">
        <f>TimeEntry[[#This Row],[Year]]&amp;"-"&amp;TimeEntry[[#This Row],[WkNo]]</f>
        <v>2019-28</v>
      </c>
    </row>
    <row r="419" spans="1:17" ht="30" x14ac:dyDescent="0.25">
      <c r="A419" s="9">
        <f>MOD(IF(ROW()=11,0.1,IF(INDEX(TimeEntry[WkEnd],ROW()-10)            =            INDEX(TimeEntry[WkEnd],ROW()-11),               INDEX(TimeEntry[format],ROW()-11),               INDEX(TimeEntry[format],ROW()-11)    +1)),2)</f>
        <v>1.1000000000000001</v>
      </c>
      <c r="B419" s="14"/>
      <c r="C419" s="7">
        <v>43650</v>
      </c>
      <c r="D419" s="7"/>
      <c r="E419" s="7"/>
      <c r="F419" s="6" t="s">
        <v>84</v>
      </c>
      <c r="G419" s="6"/>
      <c r="H419" s="7">
        <f>IF(TimeEntry[[#This Row],[Date]]=0,H418,C419+(7-N419))</f>
        <v>43653</v>
      </c>
      <c r="I419" s="7">
        <f>TimeEntry[[#This Row],[Date]]</f>
        <v>43650</v>
      </c>
      <c r="J419" s="10" t="str">
        <f>IF(TimeEntry[[#This Row],[Date]]=0,"",TEXT(TimeEntry[[#This Row],[Date]],"ddd"))</f>
        <v>Thu</v>
      </c>
      <c r="K419" s="9" t="str">
        <f>IF(TimeEntry[[#This Row],[Project]]=0,"",INDEX(ProjectsAll[job number],MATCH(TimeEntry[[#This Row],[Project]],ProjectsAll[Project],0)))</f>
        <v>265720-20</v>
      </c>
      <c r="L419" s="6" t="s">
        <v>237</v>
      </c>
      <c r="M419" s="6">
        <v>1.5</v>
      </c>
      <c r="N419" s="9">
        <f>IF(TimeEntry[[#This Row],[Date]]=0,"",WEEKDAY(C419,2))</f>
        <v>4</v>
      </c>
      <c r="O419" s="10">
        <f>YEAR(TimeEntry[[#This Row],[WkEnd]])</f>
        <v>2019</v>
      </c>
      <c r="P419" s="10">
        <f>WEEKNUM(TimeEntry[[#This Row],[WkEnd]])</f>
        <v>28</v>
      </c>
      <c r="Q419" s="10" t="str">
        <f>TimeEntry[[#This Row],[Year]]&amp;"-"&amp;TimeEntry[[#This Row],[WkNo]]</f>
        <v>2019-28</v>
      </c>
    </row>
    <row r="420" spans="1:17" ht="30" x14ac:dyDescent="0.25">
      <c r="A420" s="9">
        <f>MOD(IF(ROW()=11,0.1,IF(INDEX(TimeEntry[WkEnd],ROW()-10)            =            INDEX(TimeEntry[WkEnd],ROW()-11),               INDEX(TimeEntry[format],ROW()-11),               INDEX(TimeEntry[format],ROW()-11)    +1)),2)</f>
        <v>1.1000000000000001</v>
      </c>
      <c r="B420" s="14"/>
      <c r="C420" s="7">
        <v>43650</v>
      </c>
      <c r="D420" s="7"/>
      <c r="E420" s="7"/>
      <c r="F420" s="6" t="s">
        <v>84</v>
      </c>
      <c r="G420" s="6"/>
      <c r="H420" s="7">
        <f>IF(TimeEntry[[#This Row],[Date]]=0,H419,C420+(7-N420))</f>
        <v>43653</v>
      </c>
      <c r="I420" s="7">
        <f>TimeEntry[[#This Row],[Date]]</f>
        <v>43650</v>
      </c>
      <c r="J420" s="10" t="str">
        <f>IF(TimeEntry[[#This Row],[Date]]=0,"",TEXT(TimeEntry[[#This Row],[Date]],"ddd"))</f>
        <v>Thu</v>
      </c>
      <c r="K420" s="9" t="str">
        <f>IF(TimeEntry[[#This Row],[Project]]=0,"",INDEX(ProjectsAll[job number],MATCH(TimeEntry[[#This Row],[Project]],ProjectsAll[Project],0)))</f>
        <v>265720-20</v>
      </c>
      <c r="L420" s="6" t="s">
        <v>222</v>
      </c>
      <c r="M420" s="6">
        <v>2.25</v>
      </c>
      <c r="N420" s="9">
        <f>IF(TimeEntry[[#This Row],[Date]]=0,"",WEEKDAY(C420,2))</f>
        <v>4</v>
      </c>
      <c r="O420" s="10">
        <f>YEAR(TimeEntry[[#This Row],[WkEnd]])</f>
        <v>2019</v>
      </c>
      <c r="P420" s="10">
        <f>WEEKNUM(TimeEntry[[#This Row],[WkEnd]])</f>
        <v>28</v>
      </c>
      <c r="Q420" s="10" t="str">
        <f>TimeEntry[[#This Row],[Year]]&amp;"-"&amp;TimeEntry[[#This Row],[WkNo]]</f>
        <v>2019-28</v>
      </c>
    </row>
    <row r="421" spans="1:17" ht="30" x14ac:dyDescent="0.25">
      <c r="A421" s="9">
        <f>MOD(IF(ROW()=11,0.1,IF(INDEX(TimeEntry[WkEnd],ROW()-10)            =            INDEX(TimeEntry[WkEnd],ROW()-11),               INDEX(TimeEntry[format],ROW()-11),               INDEX(TimeEntry[format],ROW()-11)    +1)),2)</f>
        <v>1.1000000000000001</v>
      </c>
      <c r="B421" s="14"/>
      <c r="C421" s="7">
        <v>43651</v>
      </c>
      <c r="D421" s="7"/>
      <c r="E421" s="7"/>
      <c r="F421" s="6" t="s">
        <v>88</v>
      </c>
      <c r="G421" s="6"/>
      <c r="H421" s="7">
        <f>IF(TimeEntry[[#This Row],[Date]]=0,H420,C421+(7-N421))</f>
        <v>43653</v>
      </c>
      <c r="I421" s="7">
        <f>TimeEntry[[#This Row],[Date]]</f>
        <v>43651</v>
      </c>
      <c r="J421" s="10" t="str">
        <f>IF(TimeEntry[[#This Row],[Date]]=0,"",TEXT(TimeEntry[[#This Row],[Date]],"ddd"))</f>
        <v>Fri</v>
      </c>
      <c r="K421" s="9" t="str">
        <f>IF(TimeEntry[[#This Row],[Project]]=0,"",INDEX(ProjectsAll[job number],MATCH(TimeEntry[[#This Row],[Project]],ProjectsAll[Project],0)))</f>
        <v>210035-51</v>
      </c>
      <c r="L421" s="6" t="s">
        <v>238</v>
      </c>
      <c r="M421" s="6">
        <v>5.5</v>
      </c>
      <c r="N421" s="9">
        <f>IF(TimeEntry[[#This Row],[Date]]=0,"",WEEKDAY(C421,2))</f>
        <v>5</v>
      </c>
      <c r="O421" s="10">
        <f>YEAR(TimeEntry[[#This Row],[WkEnd]])</f>
        <v>2019</v>
      </c>
      <c r="P421" s="10">
        <f>WEEKNUM(TimeEntry[[#This Row],[WkEnd]])</f>
        <v>28</v>
      </c>
      <c r="Q421" s="10" t="str">
        <f>TimeEntry[[#This Row],[Year]]&amp;"-"&amp;TimeEntry[[#This Row],[WkNo]]</f>
        <v>2019-28</v>
      </c>
    </row>
    <row r="422" spans="1:17" ht="30" x14ac:dyDescent="0.25">
      <c r="A422" s="9">
        <f>MOD(IF(ROW()=11,0.1,IF(INDEX(TimeEntry[WkEnd],ROW()-10)            =            INDEX(TimeEntry[WkEnd],ROW()-11),               INDEX(TimeEntry[format],ROW()-11),               INDEX(TimeEntry[format],ROW()-11)    +1)),2)</f>
        <v>1.1000000000000001</v>
      </c>
      <c r="B422" s="14"/>
      <c r="C422" s="7">
        <v>43651</v>
      </c>
      <c r="D422" s="7"/>
      <c r="E422" s="7"/>
      <c r="F422" s="6" t="s">
        <v>84</v>
      </c>
      <c r="G422" s="6"/>
      <c r="H422" s="7">
        <f>IF(TimeEntry[[#This Row],[Date]]=0,H421,C422+(7-N422))</f>
        <v>43653</v>
      </c>
      <c r="I422" s="7">
        <f>TimeEntry[[#This Row],[Date]]</f>
        <v>43651</v>
      </c>
      <c r="J422" s="10" t="str">
        <f>IF(TimeEntry[[#This Row],[Date]]=0,"",TEXT(TimeEntry[[#This Row],[Date]],"ddd"))</f>
        <v>Fri</v>
      </c>
      <c r="K422" s="9" t="str">
        <f>IF(TimeEntry[[#This Row],[Project]]=0,"",INDEX(ProjectsAll[job number],MATCH(TimeEntry[[#This Row],[Project]],ProjectsAll[Project],0)))</f>
        <v>265720-20</v>
      </c>
      <c r="L422" s="6" t="s">
        <v>239</v>
      </c>
      <c r="M422" s="6">
        <v>2</v>
      </c>
      <c r="N422" s="9">
        <f>IF(TimeEntry[[#This Row],[Date]]=0,"",WEEKDAY(C422,2))</f>
        <v>5</v>
      </c>
      <c r="O422" s="10">
        <f>YEAR(TimeEntry[[#This Row],[WkEnd]])</f>
        <v>2019</v>
      </c>
      <c r="P422" s="10">
        <f>WEEKNUM(TimeEntry[[#This Row],[WkEnd]])</f>
        <v>28</v>
      </c>
      <c r="Q422" s="10" t="str">
        <f>TimeEntry[[#This Row],[Year]]&amp;"-"&amp;TimeEntry[[#This Row],[WkNo]]</f>
        <v>2019-28</v>
      </c>
    </row>
    <row r="423" spans="1:17" ht="30" x14ac:dyDescent="0.25">
      <c r="A423" s="9">
        <f>MOD(IF(ROW()=11,0.1,IF(INDEX(TimeEntry[WkEnd],ROW()-10)            =            INDEX(TimeEntry[WkEnd],ROW()-11),               INDEX(TimeEntry[format],ROW()-11),               INDEX(TimeEntry[format],ROW()-11)    +1)),2)</f>
        <v>0.10000000000000009</v>
      </c>
      <c r="B423" s="14"/>
      <c r="C423" s="7">
        <v>43640</v>
      </c>
      <c r="D423" s="7"/>
      <c r="E423" s="7"/>
      <c r="F423" s="6" t="s">
        <v>86</v>
      </c>
      <c r="G423" s="6"/>
      <c r="H423" s="7">
        <f>IF(TimeEntry[[#This Row],[Date]]=0,H422,C423+(7-N423))</f>
        <v>43646</v>
      </c>
      <c r="I423" s="7">
        <f>TimeEntry[[#This Row],[Date]]</f>
        <v>43640</v>
      </c>
      <c r="J423" s="10" t="str">
        <f>IF(TimeEntry[[#This Row],[Date]]=0,"",TEXT(TimeEntry[[#This Row],[Date]],"ddd"))</f>
        <v>Mon</v>
      </c>
      <c r="K423" s="9" t="str">
        <f>IF(TimeEntry[[#This Row],[Project]]=0,"",INDEX(ProjectsAll[job number],MATCH(TimeEntry[[#This Row],[Project]],ProjectsAll[Project],0)))</f>
        <v>265720-10</v>
      </c>
      <c r="L423" s="6" t="s">
        <v>240</v>
      </c>
      <c r="M423" s="6">
        <v>7.5</v>
      </c>
      <c r="N423" s="9">
        <f>IF(TimeEntry[[#This Row],[Date]]=0,"",WEEKDAY(C423,2))</f>
        <v>1</v>
      </c>
      <c r="O423" s="10">
        <f>YEAR(TimeEntry[[#This Row],[WkEnd]])</f>
        <v>2019</v>
      </c>
      <c r="P423" s="10">
        <f>WEEKNUM(TimeEntry[[#This Row],[WkEnd]])</f>
        <v>27</v>
      </c>
      <c r="Q423" s="10" t="str">
        <f>TimeEntry[[#This Row],[Year]]&amp;"-"&amp;TimeEntry[[#This Row],[WkNo]]</f>
        <v>2019-27</v>
      </c>
    </row>
    <row r="424" spans="1:17" ht="30" x14ac:dyDescent="0.25">
      <c r="A424" s="9">
        <f>MOD(IF(ROW()=11,0.1,IF(INDEX(TimeEntry[WkEnd],ROW()-10)            =            INDEX(TimeEntry[WkEnd],ROW()-11),               INDEX(TimeEntry[format],ROW()-11),               INDEX(TimeEntry[format],ROW()-11)    +1)),2)</f>
        <v>0.10000000000000009</v>
      </c>
      <c r="B424" s="14"/>
      <c r="C424" s="7">
        <v>43641</v>
      </c>
      <c r="D424" s="7"/>
      <c r="E424" s="7"/>
      <c r="F424" s="6" t="s">
        <v>86</v>
      </c>
      <c r="G424" s="6"/>
      <c r="H424" s="7">
        <f>IF(TimeEntry[[#This Row],[Date]]=0,H423,C424+(7-N424))</f>
        <v>43646</v>
      </c>
      <c r="I424" s="7">
        <f>TimeEntry[[#This Row],[Date]]</f>
        <v>43641</v>
      </c>
      <c r="J424" s="10" t="str">
        <f>IF(TimeEntry[[#This Row],[Date]]=0,"",TEXT(TimeEntry[[#This Row],[Date]],"ddd"))</f>
        <v>Tue</v>
      </c>
      <c r="K424" s="9" t="str">
        <f>IF(TimeEntry[[#This Row],[Project]]=0,"",INDEX(ProjectsAll[job number],MATCH(TimeEntry[[#This Row],[Project]],ProjectsAll[Project],0)))</f>
        <v>265720-10</v>
      </c>
      <c r="L424" s="6" t="s">
        <v>240</v>
      </c>
      <c r="M424" s="6">
        <v>7.5</v>
      </c>
      <c r="N424" s="9">
        <f>IF(TimeEntry[[#This Row],[Date]]=0,"",WEEKDAY(C424,2))</f>
        <v>2</v>
      </c>
      <c r="O424" s="10">
        <f>YEAR(TimeEntry[[#This Row],[WkEnd]])</f>
        <v>2019</v>
      </c>
      <c r="P424" s="10">
        <f>WEEKNUM(TimeEntry[[#This Row],[WkEnd]])</f>
        <v>27</v>
      </c>
      <c r="Q424" s="10" t="str">
        <f>TimeEntry[[#This Row],[Year]]&amp;"-"&amp;TimeEntry[[#This Row],[WkNo]]</f>
        <v>2019-27</v>
      </c>
    </row>
    <row r="425" spans="1:17" ht="30" x14ac:dyDescent="0.25">
      <c r="A425" s="9">
        <f>MOD(IF(ROW()=11,0.1,IF(INDEX(TimeEntry[WkEnd],ROW()-10)            =            INDEX(TimeEntry[WkEnd],ROW()-11),               INDEX(TimeEntry[format],ROW()-11),               INDEX(TimeEntry[format],ROW()-11)    +1)),2)</f>
        <v>0.10000000000000009</v>
      </c>
      <c r="B425" s="14"/>
      <c r="C425" s="7">
        <v>43642</v>
      </c>
      <c r="D425" s="7"/>
      <c r="E425" s="7"/>
      <c r="F425" s="6" t="s">
        <v>86</v>
      </c>
      <c r="G425" s="6"/>
      <c r="H425" s="7">
        <f>IF(TimeEntry[[#This Row],[Date]]=0,H424,C425+(7-N425))</f>
        <v>43646</v>
      </c>
      <c r="I425" s="7">
        <f>TimeEntry[[#This Row],[Date]]</f>
        <v>43642</v>
      </c>
      <c r="J425" s="10" t="str">
        <f>IF(TimeEntry[[#This Row],[Date]]=0,"",TEXT(TimeEntry[[#This Row],[Date]],"ddd"))</f>
        <v>Wed</v>
      </c>
      <c r="K425" s="9" t="str">
        <f>IF(TimeEntry[[#This Row],[Project]]=0,"",INDEX(ProjectsAll[job number],MATCH(TimeEntry[[#This Row],[Project]],ProjectsAll[Project],0)))</f>
        <v>265720-10</v>
      </c>
      <c r="L425" s="6" t="s">
        <v>240</v>
      </c>
      <c r="M425" s="6">
        <v>3.75</v>
      </c>
      <c r="N425" s="9">
        <f>IF(TimeEntry[[#This Row],[Date]]=0,"",WEEKDAY(C425,2))</f>
        <v>3</v>
      </c>
      <c r="O425" s="10">
        <f>YEAR(TimeEntry[[#This Row],[WkEnd]])</f>
        <v>2019</v>
      </c>
      <c r="P425" s="10">
        <f>WEEKNUM(TimeEntry[[#This Row],[WkEnd]])</f>
        <v>27</v>
      </c>
      <c r="Q425" s="10" t="str">
        <f>TimeEntry[[#This Row],[Year]]&amp;"-"&amp;TimeEntry[[#This Row],[WkNo]]</f>
        <v>2019-27</v>
      </c>
    </row>
    <row r="426" spans="1:17" x14ac:dyDescent="0.25">
      <c r="A426" s="9">
        <f>MOD(IF(ROW()=11,0.1,IF(INDEX(TimeEntry[WkEnd],ROW()-10)            =            INDEX(TimeEntry[WkEnd],ROW()-11),               INDEX(TimeEntry[format],ROW()-11),               INDEX(TimeEntry[format],ROW()-11)    +1)),2)</f>
        <v>0.10000000000000009</v>
      </c>
      <c r="B426" s="14"/>
      <c r="C426" s="7">
        <v>43642</v>
      </c>
      <c r="D426" s="7"/>
      <c r="E426" s="7"/>
      <c r="F426" s="6" t="s">
        <v>68</v>
      </c>
      <c r="G426" s="6"/>
      <c r="H426" s="7">
        <f>IF(TimeEntry[[#This Row],[Date]]=0,H425,C426+(7-N426))</f>
        <v>43646</v>
      </c>
      <c r="I426" s="7">
        <f>TimeEntry[[#This Row],[Date]]</f>
        <v>43642</v>
      </c>
      <c r="J426" s="10" t="str">
        <f>IF(TimeEntry[[#This Row],[Date]]=0,"",TEXT(TimeEntry[[#This Row],[Date]],"ddd"))</f>
        <v>Wed</v>
      </c>
      <c r="K426" s="9" t="str">
        <f>IF(TimeEntry[[#This Row],[Project]]=0,"",INDEX(ProjectsAll[job number],MATCH(TimeEntry[[#This Row],[Project]],ProjectsAll[Project],0)))</f>
        <v>LEAVE</v>
      </c>
      <c r="L426" s="6"/>
      <c r="M426" s="6">
        <v>3.75</v>
      </c>
      <c r="N426" s="9">
        <f>IF(TimeEntry[[#This Row],[Date]]=0,"",WEEKDAY(C426,2))</f>
        <v>3</v>
      </c>
      <c r="O426" s="10">
        <f>YEAR(TimeEntry[[#This Row],[WkEnd]])</f>
        <v>2019</v>
      </c>
      <c r="P426" s="10">
        <f>WEEKNUM(TimeEntry[[#This Row],[WkEnd]])</f>
        <v>27</v>
      </c>
      <c r="Q426" s="10" t="str">
        <f>TimeEntry[[#This Row],[Year]]&amp;"-"&amp;TimeEntry[[#This Row],[WkNo]]</f>
        <v>2019-27</v>
      </c>
    </row>
    <row r="427" spans="1:17" ht="30" x14ac:dyDescent="0.25">
      <c r="A427" s="9">
        <f>MOD(IF(ROW()=11,0.1,IF(INDEX(TimeEntry[WkEnd],ROW()-10)            =            INDEX(TimeEntry[WkEnd],ROW()-11),               INDEX(TimeEntry[format],ROW()-11),               INDEX(TimeEntry[format],ROW()-11)    +1)),2)</f>
        <v>0.10000000000000009</v>
      </c>
      <c r="B427" s="14"/>
      <c r="C427" s="7">
        <v>43643</v>
      </c>
      <c r="D427" s="7"/>
      <c r="E427" s="7"/>
      <c r="F427" s="6" t="s">
        <v>86</v>
      </c>
      <c r="G427" s="6"/>
      <c r="H427" s="7">
        <f>IF(TimeEntry[[#This Row],[Date]]=0,H426,C427+(7-N427))</f>
        <v>43646</v>
      </c>
      <c r="I427" s="7">
        <f>TimeEntry[[#This Row],[Date]]</f>
        <v>43643</v>
      </c>
      <c r="J427" s="10" t="str">
        <f>IF(TimeEntry[[#This Row],[Date]]=0,"",TEXT(TimeEntry[[#This Row],[Date]],"ddd"))</f>
        <v>Thu</v>
      </c>
      <c r="K427" s="9" t="str">
        <f>IF(TimeEntry[[#This Row],[Project]]=0,"",INDEX(ProjectsAll[job number],MATCH(TimeEntry[[#This Row],[Project]],ProjectsAll[Project],0)))</f>
        <v>265720-10</v>
      </c>
      <c r="L427" s="6" t="s">
        <v>240</v>
      </c>
      <c r="M427" s="6">
        <v>7.5</v>
      </c>
      <c r="N427" s="9">
        <f>IF(TimeEntry[[#This Row],[Date]]=0,"",WEEKDAY(C427,2))</f>
        <v>4</v>
      </c>
      <c r="O427" s="10">
        <f>YEAR(TimeEntry[[#This Row],[WkEnd]])</f>
        <v>2019</v>
      </c>
      <c r="P427" s="10">
        <f>WEEKNUM(TimeEntry[[#This Row],[WkEnd]])</f>
        <v>27</v>
      </c>
      <c r="Q427" s="10" t="str">
        <f>TimeEntry[[#This Row],[Year]]&amp;"-"&amp;TimeEntry[[#This Row],[WkNo]]</f>
        <v>2019-27</v>
      </c>
    </row>
    <row r="428" spans="1:17" ht="30" x14ac:dyDescent="0.25">
      <c r="A428" s="9">
        <f>MOD(IF(ROW()=11,0.1,IF(INDEX(TimeEntry[WkEnd],ROW()-10)            =            INDEX(TimeEntry[WkEnd],ROW()-11),               INDEX(TimeEntry[format],ROW()-11),               INDEX(TimeEntry[format],ROW()-11)    +1)),2)</f>
        <v>0.10000000000000009</v>
      </c>
      <c r="B428" s="14"/>
      <c r="C428" s="7">
        <v>43644</v>
      </c>
      <c r="D428" s="7"/>
      <c r="E428" s="7"/>
      <c r="F428" s="6" t="s">
        <v>86</v>
      </c>
      <c r="G428" s="6"/>
      <c r="H428" s="7">
        <f>IF(TimeEntry[[#This Row],[Date]]=0,H427,C428+(7-N428))</f>
        <v>43646</v>
      </c>
      <c r="I428" s="7">
        <f>TimeEntry[[#This Row],[Date]]</f>
        <v>43644</v>
      </c>
      <c r="J428" s="10" t="str">
        <f>IF(TimeEntry[[#This Row],[Date]]=0,"",TEXT(TimeEntry[[#This Row],[Date]],"ddd"))</f>
        <v>Fri</v>
      </c>
      <c r="K428" s="9" t="str">
        <f>IF(TimeEntry[[#This Row],[Project]]=0,"",INDEX(ProjectsAll[job number],MATCH(TimeEntry[[#This Row],[Project]],ProjectsAll[Project],0)))</f>
        <v>265720-10</v>
      </c>
      <c r="L428" s="6" t="s">
        <v>240</v>
      </c>
      <c r="M428" s="6">
        <v>3.75</v>
      </c>
      <c r="N428" s="9">
        <f>IF(TimeEntry[[#This Row],[Date]]=0,"",WEEKDAY(C428,2))</f>
        <v>5</v>
      </c>
      <c r="O428" s="10">
        <f>YEAR(TimeEntry[[#This Row],[WkEnd]])</f>
        <v>2019</v>
      </c>
      <c r="P428" s="10">
        <f>WEEKNUM(TimeEntry[[#This Row],[WkEnd]])</f>
        <v>27</v>
      </c>
      <c r="Q428" s="10" t="str">
        <f>TimeEntry[[#This Row],[Year]]&amp;"-"&amp;TimeEntry[[#This Row],[WkNo]]</f>
        <v>2019-27</v>
      </c>
    </row>
    <row r="429" spans="1:17" x14ac:dyDescent="0.25">
      <c r="A429" s="9">
        <f>MOD(IF(ROW()=11,0.1,IF(INDEX(TimeEntry[WkEnd],ROW()-10)            =            INDEX(TimeEntry[WkEnd],ROW()-11),               INDEX(TimeEntry[format],ROW()-11),               INDEX(TimeEntry[format],ROW()-11)    +1)),2)</f>
        <v>0.10000000000000009</v>
      </c>
      <c r="B429" s="14"/>
      <c r="C429" s="7">
        <v>43644</v>
      </c>
      <c r="D429" s="7"/>
      <c r="E429" s="7"/>
      <c r="F429" s="6" t="s">
        <v>68</v>
      </c>
      <c r="G429" s="6"/>
      <c r="H429" s="7">
        <f>IF(TimeEntry[[#This Row],[Date]]=0,H428,C429+(7-N429))</f>
        <v>43646</v>
      </c>
      <c r="I429" s="7">
        <f>TimeEntry[[#This Row],[Date]]</f>
        <v>43644</v>
      </c>
      <c r="J429" s="10" t="str">
        <f>IF(TimeEntry[[#This Row],[Date]]=0,"",TEXT(TimeEntry[[#This Row],[Date]],"ddd"))</f>
        <v>Fri</v>
      </c>
      <c r="K429" s="9" t="str">
        <f>IF(TimeEntry[[#This Row],[Project]]=0,"",INDEX(ProjectsAll[job number],MATCH(TimeEntry[[#This Row],[Project]],ProjectsAll[Project],0)))</f>
        <v>LEAVE</v>
      </c>
      <c r="L429" s="6"/>
      <c r="M429" s="6">
        <v>3.75</v>
      </c>
      <c r="N429" s="9">
        <f>IF(TimeEntry[[#This Row],[Date]]=0,"",WEEKDAY(C429,2))</f>
        <v>5</v>
      </c>
      <c r="O429" s="10">
        <f>YEAR(TimeEntry[[#This Row],[WkEnd]])</f>
        <v>2019</v>
      </c>
      <c r="P429" s="10">
        <f>WEEKNUM(TimeEntry[[#This Row],[WkEnd]])</f>
        <v>27</v>
      </c>
      <c r="Q429" s="10" t="str">
        <f>TimeEntry[[#This Row],[Year]]&amp;"-"&amp;TimeEntry[[#This Row],[WkNo]]</f>
        <v>2019-27</v>
      </c>
    </row>
    <row r="430" spans="1:17" ht="30" x14ac:dyDescent="0.25">
      <c r="A430" s="9">
        <f>MOD(IF(ROW()=11,0.1,IF(INDEX(TimeEntry[WkEnd],ROW()-10)            =            INDEX(TimeEntry[WkEnd],ROW()-11),               INDEX(TimeEntry[format],ROW()-11),               INDEX(TimeEntry[format],ROW()-11)    +1)),2)</f>
        <v>1.1000000000000001</v>
      </c>
      <c r="B430" s="14"/>
      <c r="C430" s="7">
        <v>43633</v>
      </c>
      <c r="D430" s="7"/>
      <c r="E430" s="7"/>
      <c r="F430" s="6" t="s">
        <v>84</v>
      </c>
      <c r="G430" s="6"/>
      <c r="H430" s="7">
        <f>IF(TimeEntry[[#This Row],[Date]]=0,H429,C430+(7-N430))</f>
        <v>43639</v>
      </c>
      <c r="I430" s="7">
        <f>TimeEntry[[#This Row],[Date]]</f>
        <v>43633</v>
      </c>
      <c r="J430" s="10" t="str">
        <f>IF(TimeEntry[[#This Row],[Date]]=0,"",TEXT(TimeEntry[[#This Row],[Date]],"ddd"))</f>
        <v>Mon</v>
      </c>
      <c r="K430" s="9" t="str">
        <f>IF(TimeEntry[[#This Row],[Project]]=0,"",INDEX(ProjectsAll[job number],MATCH(TimeEntry[[#This Row],[Project]],ProjectsAll[Project],0)))</f>
        <v>265720-20</v>
      </c>
      <c r="L430" s="6" t="s">
        <v>241</v>
      </c>
      <c r="M430" s="6">
        <v>7.5</v>
      </c>
      <c r="N430" s="9">
        <f>IF(TimeEntry[[#This Row],[Date]]=0,"",WEEKDAY(C430,2))</f>
        <v>1</v>
      </c>
      <c r="O430" s="10">
        <f>YEAR(TimeEntry[[#This Row],[WkEnd]])</f>
        <v>2019</v>
      </c>
      <c r="P430" s="10">
        <f>WEEKNUM(TimeEntry[[#This Row],[WkEnd]])</f>
        <v>26</v>
      </c>
      <c r="Q430" s="10" t="str">
        <f>TimeEntry[[#This Row],[Year]]&amp;"-"&amp;TimeEntry[[#This Row],[WkNo]]</f>
        <v>2019-26</v>
      </c>
    </row>
    <row r="431" spans="1:17" ht="30" x14ac:dyDescent="0.25">
      <c r="A431" s="9">
        <f>MOD(IF(ROW()=11,0.1,IF(INDEX(TimeEntry[WkEnd],ROW()-10)            =            INDEX(TimeEntry[WkEnd],ROW()-11),               INDEX(TimeEntry[format],ROW()-11),               INDEX(TimeEntry[format],ROW()-11)    +1)),2)</f>
        <v>1.1000000000000001</v>
      </c>
      <c r="B431" s="14"/>
      <c r="C431" s="7">
        <v>43634</v>
      </c>
      <c r="D431" s="7"/>
      <c r="E431" s="7"/>
      <c r="F431" s="6" t="s">
        <v>40</v>
      </c>
      <c r="G431" s="6"/>
      <c r="H431" s="7">
        <f>IF(TimeEntry[[#This Row],[Date]]=0,H430,C431+(7-N431))</f>
        <v>43639</v>
      </c>
      <c r="I431" s="7">
        <f>TimeEntry[[#This Row],[Date]]</f>
        <v>43634</v>
      </c>
      <c r="J431" s="10" t="str">
        <f>IF(TimeEntry[[#This Row],[Date]]=0,"",TEXT(TimeEntry[[#This Row],[Date]],"ddd"))</f>
        <v>Tue</v>
      </c>
      <c r="K431" s="9" t="str">
        <f>IF(TimeEntry[[#This Row],[Project]]=0,"",INDEX(ProjectsAll[job number],MATCH(TimeEntry[[#This Row],[Project]],ProjectsAll[Project],0)))</f>
        <v>255670-17</v>
      </c>
      <c r="L431" s="6" t="s">
        <v>242</v>
      </c>
      <c r="M431" s="6">
        <v>2</v>
      </c>
      <c r="N431" s="9">
        <f>IF(TimeEntry[[#This Row],[Date]]=0,"",WEEKDAY(C431,2))</f>
        <v>2</v>
      </c>
      <c r="O431" s="10">
        <f>YEAR(TimeEntry[[#This Row],[WkEnd]])</f>
        <v>2019</v>
      </c>
      <c r="P431" s="10">
        <f>WEEKNUM(TimeEntry[[#This Row],[WkEnd]])</f>
        <v>26</v>
      </c>
      <c r="Q431" s="10" t="str">
        <f>TimeEntry[[#This Row],[Year]]&amp;"-"&amp;TimeEntry[[#This Row],[WkNo]]</f>
        <v>2019-26</v>
      </c>
    </row>
    <row r="432" spans="1:17" x14ac:dyDescent="0.25">
      <c r="A432" s="9">
        <f>MOD(IF(ROW()=11,0.1,IF(INDEX(TimeEntry[WkEnd],ROW()-10)            =            INDEX(TimeEntry[WkEnd],ROW()-11),               INDEX(TimeEntry[format],ROW()-11),               INDEX(TimeEntry[format],ROW()-11)    +1)),2)</f>
        <v>1.1000000000000001</v>
      </c>
      <c r="B432" s="14"/>
      <c r="C432" s="7">
        <v>43634</v>
      </c>
      <c r="D432" s="7"/>
      <c r="E432" s="7"/>
      <c r="F432" s="6" t="s">
        <v>23</v>
      </c>
      <c r="G432" s="6"/>
      <c r="H432" s="7">
        <f>IF(TimeEntry[[#This Row],[Date]]=0,H431,C432+(7-N432))</f>
        <v>43639</v>
      </c>
      <c r="I432" s="7">
        <f>TimeEntry[[#This Row],[Date]]</f>
        <v>43634</v>
      </c>
      <c r="J432" s="10" t="str">
        <f>IF(TimeEntry[[#This Row],[Date]]=0,"",TEXT(TimeEntry[[#This Row],[Date]],"ddd"))</f>
        <v>Tue</v>
      </c>
      <c r="K432" s="9" t="e">
        <f>IF(TimeEntry[[#This Row],[Project]]=0,"",INDEX(ProjectsAll[job number],MATCH(TimeEntry[[#This Row],[Project]],ProjectsAll[Project],0)))</f>
        <v>#N/A</v>
      </c>
      <c r="L432" s="6" t="s">
        <v>243</v>
      </c>
      <c r="M432" s="6">
        <v>1</v>
      </c>
      <c r="N432" s="9">
        <f>IF(TimeEntry[[#This Row],[Date]]=0,"",WEEKDAY(C432,2))</f>
        <v>2</v>
      </c>
      <c r="O432" s="10">
        <f>YEAR(TimeEntry[[#This Row],[WkEnd]])</f>
        <v>2019</v>
      </c>
      <c r="P432" s="10">
        <f>WEEKNUM(TimeEntry[[#This Row],[WkEnd]])</f>
        <v>26</v>
      </c>
      <c r="Q432" s="10" t="str">
        <f>TimeEntry[[#This Row],[Year]]&amp;"-"&amp;TimeEntry[[#This Row],[WkNo]]</f>
        <v>2019-26</v>
      </c>
    </row>
    <row r="433" spans="1:17" ht="30" x14ac:dyDescent="0.25">
      <c r="A433" s="9">
        <f>MOD(IF(ROW()=11,0.1,IF(INDEX(TimeEntry[WkEnd],ROW()-10)            =            INDEX(TimeEntry[WkEnd],ROW()-11),               INDEX(TimeEntry[format],ROW()-11),               INDEX(TimeEntry[format],ROW()-11)    +1)),2)</f>
        <v>1.1000000000000001</v>
      </c>
      <c r="B433" s="14"/>
      <c r="C433" s="7">
        <v>43634</v>
      </c>
      <c r="D433" s="7"/>
      <c r="E433" s="7"/>
      <c r="F433" s="6" t="s">
        <v>86</v>
      </c>
      <c r="G433" s="6"/>
      <c r="H433" s="7">
        <f>IF(TimeEntry[[#This Row],[Date]]=0,H432,C433+(7-N433))</f>
        <v>43639</v>
      </c>
      <c r="I433" s="7">
        <f>TimeEntry[[#This Row],[Date]]</f>
        <v>43634</v>
      </c>
      <c r="J433" s="10" t="str">
        <f>IF(TimeEntry[[#This Row],[Date]]=0,"",TEXT(TimeEntry[[#This Row],[Date]],"ddd"))</f>
        <v>Tue</v>
      </c>
      <c r="K433" s="9" t="str">
        <f>IF(TimeEntry[[#This Row],[Project]]=0,"",INDEX(ProjectsAll[job number],MATCH(TimeEntry[[#This Row],[Project]],ProjectsAll[Project],0)))</f>
        <v>265720-10</v>
      </c>
      <c r="L433" s="6" t="s">
        <v>244</v>
      </c>
      <c r="M433" s="6">
        <v>2</v>
      </c>
      <c r="N433" s="9">
        <f>IF(TimeEntry[[#This Row],[Date]]=0,"",WEEKDAY(C433,2))</f>
        <v>2</v>
      </c>
      <c r="O433" s="10">
        <f>YEAR(TimeEntry[[#This Row],[WkEnd]])</f>
        <v>2019</v>
      </c>
      <c r="P433" s="10">
        <f>WEEKNUM(TimeEntry[[#This Row],[WkEnd]])</f>
        <v>26</v>
      </c>
      <c r="Q433" s="10" t="str">
        <f>TimeEntry[[#This Row],[Year]]&amp;"-"&amp;TimeEntry[[#This Row],[WkNo]]</f>
        <v>2019-26</v>
      </c>
    </row>
    <row r="434" spans="1:17" ht="30" x14ac:dyDescent="0.25">
      <c r="A434" s="9">
        <f>MOD(IF(ROW()=11,0.1,IF(INDEX(TimeEntry[WkEnd],ROW()-10)            =            INDEX(TimeEntry[WkEnd],ROW()-11),               INDEX(TimeEntry[format],ROW()-11),               INDEX(TimeEntry[format],ROW()-11)    +1)),2)</f>
        <v>1.1000000000000001</v>
      </c>
      <c r="B434" s="14"/>
      <c r="C434" s="7">
        <v>43634</v>
      </c>
      <c r="D434" s="7"/>
      <c r="E434" s="7"/>
      <c r="F434" s="6" t="s">
        <v>18</v>
      </c>
      <c r="G434" s="6"/>
      <c r="H434" s="7">
        <f>IF(TimeEntry[[#This Row],[Date]]=0,H433,C434+(7-N434))</f>
        <v>43639</v>
      </c>
      <c r="I434" s="7">
        <f>TimeEntry[[#This Row],[Date]]</f>
        <v>43634</v>
      </c>
      <c r="J434" s="10" t="str">
        <f>IF(TimeEntry[[#This Row],[Date]]=0,"",TEXT(TimeEntry[[#This Row],[Date]],"ddd"))</f>
        <v>Tue</v>
      </c>
      <c r="K434" s="9" t="str">
        <f>IF(TimeEntry[[#This Row],[Project]]=0,"",INDEX(ProjectsAll[job number],MATCH(TimeEntry[[#This Row],[Project]],ProjectsAll[Project],0)))</f>
        <v>268268-00</v>
      </c>
      <c r="L434" s="6" t="s">
        <v>245</v>
      </c>
      <c r="M434" s="6">
        <v>2.5</v>
      </c>
      <c r="N434" s="9">
        <f>IF(TimeEntry[[#This Row],[Date]]=0,"",WEEKDAY(C434,2))</f>
        <v>2</v>
      </c>
      <c r="O434" s="10">
        <f>YEAR(TimeEntry[[#This Row],[WkEnd]])</f>
        <v>2019</v>
      </c>
      <c r="P434" s="10">
        <f>WEEKNUM(TimeEntry[[#This Row],[WkEnd]])</f>
        <v>26</v>
      </c>
      <c r="Q434" s="10" t="str">
        <f>TimeEntry[[#This Row],[Year]]&amp;"-"&amp;TimeEntry[[#This Row],[WkNo]]</f>
        <v>2019-26</v>
      </c>
    </row>
    <row r="435" spans="1:17" ht="30" x14ac:dyDescent="0.25">
      <c r="A435" s="9">
        <f>MOD(IF(ROW()=11,0.1,IF(INDEX(TimeEntry[WkEnd],ROW()-10)            =            INDEX(TimeEntry[WkEnd],ROW()-11),               INDEX(TimeEntry[format],ROW()-11),               INDEX(TimeEntry[format],ROW()-11)    +1)),2)</f>
        <v>1.1000000000000001</v>
      </c>
      <c r="B435" s="14"/>
      <c r="C435" s="7">
        <v>43635</v>
      </c>
      <c r="D435" s="7"/>
      <c r="E435" s="7"/>
      <c r="F435" s="6" t="s">
        <v>18</v>
      </c>
      <c r="G435" s="6"/>
      <c r="H435" s="7">
        <f>IF(TimeEntry[[#This Row],[Date]]=0,H434,C435+(7-N435))</f>
        <v>43639</v>
      </c>
      <c r="I435" s="7">
        <f>TimeEntry[[#This Row],[Date]]</f>
        <v>43635</v>
      </c>
      <c r="J435" s="10" t="str">
        <f>IF(TimeEntry[[#This Row],[Date]]=0,"",TEXT(TimeEntry[[#This Row],[Date]],"ddd"))</f>
        <v>Wed</v>
      </c>
      <c r="K435" s="9" t="str">
        <f>IF(TimeEntry[[#This Row],[Project]]=0,"",INDEX(ProjectsAll[job number],MATCH(TimeEntry[[#This Row],[Project]],ProjectsAll[Project],0)))</f>
        <v>268268-00</v>
      </c>
      <c r="L435" s="6" t="s">
        <v>245</v>
      </c>
      <c r="M435" s="6">
        <v>7.5</v>
      </c>
      <c r="N435" s="9">
        <f>IF(TimeEntry[[#This Row],[Date]]=0,"",WEEKDAY(C435,2))</f>
        <v>3</v>
      </c>
      <c r="O435" s="10">
        <f>YEAR(TimeEntry[[#This Row],[WkEnd]])</f>
        <v>2019</v>
      </c>
      <c r="P435" s="10">
        <f>WEEKNUM(TimeEntry[[#This Row],[WkEnd]])</f>
        <v>26</v>
      </c>
      <c r="Q435" s="10" t="str">
        <f>TimeEntry[[#This Row],[Year]]&amp;"-"&amp;TimeEntry[[#This Row],[WkNo]]</f>
        <v>2019-26</v>
      </c>
    </row>
    <row r="436" spans="1:17" x14ac:dyDescent="0.25">
      <c r="A436" s="9" t="s">
        <v>246</v>
      </c>
      <c r="B436" s="14"/>
      <c r="C436" s="7">
        <v>43636</v>
      </c>
      <c r="D436" s="7"/>
      <c r="E436" s="7"/>
      <c r="F436" s="6" t="s">
        <v>68</v>
      </c>
      <c r="G436" s="6"/>
      <c r="H436" s="7">
        <f>IF(TimeEntry[[#This Row],[Date]]=0,H435,C436+(7-N436))</f>
        <v>43639</v>
      </c>
      <c r="I436" s="7">
        <f>TimeEntry[[#This Row],[Date]]</f>
        <v>43636</v>
      </c>
      <c r="J436" s="10" t="str">
        <f>IF(TimeEntry[[#This Row],[Date]]=0,"",TEXT(TimeEntry[[#This Row],[Date]],"ddd"))</f>
        <v>Thu</v>
      </c>
      <c r="K436" s="9" t="str">
        <f>IF(TimeEntry[[#This Row],[Project]]=0,"",INDEX(ProjectsAll[job number],MATCH(TimeEntry[[#This Row],[Project]],ProjectsAll[Project],0)))</f>
        <v>LEAVE</v>
      </c>
      <c r="L436" s="6"/>
      <c r="M436" s="6">
        <v>7.5</v>
      </c>
      <c r="N436" s="9">
        <f>IF(TimeEntry[[#This Row],[Date]]=0,"",WEEKDAY(C436,2))</f>
        <v>4</v>
      </c>
      <c r="O436" s="10">
        <f>YEAR(TimeEntry[[#This Row],[WkEnd]])</f>
        <v>2019</v>
      </c>
      <c r="P436" s="10">
        <f>WEEKNUM(TimeEntry[[#This Row],[WkEnd]])</f>
        <v>26</v>
      </c>
      <c r="Q436" s="10" t="str">
        <f>TimeEntry[[#This Row],[Year]]&amp;"-"&amp;TimeEntry[[#This Row],[WkNo]]</f>
        <v>2019-26</v>
      </c>
    </row>
    <row r="437" spans="1:17" x14ac:dyDescent="0.25">
      <c r="A437" s="9" t="e">
        <f>MOD(IF(ROW()=11,0.1,IF(INDEX(TimeEntry[WkEnd],ROW()-10)            =            INDEX(TimeEntry[WkEnd],ROW()-11),               INDEX(TimeEntry[format],ROW()-11),               INDEX(TimeEntry[format],ROW()-11)    +1)),2)</f>
        <v>#VALUE!</v>
      </c>
      <c r="B437" s="14"/>
      <c r="C437" s="7">
        <v>43637</v>
      </c>
      <c r="D437" s="7"/>
      <c r="E437" s="7"/>
      <c r="F437" s="6" t="s">
        <v>68</v>
      </c>
      <c r="G437" s="6"/>
      <c r="H437" s="7">
        <f>IF(TimeEntry[[#This Row],[Date]]=0,H436,C437+(7-N437))</f>
        <v>43639</v>
      </c>
      <c r="I437" s="7">
        <f>TimeEntry[[#This Row],[Date]]</f>
        <v>43637</v>
      </c>
      <c r="J437" s="10" t="str">
        <f>IF(TimeEntry[[#This Row],[Date]]=0,"",TEXT(TimeEntry[[#This Row],[Date]],"ddd"))</f>
        <v>Fri</v>
      </c>
      <c r="K437" s="9" t="str">
        <f>IF(TimeEntry[[#This Row],[Project]]=0,"",INDEX(ProjectsAll[job number],MATCH(TimeEntry[[#This Row],[Project]],ProjectsAll[Project],0)))</f>
        <v>LEAVE</v>
      </c>
      <c r="L437" s="6"/>
      <c r="M437" s="6">
        <v>7.5</v>
      </c>
      <c r="N437" s="9">
        <f>IF(TimeEntry[[#This Row],[Date]]=0,"",WEEKDAY(C437,2))</f>
        <v>5</v>
      </c>
      <c r="O437" s="10">
        <f>YEAR(TimeEntry[[#This Row],[WkEnd]])</f>
        <v>2019</v>
      </c>
      <c r="P437" s="10">
        <f>WEEKNUM(TimeEntry[[#This Row],[WkEnd]])</f>
        <v>26</v>
      </c>
      <c r="Q437" s="10" t="str">
        <f>TimeEntry[[#This Row],[Year]]&amp;"-"&amp;TimeEntry[[#This Row],[WkNo]]</f>
        <v>2019-26</v>
      </c>
    </row>
    <row r="438" spans="1:17" ht="30" x14ac:dyDescent="0.25">
      <c r="A438" s="9" t="e">
        <f>MOD(IF(ROW()=11,0.1,IF(INDEX(TimeEntry[WkEnd],ROW()-10)            =            INDEX(TimeEntry[WkEnd],ROW()-11),               INDEX(TimeEntry[format],ROW()-11),               INDEX(TimeEntry[format],ROW()-11)    +1)),2)</f>
        <v>#VALUE!</v>
      </c>
      <c r="B438" s="14"/>
      <c r="C438" s="7">
        <v>43626</v>
      </c>
      <c r="D438" s="7"/>
      <c r="E438" s="7"/>
      <c r="F438" s="6" t="s">
        <v>14</v>
      </c>
      <c r="G438" s="6"/>
      <c r="H438" s="7">
        <f>IF(TimeEntry[[#This Row],[Date]]=0,H437,C438+(7-N438))</f>
        <v>43632</v>
      </c>
      <c r="I438" s="7">
        <f>TimeEntry[[#This Row],[Date]]</f>
        <v>43626</v>
      </c>
      <c r="J438" s="10" t="str">
        <f>IF(TimeEntry[[#This Row],[Date]]=0,"",TEXT(TimeEntry[[#This Row],[Date]],"ddd"))</f>
        <v>Mon</v>
      </c>
      <c r="K438" s="9" t="str">
        <f>IF(TimeEntry[[#This Row],[Project]]=0,"",INDEX(ProjectsAll[job number],MATCH(TimeEntry[[#This Row],[Project]],ProjectsAll[Project],0)))</f>
        <v>071945-07</v>
      </c>
      <c r="L438" s="6" t="s">
        <v>247</v>
      </c>
      <c r="M438" s="6">
        <v>7.5</v>
      </c>
      <c r="N438" s="9">
        <f>IF(TimeEntry[[#This Row],[Date]]=0,"",WEEKDAY(C438,2))</f>
        <v>1</v>
      </c>
      <c r="O438" s="10">
        <f>YEAR(TimeEntry[[#This Row],[WkEnd]])</f>
        <v>2019</v>
      </c>
      <c r="P438" s="10">
        <f>WEEKNUM(TimeEntry[[#This Row],[WkEnd]])</f>
        <v>25</v>
      </c>
      <c r="Q438" s="10" t="str">
        <f>TimeEntry[[#This Row],[Year]]&amp;"-"&amp;TimeEntry[[#This Row],[WkNo]]</f>
        <v>2019-25</v>
      </c>
    </row>
    <row r="439" spans="1:17" ht="30" x14ac:dyDescent="0.25">
      <c r="A439" s="9" t="e">
        <f>MOD(IF(ROW()=11,0.1,IF(INDEX(TimeEntry[WkEnd],ROW()-10)            =            INDEX(TimeEntry[WkEnd],ROW()-11),               INDEX(TimeEntry[format],ROW()-11),               INDEX(TimeEntry[format],ROW()-11)    +1)),2)</f>
        <v>#VALUE!</v>
      </c>
      <c r="B439" s="14"/>
      <c r="C439" s="7">
        <v>43627</v>
      </c>
      <c r="D439" s="7"/>
      <c r="E439" s="7"/>
      <c r="F439" s="6" t="s">
        <v>14</v>
      </c>
      <c r="G439" s="6"/>
      <c r="H439" s="7">
        <f>IF(TimeEntry[[#This Row],[Date]]=0,H438,C439+(7-N439))</f>
        <v>43632</v>
      </c>
      <c r="I439" s="7">
        <f>TimeEntry[[#This Row],[Date]]</f>
        <v>43627</v>
      </c>
      <c r="J439" s="10" t="str">
        <f>IF(TimeEntry[[#This Row],[Date]]=0,"",TEXT(TimeEntry[[#This Row],[Date]],"ddd"))</f>
        <v>Tue</v>
      </c>
      <c r="K439" s="9" t="str">
        <f>IF(TimeEntry[[#This Row],[Project]]=0,"",INDEX(ProjectsAll[job number],MATCH(TimeEntry[[#This Row],[Project]],ProjectsAll[Project],0)))</f>
        <v>071945-07</v>
      </c>
      <c r="L439" s="6" t="s">
        <v>247</v>
      </c>
      <c r="M439" s="6">
        <v>7.5</v>
      </c>
      <c r="N439" s="9">
        <f>IF(TimeEntry[[#This Row],[Date]]=0,"",WEEKDAY(C439,2))</f>
        <v>2</v>
      </c>
      <c r="O439" s="10">
        <f>YEAR(TimeEntry[[#This Row],[WkEnd]])</f>
        <v>2019</v>
      </c>
      <c r="P439" s="10">
        <f>WEEKNUM(TimeEntry[[#This Row],[WkEnd]])</f>
        <v>25</v>
      </c>
      <c r="Q439" s="10" t="str">
        <f>TimeEntry[[#This Row],[Year]]&amp;"-"&amp;TimeEntry[[#This Row],[WkNo]]</f>
        <v>2019-25</v>
      </c>
    </row>
    <row r="440" spans="1:17" ht="30" x14ac:dyDescent="0.25">
      <c r="A440" s="9" t="e">
        <f>MOD(IF(ROW()=11,0.1,IF(INDEX(TimeEntry[WkEnd],ROW()-10)            =            INDEX(TimeEntry[WkEnd],ROW()-11),               INDEX(TimeEntry[format],ROW()-11),               INDEX(TimeEntry[format],ROW()-11)    +1)),2)</f>
        <v>#VALUE!</v>
      </c>
      <c r="B440" s="14"/>
      <c r="C440" s="7">
        <v>43628</v>
      </c>
      <c r="D440" s="7"/>
      <c r="E440" s="7"/>
      <c r="F440" s="6" t="s">
        <v>86</v>
      </c>
      <c r="G440" s="6"/>
      <c r="H440" s="7">
        <f>IF(TimeEntry[[#This Row],[Date]]=0,H439,C440+(7-N440))</f>
        <v>43632</v>
      </c>
      <c r="I440" s="7">
        <f>TimeEntry[[#This Row],[Date]]</f>
        <v>43628</v>
      </c>
      <c r="J440" s="10" t="str">
        <f>IF(TimeEntry[[#This Row],[Date]]=0,"",TEXT(TimeEntry[[#This Row],[Date]],"ddd"))</f>
        <v>Wed</v>
      </c>
      <c r="K440" s="9" t="str">
        <f>IF(TimeEntry[[#This Row],[Project]]=0,"",INDEX(ProjectsAll[job number],MATCH(TimeEntry[[#This Row],[Project]],ProjectsAll[Project],0)))</f>
        <v>265720-10</v>
      </c>
      <c r="L440" s="6" t="s">
        <v>248</v>
      </c>
      <c r="M440" s="6">
        <v>7.5</v>
      </c>
      <c r="N440" s="9">
        <f>IF(TimeEntry[[#This Row],[Date]]=0,"",WEEKDAY(C440,2))</f>
        <v>3</v>
      </c>
      <c r="O440" s="10">
        <f>YEAR(TimeEntry[[#This Row],[WkEnd]])</f>
        <v>2019</v>
      </c>
      <c r="P440" s="10">
        <f>WEEKNUM(TimeEntry[[#This Row],[WkEnd]])</f>
        <v>25</v>
      </c>
      <c r="Q440" s="10" t="str">
        <f>TimeEntry[[#This Row],[Year]]&amp;"-"&amp;TimeEntry[[#This Row],[WkNo]]</f>
        <v>2019-25</v>
      </c>
    </row>
    <row r="441" spans="1:17" ht="30" x14ac:dyDescent="0.25">
      <c r="A441" s="9" t="e">
        <f>MOD(IF(ROW()=11,0.1,IF(INDEX(TimeEntry[WkEnd],ROW()-10)            =            INDEX(TimeEntry[WkEnd],ROW()-11),               INDEX(TimeEntry[format],ROW()-11),               INDEX(TimeEntry[format],ROW()-11)    +1)),2)</f>
        <v>#VALUE!</v>
      </c>
      <c r="B441" s="14"/>
      <c r="C441" s="7">
        <v>43629</v>
      </c>
      <c r="D441" s="7"/>
      <c r="E441" s="7"/>
      <c r="F441" s="6" t="s">
        <v>86</v>
      </c>
      <c r="G441" s="6"/>
      <c r="H441" s="7">
        <f>IF(TimeEntry[[#This Row],[Date]]=0,H440,C441+(7-N441))</f>
        <v>43632</v>
      </c>
      <c r="I441" s="7">
        <f>TimeEntry[[#This Row],[Date]]</f>
        <v>43629</v>
      </c>
      <c r="J441" s="10" t="str">
        <f>IF(TimeEntry[[#This Row],[Date]]=0,"",TEXT(TimeEntry[[#This Row],[Date]],"ddd"))</f>
        <v>Thu</v>
      </c>
      <c r="K441" s="9" t="str">
        <f>IF(TimeEntry[[#This Row],[Project]]=0,"",INDEX(ProjectsAll[job number],MATCH(TimeEntry[[#This Row],[Project]],ProjectsAll[Project],0)))</f>
        <v>265720-10</v>
      </c>
      <c r="L441" s="6" t="s">
        <v>249</v>
      </c>
      <c r="M441" s="6">
        <v>7.5</v>
      </c>
      <c r="N441" s="9">
        <f>IF(TimeEntry[[#This Row],[Date]]=0,"",WEEKDAY(C441,2))</f>
        <v>4</v>
      </c>
      <c r="O441" s="10">
        <f>YEAR(TimeEntry[[#This Row],[WkEnd]])</f>
        <v>2019</v>
      </c>
      <c r="P441" s="10">
        <f>WEEKNUM(TimeEntry[[#This Row],[WkEnd]])</f>
        <v>25</v>
      </c>
      <c r="Q441" s="10" t="str">
        <f>TimeEntry[[#This Row],[Year]]&amp;"-"&amp;TimeEntry[[#This Row],[WkNo]]</f>
        <v>2019-25</v>
      </c>
    </row>
    <row r="442" spans="1:17" ht="30" x14ac:dyDescent="0.25">
      <c r="A442" s="9" t="e">
        <f>MOD(IF(ROW()=11,0.1,IF(INDEX(TimeEntry[WkEnd],ROW()-10)            =            INDEX(TimeEntry[WkEnd],ROW()-11),               INDEX(TimeEntry[format],ROW()-11),               INDEX(TimeEntry[format],ROW()-11)    +1)),2)</f>
        <v>#VALUE!</v>
      </c>
      <c r="B442" s="14"/>
      <c r="C442" s="7">
        <v>43630</v>
      </c>
      <c r="D442" s="7"/>
      <c r="E442" s="7"/>
      <c r="F442" s="6" t="s">
        <v>84</v>
      </c>
      <c r="G442" s="6"/>
      <c r="H442" s="7">
        <f>IF(TimeEntry[[#This Row],[Date]]=0,H441,C442+(7-N442))</f>
        <v>43632</v>
      </c>
      <c r="I442" s="7">
        <f>TimeEntry[[#This Row],[Date]]</f>
        <v>43630</v>
      </c>
      <c r="J442" s="10" t="str">
        <f>IF(TimeEntry[[#This Row],[Date]]=0,"",TEXT(TimeEntry[[#This Row],[Date]],"ddd"))</f>
        <v>Fri</v>
      </c>
      <c r="K442" s="9" t="str">
        <f>IF(TimeEntry[[#This Row],[Project]]=0,"",INDEX(ProjectsAll[job number],MATCH(TimeEntry[[#This Row],[Project]],ProjectsAll[Project],0)))</f>
        <v>265720-20</v>
      </c>
      <c r="L442" s="6" t="s">
        <v>236</v>
      </c>
      <c r="M442" s="6">
        <v>7.5</v>
      </c>
      <c r="N442" s="9">
        <f>IF(TimeEntry[[#This Row],[Date]]=0,"",WEEKDAY(C442,2))</f>
        <v>5</v>
      </c>
      <c r="O442" s="10">
        <f>YEAR(TimeEntry[[#This Row],[WkEnd]])</f>
        <v>2019</v>
      </c>
      <c r="P442" s="10">
        <f>WEEKNUM(TimeEntry[[#This Row],[WkEnd]])</f>
        <v>25</v>
      </c>
      <c r="Q442" s="10" t="str">
        <f>TimeEntry[[#This Row],[Year]]&amp;"-"&amp;TimeEntry[[#This Row],[WkNo]]</f>
        <v>2019-25</v>
      </c>
    </row>
    <row r="443" spans="1:17" ht="30" x14ac:dyDescent="0.25">
      <c r="A443" s="9" t="e">
        <f>MOD(IF(ROW()=11,0.1,IF(INDEX(TimeEntry[WkEnd],ROW()-10)            =            INDEX(TimeEntry[WkEnd],ROW()-11),               INDEX(TimeEntry[format],ROW()-11),               INDEX(TimeEntry[format],ROW()-11)    +1)),2)</f>
        <v>#VALUE!</v>
      </c>
      <c r="B443" s="14"/>
      <c r="C443" s="7">
        <v>43619</v>
      </c>
      <c r="D443" s="7"/>
      <c r="E443" s="7"/>
      <c r="F443" s="6" t="s">
        <v>86</v>
      </c>
      <c r="G443" s="6"/>
      <c r="H443" s="7">
        <f>IF(TimeEntry[[#This Row],[Date]]=0,H442,C443+(7-N443))</f>
        <v>43625</v>
      </c>
      <c r="I443" s="7">
        <f>TimeEntry[[#This Row],[Date]]</f>
        <v>43619</v>
      </c>
      <c r="J443" s="10" t="str">
        <f>IF(TimeEntry[[#This Row],[Date]]=0,"",TEXT(TimeEntry[[#This Row],[Date]],"ddd"))</f>
        <v>Mon</v>
      </c>
      <c r="K443" s="9" t="str">
        <f>IF(TimeEntry[[#This Row],[Project]]=0,"",INDEX(ProjectsAll[job number],MATCH(TimeEntry[[#This Row],[Project]],ProjectsAll[Project],0)))</f>
        <v>265720-10</v>
      </c>
      <c r="L443" s="6" t="s">
        <v>250</v>
      </c>
      <c r="M443" s="6">
        <v>7.5</v>
      </c>
      <c r="N443" s="9">
        <f>IF(TimeEntry[[#This Row],[Date]]=0,"",WEEKDAY(C443,2))</f>
        <v>1</v>
      </c>
      <c r="O443" s="10">
        <f>YEAR(TimeEntry[[#This Row],[WkEnd]])</f>
        <v>2019</v>
      </c>
      <c r="P443" s="10">
        <f>WEEKNUM(TimeEntry[[#This Row],[WkEnd]])</f>
        <v>24</v>
      </c>
      <c r="Q443" s="10" t="str">
        <f>TimeEntry[[#This Row],[Year]]&amp;"-"&amp;TimeEntry[[#This Row],[WkNo]]</f>
        <v>2019-24</v>
      </c>
    </row>
    <row r="444" spans="1:17" ht="30" x14ac:dyDescent="0.25">
      <c r="A444" s="9" t="e">
        <f>MOD(IF(ROW()=11,0.1,IF(INDEX(TimeEntry[WkEnd],ROW()-10)            =            INDEX(TimeEntry[WkEnd],ROW()-11),               INDEX(TimeEntry[format],ROW()-11),               INDEX(TimeEntry[format],ROW()-11)    +1)),2)</f>
        <v>#VALUE!</v>
      </c>
      <c r="B444" s="14"/>
      <c r="C444" s="7">
        <v>43620</v>
      </c>
      <c r="D444" s="7"/>
      <c r="E444" s="7"/>
      <c r="F444" s="6" t="s">
        <v>86</v>
      </c>
      <c r="G444" s="6"/>
      <c r="H444" s="7">
        <f>IF(TimeEntry[[#This Row],[Date]]=0,H443,C444+(7-N444))</f>
        <v>43625</v>
      </c>
      <c r="I444" s="7">
        <f>TimeEntry[[#This Row],[Date]]</f>
        <v>43620</v>
      </c>
      <c r="J444" s="10" t="str">
        <f>IF(TimeEntry[[#This Row],[Date]]=0,"",TEXT(TimeEntry[[#This Row],[Date]],"ddd"))</f>
        <v>Tue</v>
      </c>
      <c r="K444" s="9" t="str">
        <f>IF(TimeEntry[[#This Row],[Project]]=0,"",INDEX(ProjectsAll[job number],MATCH(TimeEntry[[#This Row],[Project]],ProjectsAll[Project],0)))</f>
        <v>265720-10</v>
      </c>
      <c r="L444" s="6" t="s">
        <v>250</v>
      </c>
      <c r="M444" s="6">
        <v>7.5</v>
      </c>
      <c r="N444" s="9">
        <f>IF(TimeEntry[[#This Row],[Date]]=0,"",WEEKDAY(C444,2))</f>
        <v>2</v>
      </c>
      <c r="O444" s="10">
        <f>YEAR(TimeEntry[[#This Row],[WkEnd]])</f>
        <v>2019</v>
      </c>
      <c r="P444" s="10">
        <f>WEEKNUM(TimeEntry[[#This Row],[WkEnd]])</f>
        <v>24</v>
      </c>
      <c r="Q444" s="10" t="str">
        <f>TimeEntry[[#This Row],[Year]]&amp;"-"&amp;TimeEntry[[#This Row],[WkNo]]</f>
        <v>2019-24</v>
      </c>
    </row>
    <row r="445" spans="1:17" ht="30" x14ac:dyDescent="0.25">
      <c r="A445" s="9" t="e">
        <f>MOD(IF(ROW()=11,0.1,IF(INDEX(TimeEntry[WkEnd],ROW()-10)            =            INDEX(TimeEntry[WkEnd],ROW()-11),               INDEX(TimeEntry[format],ROW()-11),               INDEX(TimeEntry[format],ROW()-11)    +1)),2)</f>
        <v>#VALUE!</v>
      </c>
      <c r="B445" s="14"/>
      <c r="C445" s="7">
        <v>43621</v>
      </c>
      <c r="D445" s="7"/>
      <c r="E445" s="7"/>
      <c r="F445" s="6" t="s">
        <v>86</v>
      </c>
      <c r="G445" s="6"/>
      <c r="H445" s="7">
        <f>IF(TimeEntry[[#This Row],[Date]]=0,H444,C445+(7-N445))</f>
        <v>43625</v>
      </c>
      <c r="I445" s="7">
        <f>TimeEntry[[#This Row],[Date]]</f>
        <v>43621</v>
      </c>
      <c r="J445" s="10" t="str">
        <f>IF(TimeEntry[[#This Row],[Date]]=0,"",TEXT(TimeEntry[[#This Row],[Date]],"ddd"))</f>
        <v>Wed</v>
      </c>
      <c r="K445" s="9" t="str">
        <f>IF(TimeEntry[[#This Row],[Project]]=0,"",INDEX(ProjectsAll[job number],MATCH(TimeEntry[[#This Row],[Project]],ProjectsAll[Project],0)))</f>
        <v>265720-10</v>
      </c>
      <c r="L445" s="6" t="s">
        <v>250</v>
      </c>
      <c r="M445" s="6">
        <v>7.5</v>
      </c>
      <c r="N445" s="9">
        <f>IF(TimeEntry[[#This Row],[Date]]=0,"",WEEKDAY(C445,2))</f>
        <v>3</v>
      </c>
      <c r="O445" s="10">
        <f>YEAR(TimeEntry[[#This Row],[WkEnd]])</f>
        <v>2019</v>
      </c>
      <c r="P445" s="10">
        <f>WEEKNUM(TimeEntry[[#This Row],[WkEnd]])</f>
        <v>24</v>
      </c>
      <c r="Q445" s="10" t="str">
        <f>TimeEntry[[#This Row],[Year]]&amp;"-"&amp;TimeEntry[[#This Row],[WkNo]]</f>
        <v>2019-24</v>
      </c>
    </row>
    <row r="446" spans="1:17" x14ac:dyDescent="0.25">
      <c r="A446" s="9" t="e">
        <f>MOD(IF(ROW()=11,0.1,IF(INDEX(TimeEntry[WkEnd],ROW()-10)            =            INDEX(TimeEntry[WkEnd],ROW()-11),               INDEX(TimeEntry[format],ROW()-11),               INDEX(TimeEntry[format],ROW()-11)    +1)),2)</f>
        <v>#VALUE!</v>
      </c>
      <c r="B446" s="14"/>
      <c r="C446" s="7">
        <v>43622</v>
      </c>
      <c r="D446" s="7"/>
      <c r="E446" s="7"/>
      <c r="F446" s="6" t="s">
        <v>23</v>
      </c>
      <c r="G446" s="6"/>
      <c r="H446" s="7">
        <f>IF(TimeEntry[[#This Row],[Date]]=0,H445,C446+(7-N446))</f>
        <v>43625</v>
      </c>
      <c r="I446" s="7">
        <f>TimeEntry[[#This Row],[Date]]</f>
        <v>43622</v>
      </c>
      <c r="J446" s="10" t="str">
        <f>IF(TimeEntry[[#This Row],[Date]]=0,"",TEXT(TimeEntry[[#This Row],[Date]],"ddd"))</f>
        <v>Thu</v>
      </c>
      <c r="K446" s="9" t="e">
        <f>IF(TimeEntry[[#This Row],[Project]]=0,"",INDEX(ProjectsAll[job number],MATCH(TimeEntry[[#This Row],[Project]],ProjectsAll[Project],0)))</f>
        <v>#N/A</v>
      </c>
      <c r="L446" s="6" t="s">
        <v>251</v>
      </c>
      <c r="M446" s="6">
        <v>3.75</v>
      </c>
      <c r="N446" s="9">
        <f>IF(TimeEntry[[#This Row],[Date]]=0,"",WEEKDAY(C446,2))</f>
        <v>4</v>
      </c>
      <c r="O446" s="10">
        <f>YEAR(TimeEntry[[#This Row],[WkEnd]])</f>
        <v>2019</v>
      </c>
      <c r="P446" s="10">
        <f>WEEKNUM(TimeEntry[[#This Row],[WkEnd]])</f>
        <v>24</v>
      </c>
      <c r="Q446" s="10" t="str">
        <f>TimeEntry[[#This Row],[Year]]&amp;"-"&amp;TimeEntry[[#This Row],[WkNo]]</f>
        <v>2019-24</v>
      </c>
    </row>
    <row r="447" spans="1:17" ht="30" x14ac:dyDescent="0.25">
      <c r="A447" s="9" t="e">
        <f>MOD(IF(ROW()=11,0.1,IF(INDEX(TimeEntry[WkEnd],ROW()-10)            =            INDEX(TimeEntry[WkEnd],ROW()-11),               INDEX(TimeEntry[format],ROW()-11),               INDEX(TimeEntry[format],ROW()-11)    +1)),2)</f>
        <v>#VALUE!</v>
      </c>
      <c r="B447" s="14"/>
      <c r="C447" s="7">
        <v>43622</v>
      </c>
      <c r="D447" s="7"/>
      <c r="E447" s="7"/>
      <c r="F447" s="6" t="s">
        <v>14</v>
      </c>
      <c r="G447" s="6"/>
      <c r="H447" s="7">
        <f>IF(TimeEntry[[#This Row],[Date]]=0,H446,C447+(7-N447))</f>
        <v>43625</v>
      </c>
      <c r="I447" s="7">
        <f>TimeEntry[[#This Row],[Date]]</f>
        <v>43622</v>
      </c>
      <c r="J447" s="10" t="str">
        <f>IF(TimeEntry[[#This Row],[Date]]=0,"",TEXT(TimeEntry[[#This Row],[Date]],"ddd"))</f>
        <v>Thu</v>
      </c>
      <c r="K447" s="9" t="str">
        <f>IF(TimeEntry[[#This Row],[Project]]=0,"",INDEX(ProjectsAll[job number],MATCH(TimeEntry[[#This Row],[Project]],ProjectsAll[Project],0)))</f>
        <v>071945-07</v>
      </c>
      <c r="L447" s="6" t="s">
        <v>252</v>
      </c>
      <c r="M447" s="6">
        <v>3.75</v>
      </c>
      <c r="N447" s="9">
        <f>IF(TimeEntry[[#This Row],[Date]]=0,"",WEEKDAY(C447,2))</f>
        <v>4</v>
      </c>
      <c r="O447" s="10">
        <f>YEAR(TimeEntry[[#This Row],[WkEnd]])</f>
        <v>2019</v>
      </c>
      <c r="P447" s="10">
        <f>WEEKNUM(TimeEntry[[#This Row],[WkEnd]])</f>
        <v>24</v>
      </c>
      <c r="Q447" s="10" t="str">
        <f>TimeEntry[[#This Row],[Year]]&amp;"-"&amp;TimeEntry[[#This Row],[WkNo]]</f>
        <v>2019-24</v>
      </c>
    </row>
    <row r="448" spans="1:17" ht="30" x14ac:dyDescent="0.25">
      <c r="A448" s="9" t="e">
        <f>MOD(IF(ROW()=11,0.1,IF(INDEX(TimeEntry[WkEnd],ROW()-10)            =            INDEX(TimeEntry[WkEnd],ROW()-11),               INDEX(TimeEntry[format],ROW()-11),               INDEX(TimeEntry[format],ROW()-11)    +1)),2)</f>
        <v>#VALUE!</v>
      </c>
      <c r="B448" s="14"/>
      <c r="C448" s="7">
        <v>43623</v>
      </c>
      <c r="D448" s="7"/>
      <c r="E448" s="7"/>
      <c r="F448" s="6" t="s">
        <v>14</v>
      </c>
      <c r="G448" s="6"/>
      <c r="H448" s="7">
        <f>IF(TimeEntry[[#This Row],[Date]]=0,H447,C448+(7-N448))</f>
        <v>43625</v>
      </c>
      <c r="I448" s="7">
        <f>TimeEntry[[#This Row],[Date]]</f>
        <v>43623</v>
      </c>
      <c r="J448" s="10" t="str">
        <f>IF(TimeEntry[[#This Row],[Date]]=0,"",TEXT(TimeEntry[[#This Row],[Date]],"ddd"))</f>
        <v>Fri</v>
      </c>
      <c r="K448" s="9" t="str">
        <f>IF(TimeEntry[[#This Row],[Project]]=0,"",INDEX(ProjectsAll[job number],MATCH(TimeEntry[[#This Row],[Project]],ProjectsAll[Project],0)))</f>
        <v>071945-07</v>
      </c>
      <c r="L448" s="6" t="s">
        <v>252</v>
      </c>
      <c r="M448" s="6">
        <v>3.75</v>
      </c>
      <c r="N448" s="9">
        <f>IF(TimeEntry[[#This Row],[Date]]=0,"",WEEKDAY(C448,2))</f>
        <v>5</v>
      </c>
      <c r="O448" s="10">
        <f>YEAR(TimeEntry[[#This Row],[WkEnd]])</f>
        <v>2019</v>
      </c>
      <c r="P448" s="10">
        <f>WEEKNUM(TimeEntry[[#This Row],[WkEnd]])</f>
        <v>24</v>
      </c>
      <c r="Q448" s="10" t="str">
        <f>TimeEntry[[#This Row],[Year]]&amp;"-"&amp;TimeEntry[[#This Row],[WkNo]]</f>
        <v>2019-24</v>
      </c>
    </row>
    <row r="449" spans="1:17" x14ac:dyDescent="0.25">
      <c r="A449" s="9" t="e">
        <f>MOD(IF(ROW()=11,0.1,IF(INDEX(TimeEntry[WkEnd],ROW()-10)            =            INDEX(TimeEntry[WkEnd],ROW()-11),               INDEX(TimeEntry[format],ROW()-11),               INDEX(TimeEntry[format],ROW()-11)    +1)),2)</f>
        <v>#VALUE!</v>
      </c>
      <c r="B449" s="14"/>
      <c r="C449" s="7">
        <v>43623</v>
      </c>
      <c r="D449" s="7"/>
      <c r="E449" s="7"/>
      <c r="F449" s="6" t="s">
        <v>68</v>
      </c>
      <c r="G449" s="6"/>
      <c r="H449" s="7">
        <f>IF(TimeEntry[[#This Row],[Date]]=0,H448,C449+(7-N449))</f>
        <v>43625</v>
      </c>
      <c r="I449" s="7">
        <f>TimeEntry[[#This Row],[Date]]</f>
        <v>43623</v>
      </c>
      <c r="J449" s="10" t="str">
        <f>IF(TimeEntry[[#This Row],[Date]]=0,"",TEXT(TimeEntry[[#This Row],[Date]],"ddd"))</f>
        <v>Fri</v>
      </c>
      <c r="K449" s="9" t="str">
        <f>IF(TimeEntry[[#This Row],[Project]]=0,"",INDEX(ProjectsAll[job number],MATCH(TimeEntry[[#This Row],[Project]],ProjectsAll[Project],0)))</f>
        <v>LEAVE</v>
      </c>
      <c r="L449" s="6"/>
      <c r="M449" s="6">
        <v>3.75</v>
      </c>
      <c r="N449" s="9">
        <f>IF(TimeEntry[[#This Row],[Date]]=0,"",WEEKDAY(C449,2))</f>
        <v>5</v>
      </c>
      <c r="O449" s="10">
        <f>YEAR(TimeEntry[[#This Row],[WkEnd]])</f>
        <v>2019</v>
      </c>
      <c r="P449" s="10">
        <f>WEEKNUM(TimeEntry[[#This Row],[WkEnd]])</f>
        <v>24</v>
      </c>
      <c r="Q449" s="10" t="str">
        <f>TimeEntry[[#This Row],[Year]]&amp;"-"&amp;TimeEntry[[#This Row],[WkNo]]</f>
        <v>2019-24</v>
      </c>
    </row>
    <row r="450" spans="1:17" ht="30" x14ac:dyDescent="0.25">
      <c r="A450" s="9" t="e">
        <f>MOD(IF(ROW()=11,0.1,IF(INDEX(TimeEntry[WkEnd],ROW()-10)            =            INDEX(TimeEntry[WkEnd],ROW()-11),               INDEX(TimeEntry[format],ROW()-11),               INDEX(TimeEntry[format],ROW()-11)    +1)),2)</f>
        <v>#VALUE!</v>
      </c>
      <c r="B450" s="14"/>
      <c r="C450" s="7">
        <v>43612</v>
      </c>
      <c r="D450" s="7"/>
      <c r="E450" s="7"/>
      <c r="F450" s="6" t="s">
        <v>12</v>
      </c>
      <c r="G450" s="6"/>
      <c r="H450" s="7">
        <f>IF(TimeEntry[[#This Row],[Date]]=0,H449,C450+(7-N450))</f>
        <v>43618</v>
      </c>
      <c r="I450" s="7">
        <f>TimeEntry[[#This Row],[Date]]</f>
        <v>43612</v>
      </c>
      <c r="J450" s="10" t="str">
        <f>IF(TimeEntry[[#This Row],[Date]]=0,"",TEXT(TimeEntry[[#This Row],[Date]],"ddd"))</f>
        <v>Mon</v>
      </c>
      <c r="K450" s="9" t="str">
        <f>IF(TimeEntry[[#This Row],[Project]]=0,"",INDEX(ProjectsAll[job number],MATCH(TimeEntry[[#This Row],[Project]],ProjectsAll[Project],0)))</f>
        <v>BANK HOLIDAY</v>
      </c>
      <c r="L450" s="6"/>
      <c r="M450" s="6">
        <v>7.5</v>
      </c>
      <c r="N450" s="9">
        <f>IF(TimeEntry[[#This Row],[Date]]=0,"",WEEKDAY(C450,2))</f>
        <v>1</v>
      </c>
      <c r="O450" s="10">
        <f>YEAR(TimeEntry[[#This Row],[WkEnd]])</f>
        <v>2019</v>
      </c>
      <c r="P450" s="10">
        <f>WEEKNUM(TimeEntry[[#This Row],[WkEnd]])</f>
        <v>23</v>
      </c>
      <c r="Q450" s="10" t="str">
        <f>TimeEntry[[#This Row],[Year]]&amp;"-"&amp;TimeEntry[[#This Row],[WkNo]]</f>
        <v>2019-23</v>
      </c>
    </row>
    <row r="451" spans="1:17" ht="30" x14ac:dyDescent="0.25">
      <c r="A451" s="9" t="e">
        <f>MOD(IF(ROW()=11,0.1,IF(INDEX(TimeEntry[WkEnd],ROW()-10)            =            INDEX(TimeEntry[WkEnd],ROW()-11),               INDEX(TimeEntry[format],ROW()-11),               INDEX(TimeEntry[format],ROW()-11)    +1)),2)</f>
        <v>#VALUE!</v>
      </c>
      <c r="B451" s="14"/>
      <c r="C451" s="7">
        <v>43613</v>
      </c>
      <c r="D451" s="7"/>
      <c r="E451" s="7"/>
      <c r="F451" s="6" t="s">
        <v>86</v>
      </c>
      <c r="G451" s="6"/>
      <c r="H451" s="7">
        <f>IF(TimeEntry[[#This Row],[Date]]=0,H450,C451+(7-N451))</f>
        <v>43618</v>
      </c>
      <c r="I451" s="7">
        <f>TimeEntry[[#This Row],[Date]]</f>
        <v>43613</v>
      </c>
      <c r="J451" s="10" t="str">
        <f>IF(TimeEntry[[#This Row],[Date]]=0,"",TEXT(TimeEntry[[#This Row],[Date]],"ddd"))</f>
        <v>Tue</v>
      </c>
      <c r="K451" s="9" t="str">
        <f>IF(TimeEntry[[#This Row],[Project]]=0,"",INDEX(ProjectsAll[job number],MATCH(TimeEntry[[#This Row],[Project]],ProjectsAll[Project],0)))</f>
        <v>265720-10</v>
      </c>
      <c r="L451" s="6" t="s">
        <v>145</v>
      </c>
      <c r="M451" s="6">
        <v>7.5</v>
      </c>
      <c r="N451" s="9">
        <f>IF(TimeEntry[[#This Row],[Date]]=0,"",WEEKDAY(C451,2))</f>
        <v>2</v>
      </c>
      <c r="O451" s="10">
        <f>YEAR(TimeEntry[[#This Row],[WkEnd]])</f>
        <v>2019</v>
      </c>
      <c r="P451" s="10">
        <f>WEEKNUM(TimeEntry[[#This Row],[WkEnd]])</f>
        <v>23</v>
      </c>
      <c r="Q451" s="10" t="str">
        <f>TimeEntry[[#This Row],[Year]]&amp;"-"&amp;TimeEntry[[#This Row],[WkNo]]</f>
        <v>2019-23</v>
      </c>
    </row>
    <row r="452" spans="1:17" ht="30" x14ac:dyDescent="0.25">
      <c r="A452" s="9" t="e">
        <f>MOD(IF(ROW()=11,0.1,IF(INDEX(TimeEntry[WkEnd],ROW()-10)            =            INDEX(TimeEntry[WkEnd],ROW()-11),               INDEX(TimeEntry[format],ROW()-11),               INDEX(TimeEntry[format],ROW()-11)    +1)),2)</f>
        <v>#VALUE!</v>
      </c>
      <c r="B452" s="14"/>
      <c r="C452" s="7">
        <v>43614</v>
      </c>
      <c r="D452" s="7"/>
      <c r="E452" s="7"/>
      <c r="F452" s="6" t="s">
        <v>86</v>
      </c>
      <c r="G452" s="6"/>
      <c r="H452" s="7">
        <f>IF(TimeEntry[[#This Row],[Date]]=0,H451,C452+(7-N452))</f>
        <v>43618</v>
      </c>
      <c r="I452" s="7">
        <f>TimeEntry[[#This Row],[Date]]</f>
        <v>43614</v>
      </c>
      <c r="J452" s="10" t="str">
        <f>IF(TimeEntry[[#This Row],[Date]]=0,"",TEXT(TimeEntry[[#This Row],[Date]],"ddd"))</f>
        <v>Wed</v>
      </c>
      <c r="K452" s="9" t="str">
        <f>IF(TimeEntry[[#This Row],[Project]]=0,"",INDEX(ProjectsAll[job number],MATCH(TimeEntry[[#This Row],[Project]],ProjectsAll[Project],0)))</f>
        <v>265720-10</v>
      </c>
      <c r="L452" s="6" t="s">
        <v>250</v>
      </c>
      <c r="M452" s="6">
        <v>7.5</v>
      </c>
      <c r="N452" s="9">
        <f>IF(TimeEntry[[#This Row],[Date]]=0,"",WEEKDAY(C452,2))</f>
        <v>3</v>
      </c>
      <c r="O452" s="10">
        <f>YEAR(TimeEntry[[#This Row],[WkEnd]])</f>
        <v>2019</v>
      </c>
      <c r="P452" s="10">
        <f>WEEKNUM(TimeEntry[[#This Row],[WkEnd]])</f>
        <v>23</v>
      </c>
      <c r="Q452" s="10" t="str">
        <f>TimeEntry[[#This Row],[Year]]&amp;"-"&amp;TimeEntry[[#This Row],[WkNo]]</f>
        <v>2019-23</v>
      </c>
    </row>
    <row r="453" spans="1:17" ht="30" x14ac:dyDescent="0.25">
      <c r="A453" s="9" t="e">
        <f>MOD(IF(ROW()=11,0.1,IF(INDEX(TimeEntry[WkEnd],ROW()-10)            =            INDEX(TimeEntry[WkEnd],ROW()-11),               INDEX(TimeEntry[format],ROW()-11),               INDEX(TimeEntry[format],ROW()-11)    +1)),2)</f>
        <v>#VALUE!</v>
      </c>
      <c r="B453" s="14"/>
      <c r="C453" s="7">
        <v>43614</v>
      </c>
      <c r="D453" s="7"/>
      <c r="E453" s="7"/>
      <c r="F453" s="6" t="s">
        <v>20</v>
      </c>
      <c r="G453" s="6"/>
      <c r="H453" s="7">
        <f>IF(TimeEntry[[#This Row],[Date]]=0,H452,C453+(7-N453))</f>
        <v>43618</v>
      </c>
      <c r="I453" s="7">
        <f>TimeEntry[[#This Row],[Date]]</f>
        <v>43614</v>
      </c>
      <c r="J453" s="10" t="str">
        <f>IF(TimeEntry[[#This Row],[Date]]=0,"",TEXT(TimeEntry[[#This Row],[Date]],"ddd"))</f>
        <v>Wed</v>
      </c>
      <c r="K453" s="9" t="str">
        <f>IF(TimeEntry[[#This Row],[Project]]=0,"",INDEX(ProjectsAll[job number],MATCH(TimeEntry[[#This Row],[Project]],ProjectsAll[Project],0)))</f>
        <v>262218-08</v>
      </c>
      <c r="L453" s="6" t="s">
        <v>22</v>
      </c>
      <c r="M453" s="6">
        <v>3.5</v>
      </c>
      <c r="N453" s="9">
        <f>IF(TimeEntry[[#This Row],[Date]]=0,"",WEEKDAY(C453,2))</f>
        <v>3</v>
      </c>
      <c r="O453" s="10">
        <f>YEAR(TimeEntry[[#This Row],[WkEnd]])</f>
        <v>2019</v>
      </c>
      <c r="P453" s="10">
        <f>WEEKNUM(TimeEntry[[#This Row],[WkEnd]])</f>
        <v>23</v>
      </c>
      <c r="Q453" s="10" t="str">
        <f>TimeEntry[[#This Row],[Year]]&amp;"-"&amp;TimeEntry[[#This Row],[WkNo]]</f>
        <v>2019-23</v>
      </c>
    </row>
    <row r="454" spans="1:17" ht="30" x14ac:dyDescent="0.25">
      <c r="A454" s="9" t="e">
        <f>MOD(IF(ROW()=11,0.1,IF(INDEX(TimeEntry[WkEnd],ROW()-10)            =            INDEX(TimeEntry[WkEnd],ROW()-11),               INDEX(TimeEntry[format],ROW()-11),               INDEX(TimeEntry[format],ROW()-11)    +1)),2)</f>
        <v>#VALUE!</v>
      </c>
      <c r="B454" s="14"/>
      <c r="C454" s="7">
        <v>43615</v>
      </c>
      <c r="D454" s="7"/>
      <c r="E454" s="7"/>
      <c r="F454" s="6" t="s">
        <v>7</v>
      </c>
      <c r="G454" s="6"/>
      <c r="H454" s="7">
        <f>IF(TimeEntry[[#This Row],[Date]]=0,H453,C454+(7-N454))</f>
        <v>43618</v>
      </c>
      <c r="I454" s="7">
        <f>TimeEntry[[#This Row],[Date]]</f>
        <v>43615</v>
      </c>
      <c r="J454" s="10" t="str">
        <f>IF(TimeEntry[[#This Row],[Date]]=0,"",TEXT(TimeEntry[[#This Row],[Date]],"ddd"))</f>
        <v>Thu</v>
      </c>
      <c r="K454" s="9" t="str">
        <f>IF(TimeEntry[[#This Row],[Project]]=0,"",INDEX(ProjectsAll[job number],MATCH(TimeEntry[[#This Row],[Project]],ProjectsAll[Project],0)))</f>
        <v>266122-24</v>
      </c>
      <c r="L454" s="6" t="s">
        <v>253</v>
      </c>
      <c r="M454" s="6">
        <v>4</v>
      </c>
      <c r="N454" s="9">
        <f>IF(TimeEntry[[#This Row],[Date]]=0,"",WEEKDAY(C454,2))</f>
        <v>4</v>
      </c>
      <c r="O454" s="10">
        <f>YEAR(TimeEntry[[#This Row],[WkEnd]])</f>
        <v>2019</v>
      </c>
      <c r="P454" s="10">
        <f>WEEKNUM(TimeEntry[[#This Row],[WkEnd]])</f>
        <v>23</v>
      </c>
      <c r="Q454" s="10" t="str">
        <f>TimeEntry[[#This Row],[Year]]&amp;"-"&amp;TimeEntry[[#This Row],[WkNo]]</f>
        <v>2019-23</v>
      </c>
    </row>
    <row r="455" spans="1:17" ht="30" x14ac:dyDescent="0.25">
      <c r="A455" s="9" t="e">
        <f>MOD(IF(ROW()=11,0.1,IF(INDEX(TimeEntry[WkEnd],ROW()-10)            =            INDEX(TimeEntry[WkEnd],ROW()-11),               INDEX(TimeEntry[format],ROW()-11),               INDEX(TimeEntry[format],ROW()-11)    +1)),2)</f>
        <v>#VALUE!</v>
      </c>
      <c r="B455" s="14"/>
      <c r="C455" s="7">
        <v>43616</v>
      </c>
      <c r="D455" s="7"/>
      <c r="E455" s="7"/>
      <c r="F455" s="6" t="s">
        <v>86</v>
      </c>
      <c r="G455" s="6"/>
      <c r="H455" s="7">
        <f>IF(TimeEntry[[#This Row],[Date]]=0,H454,C455+(7-N455))</f>
        <v>43618</v>
      </c>
      <c r="I455" s="7">
        <f>TimeEntry[[#This Row],[Date]]</f>
        <v>43616</v>
      </c>
      <c r="J455" s="10" t="str">
        <f>IF(TimeEntry[[#This Row],[Date]]=0,"",TEXT(TimeEntry[[#This Row],[Date]],"ddd"))</f>
        <v>Fri</v>
      </c>
      <c r="K455" s="9" t="str">
        <f>IF(TimeEntry[[#This Row],[Project]]=0,"",INDEX(ProjectsAll[job number],MATCH(TimeEntry[[#This Row],[Project]],ProjectsAll[Project],0)))</f>
        <v>265720-10</v>
      </c>
      <c r="L455" s="6" t="s">
        <v>253</v>
      </c>
      <c r="M455" s="6">
        <v>7.5</v>
      </c>
      <c r="N455" s="9">
        <f>IF(TimeEntry[[#This Row],[Date]]=0,"",WEEKDAY(C455,2))</f>
        <v>5</v>
      </c>
      <c r="O455" s="10">
        <f>YEAR(TimeEntry[[#This Row],[WkEnd]])</f>
        <v>2019</v>
      </c>
      <c r="P455" s="10">
        <f>WEEKNUM(TimeEntry[[#This Row],[WkEnd]])</f>
        <v>23</v>
      </c>
      <c r="Q455" s="10" t="str">
        <f>TimeEntry[[#This Row],[Year]]&amp;"-"&amp;TimeEntry[[#This Row],[WkNo]]</f>
        <v>2019-23</v>
      </c>
    </row>
    <row r="456" spans="1:17" ht="30" x14ac:dyDescent="0.25">
      <c r="A456" s="9" t="e">
        <f>MOD(IF(ROW()=11,0.1,IF(INDEX(TimeEntry[WkEnd],ROW()-10)            =            INDEX(TimeEntry[WkEnd],ROW()-11),               INDEX(TimeEntry[format],ROW()-11),               INDEX(TimeEntry[format],ROW()-11)    +1)),2)</f>
        <v>#VALUE!</v>
      </c>
      <c r="B456" s="14"/>
      <c r="C456" s="7">
        <v>43605</v>
      </c>
      <c r="D456" s="7"/>
      <c r="E456" s="7"/>
      <c r="F456" s="6" t="s">
        <v>18</v>
      </c>
      <c r="G456" s="6"/>
      <c r="H456" s="7">
        <f>IF(TimeEntry[[#This Row],[Date]]=0,H455,C456+(7-N456))</f>
        <v>43611</v>
      </c>
      <c r="I456" s="7">
        <f>TimeEntry[[#This Row],[Date]]</f>
        <v>43605</v>
      </c>
      <c r="J456" s="10" t="str">
        <f>IF(TimeEntry[[#This Row],[Date]]=0,"",TEXT(TimeEntry[[#This Row],[Date]],"ddd"))</f>
        <v>Mon</v>
      </c>
      <c r="K456" s="9" t="str">
        <f>IF(TimeEntry[[#This Row],[Project]]=0,"",INDEX(ProjectsAll[job number],MATCH(TimeEntry[[#This Row],[Project]],ProjectsAll[Project],0)))</f>
        <v>268268-00</v>
      </c>
      <c r="L456" s="6" t="s">
        <v>254</v>
      </c>
      <c r="M456" s="6">
        <v>7.5</v>
      </c>
      <c r="N456" s="9">
        <f>IF(TimeEntry[[#This Row],[Date]]=0,"",WEEKDAY(C456,2))</f>
        <v>1</v>
      </c>
      <c r="O456" s="10">
        <f>YEAR(TimeEntry[[#This Row],[WkEnd]])</f>
        <v>2019</v>
      </c>
      <c r="P456" s="10">
        <f>WEEKNUM(TimeEntry[[#This Row],[WkEnd]])</f>
        <v>22</v>
      </c>
      <c r="Q456" s="10" t="str">
        <f>TimeEntry[[#This Row],[Year]]&amp;"-"&amp;TimeEntry[[#This Row],[WkNo]]</f>
        <v>2019-22</v>
      </c>
    </row>
    <row r="457" spans="1:17" ht="30" x14ac:dyDescent="0.25">
      <c r="A457" s="9" t="e">
        <f>MOD(IF(ROW()=11,0.1,IF(INDEX(TimeEntry[WkEnd],ROW()-10)            =            INDEX(TimeEntry[WkEnd],ROW()-11),               INDEX(TimeEntry[format],ROW()-11),               INDEX(TimeEntry[format],ROW()-11)    +1)),2)</f>
        <v>#VALUE!</v>
      </c>
      <c r="B457" s="14"/>
      <c r="C457" s="7">
        <v>43606</v>
      </c>
      <c r="D457" s="7"/>
      <c r="E457" s="7"/>
      <c r="F457" s="6" t="s">
        <v>84</v>
      </c>
      <c r="G457" s="6"/>
      <c r="H457" s="7">
        <f>IF(TimeEntry[[#This Row],[Date]]=0,H456,C457+(7-N457))</f>
        <v>43611</v>
      </c>
      <c r="I457" s="7">
        <f>TimeEntry[[#This Row],[Date]]</f>
        <v>43606</v>
      </c>
      <c r="J457" s="10" t="str">
        <f>IF(TimeEntry[[#This Row],[Date]]=0,"",TEXT(TimeEntry[[#This Row],[Date]],"ddd"))</f>
        <v>Tue</v>
      </c>
      <c r="K457" s="9" t="str">
        <f>IF(TimeEntry[[#This Row],[Project]]=0,"",INDEX(ProjectsAll[job number],MATCH(TimeEntry[[#This Row],[Project]],ProjectsAll[Project],0)))</f>
        <v>265720-20</v>
      </c>
      <c r="L457" s="6" t="s">
        <v>255</v>
      </c>
      <c r="M457" s="6">
        <v>7.5</v>
      </c>
      <c r="N457" s="9">
        <f>IF(TimeEntry[[#This Row],[Date]]=0,"",WEEKDAY(C457,2))</f>
        <v>2</v>
      </c>
      <c r="O457" s="10">
        <f>YEAR(TimeEntry[[#This Row],[WkEnd]])</f>
        <v>2019</v>
      </c>
      <c r="P457" s="10">
        <f>WEEKNUM(TimeEntry[[#This Row],[WkEnd]])</f>
        <v>22</v>
      </c>
      <c r="Q457" s="10" t="str">
        <f>TimeEntry[[#This Row],[Year]]&amp;"-"&amp;TimeEntry[[#This Row],[WkNo]]</f>
        <v>2019-22</v>
      </c>
    </row>
    <row r="458" spans="1:17" ht="30" x14ac:dyDescent="0.25">
      <c r="A458" s="9" t="e">
        <f>MOD(IF(ROW()=11,0.1,IF(INDEX(TimeEntry[WkEnd],ROW()-10)            =            INDEX(TimeEntry[WkEnd],ROW()-11),               INDEX(TimeEntry[format],ROW()-11),               INDEX(TimeEntry[format],ROW()-11)    +1)),2)</f>
        <v>#VALUE!</v>
      </c>
      <c r="B458" s="14"/>
      <c r="C458" s="7">
        <v>43607</v>
      </c>
      <c r="D458" s="7"/>
      <c r="E458" s="7"/>
      <c r="F458" s="6" t="s">
        <v>84</v>
      </c>
      <c r="G458" s="6"/>
      <c r="H458" s="7">
        <f>IF(TimeEntry[[#This Row],[Date]]=0,H457,C458+(7-N458))</f>
        <v>43611</v>
      </c>
      <c r="I458" s="7">
        <f>TimeEntry[[#This Row],[Date]]</f>
        <v>43607</v>
      </c>
      <c r="J458" s="10" t="str">
        <f>IF(TimeEntry[[#This Row],[Date]]=0,"",TEXT(TimeEntry[[#This Row],[Date]],"ddd"))</f>
        <v>Wed</v>
      </c>
      <c r="K458" s="9" t="str">
        <f>IF(TimeEntry[[#This Row],[Project]]=0,"",INDEX(ProjectsAll[job number],MATCH(TimeEntry[[#This Row],[Project]],ProjectsAll[Project],0)))</f>
        <v>265720-20</v>
      </c>
      <c r="L458" s="6" t="s">
        <v>255</v>
      </c>
      <c r="M458" s="6">
        <v>7.5</v>
      </c>
      <c r="N458" s="9">
        <f>IF(TimeEntry[[#This Row],[Date]]=0,"",WEEKDAY(C458,2))</f>
        <v>3</v>
      </c>
      <c r="O458" s="10">
        <f>YEAR(TimeEntry[[#This Row],[WkEnd]])</f>
        <v>2019</v>
      </c>
      <c r="P458" s="10">
        <f>WEEKNUM(TimeEntry[[#This Row],[WkEnd]])</f>
        <v>22</v>
      </c>
      <c r="Q458" s="10" t="str">
        <f>TimeEntry[[#This Row],[Year]]&amp;"-"&amp;TimeEntry[[#This Row],[WkNo]]</f>
        <v>2019-22</v>
      </c>
    </row>
    <row r="459" spans="1:17" ht="30" x14ac:dyDescent="0.25">
      <c r="A459" s="9" t="e">
        <f>MOD(IF(ROW()=11,0.1,IF(INDEX(TimeEntry[WkEnd],ROW()-10)            =            INDEX(TimeEntry[WkEnd],ROW()-11),               INDEX(TimeEntry[format],ROW()-11),               INDEX(TimeEntry[format],ROW()-11)    +1)),2)</f>
        <v>#VALUE!</v>
      </c>
      <c r="B459" s="14"/>
      <c r="C459" s="7">
        <v>43608</v>
      </c>
      <c r="D459" s="7"/>
      <c r="E459" s="7"/>
      <c r="F459" s="6" t="s">
        <v>84</v>
      </c>
      <c r="G459" s="6"/>
      <c r="H459" s="7">
        <f>IF(TimeEntry[[#This Row],[Date]]=0,H458,C459+(7-N459))</f>
        <v>43611</v>
      </c>
      <c r="I459" s="7">
        <f>TimeEntry[[#This Row],[Date]]</f>
        <v>43608</v>
      </c>
      <c r="J459" s="10" t="str">
        <f>IF(TimeEntry[[#This Row],[Date]]=0,"",TEXT(TimeEntry[[#This Row],[Date]],"ddd"))</f>
        <v>Thu</v>
      </c>
      <c r="K459" s="9" t="str">
        <f>IF(TimeEntry[[#This Row],[Project]]=0,"",INDEX(ProjectsAll[job number],MATCH(TimeEntry[[#This Row],[Project]],ProjectsAll[Project],0)))</f>
        <v>265720-20</v>
      </c>
      <c r="L459" s="6" t="s">
        <v>255</v>
      </c>
      <c r="M459" s="6">
        <v>7.5</v>
      </c>
      <c r="N459" s="9">
        <f>IF(TimeEntry[[#This Row],[Date]]=0,"",WEEKDAY(C459,2))</f>
        <v>4</v>
      </c>
      <c r="O459" s="10">
        <f>YEAR(TimeEntry[[#This Row],[WkEnd]])</f>
        <v>2019</v>
      </c>
      <c r="P459" s="10">
        <f>WEEKNUM(TimeEntry[[#This Row],[WkEnd]])</f>
        <v>22</v>
      </c>
      <c r="Q459" s="10" t="str">
        <f>TimeEntry[[#This Row],[Year]]&amp;"-"&amp;TimeEntry[[#This Row],[WkNo]]</f>
        <v>2019-22</v>
      </c>
    </row>
    <row r="460" spans="1:17" ht="30" x14ac:dyDescent="0.25">
      <c r="A460" s="9" t="e">
        <f>MOD(IF(ROW()=11,0.1,IF(INDEX(TimeEntry[WkEnd],ROW()-10)            =            INDEX(TimeEntry[WkEnd],ROW()-11),               INDEX(TimeEntry[format],ROW()-11),               INDEX(TimeEntry[format],ROW()-11)    +1)),2)</f>
        <v>#VALUE!</v>
      </c>
      <c r="B460" s="14"/>
      <c r="C460" s="7">
        <v>43609</v>
      </c>
      <c r="D460" s="7"/>
      <c r="E460" s="7"/>
      <c r="F460" s="6" t="s">
        <v>84</v>
      </c>
      <c r="G460" s="6"/>
      <c r="H460" s="7">
        <f>IF(TimeEntry[[#This Row],[Date]]=0,H459,C460+(7-N460))</f>
        <v>43611</v>
      </c>
      <c r="I460" s="7">
        <f>TimeEntry[[#This Row],[Date]]</f>
        <v>43609</v>
      </c>
      <c r="J460" s="10" t="str">
        <f>IF(TimeEntry[[#This Row],[Date]]=0,"",TEXT(TimeEntry[[#This Row],[Date]],"ddd"))</f>
        <v>Fri</v>
      </c>
      <c r="K460" s="9" t="str">
        <f>IF(TimeEntry[[#This Row],[Project]]=0,"",INDEX(ProjectsAll[job number],MATCH(TimeEntry[[#This Row],[Project]],ProjectsAll[Project],0)))</f>
        <v>265720-20</v>
      </c>
      <c r="L460" s="6" t="s">
        <v>255</v>
      </c>
      <c r="M460" s="6">
        <v>3.75</v>
      </c>
      <c r="N460" s="9">
        <f>IF(TimeEntry[[#This Row],[Date]]=0,"",WEEKDAY(C460,2))</f>
        <v>5</v>
      </c>
      <c r="O460" s="10">
        <f>YEAR(TimeEntry[[#This Row],[WkEnd]])</f>
        <v>2019</v>
      </c>
      <c r="P460" s="10">
        <f>WEEKNUM(TimeEntry[[#This Row],[WkEnd]])</f>
        <v>22</v>
      </c>
      <c r="Q460" s="10" t="str">
        <f>TimeEntry[[#This Row],[Year]]&amp;"-"&amp;TimeEntry[[#This Row],[WkNo]]</f>
        <v>2019-22</v>
      </c>
    </row>
    <row r="461" spans="1:17" x14ac:dyDescent="0.25">
      <c r="A461" s="9" t="e">
        <f>MOD(IF(ROW()=11,0.1,IF(INDEX(TimeEntry[WkEnd],ROW()-10)            =            INDEX(TimeEntry[WkEnd],ROW()-11),               INDEX(TimeEntry[format],ROW()-11),               INDEX(TimeEntry[format],ROW()-11)    +1)),2)</f>
        <v>#VALUE!</v>
      </c>
      <c r="B461" s="14"/>
      <c r="C461" s="7">
        <v>43609</v>
      </c>
      <c r="D461" s="7"/>
      <c r="E461" s="7"/>
      <c r="F461" s="6" t="s">
        <v>68</v>
      </c>
      <c r="G461" s="6"/>
      <c r="H461" s="7">
        <f>IF(TimeEntry[[#This Row],[Date]]=0,H460,C461+(7-N461))</f>
        <v>43611</v>
      </c>
      <c r="I461" s="7">
        <f>TimeEntry[[#This Row],[Date]]</f>
        <v>43609</v>
      </c>
      <c r="J461" s="10" t="str">
        <f>IF(TimeEntry[[#This Row],[Date]]=0,"",TEXT(TimeEntry[[#This Row],[Date]],"ddd"))</f>
        <v>Fri</v>
      </c>
      <c r="K461" s="9" t="str">
        <f>IF(TimeEntry[[#This Row],[Project]]=0,"",INDEX(ProjectsAll[job number],MATCH(TimeEntry[[#This Row],[Project]],ProjectsAll[Project],0)))</f>
        <v>LEAVE</v>
      </c>
      <c r="L461" s="6"/>
      <c r="M461" s="6">
        <v>3.75</v>
      </c>
      <c r="N461" s="9">
        <f>IF(TimeEntry[[#This Row],[Date]]=0,"",WEEKDAY(C461,2))</f>
        <v>5</v>
      </c>
      <c r="O461" s="10">
        <f>YEAR(TimeEntry[[#This Row],[WkEnd]])</f>
        <v>2019</v>
      </c>
      <c r="P461" s="10">
        <f>WEEKNUM(TimeEntry[[#This Row],[WkEnd]])</f>
        <v>22</v>
      </c>
      <c r="Q461" s="10" t="str">
        <f>TimeEntry[[#This Row],[Year]]&amp;"-"&amp;TimeEntry[[#This Row],[WkNo]]</f>
        <v>2019-22</v>
      </c>
    </row>
    <row r="462" spans="1:17" ht="30" x14ac:dyDescent="0.25">
      <c r="A462" s="9" t="e">
        <f>MOD(IF(ROW()=11,0.1,IF(INDEX(TimeEntry[WkEnd],ROW()-10)            =            INDEX(TimeEntry[WkEnd],ROW()-11),               INDEX(TimeEntry[format],ROW()-11),               INDEX(TimeEntry[format],ROW()-11)    +1)),2)</f>
        <v>#VALUE!</v>
      </c>
      <c r="B462" s="14"/>
      <c r="C462" s="7">
        <v>43598</v>
      </c>
      <c r="D462" s="7"/>
      <c r="E462" s="7"/>
      <c r="F462" s="6" t="s">
        <v>97</v>
      </c>
      <c r="G462" s="6"/>
      <c r="H462" s="7">
        <f>IF(TimeEntry[[#This Row],[Date]]=0,H461,C462+(7-N462))</f>
        <v>43604</v>
      </c>
      <c r="I462" s="7">
        <f>TimeEntry[[#This Row],[Date]]</f>
        <v>43598</v>
      </c>
      <c r="J462" s="10" t="str">
        <f>IF(TimeEntry[[#This Row],[Date]]=0,"",TEXT(TimeEntry[[#This Row],[Date]],"ddd"))</f>
        <v>Mon</v>
      </c>
      <c r="K462" s="9" t="str">
        <f>IF(TimeEntry[[#This Row],[Project]]=0,"",INDEX(ProjectsAll[job number],MATCH(TimeEntry[[#This Row],[Project]],ProjectsAll[Project],0)))</f>
        <v>601593-72</v>
      </c>
      <c r="L462" s="6" t="s">
        <v>256</v>
      </c>
      <c r="M462" s="6">
        <v>7.5</v>
      </c>
      <c r="N462" s="9">
        <f>IF(TimeEntry[[#This Row],[Date]]=0,"",WEEKDAY(C462,2))</f>
        <v>1</v>
      </c>
      <c r="O462" s="10">
        <f>YEAR(TimeEntry[[#This Row],[WkEnd]])</f>
        <v>2019</v>
      </c>
      <c r="P462" s="10">
        <f>WEEKNUM(TimeEntry[[#This Row],[WkEnd]])</f>
        <v>21</v>
      </c>
      <c r="Q462" s="10" t="str">
        <f>TimeEntry[[#This Row],[Year]]&amp;"-"&amp;TimeEntry[[#This Row],[WkNo]]</f>
        <v>2019-21</v>
      </c>
    </row>
    <row r="463" spans="1:17" ht="30" x14ac:dyDescent="0.25">
      <c r="A463" s="9" t="e">
        <f>MOD(IF(ROW()=11,0.1,IF(INDEX(TimeEntry[WkEnd],ROW()-10)            =            INDEX(TimeEntry[WkEnd],ROW()-11),               INDEX(TimeEntry[format],ROW()-11),               INDEX(TimeEntry[format],ROW()-11)    +1)),2)</f>
        <v>#VALUE!</v>
      </c>
      <c r="B463" s="14"/>
      <c r="C463" s="7">
        <v>43599</v>
      </c>
      <c r="D463" s="7"/>
      <c r="E463" s="7"/>
      <c r="F463" s="6" t="s">
        <v>97</v>
      </c>
      <c r="G463" s="6"/>
      <c r="H463" s="7">
        <f>IF(TimeEntry[[#This Row],[Date]]=0,H462,C463+(7-N463))</f>
        <v>43604</v>
      </c>
      <c r="I463" s="7">
        <f>TimeEntry[[#This Row],[Date]]</f>
        <v>43599</v>
      </c>
      <c r="J463" s="10" t="str">
        <f>IF(TimeEntry[[#This Row],[Date]]=0,"",TEXT(TimeEntry[[#This Row],[Date]],"ddd"))</f>
        <v>Tue</v>
      </c>
      <c r="K463" s="9" t="str">
        <f>IF(TimeEntry[[#This Row],[Project]]=0,"",INDEX(ProjectsAll[job number],MATCH(TimeEntry[[#This Row],[Project]],ProjectsAll[Project],0)))</f>
        <v>601593-72</v>
      </c>
      <c r="L463" s="6" t="s">
        <v>256</v>
      </c>
      <c r="M463" s="6">
        <v>5.5</v>
      </c>
      <c r="N463" s="9">
        <f>IF(TimeEntry[[#This Row],[Date]]=0,"",WEEKDAY(C463,2))</f>
        <v>2</v>
      </c>
      <c r="O463" s="10">
        <f>YEAR(TimeEntry[[#This Row],[WkEnd]])</f>
        <v>2019</v>
      </c>
      <c r="P463" s="10">
        <f>WEEKNUM(TimeEntry[[#This Row],[WkEnd]])</f>
        <v>21</v>
      </c>
      <c r="Q463" s="10" t="str">
        <f>TimeEntry[[#This Row],[Year]]&amp;"-"&amp;TimeEntry[[#This Row],[WkNo]]</f>
        <v>2019-21</v>
      </c>
    </row>
    <row r="464" spans="1:17" ht="30" x14ac:dyDescent="0.25">
      <c r="A464" s="9" t="e">
        <f>MOD(IF(ROW()=11,0.1,IF(INDEX(TimeEntry[WkEnd],ROW()-10)            =            INDEX(TimeEntry[WkEnd],ROW()-11),               INDEX(TimeEntry[format],ROW()-11),               INDEX(TimeEntry[format],ROW()-11)    +1)),2)</f>
        <v>#VALUE!</v>
      </c>
      <c r="B464" s="14"/>
      <c r="C464" s="7">
        <v>43599</v>
      </c>
      <c r="D464" s="7"/>
      <c r="E464" s="7"/>
      <c r="F464" s="6" t="s">
        <v>84</v>
      </c>
      <c r="G464" s="6"/>
      <c r="H464" s="7">
        <f>IF(TimeEntry[[#This Row],[Date]]=0,H463,C464+(7-N464))</f>
        <v>43604</v>
      </c>
      <c r="I464" s="7">
        <f>TimeEntry[[#This Row],[Date]]</f>
        <v>43599</v>
      </c>
      <c r="J464" s="10" t="str">
        <f>IF(TimeEntry[[#This Row],[Date]]=0,"",TEXT(TimeEntry[[#This Row],[Date]],"ddd"))</f>
        <v>Tue</v>
      </c>
      <c r="K464" s="9" t="str">
        <f>IF(TimeEntry[[#This Row],[Project]]=0,"",INDEX(ProjectsAll[job number],MATCH(TimeEntry[[#This Row],[Project]],ProjectsAll[Project],0)))</f>
        <v>265720-20</v>
      </c>
      <c r="L464" s="6" t="s">
        <v>257</v>
      </c>
      <c r="M464" s="6">
        <v>2</v>
      </c>
      <c r="N464" s="9">
        <f>IF(TimeEntry[[#This Row],[Date]]=0,"",WEEKDAY(C464,2))</f>
        <v>2</v>
      </c>
      <c r="O464" s="10">
        <f>YEAR(TimeEntry[[#This Row],[WkEnd]])</f>
        <v>2019</v>
      </c>
      <c r="P464" s="10">
        <f>WEEKNUM(TimeEntry[[#This Row],[WkEnd]])</f>
        <v>21</v>
      </c>
      <c r="Q464" s="10" t="str">
        <f>TimeEntry[[#This Row],[Year]]&amp;"-"&amp;TimeEntry[[#This Row],[WkNo]]</f>
        <v>2019-21</v>
      </c>
    </row>
    <row r="465" spans="1:17" ht="30" x14ac:dyDescent="0.25">
      <c r="A465" s="9" t="e">
        <f>MOD(IF(ROW()=11,0.1,IF(INDEX(TimeEntry[WkEnd],ROW()-10)            =            INDEX(TimeEntry[WkEnd],ROW()-11),               INDEX(TimeEntry[format],ROW()-11),               INDEX(TimeEntry[format],ROW()-11)    +1)),2)</f>
        <v>#VALUE!</v>
      </c>
      <c r="B465" s="14"/>
      <c r="C465" s="7">
        <v>43600</v>
      </c>
      <c r="D465" s="7"/>
      <c r="E465" s="7"/>
      <c r="F465" s="6" t="s">
        <v>84</v>
      </c>
      <c r="G465" s="6"/>
      <c r="H465" s="7">
        <f>IF(TimeEntry[[#This Row],[Date]]=0,H464,C465+(7-N465))</f>
        <v>43604</v>
      </c>
      <c r="I465" s="7">
        <f>TimeEntry[[#This Row],[Date]]</f>
        <v>43600</v>
      </c>
      <c r="J465" s="10" t="str">
        <f>IF(TimeEntry[[#This Row],[Date]]=0,"",TEXT(TimeEntry[[#This Row],[Date]],"ddd"))</f>
        <v>Wed</v>
      </c>
      <c r="K465" s="9" t="str">
        <f>IF(TimeEntry[[#This Row],[Project]]=0,"",INDEX(ProjectsAll[job number],MATCH(TimeEntry[[#This Row],[Project]],ProjectsAll[Project],0)))</f>
        <v>265720-20</v>
      </c>
      <c r="L465" s="6" t="s">
        <v>257</v>
      </c>
      <c r="M465" s="6">
        <v>7.5</v>
      </c>
      <c r="N465" s="9">
        <f>IF(TimeEntry[[#This Row],[Date]]=0,"",WEEKDAY(C465,2))</f>
        <v>3</v>
      </c>
      <c r="O465" s="10">
        <f>YEAR(TimeEntry[[#This Row],[WkEnd]])</f>
        <v>2019</v>
      </c>
      <c r="P465" s="10">
        <f>WEEKNUM(TimeEntry[[#This Row],[WkEnd]])</f>
        <v>21</v>
      </c>
      <c r="Q465" s="10" t="str">
        <f>TimeEntry[[#This Row],[Year]]&amp;"-"&amp;TimeEntry[[#This Row],[WkNo]]</f>
        <v>2019-21</v>
      </c>
    </row>
    <row r="466" spans="1:17" ht="30" x14ac:dyDescent="0.25">
      <c r="A466" s="9" t="e">
        <f>MOD(IF(ROW()=11,0.1,IF(INDEX(TimeEntry[WkEnd],ROW()-10)            =            INDEX(TimeEntry[WkEnd],ROW()-11),               INDEX(TimeEntry[format],ROW()-11),               INDEX(TimeEntry[format],ROW()-11)    +1)),2)</f>
        <v>#VALUE!</v>
      </c>
      <c r="B466" s="14"/>
      <c r="C466" s="7">
        <v>43601</v>
      </c>
      <c r="D466" s="7"/>
      <c r="E466" s="7"/>
      <c r="F466" s="6" t="s">
        <v>84</v>
      </c>
      <c r="G466" s="6"/>
      <c r="H466" s="7">
        <f>IF(TimeEntry[[#This Row],[Date]]=0,H465,C466+(7-N466))</f>
        <v>43604</v>
      </c>
      <c r="I466" s="7">
        <f>TimeEntry[[#This Row],[Date]]</f>
        <v>43601</v>
      </c>
      <c r="J466" s="10" t="str">
        <f>IF(TimeEntry[[#This Row],[Date]]=0,"",TEXT(TimeEntry[[#This Row],[Date]],"ddd"))</f>
        <v>Thu</v>
      </c>
      <c r="K466" s="9" t="str">
        <f>IF(TimeEntry[[#This Row],[Project]]=0,"",INDEX(ProjectsAll[job number],MATCH(TimeEntry[[#This Row],[Project]],ProjectsAll[Project],0)))</f>
        <v>265720-20</v>
      </c>
      <c r="L466" s="6" t="s">
        <v>258</v>
      </c>
      <c r="M466" s="6">
        <v>7.5</v>
      </c>
      <c r="N466" s="9">
        <f>IF(TimeEntry[[#This Row],[Date]]=0,"",WEEKDAY(C466,2))</f>
        <v>4</v>
      </c>
      <c r="O466" s="10">
        <f>YEAR(TimeEntry[[#This Row],[WkEnd]])</f>
        <v>2019</v>
      </c>
      <c r="P466" s="10">
        <f>WEEKNUM(TimeEntry[[#This Row],[WkEnd]])</f>
        <v>21</v>
      </c>
      <c r="Q466" s="10" t="str">
        <f>TimeEntry[[#This Row],[Year]]&amp;"-"&amp;TimeEntry[[#This Row],[WkNo]]</f>
        <v>2019-21</v>
      </c>
    </row>
    <row r="467" spans="1:17" ht="30" x14ac:dyDescent="0.25">
      <c r="A467" s="9" t="e">
        <f>MOD(IF(ROW()=11,0.1,IF(INDEX(TimeEntry[WkEnd],ROW()-10)            =            INDEX(TimeEntry[WkEnd],ROW()-11),               INDEX(TimeEntry[format],ROW()-11),               INDEX(TimeEntry[format],ROW()-11)    +1)),2)</f>
        <v>#VALUE!</v>
      </c>
      <c r="B467" s="14"/>
      <c r="C467" s="7">
        <v>43602</v>
      </c>
      <c r="D467" s="7"/>
      <c r="E467" s="7"/>
      <c r="F467" s="6" t="s">
        <v>82</v>
      </c>
      <c r="G467" s="6"/>
      <c r="H467" s="7">
        <f>IF(TimeEntry[[#This Row],[Date]]=0,H466,C467+(7-N467))</f>
        <v>43604</v>
      </c>
      <c r="I467" s="7">
        <f>TimeEntry[[#This Row],[Date]]</f>
        <v>43602</v>
      </c>
      <c r="J467" s="10" t="str">
        <f>IF(TimeEntry[[#This Row],[Date]]=0,"",TEXT(TimeEntry[[#This Row],[Date]],"ddd"))</f>
        <v>Fri</v>
      </c>
      <c r="K467" s="9" t="str">
        <f>IF(TimeEntry[[#This Row],[Project]]=0,"",INDEX(ProjectsAll[job number],MATCH(TimeEntry[[#This Row],[Project]],ProjectsAll[Project],0)))</f>
        <v>265720-01</v>
      </c>
      <c r="L467" s="6" t="s">
        <v>259</v>
      </c>
      <c r="M467" s="6">
        <v>3.75</v>
      </c>
      <c r="N467" s="9">
        <f>IF(TimeEntry[[#This Row],[Date]]=0,"",WEEKDAY(C467,2))</f>
        <v>5</v>
      </c>
      <c r="O467" s="10">
        <f>YEAR(TimeEntry[[#This Row],[WkEnd]])</f>
        <v>2019</v>
      </c>
      <c r="P467" s="10">
        <f>WEEKNUM(TimeEntry[[#This Row],[WkEnd]])</f>
        <v>21</v>
      </c>
      <c r="Q467" s="10" t="str">
        <f>TimeEntry[[#This Row],[Year]]&amp;"-"&amp;TimeEntry[[#This Row],[WkNo]]</f>
        <v>2019-21</v>
      </c>
    </row>
    <row r="468" spans="1:17" ht="30" x14ac:dyDescent="0.25">
      <c r="A468" s="9" t="e">
        <f>MOD(IF(ROW()=11,0.1,IF(INDEX(TimeEntry[WkEnd],ROW()-10)            =            INDEX(TimeEntry[WkEnd],ROW()-11),               INDEX(TimeEntry[format],ROW()-11),               INDEX(TimeEntry[format],ROW()-11)    +1)),2)</f>
        <v>#VALUE!</v>
      </c>
      <c r="B468" s="14"/>
      <c r="C468" s="7">
        <v>43602</v>
      </c>
      <c r="D468" s="7"/>
      <c r="E468" s="7"/>
      <c r="F468" s="6" t="s">
        <v>84</v>
      </c>
      <c r="G468" s="6"/>
      <c r="H468" s="7">
        <f>IF(TimeEntry[[#This Row],[Date]]=0,H467,C468+(7-N468))</f>
        <v>43604</v>
      </c>
      <c r="I468" s="7">
        <f>TimeEntry[[#This Row],[Date]]</f>
        <v>43602</v>
      </c>
      <c r="J468" s="10" t="str">
        <f>IF(TimeEntry[[#This Row],[Date]]=0,"",TEXT(TimeEntry[[#This Row],[Date]],"ddd"))</f>
        <v>Fri</v>
      </c>
      <c r="K468" s="9" t="str">
        <f>IF(TimeEntry[[#This Row],[Project]]=0,"",INDEX(ProjectsAll[job number],MATCH(TimeEntry[[#This Row],[Project]],ProjectsAll[Project],0)))</f>
        <v>265720-20</v>
      </c>
      <c r="L468" s="6" t="s">
        <v>260</v>
      </c>
      <c r="M468" s="6">
        <v>2.75</v>
      </c>
      <c r="N468" s="9">
        <f>IF(TimeEntry[[#This Row],[Date]]=0,"",WEEKDAY(C468,2))</f>
        <v>5</v>
      </c>
      <c r="O468" s="10">
        <f>YEAR(TimeEntry[[#This Row],[WkEnd]])</f>
        <v>2019</v>
      </c>
      <c r="P468" s="10">
        <f>WEEKNUM(TimeEntry[[#This Row],[WkEnd]])</f>
        <v>21</v>
      </c>
      <c r="Q468" s="10" t="str">
        <f>TimeEntry[[#This Row],[Year]]&amp;"-"&amp;TimeEntry[[#This Row],[WkNo]]</f>
        <v>2019-21</v>
      </c>
    </row>
    <row r="469" spans="1:17" ht="30" x14ac:dyDescent="0.25">
      <c r="A469" s="9" t="e">
        <f>MOD(IF(ROW()=11,0.1,IF(INDEX(TimeEntry[WkEnd],ROW()-10)            =            INDEX(TimeEntry[WkEnd],ROW()-11),               INDEX(TimeEntry[format],ROW()-11),               INDEX(TimeEntry[format],ROW()-11)    +1)),2)</f>
        <v>#VALUE!</v>
      </c>
      <c r="B469" s="14"/>
      <c r="C469" s="7">
        <v>43602</v>
      </c>
      <c r="D469" s="7"/>
      <c r="E469" s="7"/>
      <c r="F469" s="6" t="s">
        <v>80</v>
      </c>
      <c r="G469" s="6"/>
      <c r="H469" s="7">
        <f>IF(TimeEntry[[#This Row],[Date]]=0,H468,C469+(7-N469))</f>
        <v>43604</v>
      </c>
      <c r="I469" s="7">
        <f>TimeEntry[[#This Row],[Date]]</f>
        <v>43602</v>
      </c>
      <c r="J469" s="10" t="str">
        <f>IF(TimeEntry[[#This Row],[Date]]=0,"",TEXT(TimeEntry[[#This Row],[Date]],"ddd"))</f>
        <v>Fri</v>
      </c>
      <c r="K469" s="9" t="str">
        <f>IF(TimeEntry[[#This Row],[Project]]=0,"",INDEX(ProjectsAll[job number],MATCH(TimeEntry[[#This Row],[Project]],ProjectsAll[Project],0)))</f>
        <v>TRAINING</v>
      </c>
      <c r="L469" s="6" t="s">
        <v>261</v>
      </c>
      <c r="M469" s="6">
        <v>1</v>
      </c>
      <c r="N469" s="9">
        <f>IF(TimeEntry[[#This Row],[Date]]=0,"",WEEKDAY(C469,2))</f>
        <v>5</v>
      </c>
      <c r="O469" s="10">
        <f>YEAR(TimeEntry[[#This Row],[WkEnd]])</f>
        <v>2019</v>
      </c>
      <c r="P469" s="10">
        <f>WEEKNUM(TimeEntry[[#This Row],[WkEnd]])</f>
        <v>21</v>
      </c>
      <c r="Q469" s="10" t="str">
        <f>TimeEntry[[#This Row],[Year]]&amp;"-"&amp;TimeEntry[[#This Row],[WkNo]]</f>
        <v>2019-21</v>
      </c>
    </row>
    <row r="470" spans="1:17" ht="30" x14ac:dyDescent="0.25">
      <c r="A470" s="9" t="e">
        <f>MOD(IF(ROW()=11,0.1,IF(INDEX(TimeEntry[WkEnd],ROW()-10)            =            INDEX(TimeEntry[WkEnd],ROW()-11),               INDEX(TimeEntry[format],ROW()-11),               INDEX(TimeEntry[format],ROW()-11)    +1)),2)</f>
        <v>#VALUE!</v>
      </c>
      <c r="B470" s="14"/>
      <c r="C470" s="7">
        <v>43591</v>
      </c>
      <c r="D470" s="7"/>
      <c r="E470" s="7"/>
      <c r="F470" s="6" t="s">
        <v>12</v>
      </c>
      <c r="G470" s="6"/>
      <c r="H470" s="7">
        <f>IF(TimeEntry[[#This Row],[Date]]=0,H469,C470+(7-N470))</f>
        <v>43597</v>
      </c>
      <c r="I470" s="7">
        <f>TimeEntry[[#This Row],[Date]]</f>
        <v>43591</v>
      </c>
      <c r="J470" s="10" t="str">
        <f>IF(TimeEntry[[#This Row],[Date]]=0,"",TEXT(TimeEntry[[#This Row],[Date]],"ddd"))</f>
        <v>Mon</v>
      </c>
      <c r="K470" s="9" t="str">
        <f>IF(TimeEntry[[#This Row],[Project]]=0,"",INDEX(ProjectsAll[job number],MATCH(TimeEntry[[#This Row],[Project]],ProjectsAll[Project],0)))</f>
        <v>BANK HOLIDAY</v>
      </c>
      <c r="L470" s="6"/>
      <c r="M470" s="6">
        <v>7.5</v>
      </c>
      <c r="N470" s="9">
        <f>IF(TimeEntry[[#This Row],[Date]]=0,"",WEEKDAY(C470,2))</f>
        <v>1</v>
      </c>
      <c r="O470" s="10">
        <f>YEAR(TimeEntry[[#This Row],[WkEnd]])</f>
        <v>2019</v>
      </c>
      <c r="P470" s="10">
        <f>WEEKNUM(TimeEntry[[#This Row],[WkEnd]])</f>
        <v>20</v>
      </c>
      <c r="Q470" s="10" t="str">
        <f>TimeEntry[[#This Row],[Year]]&amp;"-"&amp;TimeEntry[[#This Row],[WkNo]]</f>
        <v>2019-20</v>
      </c>
    </row>
    <row r="471" spans="1:17" ht="30" x14ac:dyDescent="0.25">
      <c r="A471" s="9" t="e">
        <f>MOD(IF(ROW()=11,0.1,IF(INDEX(TimeEntry[WkEnd],ROW()-10)            =            INDEX(TimeEntry[WkEnd],ROW()-11),               INDEX(TimeEntry[format],ROW()-11),               INDEX(TimeEntry[format],ROW()-11)    +1)),2)</f>
        <v>#VALUE!</v>
      </c>
      <c r="B471" s="14"/>
      <c r="C471" s="7">
        <v>43592</v>
      </c>
      <c r="D471" s="7"/>
      <c r="E471" s="7"/>
      <c r="F471" s="6" t="s">
        <v>84</v>
      </c>
      <c r="G471" s="6"/>
      <c r="H471" s="7">
        <f>IF(TimeEntry[[#This Row],[Date]]=0,H470,C471+(7-N471))</f>
        <v>43597</v>
      </c>
      <c r="I471" s="7">
        <f>TimeEntry[[#This Row],[Date]]</f>
        <v>43592</v>
      </c>
      <c r="J471" s="10" t="str">
        <f>IF(TimeEntry[[#This Row],[Date]]=0,"",TEXT(TimeEntry[[#This Row],[Date]],"ddd"))</f>
        <v>Tue</v>
      </c>
      <c r="K471" s="9" t="str">
        <f>IF(TimeEntry[[#This Row],[Project]]=0,"",INDEX(ProjectsAll[job number],MATCH(TimeEntry[[#This Row],[Project]],ProjectsAll[Project],0)))</f>
        <v>265720-20</v>
      </c>
      <c r="L471" s="6" t="s">
        <v>169</v>
      </c>
      <c r="M471" s="6">
        <v>7.5</v>
      </c>
      <c r="N471" s="9">
        <f>IF(TimeEntry[[#This Row],[Date]]=0,"",WEEKDAY(C471,2))</f>
        <v>2</v>
      </c>
      <c r="O471" s="10">
        <f>YEAR(TimeEntry[[#This Row],[WkEnd]])</f>
        <v>2019</v>
      </c>
      <c r="P471" s="10">
        <f>WEEKNUM(TimeEntry[[#This Row],[WkEnd]])</f>
        <v>20</v>
      </c>
      <c r="Q471" s="10" t="str">
        <f>TimeEntry[[#This Row],[Year]]&amp;"-"&amp;TimeEntry[[#This Row],[WkNo]]</f>
        <v>2019-20</v>
      </c>
    </row>
    <row r="472" spans="1:17" ht="30" x14ac:dyDescent="0.25">
      <c r="A472" s="9" t="e">
        <f>MOD(IF(ROW()=11,0.1,IF(INDEX(TimeEntry[WkEnd],ROW()-10)            =            INDEX(TimeEntry[WkEnd],ROW()-11),               INDEX(TimeEntry[format],ROW()-11),               INDEX(TimeEntry[format],ROW()-11)    +1)),2)</f>
        <v>#VALUE!</v>
      </c>
      <c r="B472" s="14"/>
      <c r="C472" s="7">
        <v>43593</v>
      </c>
      <c r="D472" s="7"/>
      <c r="E472" s="7"/>
      <c r="F472" s="6" t="s">
        <v>84</v>
      </c>
      <c r="G472" s="6"/>
      <c r="H472" s="7">
        <f>IF(TimeEntry[[#This Row],[Date]]=0,H471,C472+(7-N472))</f>
        <v>43597</v>
      </c>
      <c r="I472" s="7">
        <f>TimeEntry[[#This Row],[Date]]</f>
        <v>43593</v>
      </c>
      <c r="J472" s="10" t="str">
        <f>IF(TimeEntry[[#This Row],[Date]]=0,"",TEXT(TimeEntry[[#This Row],[Date]],"ddd"))</f>
        <v>Wed</v>
      </c>
      <c r="K472" s="9" t="str">
        <f>IF(TimeEntry[[#This Row],[Project]]=0,"",INDEX(ProjectsAll[job number],MATCH(TimeEntry[[#This Row],[Project]],ProjectsAll[Project],0)))</f>
        <v>265720-20</v>
      </c>
      <c r="L472" s="6" t="s">
        <v>262</v>
      </c>
      <c r="M472" s="6">
        <v>7.5</v>
      </c>
      <c r="N472" s="9">
        <f>IF(TimeEntry[[#This Row],[Date]]=0,"",WEEKDAY(C472,2))</f>
        <v>3</v>
      </c>
      <c r="O472" s="10">
        <f>YEAR(TimeEntry[[#This Row],[WkEnd]])</f>
        <v>2019</v>
      </c>
      <c r="P472" s="10">
        <f>WEEKNUM(TimeEntry[[#This Row],[WkEnd]])</f>
        <v>20</v>
      </c>
      <c r="Q472" s="10" t="str">
        <f>TimeEntry[[#This Row],[Year]]&amp;"-"&amp;TimeEntry[[#This Row],[WkNo]]</f>
        <v>2019-20</v>
      </c>
    </row>
    <row r="473" spans="1:17" ht="30" x14ac:dyDescent="0.25">
      <c r="A473" s="9" t="e">
        <f>MOD(IF(ROW()=11,0.1,IF(INDEX(TimeEntry[WkEnd],ROW()-10)            =            INDEX(TimeEntry[WkEnd],ROW()-11),               INDEX(TimeEntry[format],ROW()-11),               INDEX(TimeEntry[format],ROW()-11)    +1)),2)</f>
        <v>#VALUE!</v>
      </c>
      <c r="B473" s="14"/>
      <c r="C473" s="7">
        <v>43594</v>
      </c>
      <c r="D473" s="7"/>
      <c r="E473" s="7"/>
      <c r="F473" s="6" t="s">
        <v>84</v>
      </c>
      <c r="G473" s="6"/>
      <c r="H473" s="7">
        <f>IF(TimeEntry[[#This Row],[Date]]=0,H472,C473+(7-N473))</f>
        <v>43597</v>
      </c>
      <c r="I473" s="7">
        <f>TimeEntry[[#This Row],[Date]]</f>
        <v>43594</v>
      </c>
      <c r="J473" s="10" t="str">
        <f>IF(TimeEntry[[#This Row],[Date]]=0,"",TEXT(TimeEntry[[#This Row],[Date]],"ddd"))</f>
        <v>Thu</v>
      </c>
      <c r="K473" s="9" t="str">
        <f>IF(TimeEntry[[#This Row],[Project]]=0,"",INDEX(ProjectsAll[job number],MATCH(TimeEntry[[#This Row],[Project]],ProjectsAll[Project],0)))</f>
        <v>265720-20</v>
      </c>
      <c r="L473" s="6" t="s">
        <v>262</v>
      </c>
      <c r="M473" s="6">
        <v>7.5</v>
      </c>
      <c r="N473" s="9">
        <f>IF(TimeEntry[[#This Row],[Date]]=0,"",WEEKDAY(C473,2))</f>
        <v>4</v>
      </c>
      <c r="O473" s="10">
        <f>YEAR(TimeEntry[[#This Row],[WkEnd]])</f>
        <v>2019</v>
      </c>
      <c r="P473" s="10">
        <f>WEEKNUM(TimeEntry[[#This Row],[WkEnd]])</f>
        <v>20</v>
      </c>
      <c r="Q473" s="10" t="str">
        <f>TimeEntry[[#This Row],[Year]]&amp;"-"&amp;TimeEntry[[#This Row],[WkNo]]</f>
        <v>2019-20</v>
      </c>
    </row>
    <row r="474" spans="1:17" ht="30" x14ac:dyDescent="0.25">
      <c r="A474" s="9" t="e">
        <f>MOD(IF(ROW()=11,0.1,IF(INDEX(TimeEntry[WkEnd],ROW()-10)            =            INDEX(TimeEntry[WkEnd],ROW()-11),               INDEX(TimeEntry[format],ROW()-11),               INDEX(TimeEntry[format],ROW()-11)    +1)),2)</f>
        <v>#VALUE!</v>
      </c>
      <c r="B474" s="14"/>
      <c r="C474" s="7">
        <v>43595</v>
      </c>
      <c r="D474" s="7"/>
      <c r="E474" s="7"/>
      <c r="F474" s="6" t="s">
        <v>70</v>
      </c>
      <c r="G474" s="6"/>
      <c r="H474" s="7">
        <f>IF(TimeEntry[[#This Row],[Date]]=0,H473,C474+(7-N474))</f>
        <v>43597</v>
      </c>
      <c r="I474" s="7">
        <f>TimeEntry[[#This Row],[Date]]</f>
        <v>43595</v>
      </c>
      <c r="J474" s="10" t="str">
        <f>IF(TimeEntry[[#This Row],[Date]]=0,"",TEXT(TimeEntry[[#This Row],[Date]],"ddd"))</f>
        <v>Fri</v>
      </c>
      <c r="K474" s="9" t="str">
        <f>IF(TimeEntry[[#This Row],[Project]]=0,"",INDEX(ProjectsAll[job number],MATCH(TimeEntry[[#This Row],[Project]],ProjectsAll[Project],0)))</f>
        <v>255375-00</v>
      </c>
      <c r="L474" s="6" t="s">
        <v>263</v>
      </c>
      <c r="M474" s="6">
        <v>7.5</v>
      </c>
      <c r="N474" s="9">
        <f>IF(TimeEntry[[#This Row],[Date]]=0,"",WEEKDAY(C474,2))</f>
        <v>5</v>
      </c>
      <c r="O474" s="10">
        <f>YEAR(TimeEntry[[#This Row],[WkEnd]])</f>
        <v>2019</v>
      </c>
      <c r="P474" s="10">
        <f>WEEKNUM(TimeEntry[[#This Row],[WkEnd]])</f>
        <v>20</v>
      </c>
      <c r="Q474" s="10" t="str">
        <f>TimeEntry[[#This Row],[Year]]&amp;"-"&amp;TimeEntry[[#This Row],[WkNo]]</f>
        <v>2019-20</v>
      </c>
    </row>
    <row r="475" spans="1:17" ht="30" x14ac:dyDescent="0.25">
      <c r="A475" s="9" t="e">
        <f>MOD(IF(ROW()=11,0.1,IF(INDEX(TimeEntry[WkEnd],ROW()-10)            =            INDEX(TimeEntry[WkEnd],ROW()-11),               INDEX(TimeEntry[format],ROW()-11),               INDEX(TimeEntry[format],ROW()-11)    +1)),2)</f>
        <v>#VALUE!</v>
      </c>
      <c r="B475" s="14"/>
      <c r="C475" s="7">
        <v>43584</v>
      </c>
      <c r="D475" s="7"/>
      <c r="E475" s="7"/>
      <c r="F475" s="6" t="s">
        <v>86</v>
      </c>
      <c r="G475" s="6"/>
      <c r="H475" s="7">
        <f>IF(TimeEntry[[#This Row],[Date]]=0,H474,C475+(7-N475))</f>
        <v>43590</v>
      </c>
      <c r="I475" s="7">
        <f>TimeEntry[[#This Row],[Date]]</f>
        <v>43584</v>
      </c>
      <c r="J475" s="10" t="str">
        <f>IF(TimeEntry[[#This Row],[Date]]=0,"",TEXT(TimeEntry[[#This Row],[Date]],"ddd"))</f>
        <v>Mon</v>
      </c>
      <c r="K475" s="9" t="str">
        <f>IF(TimeEntry[[#This Row],[Project]]=0,"",INDEX(ProjectsAll[job number],MATCH(TimeEntry[[#This Row],[Project]],ProjectsAll[Project],0)))</f>
        <v>265720-10</v>
      </c>
      <c r="L475" s="6" t="s">
        <v>264</v>
      </c>
      <c r="M475" s="6">
        <v>7.5</v>
      </c>
      <c r="N475" s="9">
        <f>IF(TimeEntry[[#This Row],[Date]]=0,"",WEEKDAY(C475,2))</f>
        <v>1</v>
      </c>
      <c r="O475" s="10">
        <f>YEAR(TimeEntry[[#This Row],[WkEnd]])</f>
        <v>2019</v>
      </c>
      <c r="P475" s="10">
        <f>WEEKNUM(TimeEntry[[#This Row],[WkEnd]])</f>
        <v>19</v>
      </c>
      <c r="Q475" s="10" t="str">
        <f>TimeEntry[[#This Row],[Year]]&amp;"-"&amp;TimeEntry[[#This Row],[WkNo]]</f>
        <v>2019-19</v>
      </c>
    </row>
    <row r="476" spans="1:17" ht="30" x14ac:dyDescent="0.25">
      <c r="A476" s="9" t="e">
        <f>MOD(IF(ROW()=11,0.1,IF(INDEX(TimeEntry[WkEnd],ROW()-10)            =            INDEX(TimeEntry[WkEnd],ROW()-11),               INDEX(TimeEntry[format],ROW()-11),               INDEX(TimeEntry[format],ROW()-11)    +1)),2)</f>
        <v>#VALUE!</v>
      </c>
      <c r="B476" s="14"/>
      <c r="C476" s="7">
        <v>43585</v>
      </c>
      <c r="D476" s="7"/>
      <c r="E476" s="7"/>
      <c r="F476" s="6" t="s">
        <v>86</v>
      </c>
      <c r="G476" s="6"/>
      <c r="H476" s="7">
        <f>IF(TimeEntry[[#This Row],[Date]]=0,H475,C476+(7-N476))</f>
        <v>43590</v>
      </c>
      <c r="I476" s="7">
        <f>TimeEntry[[#This Row],[Date]]</f>
        <v>43585</v>
      </c>
      <c r="J476" s="10" t="str">
        <f>IF(TimeEntry[[#This Row],[Date]]=0,"",TEXT(TimeEntry[[#This Row],[Date]],"ddd"))</f>
        <v>Tue</v>
      </c>
      <c r="K476" s="9" t="str">
        <f>IF(TimeEntry[[#This Row],[Project]]=0,"",INDEX(ProjectsAll[job number],MATCH(TimeEntry[[#This Row],[Project]],ProjectsAll[Project],0)))</f>
        <v>265720-10</v>
      </c>
      <c r="L476" s="6" t="s">
        <v>264</v>
      </c>
      <c r="M476" s="6">
        <v>7.5</v>
      </c>
      <c r="N476" s="9">
        <f>IF(TimeEntry[[#This Row],[Date]]=0,"",WEEKDAY(C476,2))</f>
        <v>2</v>
      </c>
      <c r="O476" s="10">
        <f>YEAR(TimeEntry[[#This Row],[WkEnd]])</f>
        <v>2019</v>
      </c>
      <c r="P476" s="10">
        <f>WEEKNUM(TimeEntry[[#This Row],[WkEnd]])</f>
        <v>19</v>
      </c>
      <c r="Q476" s="10" t="str">
        <f>TimeEntry[[#This Row],[Year]]&amp;"-"&amp;TimeEntry[[#This Row],[WkNo]]</f>
        <v>2019-19</v>
      </c>
    </row>
    <row r="477" spans="1:17" ht="30" x14ac:dyDescent="0.25">
      <c r="A477" s="9" t="e">
        <f>MOD(IF(ROW()=11,0.1,IF(INDEX(TimeEntry[WkEnd],ROW()-10)            =            INDEX(TimeEntry[WkEnd],ROW()-11),               INDEX(TimeEntry[format],ROW()-11),               INDEX(TimeEntry[format],ROW()-11)    +1)),2)</f>
        <v>#VALUE!</v>
      </c>
      <c r="B477" s="14"/>
      <c r="C477" s="7">
        <v>43586</v>
      </c>
      <c r="D477" s="7"/>
      <c r="E477" s="7"/>
      <c r="F477" s="6" t="s">
        <v>86</v>
      </c>
      <c r="G477" s="6"/>
      <c r="H477" s="7">
        <f>IF(TimeEntry[[#This Row],[Date]]=0,H476,C477+(7-N477))</f>
        <v>43590</v>
      </c>
      <c r="I477" s="7">
        <f>TimeEntry[[#This Row],[Date]]</f>
        <v>43586</v>
      </c>
      <c r="J477" s="10" t="str">
        <f>IF(TimeEntry[[#This Row],[Date]]=0,"",TEXT(TimeEntry[[#This Row],[Date]],"ddd"))</f>
        <v>Wed</v>
      </c>
      <c r="K477" s="9" t="str">
        <f>IF(TimeEntry[[#This Row],[Project]]=0,"",INDEX(ProjectsAll[job number],MATCH(TimeEntry[[#This Row],[Project]],ProjectsAll[Project],0)))</f>
        <v>265720-10</v>
      </c>
      <c r="L477" s="6" t="s">
        <v>265</v>
      </c>
      <c r="M477" s="6">
        <v>7.5</v>
      </c>
      <c r="N477" s="9">
        <f>IF(TimeEntry[[#This Row],[Date]]=0,"",WEEKDAY(C477,2))</f>
        <v>3</v>
      </c>
      <c r="O477" s="10">
        <f>YEAR(TimeEntry[[#This Row],[WkEnd]])</f>
        <v>2019</v>
      </c>
      <c r="P477" s="10">
        <f>WEEKNUM(TimeEntry[[#This Row],[WkEnd]])</f>
        <v>19</v>
      </c>
      <c r="Q477" s="10" t="str">
        <f>TimeEntry[[#This Row],[Year]]&amp;"-"&amp;TimeEntry[[#This Row],[WkNo]]</f>
        <v>2019-19</v>
      </c>
    </row>
    <row r="478" spans="1:17" ht="30" x14ac:dyDescent="0.25">
      <c r="A478" s="9" t="e">
        <f>MOD(IF(ROW()=11,0.1,IF(INDEX(TimeEntry[WkEnd],ROW()-10)            =            INDEX(TimeEntry[WkEnd],ROW()-11),               INDEX(TimeEntry[format],ROW()-11),               INDEX(TimeEntry[format],ROW()-11)    +1)),2)</f>
        <v>#VALUE!</v>
      </c>
      <c r="B478" s="14"/>
      <c r="C478" s="7">
        <v>43587</v>
      </c>
      <c r="D478" s="7"/>
      <c r="E478" s="7"/>
      <c r="F478" s="6" t="s">
        <v>84</v>
      </c>
      <c r="G478" s="6"/>
      <c r="H478" s="7">
        <f>IF(TimeEntry[[#This Row],[Date]]=0,H477,C478+(7-N478))</f>
        <v>43590</v>
      </c>
      <c r="I478" s="7">
        <f>TimeEntry[[#This Row],[Date]]</f>
        <v>43587</v>
      </c>
      <c r="J478" s="10" t="str">
        <f>IF(TimeEntry[[#This Row],[Date]]=0,"",TEXT(TimeEntry[[#This Row],[Date]],"ddd"))</f>
        <v>Thu</v>
      </c>
      <c r="K478" s="9" t="str">
        <f>IF(TimeEntry[[#This Row],[Project]]=0,"",INDEX(ProjectsAll[job number],MATCH(TimeEntry[[#This Row],[Project]],ProjectsAll[Project],0)))</f>
        <v>265720-20</v>
      </c>
      <c r="L478" s="6" t="s">
        <v>169</v>
      </c>
      <c r="M478" s="6">
        <v>3.75</v>
      </c>
      <c r="N478" s="9">
        <f>IF(TimeEntry[[#This Row],[Date]]=0,"",WEEKDAY(C478,2))</f>
        <v>4</v>
      </c>
      <c r="O478" s="10">
        <f>YEAR(TimeEntry[[#This Row],[WkEnd]])</f>
        <v>2019</v>
      </c>
      <c r="P478" s="10">
        <f>WEEKNUM(TimeEntry[[#This Row],[WkEnd]])</f>
        <v>19</v>
      </c>
      <c r="Q478" s="10" t="str">
        <f>TimeEntry[[#This Row],[Year]]&amp;"-"&amp;TimeEntry[[#This Row],[WkNo]]</f>
        <v>2019-19</v>
      </c>
    </row>
    <row r="479" spans="1:17" ht="30" x14ac:dyDescent="0.25">
      <c r="A479" s="9" t="e">
        <f>MOD(IF(ROW()=11,0.1,IF(INDEX(TimeEntry[WkEnd],ROW()-10)            =            INDEX(TimeEntry[WkEnd],ROW()-11),               INDEX(TimeEntry[format],ROW()-11),               INDEX(TimeEntry[format],ROW()-11)    +1)),2)</f>
        <v>#VALUE!</v>
      </c>
      <c r="B479" s="14"/>
      <c r="C479" s="7">
        <v>43587</v>
      </c>
      <c r="D479" s="7"/>
      <c r="E479" s="7"/>
      <c r="F479" s="6" t="s">
        <v>86</v>
      </c>
      <c r="G479" s="6"/>
      <c r="H479" s="7">
        <f>IF(TimeEntry[[#This Row],[Date]]=0,H478,C479+(7-N479))</f>
        <v>43590</v>
      </c>
      <c r="I479" s="7">
        <f>TimeEntry[[#This Row],[Date]]</f>
        <v>43587</v>
      </c>
      <c r="J479" s="10" t="str">
        <f>IF(TimeEntry[[#This Row],[Date]]=0,"",TEXT(TimeEntry[[#This Row],[Date]],"ddd"))</f>
        <v>Thu</v>
      </c>
      <c r="K479" s="9" t="str">
        <f>IF(TimeEntry[[#This Row],[Project]]=0,"",INDEX(ProjectsAll[job number],MATCH(TimeEntry[[#This Row],[Project]],ProjectsAll[Project],0)))</f>
        <v>265720-10</v>
      </c>
      <c r="L479" s="6" t="s">
        <v>266</v>
      </c>
      <c r="M479" s="6">
        <v>3.75</v>
      </c>
      <c r="N479" s="9">
        <f>IF(TimeEntry[[#This Row],[Date]]=0,"",WEEKDAY(C479,2))</f>
        <v>4</v>
      </c>
      <c r="O479" s="10">
        <f>YEAR(TimeEntry[[#This Row],[WkEnd]])</f>
        <v>2019</v>
      </c>
      <c r="P479" s="10">
        <f>WEEKNUM(TimeEntry[[#This Row],[WkEnd]])</f>
        <v>19</v>
      </c>
      <c r="Q479" s="10" t="str">
        <f>TimeEntry[[#This Row],[Year]]&amp;"-"&amp;TimeEntry[[#This Row],[WkNo]]</f>
        <v>2019-19</v>
      </c>
    </row>
    <row r="480" spans="1:17" x14ac:dyDescent="0.25">
      <c r="A480" s="9" t="e">
        <f>MOD(IF(ROW()=11,0.1,IF(INDEX(TimeEntry[WkEnd],ROW()-10)            =            INDEX(TimeEntry[WkEnd],ROW()-11),               INDEX(TimeEntry[format],ROW()-11),               INDEX(TimeEntry[format],ROW()-11)    +1)),2)</f>
        <v>#VALUE!</v>
      </c>
      <c r="B480" s="14"/>
      <c r="C480" s="7">
        <v>43588</v>
      </c>
      <c r="D480" s="7"/>
      <c r="E480" s="7"/>
      <c r="F480" s="6" t="s">
        <v>68</v>
      </c>
      <c r="G480" s="6"/>
      <c r="H480" s="7">
        <f>IF(TimeEntry[[#This Row],[Date]]=0,H479,C480+(7-N480))</f>
        <v>43590</v>
      </c>
      <c r="I480" s="7">
        <f>TimeEntry[[#This Row],[Date]]</f>
        <v>43588</v>
      </c>
      <c r="J480" s="10" t="str">
        <f>IF(TimeEntry[[#This Row],[Date]]=0,"",TEXT(TimeEntry[[#This Row],[Date]],"ddd"))</f>
        <v>Fri</v>
      </c>
      <c r="K480" s="9" t="str">
        <f>IF(TimeEntry[[#This Row],[Project]]=0,"",INDEX(ProjectsAll[job number],MATCH(TimeEntry[[#This Row],[Project]],ProjectsAll[Project],0)))</f>
        <v>LEAVE</v>
      </c>
      <c r="L480" s="6"/>
      <c r="M480" s="6">
        <v>3.75</v>
      </c>
      <c r="N480" s="9">
        <f>IF(TimeEntry[[#This Row],[Date]]=0,"",WEEKDAY(C480,2))</f>
        <v>5</v>
      </c>
      <c r="O480" s="10">
        <f>YEAR(TimeEntry[[#This Row],[WkEnd]])</f>
        <v>2019</v>
      </c>
      <c r="P480" s="10">
        <f>WEEKNUM(TimeEntry[[#This Row],[WkEnd]])</f>
        <v>19</v>
      </c>
      <c r="Q480" s="10" t="str">
        <f>TimeEntry[[#This Row],[Year]]&amp;"-"&amp;TimeEntry[[#This Row],[WkNo]]</f>
        <v>2019-19</v>
      </c>
    </row>
    <row r="481" spans="1:17" ht="30" x14ac:dyDescent="0.25">
      <c r="A481" s="9" t="e">
        <f>MOD(IF(ROW()=11,0.1,IF(INDEX(TimeEntry[WkEnd],ROW()-10)            =            INDEX(TimeEntry[WkEnd],ROW()-11),               INDEX(TimeEntry[format],ROW()-11),               INDEX(TimeEntry[format],ROW()-11)    +1)),2)</f>
        <v>#VALUE!</v>
      </c>
      <c r="B481" s="14"/>
      <c r="C481" s="7">
        <v>43588</v>
      </c>
      <c r="D481" s="7"/>
      <c r="E481" s="7"/>
      <c r="F481" s="6" t="s">
        <v>86</v>
      </c>
      <c r="G481" s="6"/>
      <c r="H481" s="7">
        <f>IF(TimeEntry[[#This Row],[Date]]=0,H480,C481+(7-N481))</f>
        <v>43590</v>
      </c>
      <c r="I481" s="7">
        <f>TimeEntry[[#This Row],[Date]]</f>
        <v>43588</v>
      </c>
      <c r="J481" s="10" t="str">
        <f>IF(TimeEntry[[#This Row],[Date]]=0,"",TEXT(TimeEntry[[#This Row],[Date]],"ddd"))</f>
        <v>Fri</v>
      </c>
      <c r="K481" s="9" t="str">
        <f>IF(TimeEntry[[#This Row],[Project]]=0,"",INDEX(ProjectsAll[job number],MATCH(TimeEntry[[#This Row],[Project]],ProjectsAll[Project],0)))</f>
        <v>265720-10</v>
      </c>
      <c r="L481" s="6" t="s">
        <v>266</v>
      </c>
      <c r="M481" s="6">
        <v>3.75</v>
      </c>
      <c r="N481" s="9">
        <f>IF(TimeEntry[[#This Row],[Date]]=0,"",WEEKDAY(C481,2))</f>
        <v>5</v>
      </c>
      <c r="O481" s="10">
        <f>YEAR(TimeEntry[[#This Row],[WkEnd]])</f>
        <v>2019</v>
      </c>
      <c r="P481" s="10">
        <f>WEEKNUM(TimeEntry[[#This Row],[WkEnd]])</f>
        <v>19</v>
      </c>
      <c r="Q481" s="10" t="str">
        <f>TimeEntry[[#This Row],[Year]]&amp;"-"&amp;TimeEntry[[#This Row],[WkNo]]</f>
        <v>2019-19</v>
      </c>
    </row>
    <row r="482" spans="1:17" ht="30" x14ac:dyDescent="0.25">
      <c r="A482" s="9" t="e">
        <f>MOD(IF(ROW()=11,0.1,IF(INDEX(TimeEntry[WkEnd],ROW()-10)            =            INDEX(TimeEntry[WkEnd],ROW()-11),               INDEX(TimeEntry[format],ROW()-11),               INDEX(TimeEntry[format],ROW()-11)    +1)),2)</f>
        <v>#VALUE!</v>
      </c>
      <c r="B482" s="14"/>
      <c r="C482" s="7">
        <v>43577</v>
      </c>
      <c r="D482" s="7"/>
      <c r="E482" s="7"/>
      <c r="F482" s="6" t="s">
        <v>12</v>
      </c>
      <c r="G482" s="6"/>
      <c r="H482" s="7">
        <f>IF(TimeEntry[[#This Row],[Date]]=0,H481,C482+(7-N482))</f>
        <v>43583</v>
      </c>
      <c r="I482" s="7">
        <f>TimeEntry[[#This Row],[Date]]</f>
        <v>43577</v>
      </c>
      <c r="J482" s="10" t="str">
        <f>IF(TimeEntry[[#This Row],[Date]]=0,"",TEXT(TimeEntry[[#This Row],[Date]],"ddd"))</f>
        <v>Mon</v>
      </c>
      <c r="K482" s="9" t="str">
        <f>IF(TimeEntry[[#This Row],[Project]]=0,"",INDEX(ProjectsAll[job number],MATCH(TimeEntry[[#This Row],[Project]],ProjectsAll[Project],0)))</f>
        <v>BANK HOLIDAY</v>
      </c>
      <c r="L482" s="6"/>
      <c r="M482" s="6">
        <v>7.5</v>
      </c>
      <c r="N482" s="9">
        <f>IF(TimeEntry[[#This Row],[Date]]=0,"",WEEKDAY(C482,2))</f>
        <v>1</v>
      </c>
      <c r="O482" s="10">
        <f>YEAR(TimeEntry[[#This Row],[WkEnd]])</f>
        <v>2019</v>
      </c>
      <c r="P482" s="10">
        <f>WEEKNUM(TimeEntry[[#This Row],[WkEnd]])</f>
        <v>18</v>
      </c>
      <c r="Q482" s="10" t="str">
        <f>TimeEntry[[#This Row],[Year]]&amp;"-"&amp;TimeEntry[[#This Row],[WkNo]]</f>
        <v>2019-18</v>
      </c>
    </row>
    <row r="483" spans="1:17" ht="30" x14ac:dyDescent="0.25">
      <c r="A483" s="9" t="e">
        <f>MOD(IF(ROW()=11,0.1,IF(INDEX(TimeEntry[WkEnd],ROW()-10)            =            INDEX(TimeEntry[WkEnd],ROW()-11),               INDEX(TimeEntry[format],ROW()-11),               INDEX(TimeEntry[format],ROW()-11)    +1)),2)</f>
        <v>#VALUE!</v>
      </c>
      <c r="B483" s="14"/>
      <c r="C483" s="7">
        <v>43578</v>
      </c>
      <c r="D483" s="7"/>
      <c r="E483" s="7"/>
      <c r="F483" s="6" t="s">
        <v>86</v>
      </c>
      <c r="G483" s="6"/>
      <c r="H483" s="7">
        <f>IF(TimeEntry[[#This Row],[Date]]=0,H482,C483+(7-N483))</f>
        <v>43583</v>
      </c>
      <c r="I483" s="7">
        <f>TimeEntry[[#This Row],[Date]]</f>
        <v>43578</v>
      </c>
      <c r="J483" s="10" t="str">
        <f>IF(TimeEntry[[#This Row],[Date]]=0,"",TEXT(TimeEntry[[#This Row],[Date]],"ddd"))</f>
        <v>Tue</v>
      </c>
      <c r="K483" s="9" t="str">
        <f>IF(TimeEntry[[#This Row],[Project]]=0,"",INDEX(ProjectsAll[job number],MATCH(TimeEntry[[#This Row],[Project]],ProjectsAll[Project],0)))</f>
        <v>265720-10</v>
      </c>
      <c r="L483" s="6" t="s">
        <v>267</v>
      </c>
      <c r="M483" s="6">
        <v>7.5</v>
      </c>
      <c r="N483" s="9">
        <f>IF(TimeEntry[[#This Row],[Date]]=0,"",WEEKDAY(C483,2))</f>
        <v>2</v>
      </c>
      <c r="O483" s="10">
        <f>YEAR(TimeEntry[[#This Row],[WkEnd]])</f>
        <v>2019</v>
      </c>
      <c r="P483" s="10">
        <f>WEEKNUM(TimeEntry[[#This Row],[WkEnd]])</f>
        <v>18</v>
      </c>
      <c r="Q483" s="10" t="str">
        <f>TimeEntry[[#This Row],[Year]]&amp;"-"&amp;TimeEntry[[#This Row],[WkNo]]</f>
        <v>2019-18</v>
      </c>
    </row>
    <row r="484" spans="1:17" ht="30" x14ac:dyDescent="0.25">
      <c r="A484" s="9" t="e">
        <f>MOD(IF(ROW()=11,0.1,IF(INDEX(TimeEntry[WkEnd],ROW()-10)            =            INDEX(TimeEntry[WkEnd],ROW()-11),               INDEX(TimeEntry[format],ROW()-11),               INDEX(TimeEntry[format],ROW()-11)    +1)),2)</f>
        <v>#VALUE!</v>
      </c>
      <c r="B484" s="14"/>
      <c r="C484" s="7">
        <v>43579</v>
      </c>
      <c r="D484" s="7"/>
      <c r="E484" s="7"/>
      <c r="F484" s="6" t="s">
        <v>86</v>
      </c>
      <c r="G484" s="6"/>
      <c r="H484" s="7">
        <f>IF(TimeEntry[[#This Row],[Date]]=0,H483,C484+(7-N484))</f>
        <v>43583</v>
      </c>
      <c r="I484" s="7">
        <f>TimeEntry[[#This Row],[Date]]</f>
        <v>43579</v>
      </c>
      <c r="J484" s="10" t="str">
        <f>IF(TimeEntry[[#This Row],[Date]]=0,"",TEXT(TimeEntry[[#This Row],[Date]],"ddd"))</f>
        <v>Wed</v>
      </c>
      <c r="K484" s="9" t="str">
        <f>IF(TimeEntry[[#This Row],[Project]]=0,"",INDEX(ProjectsAll[job number],MATCH(TimeEntry[[#This Row],[Project]],ProjectsAll[Project],0)))</f>
        <v>265720-10</v>
      </c>
      <c r="L484" s="6" t="s">
        <v>236</v>
      </c>
      <c r="M484" s="6">
        <v>7.5</v>
      </c>
      <c r="N484" s="9">
        <f>IF(TimeEntry[[#This Row],[Date]]=0,"",WEEKDAY(C484,2))</f>
        <v>3</v>
      </c>
      <c r="O484" s="10">
        <f>YEAR(TimeEntry[[#This Row],[WkEnd]])</f>
        <v>2019</v>
      </c>
      <c r="P484" s="10">
        <f>WEEKNUM(TimeEntry[[#This Row],[WkEnd]])</f>
        <v>18</v>
      </c>
      <c r="Q484" s="10" t="str">
        <f>TimeEntry[[#This Row],[Year]]&amp;"-"&amp;TimeEntry[[#This Row],[WkNo]]</f>
        <v>2019-18</v>
      </c>
    </row>
    <row r="485" spans="1:17" ht="30" x14ac:dyDescent="0.25">
      <c r="A485" s="9" t="e">
        <f>MOD(IF(ROW()=11,0.1,IF(INDEX(TimeEntry[WkEnd],ROW()-10)            =            INDEX(TimeEntry[WkEnd],ROW()-11),               INDEX(TimeEntry[format],ROW()-11),               INDEX(TimeEntry[format],ROW()-11)    +1)),2)</f>
        <v>#VALUE!</v>
      </c>
      <c r="B485" s="14"/>
      <c r="C485" s="7">
        <v>43580</v>
      </c>
      <c r="D485" s="7"/>
      <c r="E485" s="7"/>
      <c r="F485" s="6" t="s">
        <v>86</v>
      </c>
      <c r="G485" s="6"/>
      <c r="H485" s="7">
        <f>IF(TimeEntry[[#This Row],[Date]]=0,H484,C485+(7-N485))</f>
        <v>43583</v>
      </c>
      <c r="I485" s="7">
        <f>TimeEntry[[#This Row],[Date]]</f>
        <v>43580</v>
      </c>
      <c r="J485" s="10" t="str">
        <f>IF(TimeEntry[[#This Row],[Date]]=0,"",TEXT(TimeEntry[[#This Row],[Date]],"ddd"))</f>
        <v>Thu</v>
      </c>
      <c r="K485" s="9" t="str">
        <f>IF(TimeEntry[[#This Row],[Project]]=0,"",INDEX(ProjectsAll[job number],MATCH(TimeEntry[[#This Row],[Project]],ProjectsAll[Project],0)))</f>
        <v>265720-10</v>
      </c>
      <c r="L485" s="6" t="s">
        <v>267</v>
      </c>
      <c r="M485" s="6">
        <v>3.75</v>
      </c>
      <c r="N485" s="9">
        <f>IF(TimeEntry[[#This Row],[Date]]=0,"",WEEKDAY(C485,2))</f>
        <v>4</v>
      </c>
      <c r="O485" s="10">
        <f>YEAR(TimeEntry[[#This Row],[WkEnd]])</f>
        <v>2019</v>
      </c>
      <c r="P485" s="10">
        <f>WEEKNUM(TimeEntry[[#This Row],[WkEnd]])</f>
        <v>18</v>
      </c>
      <c r="Q485" s="10" t="str">
        <f>TimeEntry[[#This Row],[Year]]&amp;"-"&amp;TimeEntry[[#This Row],[WkNo]]</f>
        <v>2019-18</v>
      </c>
    </row>
    <row r="486" spans="1:17" ht="30" x14ac:dyDescent="0.25">
      <c r="A486" s="9" t="e">
        <f>MOD(IF(ROW()=11,0.1,IF(INDEX(TimeEntry[WkEnd],ROW()-10)            =            INDEX(TimeEntry[WkEnd],ROW()-11),               INDEX(TimeEntry[format],ROW()-11),               INDEX(TimeEntry[format],ROW()-11)    +1)),2)</f>
        <v>#VALUE!</v>
      </c>
      <c r="B486" s="14"/>
      <c r="C486" s="7">
        <v>43580</v>
      </c>
      <c r="D486" s="7"/>
      <c r="E486" s="7"/>
      <c r="F486" s="6" t="s">
        <v>84</v>
      </c>
      <c r="G486" s="6"/>
      <c r="H486" s="7">
        <f>IF(TimeEntry[[#This Row],[Date]]=0,H485,C486+(7-N486))</f>
        <v>43583</v>
      </c>
      <c r="I486" s="7">
        <f>TimeEntry[[#This Row],[Date]]</f>
        <v>43580</v>
      </c>
      <c r="J486" s="10" t="str">
        <f>IF(TimeEntry[[#This Row],[Date]]=0,"",TEXT(TimeEntry[[#This Row],[Date]],"ddd"))</f>
        <v>Thu</v>
      </c>
      <c r="K486" s="9" t="str">
        <f>IF(TimeEntry[[#This Row],[Project]]=0,"",INDEX(ProjectsAll[job number],MATCH(TimeEntry[[#This Row],[Project]],ProjectsAll[Project],0)))</f>
        <v>265720-20</v>
      </c>
      <c r="L486" s="6" t="s">
        <v>268</v>
      </c>
      <c r="M486" s="6">
        <v>3.75</v>
      </c>
      <c r="N486" s="9">
        <f>IF(TimeEntry[[#This Row],[Date]]=0,"",WEEKDAY(C486,2))</f>
        <v>4</v>
      </c>
      <c r="O486" s="10">
        <f>YEAR(TimeEntry[[#This Row],[WkEnd]])</f>
        <v>2019</v>
      </c>
      <c r="P486" s="10">
        <f>WEEKNUM(TimeEntry[[#This Row],[WkEnd]])</f>
        <v>18</v>
      </c>
      <c r="Q486" s="10" t="str">
        <f>TimeEntry[[#This Row],[Year]]&amp;"-"&amp;TimeEntry[[#This Row],[WkNo]]</f>
        <v>2019-18</v>
      </c>
    </row>
    <row r="487" spans="1:17" ht="30" x14ac:dyDescent="0.25">
      <c r="A487" s="9" t="e">
        <f>MOD(IF(ROW()=11,0.1,IF(INDEX(TimeEntry[WkEnd],ROW()-10)            =            INDEX(TimeEntry[WkEnd],ROW()-11),               INDEX(TimeEntry[format],ROW()-11),               INDEX(TimeEntry[format],ROW()-11)    +1)),2)</f>
        <v>#VALUE!</v>
      </c>
      <c r="B487" s="14"/>
      <c r="C487" s="7">
        <v>43581</v>
      </c>
      <c r="D487" s="7"/>
      <c r="E487" s="7"/>
      <c r="F487" s="6" t="s">
        <v>84</v>
      </c>
      <c r="G487" s="6"/>
      <c r="H487" s="7">
        <f>IF(TimeEntry[[#This Row],[Date]]=0,H486,C487+(7-N487))</f>
        <v>43583</v>
      </c>
      <c r="I487" s="7">
        <f>TimeEntry[[#This Row],[Date]]</f>
        <v>43581</v>
      </c>
      <c r="J487" s="10" t="str">
        <f>IF(TimeEntry[[#This Row],[Date]]=0,"",TEXT(TimeEntry[[#This Row],[Date]],"ddd"))</f>
        <v>Fri</v>
      </c>
      <c r="K487" s="9" t="str">
        <f>IF(TimeEntry[[#This Row],[Project]]=0,"",INDEX(ProjectsAll[job number],MATCH(TimeEntry[[#This Row],[Project]],ProjectsAll[Project],0)))</f>
        <v>265720-20</v>
      </c>
      <c r="L487" s="6" t="s">
        <v>269</v>
      </c>
      <c r="M487" s="6">
        <v>3.75</v>
      </c>
      <c r="N487" s="9">
        <f>IF(TimeEntry[[#This Row],[Date]]=0,"",WEEKDAY(C487,2))</f>
        <v>5</v>
      </c>
      <c r="O487" s="10">
        <f>YEAR(TimeEntry[[#This Row],[WkEnd]])</f>
        <v>2019</v>
      </c>
      <c r="P487" s="10">
        <f>WEEKNUM(TimeEntry[[#This Row],[WkEnd]])</f>
        <v>18</v>
      </c>
      <c r="Q487" s="10" t="str">
        <f>TimeEntry[[#This Row],[Year]]&amp;"-"&amp;TimeEntry[[#This Row],[WkNo]]</f>
        <v>2019-18</v>
      </c>
    </row>
    <row r="488" spans="1:17" ht="30" x14ac:dyDescent="0.25">
      <c r="A488" s="9" t="e">
        <f>MOD(IF(ROW()=11,0.1,IF(INDEX(TimeEntry[WkEnd],ROW()-10)            =            INDEX(TimeEntry[WkEnd],ROW()-11),               INDEX(TimeEntry[format],ROW()-11),               INDEX(TimeEntry[format],ROW()-11)    +1)),2)</f>
        <v>#VALUE!</v>
      </c>
      <c r="B488" s="14"/>
      <c r="C488" s="7">
        <v>43581</v>
      </c>
      <c r="D488" s="7"/>
      <c r="E488" s="7"/>
      <c r="F488" s="6" t="s">
        <v>84</v>
      </c>
      <c r="G488" s="6"/>
      <c r="H488" s="7">
        <f>IF(TimeEntry[[#This Row],[Date]]=0,H487,C488+(7-N488))</f>
        <v>43583</v>
      </c>
      <c r="I488" s="7">
        <f>TimeEntry[[#This Row],[Date]]</f>
        <v>43581</v>
      </c>
      <c r="J488" s="10" t="str">
        <f>IF(TimeEntry[[#This Row],[Date]]=0,"",TEXT(TimeEntry[[#This Row],[Date]],"ddd"))</f>
        <v>Fri</v>
      </c>
      <c r="K488" s="9" t="str">
        <f>IF(TimeEntry[[#This Row],[Project]]=0,"",INDEX(ProjectsAll[job number],MATCH(TimeEntry[[#This Row],[Project]],ProjectsAll[Project],0)))</f>
        <v>265720-20</v>
      </c>
      <c r="L488" s="6" t="s">
        <v>268</v>
      </c>
      <c r="M488" s="6">
        <v>3.75</v>
      </c>
      <c r="N488" s="9">
        <f>IF(TimeEntry[[#This Row],[Date]]=0,"",WEEKDAY(C488,2))</f>
        <v>5</v>
      </c>
      <c r="O488" s="10">
        <f>YEAR(TimeEntry[[#This Row],[WkEnd]])</f>
        <v>2019</v>
      </c>
      <c r="P488" s="10">
        <f>WEEKNUM(TimeEntry[[#This Row],[WkEnd]])</f>
        <v>18</v>
      </c>
      <c r="Q488" s="10" t="str">
        <f>TimeEntry[[#This Row],[Year]]&amp;"-"&amp;TimeEntry[[#This Row],[WkNo]]</f>
        <v>2019-18</v>
      </c>
    </row>
    <row r="489" spans="1:17" x14ac:dyDescent="0.25">
      <c r="A489" s="9" t="e">
        <f>MOD(IF(ROW()=11,0.1,IF(INDEX(TimeEntry[WkEnd],ROW()-10)            =            INDEX(TimeEntry[WkEnd],ROW()-11),               INDEX(TimeEntry[format],ROW()-11),               INDEX(TimeEntry[format],ROW()-11)    +1)),2)</f>
        <v>#VALUE!</v>
      </c>
      <c r="B489" s="14"/>
      <c r="C489" s="7"/>
      <c r="D489" s="7"/>
      <c r="E489" s="7"/>
      <c r="F489" s="6"/>
      <c r="G489" s="6"/>
      <c r="H489" s="7">
        <f>IF(TimeEntry[[#This Row],[Date]]=0,H488,C489+(7-N489))</f>
        <v>43583</v>
      </c>
      <c r="I489" s="7">
        <f>TimeEntry[[#This Row],[Date]]</f>
        <v>0</v>
      </c>
      <c r="J489" s="10" t="str">
        <f>IF(TimeEntry[[#This Row],[Date]]=0,"",TEXT(TimeEntry[[#This Row],[Date]],"ddd"))</f>
        <v/>
      </c>
      <c r="K489" s="9" t="str">
        <f>IF(TimeEntry[[#This Row],[Project]]=0,"",INDEX(ProjectsAll[job number],MATCH(TimeEntry[[#This Row],[Project]],ProjectsAll[Project],0)))</f>
        <v/>
      </c>
      <c r="L489" s="6"/>
      <c r="M489" s="6"/>
      <c r="N489" s="9" t="str">
        <f>IF(TimeEntry[[#This Row],[Date]]=0,"",WEEKDAY(C489,2))</f>
        <v/>
      </c>
      <c r="O489" s="10">
        <f>YEAR(TimeEntry[[#This Row],[WkEnd]])</f>
        <v>2019</v>
      </c>
      <c r="P489" s="10">
        <f>WEEKNUM(TimeEntry[[#This Row],[WkEnd]])</f>
        <v>18</v>
      </c>
      <c r="Q489" s="10" t="str">
        <f>TimeEntry[[#This Row],[Year]]&amp;"-"&amp;TimeEntry[[#This Row],[WkNo]]</f>
        <v>2019-18</v>
      </c>
    </row>
    <row r="490" spans="1:17" x14ac:dyDescent="0.25">
      <c r="A490" s="9" t="e">
        <f>MOD(IF(ROW()=11,0.1,IF(INDEX(TimeEntry[WkEnd],ROW()-10)            =            INDEX(TimeEntry[WkEnd],ROW()-11),               INDEX(TimeEntry[format],ROW()-11),               INDEX(TimeEntry[format],ROW()-11)    +1)),2)</f>
        <v>#VALUE!</v>
      </c>
      <c r="B490" s="14"/>
      <c r="C490" s="7"/>
      <c r="D490" s="7"/>
      <c r="E490" s="7"/>
      <c r="F490" s="6"/>
      <c r="G490" s="6"/>
      <c r="H490" s="7">
        <f>IF(TimeEntry[[#This Row],[Date]]=0,H489,C490+(7-N490))</f>
        <v>43583</v>
      </c>
      <c r="I490" s="7">
        <f>TimeEntry[[#This Row],[Date]]</f>
        <v>0</v>
      </c>
      <c r="J490" s="10" t="str">
        <f>IF(TimeEntry[[#This Row],[Date]]=0,"",TEXT(TimeEntry[[#This Row],[Date]],"ddd"))</f>
        <v/>
      </c>
      <c r="K490" s="9" t="str">
        <f>IF(TimeEntry[[#This Row],[Project]]=0,"",INDEX(ProjectsAll[job number],MATCH(TimeEntry[[#This Row],[Project]],ProjectsAll[Project],0)))</f>
        <v/>
      </c>
      <c r="L490" s="6"/>
      <c r="M490" s="6"/>
      <c r="N490" s="9" t="str">
        <f>IF(TimeEntry[[#This Row],[Date]]=0,"",WEEKDAY(C490,2))</f>
        <v/>
      </c>
      <c r="O490" s="10">
        <f>YEAR(TimeEntry[[#This Row],[WkEnd]])</f>
        <v>2019</v>
      </c>
      <c r="P490" s="10">
        <f>WEEKNUM(TimeEntry[[#This Row],[WkEnd]])</f>
        <v>18</v>
      </c>
      <c r="Q490" s="10" t="str">
        <f>TimeEntry[[#This Row],[Year]]&amp;"-"&amp;TimeEntry[[#This Row],[WkNo]]</f>
        <v>2019-18</v>
      </c>
    </row>
    <row r="491" spans="1:17" ht="30" x14ac:dyDescent="0.25">
      <c r="A491" s="9" t="e">
        <f>MOD(IF(ROW()=11,0.1,IF(INDEX(TimeEntry[WkEnd],ROW()-10)            =            INDEX(TimeEntry[WkEnd],ROW()-11),               INDEX(TimeEntry[format],ROW()-11),               INDEX(TimeEntry[format],ROW()-11)    +1)),2)</f>
        <v>#VALUE!</v>
      </c>
      <c r="B491" s="14"/>
      <c r="C491" s="7">
        <v>43570</v>
      </c>
      <c r="D491" s="7"/>
      <c r="E491" s="7"/>
      <c r="F491" s="6" t="s">
        <v>86</v>
      </c>
      <c r="G491" s="6"/>
      <c r="H491" s="7">
        <f>IF(TimeEntry[[#This Row],[Date]]=0,H490,C491+(7-N491))</f>
        <v>43576</v>
      </c>
      <c r="I491" s="7">
        <f>TimeEntry[[#This Row],[Date]]</f>
        <v>43570</v>
      </c>
      <c r="J491" s="10" t="str">
        <f>IF(TimeEntry[[#This Row],[Date]]=0,"",TEXT(TimeEntry[[#This Row],[Date]],"ddd"))</f>
        <v>Mon</v>
      </c>
      <c r="K491" s="9" t="str">
        <f>IF(TimeEntry[[#This Row],[Project]]=0,"",INDEX(ProjectsAll[job number],MATCH(TimeEntry[[#This Row],[Project]],ProjectsAll[Project],0)))</f>
        <v>265720-10</v>
      </c>
      <c r="L491" s="6" t="s">
        <v>270</v>
      </c>
      <c r="M491" s="6">
        <v>2.5</v>
      </c>
      <c r="N491" s="9">
        <f>IF(TimeEntry[[#This Row],[Date]]=0,"",WEEKDAY(C491,2))</f>
        <v>1</v>
      </c>
      <c r="O491" s="10">
        <f>YEAR(TimeEntry[[#This Row],[WkEnd]])</f>
        <v>2019</v>
      </c>
      <c r="P491" s="10">
        <f>WEEKNUM(TimeEntry[[#This Row],[WkEnd]])</f>
        <v>17</v>
      </c>
      <c r="Q491" s="10" t="str">
        <f>TimeEntry[[#This Row],[Year]]&amp;"-"&amp;TimeEntry[[#This Row],[WkNo]]</f>
        <v>2019-17</v>
      </c>
    </row>
    <row r="492" spans="1:17" ht="30" x14ac:dyDescent="0.25">
      <c r="A492" s="9" t="e">
        <f>MOD(IF(ROW()=11,0.1,IF(INDEX(TimeEntry[WkEnd],ROW()-10)            =            INDEX(TimeEntry[WkEnd],ROW()-11),               INDEX(TimeEntry[format],ROW()-11),               INDEX(TimeEntry[format],ROW()-11)    +1)),2)</f>
        <v>#VALUE!</v>
      </c>
      <c r="B492" s="14"/>
      <c r="C492" s="7">
        <v>43570</v>
      </c>
      <c r="D492" s="7"/>
      <c r="E492" s="7"/>
      <c r="F492" s="6" t="s">
        <v>86</v>
      </c>
      <c r="G492" s="6"/>
      <c r="H492" s="7">
        <f>IF(TimeEntry[[#This Row],[Date]]=0,H491,C492+(7-N492))</f>
        <v>43576</v>
      </c>
      <c r="I492" s="7">
        <f>TimeEntry[[#This Row],[Date]]</f>
        <v>43570</v>
      </c>
      <c r="J492" s="10" t="str">
        <f>IF(TimeEntry[[#This Row],[Date]]=0,"",TEXT(TimeEntry[[#This Row],[Date]],"ddd"))</f>
        <v>Mon</v>
      </c>
      <c r="K492" s="9" t="str">
        <f>IF(TimeEntry[[#This Row],[Project]]=0,"",INDEX(ProjectsAll[job number],MATCH(TimeEntry[[#This Row],[Project]],ProjectsAll[Project],0)))</f>
        <v>265720-10</v>
      </c>
      <c r="L492" s="6" t="s">
        <v>271</v>
      </c>
      <c r="M492" s="6">
        <v>5</v>
      </c>
      <c r="N492" s="9">
        <f>IF(TimeEntry[[#This Row],[Date]]=0,"",WEEKDAY(C492,2))</f>
        <v>1</v>
      </c>
      <c r="O492" s="10">
        <f>YEAR(TimeEntry[[#This Row],[WkEnd]])</f>
        <v>2019</v>
      </c>
      <c r="P492" s="10">
        <f>WEEKNUM(TimeEntry[[#This Row],[WkEnd]])</f>
        <v>17</v>
      </c>
      <c r="Q492" s="10" t="str">
        <f>TimeEntry[[#This Row],[Year]]&amp;"-"&amp;TimeEntry[[#This Row],[WkNo]]</f>
        <v>2019-17</v>
      </c>
    </row>
    <row r="493" spans="1:17" ht="30" x14ac:dyDescent="0.25">
      <c r="A493" s="9" t="e">
        <f>MOD(IF(ROW()=11,0.1,IF(INDEX(TimeEntry[WkEnd],ROW()-10)            =            INDEX(TimeEntry[WkEnd],ROW()-11),               INDEX(TimeEntry[format],ROW()-11),               INDEX(TimeEntry[format],ROW()-11)    +1)),2)</f>
        <v>#VALUE!</v>
      </c>
      <c r="B493" s="14"/>
      <c r="C493" s="7">
        <v>43571</v>
      </c>
      <c r="D493" s="7"/>
      <c r="E493" s="7"/>
      <c r="F493" s="6" t="s">
        <v>86</v>
      </c>
      <c r="G493" s="6"/>
      <c r="H493" s="7">
        <f>IF(TimeEntry[[#This Row],[Date]]=0,H492,C493+(7-N493))</f>
        <v>43576</v>
      </c>
      <c r="I493" s="7">
        <f>TimeEntry[[#This Row],[Date]]</f>
        <v>43571</v>
      </c>
      <c r="J493" s="10" t="str">
        <f>IF(TimeEntry[[#This Row],[Date]]=0,"",TEXT(TimeEntry[[#This Row],[Date]],"ddd"))</f>
        <v>Tue</v>
      </c>
      <c r="K493" s="9" t="str">
        <f>IF(TimeEntry[[#This Row],[Project]]=0,"",INDEX(ProjectsAll[job number],MATCH(TimeEntry[[#This Row],[Project]],ProjectsAll[Project],0)))</f>
        <v>265720-10</v>
      </c>
      <c r="L493" s="6" t="s">
        <v>272</v>
      </c>
      <c r="M493" s="6">
        <v>5</v>
      </c>
      <c r="N493" s="9">
        <f>IF(TimeEntry[[#This Row],[Date]]=0,"",WEEKDAY(C493,2))</f>
        <v>2</v>
      </c>
      <c r="O493" s="10">
        <f>YEAR(TimeEntry[[#This Row],[WkEnd]])</f>
        <v>2019</v>
      </c>
      <c r="P493" s="10">
        <f>WEEKNUM(TimeEntry[[#This Row],[WkEnd]])</f>
        <v>17</v>
      </c>
      <c r="Q493" s="10" t="str">
        <f>TimeEntry[[#This Row],[Year]]&amp;"-"&amp;TimeEntry[[#This Row],[WkNo]]</f>
        <v>2019-17</v>
      </c>
    </row>
    <row r="494" spans="1:17" ht="30" x14ac:dyDescent="0.25">
      <c r="A494" s="9" t="e">
        <f>MOD(IF(ROW()=11,0.1,IF(INDEX(TimeEntry[WkEnd],ROW()-10)            =            INDEX(TimeEntry[WkEnd],ROW()-11),               INDEX(TimeEntry[format],ROW()-11),               INDEX(TimeEntry[format],ROW()-11)    +1)),2)</f>
        <v>#VALUE!</v>
      </c>
      <c r="B494" s="14"/>
      <c r="C494" s="7">
        <v>43571</v>
      </c>
      <c r="D494" s="7"/>
      <c r="E494" s="7"/>
      <c r="F494" s="6" t="s">
        <v>86</v>
      </c>
      <c r="G494" s="6"/>
      <c r="H494" s="7">
        <f>IF(TimeEntry[[#This Row],[Date]]=0,H493,C494+(7-N494))</f>
        <v>43576</v>
      </c>
      <c r="I494" s="7">
        <f>TimeEntry[[#This Row],[Date]]</f>
        <v>43571</v>
      </c>
      <c r="J494" s="10" t="str">
        <f>IF(TimeEntry[[#This Row],[Date]]=0,"",TEXT(TimeEntry[[#This Row],[Date]],"ddd"))</f>
        <v>Tue</v>
      </c>
      <c r="K494" s="9" t="str">
        <f>IF(TimeEntry[[#This Row],[Project]]=0,"",INDEX(ProjectsAll[job number],MATCH(TimeEntry[[#This Row],[Project]],ProjectsAll[Project],0)))</f>
        <v>265720-10</v>
      </c>
      <c r="L494" s="6" t="s">
        <v>273</v>
      </c>
      <c r="M494" s="6">
        <v>2.5</v>
      </c>
      <c r="N494" s="9">
        <f>IF(TimeEntry[[#This Row],[Date]]=0,"",WEEKDAY(C494,2))</f>
        <v>2</v>
      </c>
      <c r="O494" s="10">
        <f>YEAR(TimeEntry[[#This Row],[WkEnd]])</f>
        <v>2019</v>
      </c>
      <c r="P494" s="10">
        <f>WEEKNUM(TimeEntry[[#This Row],[WkEnd]])</f>
        <v>17</v>
      </c>
      <c r="Q494" s="10" t="str">
        <f>TimeEntry[[#This Row],[Year]]&amp;"-"&amp;TimeEntry[[#This Row],[WkNo]]</f>
        <v>2019-17</v>
      </c>
    </row>
    <row r="495" spans="1:17" ht="30" x14ac:dyDescent="0.25">
      <c r="A495" s="9" t="e">
        <f>MOD(IF(ROW()=11,0.1,IF(INDEX(TimeEntry[WkEnd],ROW()-10)            =            INDEX(TimeEntry[WkEnd],ROW()-11),               INDEX(TimeEntry[format],ROW()-11),               INDEX(TimeEntry[format],ROW()-11)    +1)),2)</f>
        <v>#VALUE!</v>
      </c>
      <c r="B495" s="14"/>
      <c r="C495" s="7">
        <v>43572</v>
      </c>
      <c r="D495" s="7"/>
      <c r="E495" s="7"/>
      <c r="F495" s="6" t="s">
        <v>86</v>
      </c>
      <c r="G495" s="6"/>
      <c r="H495" s="7">
        <f>IF(TimeEntry[[#This Row],[Date]]=0,H494,C495+(7-N495))</f>
        <v>43576</v>
      </c>
      <c r="I495" s="7">
        <f>TimeEntry[[#This Row],[Date]]</f>
        <v>43572</v>
      </c>
      <c r="J495" s="10" t="str">
        <f>IF(TimeEntry[[#This Row],[Date]]=0,"",TEXT(TimeEntry[[#This Row],[Date]],"ddd"))</f>
        <v>Wed</v>
      </c>
      <c r="K495" s="9" t="str">
        <f>IF(TimeEntry[[#This Row],[Project]]=0,"",INDEX(ProjectsAll[job number],MATCH(TimeEntry[[#This Row],[Project]],ProjectsAll[Project],0)))</f>
        <v>265720-10</v>
      </c>
      <c r="L495" s="6" t="s">
        <v>274</v>
      </c>
      <c r="M495" s="6">
        <v>7.5</v>
      </c>
      <c r="N495" s="9">
        <f>IF(TimeEntry[[#This Row],[Date]]=0,"",WEEKDAY(C495,2))</f>
        <v>3</v>
      </c>
      <c r="O495" s="10">
        <f>YEAR(TimeEntry[[#This Row],[WkEnd]])</f>
        <v>2019</v>
      </c>
      <c r="P495" s="10">
        <f>WEEKNUM(TimeEntry[[#This Row],[WkEnd]])</f>
        <v>17</v>
      </c>
      <c r="Q495" s="10" t="str">
        <f>TimeEntry[[#This Row],[Year]]&amp;"-"&amp;TimeEntry[[#This Row],[WkNo]]</f>
        <v>2019-17</v>
      </c>
    </row>
    <row r="496" spans="1:17" ht="30" x14ac:dyDescent="0.25">
      <c r="A496" s="9" t="e">
        <f>MOD(IF(ROW()=11,0.1,IF(INDEX(TimeEntry[WkEnd],ROW()-10)            =            INDEX(TimeEntry[WkEnd],ROW()-11),               INDEX(TimeEntry[format],ROW()-11),               INDEX(TimeEntry[format],ROW()-11)    +1)),2)</f>
        <v>#VALUE!</v>
      </c>
      <c r="B496" s="14"/>
      <c r="C496" s="7">
        <v>43573</v>
      </c>
      <c r="D496" s="7"/>
      <c r="E496" s="7"/>
      <c r="F496" s="6" t="s">
        <v>86</v>
      </c>
      <c r="G496" s="6"/>
      <c r="H496" s="7">
        <f>IF(TimeEntry[[#This Row],[Date]]=0,H495,C496+(7-N496))</f>
        <v>43576</v>
      </c>
      <c r="I496" s="7">
        <f>TimeEntry[[#This Row],[Date]]</f>
        <v>43573</v>
      </c>
      <c r="J496" s="10" t="str">
        <f>IF(TimeEntry[[#This Row],[Date]]=0,"",TEXT(TimeEntry[[#This Row],[Date]],"ddd"))</f>
        <v>Thu</v>
      </c>
      <c r="K496" s="9" t="str">
        <f>IF(TimeEntry[[#This Row],[Project]]=0,"",INDEX(ProjectsAll[job number],MATCH(TimeEntry[[#This Row],[Project]],ProjectsAll[Project],0)))</f>
        <v>265720-10</v>
      </c>
      <c r="L496" s="6" t="s">
        <v>275</v>
      </c>
      <c r="M496" s="6">
        <v>3.75</v>
      </c>
      <c r="N496" s="9">
        <f>IF(TimeEntry[[#This Row],[Date]]=0,"",WEEKDAY(C496,2))</f>
        <v>4</v>
      </c>
      <c r="O496" s="10">
        <f>YEAR(TimeEntry[[#This Row],[WkEnd]])</f>
        <v>2019</v>
      </c>
      <c r="P496" s="10">
        <f>WEEKNUM(TimeEntry[[#This Row],[WkEnd]])</f>
        <v>17</v>
      </c>
      <c r="Q496" s="10" t="str">
        <f>TimeEntry[[#This Row],[Year]]&amp;"-"&amp;TimeEntry[[#This Row],[WkNo]]</f>
        <v>2019-17</v>
      </c>
    </row>
    <row r="497" spans="1:17" ht="30" x14ac:dyDescent="0.25">
      <c r="A497" s="9" t="e">
        <f>MOD(IF(ROW()=11,0.1,IF(INDEX(TimeEntry[WkEnd],ROW()-10)            =            INDEX(TimeEntry[WkEnd],ROW()-11),               INDEX(TimeEntry[format],ROW()-11),               INDEX(TimeEntry[format],ROW()-11)    +1)),2)</f>
        <v>#VALUE!</v>
      </c>
      <c r="B497" s="14"/>
      <c r="C497" s="7">
        <v>43573</v>
      </c>
      <c r="D497" s="7"/>
      <c r="E497" s="7"/>
      <c r="F497" s="6" t="s">
        <v>86</v>
      </c>
      <c r="G497" s="6"/>
      <c r="H497" s="7">
        <f>IF(TimeEntry[[#This Row],[Date]]=0,H496,C497+(7-N497))</f>
        <v>43576</v>
      </c>
      <c r="I497" s="7">
        <f>TimeEntry[[#This Row],[Date]]</f>
        <v>43573</v>
      </c>
      <c r="J497" s="10" t="str">
        <f>IF(TimeEntry[[#This Row],[Date]]=0,"",TEXT(TimeEntry[[#This Row],[Date]],"ddd"))</f>
        <v>Thu</v>
      </c>
      <c r="K497" s="9" t="str">
        <f>IF(TimeEntry[[#This Row],[Project]]=0,"",INDEX(ProjectsAll[job number],MATCH(TimeEntry[[#This Row],[Project]],ProjectsAll[Project],0)))</f>
        <v>265720-10</v>
      </c>
      <c r="L497" s="6" t="s">
        <v>276</v>
      </c>
      <c r="M497" s="6">
        <v>3.75</v>
      </c>
      <c r="N497" s="9">
        <f>IF(TimeEntry[[#This Row],[Date]]=0,"",WEEKDAY(C497,2))</f>
        <v>4</v>
      </c>
      <c r="O497" s="10">
        <f>YEAR(TimeEntry[[#This Row],[WkEnd]])</f>
        <v>2019</v>
      </c>
      <c r="P497" s="10">
        <f>WEEKNUM(TimeEntry[[#This Row],[WkEnd]])</f>
        <v>17</v>
      </c>
      <c r="Q497" s="10" t="str">
        <f>TimeEntry[[#This Row],[Year]]&amp;"-"&amp;TimeEntry[[#This Row],[WkNo]]</f>
        <v>2019-17</v>
      </c>
    </row>
    <row r="498" spans="1:17" x14ac:dyDescent="0.25">
      <c r="A498" s="9" t="e">
        <f>MOD(IF(ROW()=11,0.1,IF(INDEX(TimeEntry[WkEnd],ROW()-10)            =            INDEX(TimeEntry[WkEnd],ROW()-11),               INDEX(TimeEntry[format],ROW()-11),               INDEX(TimeEntry[format],ROW()-11)    +1)),2)</f>
        <v>#VALUE!</v>
      </c>
      <c r="B498" s="14"/>
      <c r="C498" s="7">
        <v>43574</v>
      </c>
      <c r="D498" s="7"/>
      <c r="E498" s="7"/>
      <c r="F498" s="6" t="s">
        <v>68</v>
      </c>
      <c r="G498" s="6"/>
      <c r="H498" s="7">
        <f>IF(TimeEntry[[#This Row],[Date]]=0,H497,C498+(7-N498))</f>
        <v>43576</v>
      </c>
      <c r="I498" s="7">
        <f>TimeEntry[[#This Row],[Date]]</f>
        <v>43574</v>
      </c>
      <c r="J498" s="10" t="str">
        <f>IF(TimeEntry[[#This Row],[Date]]=0,"",TEXT(TimeEntry[[#This Row],[Date]],"ddd"))</f>
        <v>Fri</v>
      </c>
      <c r="K498" s="9" t="str">
        <f>IF(TimeEntry[[#This Row],[Project]]=0,"",INDEX(ProjectsAll[job number],MATCH(TimeEntry[[#This Row],[Project]],ProjectsAll[Project],0)))</f>
        <v>LEAVE</v>
      </c>
      <c r="L498" s="6"/>
      <c r="M498" s="6">
        <v>7.5</v>
      </c>
      <c r="N498" s="9">
        <f>IF(TimeEntry[[#This Row],[Date]]=0,"",WEEKDAY(C498,2))</f>
        <v>5</v>
      </c>
      <c r="O498" s="10">
        <f>YEAR(TimeEntry[[#This Row],[WkEnd]])</f>
        <v>2019</v>
      </c>
      <c r="P498" s="10">
        <f>WEEKNUM(TimeEntry[[#This Row],[WkEnd]])</f>
        <v>17</v>
      </c>
      <c r="Q498" s="10" t="str">
        <f>TimeEntry[[#This Row],[Year]]&amp;"-"&amp;TimeEntry[[#This Row],[WkNo]]</f>
        <v>2019-17</v>
      </c>
    </row>
    <row r="499" spans="1:17" ht="30" x14ac:dyDescent="0.25">
      <c r="A499" s="9" t="e">
        <f>MOD(IF(ROW()=11,0.1,IF(INDEX(TimeEntry[WkEnd],ROW()-10)            =            INDEX(TimeEntry[WkEnd],ROW()-11),               INDEX(TimeEntry[format],ROW()-11),               INDEX(TimeEntry[format],ROW()-11)    +1)),2)</f>
        <v>#VALUE!</v>
      </c>
      <c r="B499" s="14"/>
      <c r="C499" s="7">
        <v>43563</v>
      </c>
      <c r="D499" s="7"/>
      <c r="E499" s="7"/>
      <c r="F499" s="6" t="s">
        <v>86</v>
      </c>
      <c r="G499" s="6"/>
      <c r="H499" s="7">
        <f>IF(TimeEntry[[#This Row],[Date]]=0,H498,C499+(7-N499))</f>
        <v>43569</v>
      </c>
      <c r="I499" s="7">
        <f>TimeEntry[[#This Row],[Date]]</f>
        <v>43563</v>
      </c>
      <c r="J499" s="10" t="str">
        <f>IF(TimeEntry[[#This Row],[Date]]=0,"",TEXT(TimeEntry[[#This Row],[Date]],"ddd"))</f>
        <v>Mon</v>
      </c>
      <c r="K499" s="9" t="str">
        <f>IF(TimeEntry[[#This Row],[Project]]=0,"",INDEX(ProjectsAll[job number],MATCH(TimeEntry[[#This Row],[Project]],ProjectsAll[Project],0)))</f>
        <v>265720-10</v>
      </c>
      <c r="L499" s="6" t="s">
        <v>277</v>
      </c>
      <c r="M499" s="6">
        <v>7.5</v>
      </c>
      <c r="N499" s="9">
        <f>IF(TimeEntry[[#This Row],[Date]]=0,"",WEEKDAY(C499,2))</f>
        <v>1</v>
      </c>
      <c r="O499" s="10">
        <f>YEAR(TimeEntry[[#This Row],[WkEnd]])</f>
        <v>2019</v>
      </c>
      <c r="P499" s="10">
        <f>WEEKNUM(TimeEntry[[#This Row],[WkEnd]])</f>
        <v>16</v>
      </c>
      <c r="Q499" s="10" t="str">
        <f>TimeEntry[[#This Row],[Year]]&amp;"-"&amp;TimeEntry[[#This Row],[WkNo]]</f>
        <v>2019-16</v>
      </c>
    </row>
    <row r="500" spans="1:17" ht="30" x14ac:dyDescent="0.25">
      <c r="A500" s="9" t="e">
        <f>MOD(IF(ROW()=11,0.1,IF(INDEX(TimeEntry[WkEnd],ROW()-10)            =            INDEX(TimeEntry[WkEnd],ROW()-11),               INDEX(TimeEntry[format],ROW()-11),               INDEX(TimeEntry[format],ROW()-11)    +1)),2)</f>
        <v>#VALUE!</v>
      </c>
      <c r="B500" s="14"/>
      <c r="C500" s="7">
        <v>43564</v>
      </c>
      <c r="D500" s="7"/>
      <c r="E500" s="7"/>
      <c r="F500" s="6" t="s">
        <v>86</v>
      </c>
      <c r="G500" s="6"/>
      <c r="H500" s="7">
        <f>IF(TimeEntry[[#This Row],[Date]]=0,H499,C500+(7-N500))</f>
        <v>43569</v>
      </c>
      <c r="I500" s="7">
        <f>TimeEntry[[#This Row],[Date]]</f>
        <v>43564</v>
      </c>
      <c r="J500" s="10" t="str">
        <f>IF(TimeEntry[[#This Row],[Date]]=0,"",TEXT(TimeEntry[[#This Row],[Date]],"ddd"))</f>
        <v>Tue</v>
      </c>
      <c r="K500" s="9" t="str">
        <f>IF(TimeEntry[[#This Row],[Project]]=0,"",INDEX(ProjectsAll[job number],MATCH(TimeEntry[[#This Row],[Project]],ProjectsAll[Project],0)))</f>
        <v>265720-10</v>
      </c>
      <c r="L500" s="6" t="s">
        <v>278</v>
      </c>
      <c r="M500" s="6">
        <v>7.5</v>
      </c>
      <c r="N500" s="9">
        <f>IF(TimeEntry[[#This Row],[Date]]=0,"",WEEKDAY(C500,2))</f>
        <v>2</v>
      </c>
      <c r="O500" s="10">
        <f>YEAR(TimeEntry[[#This Row],[WkEnd]])</f>
        <v>2019</v>
      </c>
      <c r="P500" s="10">
        <f>WEEKNUM(TimeEntry[[#This Row],[WkEnd]])</f>
        <v>16</v>
      </c>
      <c r="Q500" s="10" t="str">
        <f>TimeEntry[[#This Row],[Year]]&amp;"-"&amp;TimeEntry[[#This Row],[WkNo]]</f>
        <v>2019-16</v>
      </c>
    </row>
    <row r="501" spans="1:17" ht="30" x14ac:dyDescent="0.25">
      <c r="A501" s="9" t="e">
        <f>MOD(IF(ROW()=11,0.1,IF(INDEX(TimeEntry[WkEnd],ROW()-10)            =            INDEX(TimeEntry[WkEnd],ROW()-11),               INDEX(TimeEntry[format],ROW()-11),               INDEX(TimeEntry[format],ROW()-11)    +1)),2)</f>
        <v>#VALUE!</v>
      </c>
      <c r="B501" s="14"/>
      <c r="C501" s="7">
        <v>43565</v>
      </c>
      <c r="D501" s="7"/>
      <c r="E501" s="7"/>
      <c r="F501" s="6" t="s">
        <v>86</v>
      </c>
      <c r="G501" s="6"/>
      <c r="H501" s="7">
        <f>IF(TimeEntry[[#This Row],[Date]]=0,H500,C501+(7-N501))</f>
        <v>43569</v>
      </c>
      <c r="I501" s="7">
        <f>TimeEntry[[#This Row],[Date]]</f>
        <v>43565</v>
      </c>
      <c r="J501" s="10" t="str">
        <f>IF(TimeEntry[[#This Row],[Date]]=0,"",TEXT(TimeEntry[[#This Row],[Date]],"ddd"))</f>
        <v>Wed</v>
      </c>
      <c r="K501" s="9" t="str">
        <f>IF(TimeEntry[[#This Row],[Project]]=0,"",INDEX(ProjectsAll[job number],MATCH(TimeEntry[[#This Row],[Project]],ProjectsAll[Project],0)))</f>
        <v>265720-10</v>
      </c>
      <c r="L501" s="6" t="s">
        <v>278</v>
      </c>
      <c r="M501" s="6">
        <v>2.5</v>
      </c>
      <c r="N501" s="9">
        <f>IF(TimeEntry[[#This Row],[Date]]=0,"",WEEKDAY(C501,2))</f>
        <v>3</v>
      </c>
      <c r="O501" s="10">
        <f>YEAR(TimeEntry[[#This Row],[WkEnd]])</f>
        <v>2019</v>
      </c>
      <c r="P501" s="10">
        <f>WEEKNUM(TimeEntry[[#This Row],[WkEnd]])</f>
        <v>16</v>
      </c>
      <c r="Q501" s="10" t="str">
        <f>TimeEntry[[#This Row],[Year]]&amp;"-"&amp;TimeEntry[[#This Row],[WkNo]]</f>
        <v>2019-16</v>
      </c>
    </row>
    <row r="502" spans="1:17" ht="30" x14ac:dyDescent="0.25">
      <c r="A502" s="9" t="e">
        <f>MOD(IF(ROW()=11,0.1,IF(INDEX(TimeEntry[WkEnd],ROW()-10)            =            INDEX(TimeEntry[WkEnd],ROW()-11),               INDEX(TimeEntry[format],ROW()-11),               INDEX(TimeEntry[format],ROW()-11)    +1)),2)</f>
        <v>#VALUE!</v>
      </c>
      <c r="B502" s="14"/>
      <c r="C502" s="7">
        <v>43565</v>
      </c>
      <c r="D502" s="7"/>
      <c r="E502" s="7"/>
      <c r="F502" s="6" t="s">
        <v>86</v>
      </c>
      <c r="G502" s="6"/>
      <c r="H502" s="7">
        <f>IF(TimeEntry[[#This Row],[Date]]=0,H501,C502+(7-N502))</f>
        <v>43569</v>
      </c>
      <c r="I502" s="7">
        <f>TimeEntry[[#This Row],[Date]]</f>
        <v>43565</v>
      </c>
      <c r="J502" s="10" t="str">
        <f>IF(TimeEntry[[#This Row],[Date]]=0,"",TEXT(TimeEntry[[#This Row],[Date]],"ddd"))</f>
        <v>Wed</v>
      </c>
      <c r="K502" s="9" t="str">
        <f>IF(TimeEntry[[#This Row],[Project]]=0,"",INDEX(ProjectsAll[job number],MATCH(TimeEntry[[#This Row],[Project]],ProjectsAll[Project],0)))</f>
        <v>265720-10</v>
      </c>
      <c r="L502" s="6" t="s">
        <v>279</v>
      </c>
      <c r="M502" s="6">
        <v>5</v>
      </c>
      <c r="N502" s="9">
        <f>IF(TimeEntry[[#This Row],[Date]]=0,"",WEEKDAY(C502,2))</f>
        <v>3</v>
      </c>
      <c r="O502" s="10">
        <f>YEAR(TimeEntry[[#This Row],[WkEnd]])</f>
        <v>2019</v>
      </c>
      <c r="P502" s="10">
        <f>WEEKNUM(TimeEntry[[#This Row],[WkEnd]])</f>
        <v>16</v>
      </c>
      <c r="Q502" s="10" t="str">
        <f>TimeEntry[[#This Row],[Year]]&amp;"-"&amp;TimeEntry[[#This Row],[WkNo]]</f>
        <v>2019-16</v>
      </c>
    </row>
    <row r="503" spans="1:17" ht="30" x14ac:dyDescent="0.25">
      <c r="A503" s="9" t="e">
        <f>MOD(IF(ROW()=11,0.1,IF(INDEX(TimeEntry[WkEnd],ROW()-10)            =            INDEX(TimeEntry[WkEnd],ROW()-11),               INDEX(TimeEntry[format],ROW()-11),               INDEX(TimeEntry[format],ROW()-11)    +1)),2)</f>
        <v>#VALUE!</v>
      </c>
      <c r="B503" s="14"/>
      <c r="C503" s="7">
        <v>43566</v>
      </c>
      <c r="D503" s="7"/>
      <c r="E503" s="7"/>
      <c r="F503" s="6" t="s">
        <v>74</v>
      </c>
      <c r="G503" s="6"/>
      <c r="H503" s="7">
        <f>IF(TimeEntry[[#This Row],[Date]]=0,H502,C503+(7-N503))</f>
        <v>43569</v>
      </c>
      <c r="I503" s="7">
        <f>TimeEntry[[#This Row],[Date]]</f>
        <v>43566</v>
      </c>
      <c r="J503" s="10" t="str">
        <f>IF(TimeEntry[[#This Row],[Date]]=0,"",TEXT(TimeEntry[[#This Row],[Date]],"ddd"))</f>
        <v>Thu</v>
      </c>
      <c r="K503" s="9" t="str">
        <f>IF(TimeEntry[[#This Row],[Project]]=0,"",INDEX(ProjectsAll[job number],MATCH(TimeEntry[[#This Row],[Project]],ProjectsAll[Project],0)))</f>
        <v>261723-02</v>
      </c>
      <c r="L503" s="6" t="s">
        <v>280</v>
      </c>
      <c r="M503" s="6">
        <v>3.75</v>
      </c>
      <c r="N503" s="9">
        <f>IF(TimeEntry[[#This Row],[Date]]=0,"",WEEKDAY(C503,2))</f>
        <v>4</v>
      </c>
      <c r="O503" s="10">
        <f>YEAR(TimeEntry[[#This Row],[WkEnd]])</f>
        <v>2019</v>
      </c>
      <c r="P503" s="10">
        <f>WEEKNUM(TimeEntry[[#This Row],[WkEnd]])</f>
        <v>16</v>
      </c>
      <c r="Q503" s="10" t="str">
        <f>TimeEntry[[#This Row],[Year]]&amp;"-"&amp;TimeEntry[[#This Row],[WkNo]]</f>
        <v>2019-16</v>
      </c>
    </row>
    <row r="504" spans="1:17" ht="30" x14ac:dyDescent="0.25">
      <c r="A504" s="9" t="e">
        <f>MOD(IF(ROW()=11,0.1,IF(INDEX(TimeEntry[WkEnd],ROW()-10)            =            INDEX(TimeEntry[WkEnd],ROW()-11),               INDEX(TimeEntry[format],ROW()-11),               INDEX(TimeEntry[format],ROW()-11)    +1)),2)</f>
        <v>#VALUE!</v>
      </c>
      <c r="B504" s="14"/>
      <c r="C504" s="7">
        <v>43566</v>
      </c>
      <c r="D504" s="7"/>
      <c r="E504" s="7"/>
      <c r="F504" s="6" t="s">
        <v>86</v>
      </c>
      <c r="G504" s="6"/>
      <c r="H504" s="7">
        <f>IF(TimeEntry[[#This Row],[Date]]=0,H503,C504+(7-N504))</f>
        <v>43569</v>
      </c>
      <c r="I504" s="7">
        <f>TimeEntry[[#This Row],[Date]]</f>
        <v>43566</v>
      </c>
      <c r="J504" s="10" t="str">
        <f>IF(TimeEntry[[#This Row],[Date]]=0,"",TEXT(TimeEntry[[#This Row],[Date]],"ddd"))</f>
        <v>Thu</v>
      </c>
      <c r="K504" s="9" t="str">
        <f>IF(TimeEntry[[#This Row],[Project]]=0,"",INDEX(ProjectsAll[job number],MATCH(TimeEntry[[#This Row],[Project]],ProjectsAll[Project],0)))</f>
        <v>265720-10</v>
      </c>
      <c r="L504" s="6" t="s">
        <v>279</v>
      </c>
      <c r="M504" s="6">
        <v>3.75</v>
      </c>
      <c r="N504" s="9">
        <f>IF(TimeEntry[[#This Row],[Date]]=0,"",WEEKDAY(C504,2))</f>
        <v>4</v>
      </c>
      <c r="O504" s="10">
        <f>YEAR(TimeEntry[[#This Row],[WkEnd]])</f>
        <v>2019</v>
      </c>
      <c r="P504" s="10">
        <f>WEEKNUM(TimeEntry[[#This Row],[WkEnd]])</f>
        <v>16</v>
      </c>
      <c r="Q504" s="10" t="str">
        <f>TimeEntry[[#This Row],[Year]]&amp;"-"&amp;TimeEntry[[#This Row],[WkNo]]</f>
        <v>2019-16</v>
      </c>
    </row>
    <row r="505" spans="1:17" ht="30" x14ac:dyDescent="0.25">
      <c r="A505" s="9" t="e">
        <f>MOD(IF(ROW()=11,0.1,IF(INDEX(TimeEntry[WkEnd],ROW()-10)            =            INDEX(TimeEntry[WkEnd],ROW()-11),               INDEX(TimeEntry[format],ROW()-11),               INDEX(TimeEntry[format],ROW()-11)    +1)),2)</f>
        <v>#VALUE!</v>
      </c>
      <c r="B505" s="14"/>
      <c r="C505" s="7">
        <v>43567</v>
      </c>
      <c r="D505" s="7"/>
      <c r="E505" s="7"/>
      <c r="F505" s="6" t="s">
        <v>74</v>
      </c>
      <c r="G505" s="6"/>
      <c r="H505" s="7">
        <f>IF(TimeEntry[[#This Row],[Date]]=0,H504,C505+(7-N505))</f>
        <v>43569</v>
      </c>
      <c r="I505" s="7">
        <f>TimeEntry[[#This Row],[Date]]</f>
        <v>43567</v>
      </c>
      <c r="J505" s="10" t="str">
        <f>IF(TimeEntry[[#This Row],[Date]]=0,"",TEXT(TimeEntry[[#This Row],[Date]],"ddd"))</f>
        <v>Fri</v>
      </c>
      <c r="K505" s="9" t="str">
        <f>IF(TimeEntry[[#This Row],[Project]]=0,"",INDEX(ProjectsAll[job number],MATCH(TimeEntry[[#This Row],[Project]],ProjectsAll[Project],0)))</f>
        <v>261723-02</v>
      </c>
      <c r="L505" s="6" t="s">
        <v>281</v>
      </c>
      <c r="M505" s="6">
        <v>3.75</v>
      </c>
      <c r="N505" s="9">
        <f>IF(TimeEntry[[#This Row],[Date]]=0,"",WEEKDAY(C505,2))</f>
        <v>5</v>
      </c>
      <c r="O505" s="10">
        <f>YEAR(TimeEntry[[#This Row],[WkEnd]])</f>
        <v>2019</v>
      </c>
      <c r="P505" s="10">
        <f>WEEKNUM(TimeEntry[[#This Row],[WkEnd]])</f>
        <v>16</v>
      </c>
      <c r="Q505" s="10" t="str">
        <f>TimeEntry[[#This Row],[Year]]&amp;"-"&amp;TimeEntry[[#This Row],[WkNo]]</f>
        <v>2019-16</v>
      </c>
    </row>
    <row r="506" spans="1:17" ht="30" x14ac:dyDescent="0.25">
      <c r="A506" s="9" t="e">
        <f>MOD(IF(ROW()=11,0.1,IF(INDEX(TimeEntry[WkEnd],ROW()-10)            =            INDEX(TimeEntry[WkEnd],ROW()-11),               INDEX(TimeEntry[format],ROW()-11),               INDEX(TimeEntry[format],ROW()-11)    +1)),2)</f>
        <v>#VALUE!</v>
      </c>
      <c r="B506" s="14"/>
      <c r="C506" s="7">
        <v>43567</v>
      </c>
      <c r="D506" s="7"/>
      <c r="E506" s="7"/>
      <c r="F506" s="6" t="s">
        <v>86</v>
      </c>
      <c r="G506" s="6"/>
      <c r="H506" s="7">
        <f>IF(TimeEntry[[#This Row],[Date]]=0,H505,C506+(7-N506))</f>
        <v>43569</v>
      </c>
      <c r="I506" s="7">
        <f>TimeEntry[[#This Row],[Date]]</f>
        <v>43567</v>
      </c>
      <c r="J506" s="10" t="str">
        <f>IF(TimeEntry[[#This Row],[Date]]=0,"",TEXT(TimeEntry[[#This Row],[Date]],"ddd"))</f>
        <v>Fri</v>
      </c>
      <c r="K506" s="9" t="str">
        <f>IF(TimeEntry[[#This Row],[Project]]=0,"",INDEX(ProjectsAll[job number],MATCH(TimeEntry[[#This Row],[Project]],ProjectsAll[Project],0)))</f>
        <v>265720-10</v>
      </c>
      <c r="L506" s="6" t="s">
        <v>282</v>
      </c>
      <c r="M506" s="6">
        <v>3.75</v>
      </c>
      <c r="N506" s="9">
        <f>IF(TimeEntry[[#This Row],[Date]]=0,"",WEEKDAY(C506,2))</f>
        <v>5</v>
      </c>
      <c r="O506" s="10">
        <f>YEAR(TimeEntry[[#This Row],[WkEnd]])</f>
        <v>2019</v>
      </c>
      <c r="P506" s="10">
        <f>WEEKNUM(TimeEntry[[#This Row],[WkEnd]])</f>
        <v>16</v>
      </c>
      <c r="Q506" s="10" t="str">
        <f>TimeEntry[[#This Row],[Year]]&amp;"-"&amp;TimeEntry[[#This Row],[WkNo]]</f>
        <v>2019-16</v>
      </c>
    </row>
    <row r="507" spans="1:17" ht="30" x14ac:dyDescent="0.25">
      <c r="A507" s="9" t="e">
        <f>MOD(IF(ROW()=11,0.1,IF(INDEX(TimeEntry[WkEnd],ROW()-10)            =            INDEX(TimeEntry[WkEnd],ROW()-11),               INDEX(TimeEntry[format],ROW()-11),               INDEX(TimeEntry[format],ROW()-11)    +1)),2)</f>
        <v>#VALUE!</v>
      </c>
      <c r="B507" s="14"/>
      <c r="C507" s="7">
        <v>43556</v>
      </c>
      <c r="D507" s="7"/>
      <c r="E507" s="7"/>
      <c r="F507" s="6" t="s">
        <v>86</v>
      </c>
      <c r="G507" s="6"/>
      <c r="H507" s="7">
        <f>IF(TimeEntry[[#This Row],[Date]]=0,H506,C507+(7-N507))</f>
        <v>43562</v>
      </c>
      <c r="I507" s="7">
        <f>TimeEntry[[#This Row],[Date]]</f>
        <v>43556</v>
      </c>
      <c r="J507" s="10" t="str">
        <f>IF(TimeEntry[[#This Row],[Date]]=0,"",TEXT(TimeEntry[[#This Row],[Date]],"ddd"))</f>
        <v>Mon</v>
      </c>
      <c r="K507" s="9" t="str">
        <f>IF(TimeEntry[[#This Row],[Project]]=0,"",INDEX(ProjectsAll[job number],MATCH(TimeEntry[[#This Row],[Project]],ProjectsAll[Project],0)))</f>
        <v>265720-10</v>
      </c>
      <c r="L507" s="6" t="s">
        <v>283</v>
      </c>
      <c r="M507" s="6">
        <v>4</v>
      </c>
      <c r="N507" s="9">
        <f>IF(TimeEntry[[#This Row],[Date]]=0,"",WEEKDAY(C507,2))</f>
        <v>1</v>
      </c>
      <c r="O507" s="10">
        <f>YEAR(TimeEntry[[#This Row],[WkEnd]])</f>
        <v>2019</v>
      </c>
      <c r="P507" s="10">
        <f>WEEKNUM(TimeEntry[[#This Row],[WkEnd]])</f>
        <v>15</v>
      </c>
      <c r="Q507" s="10" t="str">
        <f>TimeEntry[[#This Row],[Year]]&amp;"-"&amp;TimeEntry[[#This Row],[WkNo]]</f>
        <v>2019-15</v>
      </c>
    </row>
    <row r="508" spans="1:17" ht="30" x14ac:dyDescent="0.25">
      <c r="A508" s="9" t="e">
        <f>MOD(IF(ROW()=11,0.1,IF(INDEX(TimeEntry[WkEnd],ROW()-10)            =            INDEX(TimeEntry[WkEnd],ROW()-11),               INDEX(TimeEntry[format],ROW()-11),               INDEX(TimeEntry[format],ROW()-11)    +1)),2)</f>
        <v>#VALUE!</v>
      </c>
      <c r="B508" s="14"/>
      <c r="C508" s="7">
        <v>43556</v>
      </c>
      <c r="D508" s="7"/>
      <c r="E508" s="7"/>
      <c r="F508" s="6" t="s">
        <v>86</v>
      </c>
      <c r="G508" s="6"/>
      <c r="H508" s="7">
        <f>IF(TimeEntry[[#This Row],[Date]]=0,H507,C508+(7-N508))</f>
        <v>43562</v>
      </c>
      <c r="I508" s="7">
        <f>TimeEntry[[#This Row],[Date]]</f>
        <v>43556</v>
      </c>
      <c r="J508" s="10" t="str">
        <f>IF(TimeEntry[[#This Row],[Date]]=0,"",TEXT(TimeEntry[[#This Row],[Date]],"ddd"))</f>
        <v>Mon</v>
      </c>
      <c r="K508" s="9" t="str">
        <f>IF(TimeEntry[[#This Row],[Project]]=0,"",INDEX(ProjectsAll[job number],MATCH(TimeEntry[[#This Row],[Project]],ProjectsAll[Project],0)))</f>
        <v>265720-10</v>
      </c>
      <c r="L508" s="6" t="s">
        <v>284</v>
      </c>
      <c r="M508" s="6">
        <v>2</v>
      </c>
      <c r="N508" s="9">
        <f>IF(TimeEntry[[#This Row],[Date]]=0,"",WEEKDAY(C508,2))</f>
        <v>1</v>
      </c>
      <c r="O508" s="10">
        <f>YEAR(TimeEntry[[#This Row],[WkEnd]])</f>
        <v>2019</v>
      </c>
      <c r="P508" s="10">
        <f>WEEKNUM(TimeEntry[[#This Row],[WkEnd]])</f>
        <v>15</v>
      </c>
      <c r="Q508" s="10" t="str">
        <f>TimeEntry[[#This Row],[Year]]&amp;"-"&amp;TimeEntry[[#This Row],[WkNo]]</f>
        <v>2019-15</v>
      </c>
    </row>
    <row r="509" spans="1:17" ht="30" x14ac:dyDescent="0.25">
      <c r="A509" s="9" t="e">
        <f>MOD(IF(ROW()=11,0.1,IF(INDEX(TimeEntry[WkEnd],ROW()-10)            =            INDEX(TimeEntry[WkEnd],ROW()-11),               INDEX(TimeEntry[format],ROW()-11),               INDEX(TimeEntry[format],ROW()-11)    +1)),2)</f>
        <v>#VALUE!</v>
      </c>
      <c r="B509" s="14"/>
      <c r="C509" s="7">
        <v>43556</v>
      </c>
      <c r="D509" s="7"/>
      <c r="E509" s="7"/>
      <c r="F509" s="6" t="s">
        <v>86</v>
      </c>
      <c r="G509" s="6"/>
      <c r="H509" s="7">
        <f>IF(TimeEntry[[#This Row],[Date]]=0,H508,C509+(7-N509))</f>
        <v>43562</v>
      </c>
      <c r="I509" s="7">
        <f>TimeEntry[[#This Row],[Date]]</f>
        <v>43556</v>
      </c>
      <c r="J509" s="10" t="str">
        <f>IF(TimeEntry[[#This Row],[Date]]=0,"",TEXT(TimeEntry[[#This Row],[Date]],"ddd"))</f>
        <v>Mon</v>
      </c>
      <c r="K509" s="9" t="str">
        <f>IF(TimeEntry[[#This Row],[Project]]=0,"",INDEX(ProjectsAll[job number],MATCH(TimeEntry[[#This Row],[Project]],ProjectsAll[Project],0)))</f>
        <v>265720-10</v>
      </c>
      <c r="L509" s="6" t="s">
        <v>285</v>
      </c>
      <c r="M509" s="6">
        <v>1.5</v>
      </c>
      <c r="N509" s="9">
        <f>IF(TimeEntry[[#This Row],[Date]]=0,"",WEEKDAY(C509,2))</f>
        <v>1</v>
      </c>
      <c r="O509" s="10">
        <f>YEAR(TimeEntry[[#This Row],[WkEnd]])</f>
        <v>2019</v>
      </c>
      <c r="P509" s="10">
        <f>WEEKNUM(TimeEntry[[#This Row],[WkEnd]])</f>
        <v>15</v>
      </c>
      <c r="Q509" s="10" t="str">
        <f>TimeEntry[[#This Row],[Year]]&amp;"-"&amp;TimeEntry[[#This Row],[WkNo]]</f>
        <v>2019-15</v>
      </c>
    </row>
    <row r="510" spans="1:17" ht="30" x14ac:dyDescent="0.25">
      <c r="A510" s="9" t="e">
        <f>MOD(IF(ROW()=11,0.1,IF(INDEX(TimeEntry[WkEnd],ROW()-10)            =            INDEX(TimeEntry[WkEnd],ROW()-11),               INDEX(TimeEntry[format],ROW()-11),               INDEX(TimeEntry[format],ROW()-11)    +1)),2)</f>
        <v>#VALUE!</v>
      </c>
      <c r="B510" s="14"/>
      <c r="C510" s="7">
        <v>43557</v>
      </c>
      <c r="D510" s="7"/>
      <c r="E510" s="7"/>
      <c r="F510" s="6" t="s">
        <v>86</v>
      </c>
      <c r="G510" s="6"/>
      <c r="H510" s="7">
        <f>IF(TimeEntry[[#This Row],[Date]]=0,H509,C510+(7-N510))</f>
        <v>43562</v>
      </c>
      <c r="I510" s="7">
        <f>TimeEntry[[#This Row],[Date]]</f>
        <v>43557</v>
      </c>
      <c r="J510" s="10" t="str">
        <f>IF(TimeEntry[[#This Row],[Date]]=0,"",TEXT(TimeEntry[[#This Row],[Date]],"ddd"))</f>
        <v>Tue</v>
      </c>
      <c r="K510" s="9" t="str">
        <f>IF(TimeEntry[[#This Row],[Project]]=0,"",INDEX(ProjectsAll[job number],MATCH(TimeEntry[[#This Row],[Project]],ProjectsAll[Project],0)))</f>
        <v>265720-10</v>
      </c>
      <c r="L510" s="6" t="s">
        <v>286</v>
      </c>
      <c r="M510" s="6">
        <v>7.5</v>
      </c>
      <c r="N510" s="9">
        <f>IF(TimeEntry[[#This Row],[Date]]=0,"",WEEKDAY(C510,2))</f>
        <v>2</v>
      </c>
      <c r="O510" s="10">
        <f>YEAR(TimeEntry[[#This Row],[WkEnd]])</f>
        <v>2019</v>
      </c>
      <c r="P510" s="10">
        <f>WEEKNUM(TimeEntry[[#This Row],[WkEnd]])</f>
        <v>15</v>
      </c>
      <c r="Q510" s="10" t="str">
        <f>TimeEntry[[#This Row],[Year]]&amp;"-"&amp;TimeEntry[[#This Row],[WkNo]]</f>
        <v>2019-15</v>
      </c>
    </row>
    <row r="511" spans="1:17" ht="30" x14ac:dyDescent="0.25">
      <c r="A511" s="9" t="e">
        <f>MOD(IF(ROW()=11,0.1,IF(INDEX(TimeEntry[WkEnd],ROW()-10)            =            INDEX(TimeEntry[WkEnd],ROW()-11),               INDEX(TimeEntry[format],ROW()-11),               INDEX(TimeEntry[format],ROW()-11)    +1)),2)</f>
        <v>#VALUE!</v>
      </c>
      <c r="B511" s="14"/>
      <c r="C511" s="7">
        <v>43558</v>
      </c>
      <c r="D511" s="7"/>
      <c r="E511" s="7"/>
      <c r="F511" s="6" t="s">
        <v>86</v>
      </c>
      <c r="G511" s="6"/>
      <c r="H511" s="7">
        <f>IF(TimeEntry[[#This Row],[Date]]=0,H510,C511+(7-N511))</f>
        <v>43562</v>
      </c>
      <c r="I511" s="7">
        <f>TimeEntry[[#This Row],[Date]]</f>
        <v>43558</v>
      </c>
      <c r="J511" s="10" t="str">
        <f>IF(TimeEntry[[#This Row],[Date]]=0,"",TEXT(TimeEntry[[#This Row],[Date]],"ddd"))</f>
        <v>Wed</v>
      </c>
      <c r="K511" s="9" t="str">
        <f>IF(TimeEntry[[#This Row],[Project]]=0,"",INDEX(ProjectsAll[job number],MATCH(TimeEntry[[#This Row],[Project]],ProjectsAll[Project],0)))</f>
        <v>265720-10</v>
      </c>
      <c r="L511" s="6" t="s">
        <v>277</v>
      </c>
      <c r="M511" s="6">
        <v>7.5</v>
      </c>
      <c r="N511" s="9">
        <f>IF(TimeEntry[[#This Row],[Date]]=0,"",WEEKDAY(C511,2))</f>
        <v>3</v>
      </c>
      <c r="O511" s="10">
        <f>YEAR(TimeEntry[[#This Row],[WkEnd]])</f>
        <v>2019</v>
      </c>
      <c r="P511" s="10">
        <f>WEEKNUM(TimeEntry[[#This Row],[WkEnd]])</f>
        <v>15</v>
      </c>
      <c r="Q511" s="10" t="str">
        <f>TimeEntry[[#This Row],[Year]]&amp;"-"&amp;TimeEntry[[#This Row],[WkNo]]</f>
        <v>2019-15</v>
      </c>
    </row>
    <row r="512" spans="1:17" ht="30" x14ac:dyDescent="0.25">
      <c r="A512" s="9" t="e">
        <f>MOD(IF(ROW()=11,0.1,IF(INDEX(TimeEntry[WkEnd],ROW()-10)            =            INDEX(TimeEntry[WkEnd],ROW()-11),               INDEX(TimeEntry[format],ROW()-11),               INDEX(TimeEntry[format],ROW()-11)    +1)),2)</f>
        <v>#VALUE!</v>
      </c>
      <c r="B512" s="14"/>
      <c r="C512" s="7">
        <v>43559</v>
      </c>
      <c r="D512" s="7"/>
      <c r="E512" s="7"/>
      <c r="F512" s="6" t="s">
        <v>86</v>
      </c>
      <c r="G512" s="6"/>
      <c r="H512" s="7">
        <f>IF(TimeEntry[[#This Row],[Date]]=0,H511,C512+(7-N512))</f>
        <v>43562</v>
      </c>
      <c r="I512" s="7">
        <f>TimeEntry[[#This Row],[Date]]</f>
        <v>43559</v>
      </c>
      <c r="J512" s="10" t="str">
        <f>IF(TimeEntry[[#This Row],[Date]]=0,"",TEXT(TimeEntry[[#This Row],[Date]],"ddd"))</f>
        <v>Thu</v>
      </c>
      <c r="K512" s="9" t="str">
        <f>IF(TimeEntry[[#This Row],[Project]]=0,"",INDEX(ProjectsAll[job number],MATCH(TimeEntry[[#This Row],[Project]],ProjectsAll[Project],0)))</f>
        <v>265720-10</v>
      </c>
      <c r="L512" s="6" t="s">
        <v>287</v>
      </c>
      <c r="M512" s="6">
        <v>7.5</v>
      </c>
      <c r="N512" s="9">
        <f>IF(TimeEntry[[#This Row],[Date]]=0,"",WEEKDAY(C512,2))</f>
        <v>4</v>
      </c>
      <c r="O512" s="10">
        <f>YEAR(TimeEntry[[#This Row],[WkEnd]])</f>
        <v>2019</v>
      </c>
      <c r="P512" s="10">
        <f>WEEKNUM(TimeEntry[[#This Row],[WkEnd]])</f>
        <v>15</v>
      </c>
      <c r="Q512" s="10" t="str">
        <f>TimeEntry[[#This Row],[Year]]&amp;"-"&amp;TimeEntry[[#This Row],[WkNo]]</f>
        <v>2019-15</v>
      </c>
    </row>
    <row r="513" spans="1:17" ht="30" x14ac:dyDescent="0.25">
      <c r="A513" s="9" t="e">
        <f>MOD(IF(ROW()=11,0.1,IF(INDEX(TimeEntry[WkEnd],ROW()-10)            =            INDEX(TimeEntry[WkEnd],ROW()-11),               INDEX(TimeEntry[format],ROW()-11),               INDEX(TimeEntry[format],ROW()-11)    +1)),2)</f>
        <v>#VALUE!</v>
      </c>
      <c r="B513" s="14"/>
      <c r="C513" s="7">
        <v>43560</v>
      </c>
      <c r="D513" s="7"/>
      <c r="E513" s="7"/>
      <c r="F513" s="6" t="s">
        <v>86</v>
      </c>
      <c r="G513" s="6"/>
      <c r="H513" s="7">
        <f>IF(TimeEntry[[#This Row],[Date]]=0,H512,C513+(7-N513))</f>
        <v>43562</v>
      </c>
      <c r="I513" s="7">
        <f>TimeEntry[[#This Row],[Date]]</f>
        <v>43560</v>
      </c>
      <c r="J513" s="10" t="str">
        <f>IF(TimeEntry[[#This Row],[Date]]=0,"",TEXT(TimeEntry[[#This Row],[Date]],"ddd"))</f>
        <v>Fri</v>
      </c>
      <c r="K513" s="9" t="str">
        <f>IF(TimeEntry[[#This Row],[Project]]=0,"",INDEX(ProjectsAll[job number],MATCH(TimeEntry[[#This Row],[Project]],ProjectsAll[Project],0)))</f>
        <v>265720-10</v>
      </c>
      <c r="L513" s="6" t="s">
        <v>142</v>
      </c>
      <c r="M513" s="6">
        <v>7.5</v>
      </c>
      <c r="N513" s="9">
        <f>IF(TimeEntry[[#This Row],[Date]]=0,"",WEEKDAY(C513,2))</f>
        <v>5</v>
      </c>
      <c r="O513" s="10">
        <f>YEAR(TimeEntry[[#This Row],[WkEnd]])</f>
        <v>2019</v>
      </c>
      <c r="P513" s="10">
        <f>WEEKNUM(TimeEntry[[#This Row],[WkEnd]])</f>
        <v>15</v>
      </c>
      <c r="Q513" s="10" t="str">
        <f>TimeEntry[[#This Row],[Year]]&amp;"-"&amp;TimeEntry[[#This Row],[WkNo]]</f>
        <v>2019-15</v>
      </c>
    </row>
    <row r="514" spans="1:17" ht="30" x14ac:dyDescent="0.25">
      <c r="A514" s="9" t="e">
        <f>MOD(IF(ROW()=11,0.1,IF(INDEX(TimeEntry[WkEnd],ROW()-10)            =            INDEX(TimeEntry[WkEnd],ROW()-11),               INDEX(TimeEntry[format],ROW()-11),               INDEX(TimeEntry[format],ROW()-11)    +1)),2)</f>
        <v>#VALUE!</v>
      </c>
      <c r="B514" s="14"/>
      <c r="C514" s="7">
        <v>43549</v>
      </c>
      <c r="D514" s="7"/>
      <c r="E514" s="7"/>
      <c r="F514" s="6" t="s">
        <v>86</v>
      </c>
      <c r="G514" s="6"/>
      <c r="H514" s="7">
        <f>IF(TimeEntry[[#This Row],[Date]]=0,H513,C514+(7-N514))</f>
        <v>43555</v>
      </c>
      <c r="I514" s="7">
        <f>TimeEntry[[#This Row],[Date]]</f>
        <v>43549</v>
      </c>
      <c r="J514" s="10" t="str">
        <f>IF(TimeEntry[[#This Row],[Date]]=0,"",TEXT(TimeEntry[[#This Row],[Date]],"ddd"))</f>
        <v>Mon</v>
      </c>
      <c r="K514" s="9" t="str">
        <f>IF(TimeEntry[[#This Row],[Project]]=0,"",INDEX(ProjectsAll[job number],MATCH(TimeEntry[[#This Row],[Project]],ProjectsAll[Project],0)))</f>
        <v>265720-10</v>
      </c>
      <c r="L514" s="6" t="s">
        <v>142</v>
      </c>
      <c r="M514" s="6">
        <v>7.5</v>
      </c>
      <c r="N514" s="9">
        <f>IF(TimeEntry[[#This Row],[Date]]=0,"",WEEKDAY(C514,2))</f>
        <v>1</v>
      </c>
      <c r="O514" s="10">
        <f>YEAR(TimeEntry[[#This Row],[WkEnd]])</f>
        <v>2019</v>
      </c>
      <c r="P514" s="10">
        <f>WEEKNUM(TimeEntry[[#This Row],[WkEnd]])</f>
        <v>14</v>
      </c>
      <c r="Q514" s="10" t="str">
        <f>TimeEntry[[#This Row],[Year]]&amp;"-"&amp;TimeEntry[[#This Row],[WkNo]]</f>
        <v>2019-14</v>
      </c>
    </row>
    <row r="515" spans="1:17" ht="30" x14ac:dyDescent="0.25">
      <c r="A515" s="9" t="e">
        <f>MOD(IF(ROW()=11,0.1,IF(INDEX(TimeEntry[WkEnd],ROW()-10)            =            INDEX(TimeEntry[WkEnd],ROW()-11),               INDEX(TimeEntry[format],ROW()-11),               INDEX(TimeEntry[format],ROW()-11)    +1)),2)</f>
        <v>#VALUE!</v>
      </c>
      <c r="B515" s="14"/>
      <c r="C515" s="7">
        <v>43550</v>
      </c>
      <c r="D515" s="7"/>
      <c r="E515" s="7"/>
      <c r="F515" s="6" t="s">
        <v>86</v>
      </c>
      <c r="G515" s="6"/>
      <c r="H515" s="7">
        <f>IF(TimeEntry[[#This Row],[Date]]=0,H514,C515+(7-N515))</f>
        <v>43555</v>
      </c>
      <c r="I515" s="7">
        <f>TimeEntry[[#This Row],[Date]]</f>
        <v>43550</v>
      </c>
      <c r="J515" s="10" t="str">
        <f>IF(TimeEntry[[#This Row],[Date]]=0,"",TEXT(TimeEntry[[#This Row],[Date]],"ddd"))</f>
        <v>Tue</v>
      </c>
      <c r="K515" s="9" t="str">
        <f>IF(TimeEntry[[#This Row],[Project]]=0,"",INDEX(ProjectsAll[job number],MATCH(TimeEntry[[#This Row],[Project]],ProjectsAll[Project],0)))</f>
        <v>265720-10</v>
      </c>
      <c r="L515" s="6" t="s">
        <v>236</v>
      </c>
      <c r="M515" s="6">
        <v>2</v>
      </c>
      <c r="N515" s="9">
        <f>IF(TimeEntry[[#This Row],[Date]]=0,"",WEEKDAY(C515,2))</f>
        <v>2</v>
      </c>
      <c r="O515" s="10">
        <f>YEAR(TimeEntry[[#This Row],[WkEnd]])</f>
        <v>2019</v>
      </c>
      <c r="P515" s="10">
        <f>WEEKNUM(TimeEntry[[#This Row],[WkEnd]])</f>
        <v>14</v>
      </c>
      <c r="Q515" s="10" t="str">
        <f>TimeEntry[[#This Row],[Year]]&amp;"-"&amp;TimeEntry[[#This Row],[WkNo]]</f>
        <v>2019-14</v>
      </c>
    </row>
    <row r="516" spans="1:17" ht="30" x14ac:dyDescent="0.25">
      <c r="A516" s="9" t="e">
        <f>MOD(IF(ROW()=11,0.1,IF(INDEX(TimeEntry[WkEnd],ROW()-10)            =            INDEX(TimeEntry[WkEnd],ROW()-11),               INDEX(TimeEntry[format],ROW()-11),               INDEX(TimeEntry[format],ROW()-11)    +1)),2)</f>
        <v>#VALUE!</v>
      </c>
      <c r="B516" s="14"/>
      <c r="C516" s="7">
        <v>43550</v>
      </c>
      <c r="D516" s="7"/>
      <c r="E516" s="7"/>
      <c r="F516" s="6" t="s">
        <v>86</v>
      </c>
      <c r="G516" s="6"/>
      <c r="H516" s="7">
        <f>IF(TimeEntry[[#This Row],[Date]]=0,H515,C516+(7-N516))</f>
        <v>43555</v>
      </c>
      <c r="I516" s="7">
        <f>TimeEntry[[#This Row],[Date]]</f>
        <v>43550</v>
      </c>
      <c r="J516" s="10" t="str">
        <f>IF(TimeEntry[[#This Row],[Date]]=0,"",TEXT(TimeEntry[[#This Row],[Date]],"ddd"))</f>
        <v>Tue</v>
      </c>
      <c r="K516" s="9" t="str">
        <f>IF(TimeEntry[[#This Row],[Project]]=0,"",INDEX(ProjectsAll[job number],MATCH(TimeEntry[[#This Row],[Project]],ProjectsAll[Project],0)))</f>
        <v>265720-10</v>
      </c>
      <c r="L516" s="6" t="s">
        <v>288</v>
      </c>
      <c r="M516" s="6">
        <v>3</v>
      </c>
      <c r="N516" s="9">
        <f>IF(TimeEntry[[#This Row],[Date]]=0,"",WEEKDAY(C516,2))</f>
        <v>2</v>
      </c>
      <c r="O516" s="10">
        <f>YEAR(TimeEntry[[#This Row],[WkEnd]])</f>
        <v>2019</v>
      </c>
      <c r="P516" s="10">
        <f>WEEKNUM(TimeEntry[[#This Row],[WkEnd]])</f>
        <v>14</v>
      </c>
      <c r="Q516" s="10" t="str">
        <f>TimeEntry[[#This Row],[Year]]&amp;"-"&amp;TimeEntry[[#This Row],[WkNo]]</f>
        <v>2019-14</v>
      </c>
    </row>
    <row r="517" spans="1:17" ht="30" x14ac:dyDescent="0.25">
      <c r="A517" s="9" t="e">
        <f>MOD(IF(ROW()=11,0.1,IF(INDEX(TimeEntry[WkEnd],ROW()-10)            =            INDEX(TimeEntry[WkEnd],ROW()-11),               INDEX(TimeEntry[format],ROW()-11),               INDEX(TimeEntry[format],ROW()-11)    +1)),2)</f>
        <v>#VALUE!</v>
      </c>
      <c r="B517" s="14"/>
      <c r="C517" s="7">
        <v>43550</v>
      </c>
      <c r="D517" s="7"/>
      <c r="E517" s="7"/>
      <c r="F517" s="6" t="s">
        <v>74</v>
      </c>
      <c r="G517" s="6"/>
      <c r="H517" s="7">
        <f>IF(TimeEntry[[#This Row],[Date]]=0,H516,C517+(7-N517))</f>
        <v>43555</v>
      </c>
      <c r="I517" s="7">
        <f>TimeEntry[[#This Row],[Date]]</f>
        <v>43550</v>
      </c>
      <c r="J517" s="10" t="str">
        <f>IF(TimeEntry[[#This Row],[Date]]=0,"",TEXT(TimeEntry[[#This Row],[Date]],"ddd"))</f>
        <v>Tue</v>
      </c>
      <c r="K517" s="9" t="str">
        <f>IF(TimeEntry[[#This Row],[Project]]=0,"",INDEX(ProjectsAll[job number],MATCH(TimeEntry[[#This Row],[Project]],ProjectsAll[Project],0)))</f>
        <v>261723-02</v>
      </c>
      <c r="L517" s="6" t="s">
        <v>289</v>
      </c>
      <c r="M517" s="6">
        <v>2.5</v>
      </c>
      <c r="N517" s="9">
        <f>IF(TimeEntry[[#This Row],[Date]]=0,"",WEEKDAY(C517,2))</f>
        <v>2</v>
      </c>
      <c r="O517" s="10">
        <f>YEAR(TimeEntry[[#This Row],[WkEnd]])</f>
        <v>2019</v>
      </c>
      <c r="P517" s="10">
        <f>WEEKNUM(TimeEntry[[#This Row],[WkEnd]])</f>
        <v>14</v>
      </c>
      <c r="Q517" s="10" t="str">
        <f>TimeEntry[[#This Row],[Year]]&amp;"-"&amp;TimeEntry[[#This Row],[WkNo]]</f>
        <v>2019-14</v>
      </c>
    </row>
    <row r="518" spans="1:17" ht="30" x14ac:dyDescent="0.25">
      <c r="A518" s="9" t="e">
        <f>MOD(IF(ROW()=11,0.1,IF(INDEX(TimeEntry[WkEnd],ROW()-10)            =            INDEX(TimeEntry[WkEnd],ROW()-11),               INDEX(TimeEntry[format],ROW()-11),               INDEX(TimeEntry[format],ROW()-11)    +1)),2)</f>
        <v>#VALUE!</v>
      </c>
      <c r="B518" s="14"/>
      <c r="C518" s="7">
        <v>43551</v>
      </c>
      <c r="D518" s="7"/>
      <c r="E518" s="7"/>
      <c r="F518" s="6" t="s">
        <v>74</v>
      </c>
      <c r="G518" s="6"/>
      <c r="H518" s="7">
        <f>IF(TimeEntry[[#This Row],[Date]]=0,H517,C518+(7-N518))</f>
        <v>43555</v>
      </c>
      <c r="I518" s="7">
        <f>TimeEntry[[#This Row],[Date]]</f>
        <v>43551</v>
      </c>
      <c r="J518" s="10" t="str">
        <f>IF(TimeEntry[[#This Row],[Date]]=0,"",TEXT(TimeEntry[[#This Row],[Date]],"ddd"))</f>
        <v>Wed</v>
      </c>
      <c r="K518" s="9" t="str">
        <f>IF(TimeEntry[[#This Row],[Project]]=0,"",INDEX(ProjectsAll[job number],MATCH(TimeEntry[[#This Row],[Project]],ProjectsAll[Project],0)))</f>
        <v>261723-02</v>
      </c>
      <c r="L518" s="6" t="s">
        <v>289</v>
      </c>
      <c r="M518" s="6">
        <v>5</v>
      </c>
      <c r="N518" s="9">
        <f>IF(TimeEntry[[#This Row],[Date]]=0,"",WEEKDAY(C518,2))</f>
        <v>3</v>
      </c>
      <c r="O518" s="10">
        <f>YEAR(TimeEntry[[#This Row],[WkEnd]])</f>
        <v>2019</v>
      </c>
      <c r="P518" s="10">
        <f>WEEKNUM(TimeEntry[[#This Row],[WkEnd]])</f>
        <v>14</v>
      </c>
      <c r="Q518" s="10" t="str">
        <f>TimeEntry[[#This Row],[Year]]&amp;"-"&amp;TimeEntry[[#This Row],[WkNo]]</f>
        <v>2019-14</v>
      </c>
    </row>
    <row r="519" spans="1:17" ht="30" x14ac:dyDescent="0.25">
      <c r="A519" s="9" t="e">
        <f>MOD(IF(ROW()=11,0.1,IF(INDEX(TimeEntry[WkEnd],ROW()-10)            =            INDEX(TimeEntry[WkEnd],ROW()-11),               INDEX(TimeEntry[format],ROW()-11),               INDEX(TimeEntry[format],ROW()-11)    +1)),2)</f>
        <v>#VALUE!</v>
      </c>
      <c r="B519" s="14"/>
      <c r="C519" s="7">
        <v>43551</v>
      </c>
      <c r="D519" s="7"/>
      <c r="E519" s="7"/>
      <c r="F519" s="6" t="s">
        <v>86</v>
      </c>
      <c r="G519" s="6"/>
      <c r="H519" s="7">
        <f>IF(TimeEntry[[#This Row],[Date]]=0,H518,C519+(7-N519))</f>
        <v>43555</v>
      </c>
      <c r="I519" s="7">
        <f>TimeEntry[[#This Row],[Date]]</f>
        <v>43551</v>
      </c>
      <c r="J519" s="10" t="str">
        <f>IF(TimeEntry[[#This Row],[Date]]=0,"",TEXT(TimeEntry[[#This Row],[Date]],"ddd"))</f>
        <v>Wed</v>
      </c>
      <c r="K519" s="9" t="str">
        <f>IF(TimeEntry[[#This Row],[Project]]=0,"",INDEX(ProjectsAll[job number],MATCH(TimeEntry[[#This Row],[Project]],ProjectsAll[Project],0)))</f>
        <v>265720-10</v>
      </c>
      <c r="L519" s="6" t="s">
        <v>278</v>
      </c>
      <c r="M519" s="6">
        <v>2.5</v>
      </c>
      <c r="N519" s="9">
        <f>IF(TimeEntry[[#This Row],[Date]]=0,"",WEEKDAY(C519,2))</f>
        <v>3</v>
      </c>
      <c r="O519" s="10">
        <f>YEAR(TimeEntry[[#This Row],[WkEnd]])</f>
        <v>2019</v>
      </c>
      <c r="P519" s="10">
        <f>WEEKNUM(TimeEntry[[#This Row],[WkEnd]])</f>
        <v>14</v>
      </c>
      <c r="Q519" s="10" t="str">
        <f>TimeEntry[[#This Row],[Year]]&amp;"-"&amp;TimeEntry[[#This Row],[WkNo]]</f>
        <v>2019-14</v>
      </c>
    </row>
    <row r="520" spans="1:17" ht="30" x14ac:dyDescent="0.25">
      <c r="A520" s="9" t="e">
        <f>MOD(IF(ROW()=11,0.1,IF(INDEX(TimeEntry[WkEnd],ROW()-10)            =            INDEX(TimeEntry[WkEnd],ROW()-11),               INDEX(TimeEntry[format],ROW()-11),               INDEX(TimeEntry[format],ROW()-11)    +1)),2)</f>
        <v>#VALUE!</v>
      </c>
      <c r="B520" s="14"/>
      <c r="C520" s="7">
        <v>43552</v>
      </c>
      <c r="D520" s="7"/>
      <c r="E520" s="7"/>
      <c r="F520" s="6" t="s">
        <v>74</v>
      </c>
      <c r="G520" s="6"/>
      <c r="H520" s="7">
        <f>IF(TimeEntry[[#This Row],[Date]]=0,H519,C520+(7-N520))</f>
        <v>43555</v>
      </c>
      <c r="I520" s="7">
        <f>TimeEntry[[#This Row],[Date]]</f>
        <v>43552</v>
      </c>
      <c r="J520" s="10" t="str">
        <f>IF(TimeEntry[[#This Row],[Date]]=0,"",TEXT(TimeEntry[[#This Row],[Date]],"ddd"))</f>
        <v>Thu</v>
      </c>
      <c r="K520" s="9" t="str">
        <f>IF(TimeEntry[[#This Row],[Project]]=0,"",INDEX(ProjectsAll[job number],MATCH(TimeEntry[[#This Row],[Project]],ProjectsAll[Project],0)))</f>
        <v>261723-02</v>
      </c>
      <c r="L520" s="6" t="s">
        <v>289</v>
      </c>
      <c r="M520" s="6">
        <v>2.5</v>
      </c>
      <c r="N520" s="9">
        <f>IF(TimeEntry[[#This Row],[Date]]=0,"",WEEKDAY(C520,2))</f>
        <v>4</v>
      </c>
      <c r="O520" s="10">
        <f>YEAR(TimeEntry[[#This Row],[WkEnd]])</f>
        <v>2019</v>
      </c>
      <c r="P520" s="10">
        <f>WEEKNUM(TimeEntry[[#This Row],[WkEnd]])</f>
        <v>14</v>
      </c>
      <c r="Q520" s="10" t="str">
        <f>TimeEntry[[#This Row],[Year]]&amp;"-"&amp;TimeEntry[[#This Row],[WkNo]]</f>
        <v>2019-14</v>
      </c>
    </row>
    <row r="521" spans="1:17" ht="30" x14ac:dyDescent="0.25">
      <c r="A521" s="9" t="e">
        <f>MOD(IF(ROW()=11,0.1,IF(INDEX(TimeEntry[WkEnd],ROW()-10)            =            INDEX(TimeEntry[WkEnd],ROW()-11),               INDEX(TimeEntry[format],ROW()-11),               INDEX(TimeEntry[format],ROW()-11)    +1)),2)</f>
        <v>#VALUE!</v>
      </c>
      <c r="B521" s="14"/>
      <c r="C521" s="7">
        <v>43552</v>
      </c>
      <c r="D521" s="7"/>
      <c r="E521" s="7"/>
      <c r="F521" s="6" t="s">
        <v>86</v>
      </c>
      <c r="G521" s="6"/>
      <c r="H521" s="7">
        <f>IF(TimeEntry[[#This Row],[Date]]=0,H520,C521+(7-N521))</f>
        <v>43555</v>
      </c>
      <c r="I521" s="7">
        <f>TimeEntry[[#This Row],[Date]]</f>
        <v>43552</v>
      </c>
      <c r="J521" s="10" t="str">
        <f>IF(TimeEntry[[#This Row],[Date]]=0,"",TEXT(TimeEntry[[#This Row],[Date]],"ddd"))</f>
        <v>Thu</v>
      </c>
      <c r="K521" s="9" t="str">
        <f>IF(TimeEntry[[#This Row],[Project]]=0,"",INDEX(ProjectsAll[job number],MATCH(TimeEntry[[#This Row],[Project]],ProjectsAll[Project],0)))</f>
        <v>265720-10</v>
      </c>
      <c r="L521" s="6" t="s">
        <v>290</v>
      </c>
      <c r="M521" s="6">
        <v>5</v>
      </c>
      <c r="N521" s="9">
        <f>IF(TimeEntry[[#This Row],[Date]]=0,"",WEEKDAY(C521,2))</f>
        <v>4</v>
      </c>
      <c r="O521" s="10">
        <f>YEAR(TimeEntry[[#This Row],[WkEnd]])</f>
        <v>2019</v>
      </c>
      <c r="P521" s="10">
        <f>WEEKNUM(TimeEntry[[#This Row],[WkEnd]])</f>
        <v>14</v>
      </c>
      <c r="Q521" s="10" t="str">
        <f>TimeEntry[[#This Row],[Year]]&amp;"-"&amp;TimeEntry[[#This Row],[WkNo]]</f>
        <v>2019-14</v>
      </c>
    </row>
    <row r="522" spans="1:17" ht="30" x14ac:dyDescent="0.25">
      <c r="A522" s="9" t="e">
        <f>MOD(IF(ROW()=11,0.1,IF(INDEX(TimeEntry[WkEnd],ROW()-10)            =            INDEX(TimeEntry[WkEnd],ROW()-11),               INDEX(TimeEntry[format],ROW()-11),               INDEX(TimeEntry[format],ROW()-11)    +1)),2)</f>
        <v>#VALUE!</v>
      </c>
      <c r="B522" s="14"/>
      <c r="C522" s="7">
        <v>43553</v>
      </c>
      <c r="D522" s="7"/>
      <c r="E522" s="7"/>
      <c r="F522" s="6" t="s">
        <v>86</v>
      </c>
      <c r="G522" s="6"/>
      <c r="H522" s="7">
        <f>IF(TimeEntry[[#This Row],[Date]]=0,H521,C522+(7-N522))</f>
        <v>43555</v>
      </c>
      <c r="I522" s="7">
        <f>TimeEntry[[#This Row],[Date]]</f>
        <v>43553</v>
      </c>
      <c r="J522" s="10" t="str">
        <f>IF(TimeEntry[[#This Row],[Date]]=0,"",TEXT(TimeEntry[[#This Row],[Date]],"ddd"))</f>
        <v>Fri</v>
      </c>
      <c r="K522" s="9" t="str">
        <f>IF(TimeEntry[[#This Row],[Project]]=0,"",INDEX(ProjectsAll[job number],MATCH(TimeEntry[[#This Row],[Project]],ProjectsAll[Project],0)))</f>
        <v>265720-10</v>
      </c>
      <c r="L522" s="6" t="s">
        <v>291</v>
      </c>
      <c r="M522" s="6">
        <v>7.5</v>
      </c>
      <c r="N522" s="9">
        <f>IF(TimeEntry[[#This Row],[Date]]=0,"",WEEKDAY(C522,2))</f>
        <v>5</v>
      </c>
      <c r="O522" s="10">
        <f>YEAR(TimeEntry[[#This Row],[WkEnd]])</f>
        <v>2019</v>
      </c>
      <c r="P522" s="10">
        <f>WEEKNUM(TimeEntry[[#This Row],[WkEnd]])</f>
        <v>14</v>
      </c>
      <c r="Q522" s="10" t="str">
        <f>TimeEntry[[#This Row],[Year]]&amp;"-"&amp;TimeEntry[[#This Row],[WkNo]]</f>
        <v>2019-14</v>
      </c>
    </row>
    <row r="523" spans="1:17" ht="30" x14ac:dyDescent="0.25">
      <c r="A523" s="9" t="e">
        <f>MOD(IF(ROW()=11,0.1,IF(INDEX(TimeEntry[WkEnd],ROW()-10)            =            INDEX(TimeEntry[WkEnd],ROW()-11),               INDEX(TimeEntry[format],ROW()-11),               INDEX(TimeEntry[format],ROW()-11)    +1)),2)</f>
        <v>#VALUE!</v>
      </c>
      <c r="B523" s="14"/>
      <c r="C523" s="7">
        <v>43542</v>
      </c>
      <c r="D523" s="7"/>
      <c r="E523" s="7"/>
      <c r="F523" s="6" t="s">
        <v>4</v>
      </c>
      <c r="G523" s="6"/>
      <c r="H523" s="7">
        <f>IF(TimeEntry[[#This Row],[Date]]=0,H522,C523+(7-N523))</f>
        <v>43548</v>
      </c>
      <c r="I523" s="7">
        <f>TimeEntry[[#This Row],[Date]]</f>
        <v>43542</v>
      </c>
      <c r="J523" s="10" t="str">
        <f>IF(TimeEntry[[#This Row],[Date]]=0,"",TEXT(TimeEntry[[#This Row],[Date]],"ddd"))</f>
        <v>Mon</v>
      </c>
      <c r="K523" s="9" t="str">
        <f>IF(TimeEntry[[#This Row],[Project]]=0,"",INDEX(ProjectsAll[job number],MATCH(TimeEntry[[#This Row],[Project]],ProjectsAll[Project],0)))</f>
        <v>266122-21</v>
      </c>
      <c r="L523" s="6" t="s">
        <v>292</v>
      </c>
      <c r="M523" s="6">
        <v>7.5</v>
      </c>
      <c r="N523" s="9">
        <f>IF(TimeEntry[[#This Row],[Date]]=0,"",WEEKDAY(C523,2))</f>
        <v>1</v>
      </c>
      <c r="O523" s="10">
        <f>YEAR(TimeEntry[[#This Row],[WkEnd]])</f>
        <v>2019</v>
      </c>
      <c r="P523" s="10">
        <f>WEEKNUM(TimeEntry[[#This Row],[WkEnd]])</f>
        <v>13</v>
      </c>
      <c r="Q523" s="10" t="str">
        <f>TimeEntry[[#This Row],[Year]]&amp;"-"&amp;TimeEntry[[#This Row],[WkNo]]</f>
        <v>2019-13</v>
      </c>
    </row>
    <row r="524" spans="1:17" ht="30" x14ac:dyDescent="0.25">
      <c r="A524" s="9" t="e">
        <f>MOD(IF(ROW()=11,0.1,IF(INDEX(TimeEntry[WkEnd],ROW()-10)            =            INDEX(TimeEntry[WkEnd],ROW()-11),               INDEX(TimeEntry[format],ROW()-11),               INDEX(TimeEntry[format],ROW()-11)    +1)),2)</f>
        <v>#VALUE!</v>
      </c>
      <c r="B524" s="14"/>
      <c r="C524" s="7">
        <v>43543</v>
      </c>
      <c r="D524" s="7"/>
      <c r="E524" s="7"/>
      <c r="F524" s="6" t="s">
        <v>86</v>
      </c>
      <c r="G524" s="6"/>
      <c r="H524" s="7">
        <f>IF(TimeEntry[[#This Row],[Date]]=0,H523,C524+(7-N524))</f>
        <v>43548</v>
      </c>
      <c r="I524" s="7">
        <f>TimeEntry[[#This Row],[Date]]</f>
        <v>43543</v>
      </c>
      <c r="J524" s="10" t="str">
        <f>IF(TimeEntry[[#This Row],[Date]]=0,"",TEXT(TimeEntry[[#This Row],[Date]],"ddd"))</f>
        <v>Tue</v>
      </c>
      <c r="K524" s="9" t="str">
        <f>IF(TimeEntry[[#This Row],[Project]]=0,"",INDEX(ProjectsAll[job number],MATCH(TimeEntry[[#This Row],[Project]],ProjectsAll[Project],0)))</f>
        <v>265720-10</v>
      </c>
      <c r="L524" s="6" t="s">
        <v>293</v>
      </c>
      <c r="M524" s="6">
        <v>7.5</v>
      </c>
      <c r="N524" s="9">
        <f>IF(TimeEntry[[#This Row],[Date]]=0,"",WEEKDAY(C524,2))</f>
        <v>2</v>
      </c>
      <c r="O524" s="10">
        <f>YEAR(TimeEntry[[#This Row],[WkEnd]])</f>
        <v>2019</v>
      </c>
      <c r="P524" s="10">
        <f>WEEKNUM(TimeEntry[[#This Row],[WkEnd]])</f>
        <v>13</v>
      </c>
      <c r="Q524" s="10" t="str">
        <f>TimeEntry[[#This Row],[Year]]&amp;"-"&amp;TimeEntry[[#This Row],[WkNo]]</f>
        <v>2019-13</v>
      </c>
    </row>
    <row r="525" spans="1:17" ht="30" x14ac:dyDescent="0.25">
      <c r="A525" s="9" t="e">
        <f>MOD(IF(ROW()=11,0.1,IF(INDEX(TimeEntry[WkEnd],ROW()-10)            =            INDEX(TimeEntry[WkEnd],ROW()-11),               INDEX(TimeEntry[format],ROW()-11),               INDEX(TimeEntry[format],ROW()-11)    +1)),2)</f>
        <v>#VALUE!</v>
      </c>
      <c r="B525" s="14"/>
      <c r="C525" s="7">
        <v>43544</v>
      </c>
      <c r="D525" s="7"/>
      <c r="E525" s="7"/>
      <c r="F525" s="6" t="s">
        <v>86</v>
      </c>
      <c r="G525" s="6"/>
      <c r="H525" s="7">
        <f>IF(TimeEntry[[#This Row],[Date]]=0,H524,C525+(7-N525))</f>
        <v>43548</v>
      </c>
      <c r="I525" s="7">
        <f>TimeEntry[[#This Row],[Date]]</f>
        <v>43544</v>
      </c>
      <c r="J525" s="10" t="str">
        <f>IF(TimeEntry[[#This Row],[Date]]=0,"",TEXT(TimeEntry[[#This Row],[Date]],"ddd"))</f>
        <v>Wed</v>
      </c>
      <c r="K525" s="9" t="str">
        <f>IF(TimeEntry[[#This Row],[Project]]=0,"",INDEX(ProjectsAll[job number],MATCH(TimeEntry[[#This Row],[Project]],ProjectsAll[Project],0)))</f>
        <v>265720-10</v>
      </c>
      <c r="L525" s="6" t="s">
        <v>294</v>
      </c>
      <c r="M525" s="6">
        <v>7.5</v>
      </c>
      <c r="N525" s="9">
        <f>IF(TimeEntry[[#This Row],[Date]]=0,"",WEEKDAY(C525,2))</f>
        <v>3</v>
      </c>
      <c r="O525" s="10">
        <f>YEAR(TimeEntry[[#This Row],[WkEnd]])</f>
        <v>2019</v>
      </c>
      <c r="P525" s="10">
        <f>WEEKNUM(TimeEntry[[#This Row],[WkEnd]])</f>
        <v>13</v>
      </c>
      <c r="Q525" s="10" t="str">
        <f>TimeEntry[[#This Row],[Year]]&amp;"-"&amp;TimeEntry[[#This Row],[WkNo]]</f>
        <v>2019-13</v>
      </c>
    </row>
    <row r="526" spans="1:17" ht="30" x14ac:dyDescent="0.25">
      <c r="A526" s="9" t="e">
        <f>MOD(IF(ROW()=11,0.1,IF(INDEX(TimeEntry[WkEnd],ROW()-10)            =            INDEX(TimeEntry[WkEnd],ROW()-11),               INDEX(TimeEntry[format],ROW()-11),               INDEX(TimeEntry[format],ROW()-11)    +1)),2)</f>
        <v>#VALUE!</v>
      </c>
      <c r="B526" s="14"/>
      <c r="C526" s="7">
        <v>43545</v>
      </c>
      <c r="D526" s="7"/>
      <c r="E526" s="7"/>
      <c r="F526" s="6" t="s">
        <v>86</v>
      </c>
      <c r="G526" s="6"/>
      <c r="H526" s="7">
        <f>IF(TimeEntry[[#This Row],[Date]]=0,H525,C526+(7-N526))</f>
        <v>43548</v>
      </c>
      <c r="I526" s="7">
        <f>TimeEntry[[#This Row],[Date]]</f>
        <v>43545</v>
      </c>
      <c r="J526" s="10" t="str">
        <f>IF(TimeEntry[[#This Row],[Date]]=0,"",TEXT(TimeEntry[[#This Row],[Date]],"ddd"))</f>
        <v>Thu</v>
      </c>
      <c r="K526" s="9" t="str">
        <f>IF(TimeEntry[[#This Row],[Project]]=0,"",INDEX(ProjectsAll[job number],MATCH(TimeEntry[[#This Row],[Project]],ProjectsAll[Project],0)))</f>
        <v>265720-10</v>
      </c>
      <c r="L526" s="6" t="s">
        <v>295</v>
      </c>
      <c r="M526" s="6">
        <v>7.5</v>
      </c>
      <c r="N526" s="9">
        <f>IF(TimeEntry[[#This Row],[Date]]=0,"",WEEKDAY(C526,2))</f>
        <v>4</v>
      </c>
      <c r="O526" s="10">
        <f>YEAR(TimeEntry[[#This Row],[WkEnd]])</f>
        <v>2019</v>
      </c>
      <c r="P526" s="10">
        <f>WEEKNUM(TimeEntry[[#This Row],[WkEnd]])</f>
        <v>13</v>
      </c>
      <c r="Q526" s="10" t="str">
        <f>TimeEntry[[#This Row],[Year]]&amp;"-"&amp;TimeEntry[[#This Row],[WkNo]]</f>
        <v>2019-13</v>
      </c>
    </row>
    <row r="527" spans="1:17" ht="30" x14ac:dyDescent="0.25">
      <c r="A527" s="9" t="e">
        <f>MOD(IF(ROW()=11,0.1,IF(INDEX(TimeEntry[WkEnd],ROW()-10)            =            INDEX(TimeEntry[WkEnd],ROW()-11),               INDEX(TimeEntry[format],ROW()-11),               INDEX(TimeEntry[format],ROW()-11)    +1)),2)</f>
        <v>#VALUE!</v>
      </c>
      <c r="B527" s="14"/>
      <c r="C527" s="7">
        <v>43546</v>
      </c>
      <c r="D527" s="7"/>
      <c r="E527" s="7"/>
      <c r="F527" s="6" t="s">
        <v>4</v>
      </c>
      <c r="G527" s="6"/>
      <c r="H527" s="7">
        <f>IF(TimeEntry[[#This Row],[Date]]=0,H526,C527+(7-N527))</f>
        <v>43548</v>
      </c>
      <c r="I527" s="7">
        <f>TimeEntry[[#This Row],[Date]]</f>
        <v>43546</v>
      </c>
      <c r="J527" s="10" t="str">
        <f>IF(TimeEntry[[#This Row],[Date]]=0,"",TEXT(TimeEntry[[#This Row],[Date]],"ddd"))</f>
        <v>Fri</v>
      </c>
      <c r="K527" s="9" t="str">
        <f>IF(TimeEntry[[#This Row],[Project]]=0,"",INDEX(ProjectsAll[job number],MATCH(TimeEntry[[#This Row],[Project]],ProjectsAll[Project],0)))</f>
        <v>266122-21</v>
      </c>
      <c r="L527" s="6" t="s">
        <v>292</v>
      </c>
      <c r="M527" s="6">
        <v>7.5</v>
      </c>
      <c r="N527" s="9">
        <f>IF(TimeEntry[[#This Row],[Date]]=0,"",WEEKDAY(C527,2))</f>
        <v>5</v>
      </c>
      <c r="O527" s="10">
        <f>YEAR(TimeEntry[[#This Row],[WkEnd]])</f>
        <v>2019</v>
      </c>
      <c r="P527" s="10">
        <f>WEEKNUM(TimeEntry[[#This Row],[WkEnd]])</f>
        <v>13</v>
      </c>
      <c r="Q527" s="10" t="str">
        <f>TimeEntry[[#This Row],[Year]]&amp;"-"&amp;TimeEntry[[#This Row],[WkNo]]</f>
        <v>2019-13</v>
      </c>
    </row>
    <row r="528" spans="1:17" ht="30" x14ac:dyDescent="0.25">
      <c r="A528" s="9" t="e">
        <f>MOD(IF(ROW()=11,0.1,IF(INDEX(TimeEntry[WkEnd],ROW()-10)            =            INDEX(TimeEntry[WkEnd],ROW()-11),               INDEX(TimeEntry[format],ROW()-11),               INDEX(TimeEntry[format],ROW()-11)    +1)),2)</f>
        <v>#VALUE!</v>
      </c>
      <c r="B528" s="14"/>
      <c r="C528" s="7">
        <v>43535</v>
      </c>
      <c r="D528" s="7"/>
      <c r="E528" s="7"/>
      <c r="F528" s="6" t="s">
        <v>4</v>
      </c>
      <c r="G528" s="6"/>
      <c r="H528" s="7">
        <f>IF(TimeEntry[[#This Row],[Date]]=0,H527,C528+(7-N528))</f>
        <v>43541</v>
      </c>
      <c r="I528" s="7">
        <f>TimeEntry[[#This Row],[Date]]</f>
        <v>43535</v>
      </c>
      <c r="J528" s="10" t="str">
        <f>IF(TimeEntry[[#This Row],[Date]]=0,"",TEXT(TimeEntry[[#This Row],[Date]],"ddd"))</f>
        <v>Mon</v>
      </c>
      <c r="K528" s="9" t="str">
        <f>IF(TimeEntry[[#This Row],[Project]]=0,"",INDEX(ProjectsAll[job number],MATCH(TimeEntry[[#This Row],[Project]],ProjectsAll[Project],0)))</f>
        <v>266122-21</v>
      </c>
      <c r="L528" s="6" t="s">
        <v>296</v>
      </c>
      <c r="M528" s="6">
        <v>5</v>
      </c>
      <c r="N528" s="9">
        <f>IF(TimeEntry[[#This Row],[Date]]=0,"",WEEKDAY(C528,2))</f>
        <v>1</v>
      </c>
      <c r="O528" s="10">
        <f>YEAR(TimeEntry[[#This Row],[WkEnd]])</f>
        <v>2019</v>
      </c>
      <c r="P528" s="10">
        <f>WEEKNUM(TimeEntry[[#This Row],[WkEnd]])</f>
        <v>12</v>
      </c>
      <c r="Q528" s="10" t="str">
        <f>TimeEntry[[#This Row],[Year]]&amp;"-"&amp;TimeEntry[[#This Row],[WkNo]]</f>
        <v>2019-12</v>
      </c>
    </row>
    <row r="529" spans="1:17" ht="30" x14ac:dyDescent="0.25">
      <c r="A529" s="9" t="e">
        <f>MOD(IF(ROW()=11,0.1,IF(INDEX(TimeEntry[WkEnd],ROW()-10)            =            INDEX(TimeEntry[WkEnd],ROW()-11),               INDEX(TimeEntry[format],ROW()-11),               INDEX(TimeEntry[format],ROW()-11)    +1)),2)</f>
        <v>#VALUE!</v>
      </c>
      <c r="B529" s="14"/>
      <c r="C529" s="7">
        <v>43535</v>
      </c>
      <c r="D529" s="7"/>
      <c r="E529" s="7"/>
      <c r="F529" s="6" t="s">
        <v>4</v>
      </c>
      <c r="G529" s="6"/>
      <c r="H529" s="7">
        <f>IF(TimeEntry[[#This Row],[Date]]=0,H528,C529+(7-N529))</f>
        <v>43541</v>
      </c>
      <c r="I529" s="7">
        <f>TimeEntry[[#This Row],[Date]]</f>
        <v>43535</v>
      </c>
      <c r="J529" s="10" t="str">
        <f>IF(TimeEntry[[#This Row],[Date]]=0,"",TEXT(TimeEntry[[#This Row],[Date]],"ddd"))</f>
        <v>Mon</v>
      </c>
      <c r="K529" s="9" t="str">
        <f>IF(TimeEntry[[#This Row],[Project]]=0,"",INDEX(ProjectsAll[job number],MATCH(TimeEntry[[#This Row],[Project]],ProjectsAll[Project],0)))</f>
        <v>266122-21</v>
      </c>
      <c r="L529" s="6" t="s">
        <v>297</v>
      </c>
      <c r="M529" s="6">
        <v>2.5</v>
      </c>
      <c r="N529" s="9">
        <f>IF(TimeEntry[[#This Row],[Date]]=0,"",WEEKDAY(C529,2))</f>
        <v>1</v>
      </c>
      <c r="O529" s="10">
        <f>YEAR(TimeEntry[[#This Row],[WkEnd]])</f>
        <v>2019</v>
      </c>
      <c r="P529" s="10">
        <f>WEEKNUM(TimeEntry[[#This Row],[WkEnd]])</f>
        <v>12</v>
      </c>
      <c r="Q529" s="10" t="str">
        <f>TimeEntry[[#This Row],[Year]]&amp;"-"&amp;TimeEntry[[#This Row],[WkNo]]</f>
        <v>2019-12</v>
      </c>
    </row>
    <row r="530" spans="1:17" ht="30" x14ac:dyDescent="0.25">
      <c r="A530" s="9" t="e">
        <f>MOD(IF(ROW()=11,0.1,IF(INDEX(TimeEntry[WkEnd],ROW()-10)            =            INDEX(TimeEntry[WkEnd],ROW()-11),               INDEX(TimeEntry[format],ROW()-11),               INDEX(TimeEntry[format],ROW()-11)    +1)),2)</f>
        <v>#VALUE!</v>
      </c>
      <c r="B530" s="14"/>
      <c r="C530" s="7">
        <v>43536</v>
      </c>
      <c r="D530" s="7"/>
      <c r="E530" s="7"/>
      <c r="F530" s="6" t="s">
        <v>4</v>
      </c>
      <c r="G530" s="6"/>
      <c r="H530" s="7">
        <f>IF(TimeEntry[[#This Row],[Date]]=0,H529,C530+(7-N530))</f>
        <v>43541</v>
      </c>
      <c r="I530" s="7">
        <f>TimeEntry[[#This Row],[Date]]</f>
        <v>43536</v>
      </c>
      <c r="J530" s="10" t="str">
        <f>IF(TimeEntry[[#This Row],[Date]]=0,"",TEXT(TimeEntry[[#This Row],[Date]],"ddd"))</f>
        <v>Tue</v>
      </c>
      <c r="K530" s="9" t="str">
        <f>IF(TimeEntry[[#This Row],[Project]]=0,"",INDEX(ProjectsAll[job number],MATCH(TimeEntry[[#This Row],[Project]],ProjectsAll[Project],0)))</f>
        <v>266122-21</v>
      </c>
      <c r="L530" s="6" t="s">
        <v>298</v>
      </c>
      <c r="M530" s="6">
        <v>7.5</v>
      </c>
      <c r="N530" s="9">
        <f>IF(TimeEntry[[#This Row],[Date]]=0,"",WEEKDAY(C530,2))</f>
        <v>2</v>
      </c>
      <c r="O530" s="10">
        <f>YEAR(TimeEntry[[#This Row],[WkEnd]])</f>
        <v>2019</v>
      </c>
      <c r="P530" s="10">
        <f>WEEKNUM(TimeEntry[[#This Row],[WkEnd]])</f>
        <v>12</v>
      </c>
      <c r="Q530" s="10" t="str">
        <f>TimeEntry[[#This Row],[Year]]&amp;"-"&amp;TimeEntry[[#This Row],[WkNo]]</f>
        <v>2019-12</v>
      </c>
    </row>
    <row r="531" spans="1:17" ht="30" x14ac:dyDescent="0.25">
      <c r="A531" s="9" t="e">
        <f>MOD(IF(ROW()=11,0.1,IF(INDEX(TimeEntry[WkEnd],ROW()-10)            =            INDEX(TimeEntry[WkEnd],ROW()-11),               INDEX(TimeEntry[format],ROW()-11),               INDEX(TimeEntry[format],ROW()-11)    +1)),2)</f>
        <v>#VALUE!</v>
      </c>
      <c r="B531" s="14"/>
      <c r="C531" s="7">
        <v>43537</v>
      </c>
      <c r="D531" s="7"/>
      <c r="E531" s="7"/>
      <c r="F531" s="6" t="s">
        <v>86</v>
      </c>
      <c r="G531" s="6"/>
      <c r="H531" s="7">
        <f>IF(TimeEntry[[#This Row],[Date]]=0,H530,C531+(7-N531))</f>
        <v>43541</v>
      </c>
      <c r="I531" s="7">
        <f>TimeEntry[[#This Row],[Date]]</f>
        <v>43537</v>
      </c>
      <c r="J531" s="10" t="str">
        <f>IF(TimeEntry[[#This Row],[Date]]=0,"",TEXT(TimeEntry[[#This Row],[Date]],"ddd"))</f>
        <v>Wed</v>
      </c>
      <c r="K531" s="9" t="str">
        <f>IF(TimeEntry[[#This Row],[Project]]=0,"",INDEX(ProjectsAll[job number],MATCH(TimeEntry[[#This Row],[Project]],ProjectsAll[Project],0)))</f>
        <v>265720-10</v>
      </c>
      <c r="L531" s="6" t="s">
        <v>299</v>
      </c>
      <c r="M531" s="6">
        <v>7.5</v>
      </c>
      <c r="N531" s="9">
        <f>IF(TimeEntry[[#This Row],[Date]]=0,"",WEEKDAY(C531,2))</f>
        <v>3</v>
      </c>
      <c r="O531" s="10">
        <f>YEAR(TimeEntry[[#This Row],[WkEnd]])</f>
        <v>2019</v>
      </c>
      <c r="P531" s="10">
        <f>WEEKNUM(TimeEntry[[#This Row],[WkEnd]])</f>
        <v>12</v>
      </c>
      <c r="Q531" s="10" t="str">
        <f>TimeEntry[[#This Row],[Year]]&amp;"-"&amp;TimeEntry[[#This Row],[WkNo]]</f>
        <v>2019-12</v>
      </c>
    </row>
    <row r="532" spans="1:17" ht="30" x14ac:dyDescent="0.25">
      <c r="A532" s="9" t="e">
        <f>MOD(IF(ROW()=11,0.1,IF(INDEX(TimeEntry[WkEnd],ROW()-10)            =            INDEX(TimeEntry[WkEnd],ROW()-11),               INDEX(TimeEntry[format],ROW()-11),               INDEX(TimeEntry[format],ROW()-11)    +1)),2)</f>
        <v>#VALUE!</v>
      </c>
      <c r="B532" s="14"/>
      <c r="C532" s="7">
        <v>43538</v>
      </c>
      <c r="D532" s="7"/>
      <c r="E532" s="7"/>
      <c r="F532" s="6" t="s">
        <v>86</v>
      </c>
      <c r="G532" s="6"/>
      <c r="H532" s="7">
        <f>IF(TimeEntry[[#This Row],[Date]]=0,H531,C532+(7-N532))</f>
        <v>43541</v>
      </c>
      <c r="I532" s="7">
        <f>TimeEntry[[#This Row],[Date]]</f>
        <v>43538</v>
      </c>
      <c r="J532" s="10" t="str">
        <f>IF(TimeEntry[[#This Row],[Date]]=0,"",TEXT(TimeEntry[[#This Row],[Date]],"ddd"))</f>
        <v>Thu</v>
      </c>
      <c r="K532" s="9" t="str">
        <f>IF(TimeEntry[[#This Row],[Project]]=0,"",INDEX(ProjectsAll[job number],MATCH(TimeEntry[[#This Row],[Project]],ProjectsAll[Project],0)))</f>
        <v>265720-10</v>
      </c>
      <c r="L532" s="6" t="s">
        <v>300</v>
      </c>
      <c r="M532" s="6">
        <v>7.5</v>
      </c>
      <c r="N532" s="9">
        <f>IF(TimeEntry[[#This Row],[Date]]=0,"",WEEKDAY(C532,2))</f>
        <v>4</v>
      </c>
      <c r="O532" s="10">
        <f>YEAR(TimeEntry[[#This Row],[WkEnd]])</f>
        <v>2019</v>
      </c>
      <c r="P532" s="10">
        <f>WEEKNUM(TimeEntry[[#This Row],[WkEnd]])</f>
        <v>12</v>
      </c>
      <c r="Q532" s="10" t="str">
        <f>TimeEntry[[#This Row],[Year]]&amp;"-"&amp;TimeEntry[[#This Row],[WkNo]]</f>
        <v>2019-12</v>
      </c>
    </row>
    <row r="533" spans="1:17" ht="30" x14ac:dyDescent="0.25">
      <c r="A533" s="9" t="e">
        <f>MOD(IF(ROW()=11,0.1,IF(INDEX(TimeEntry[WkEnd],ROW()-10)            =            INDEX(TimeEntry[WkEnd],ROW()-11),               INDEX(TimeEntry[format],ROW()-11),               INDEX(TimeEntry[format],ROW()-11)    +1)),2)</f>
        <v>#VALUE!</v>
      </c>
      <c r="B533" s="14"/>
      <c r="C533" s="7">
        <v>43539</v>
      </c>
      <c r="D533" s="7"/>
      <c r="E533" s="7"/>
      <c r="F533" s="6" t="s">
        <v>4</v>
      </c>
      <c r="G533" s="6"/>
      <c r="H533" s="7">
        <f>IF(TimeEntry[[#This Row],[Date]]=0,H532,C533+(7-N533))</f>
        <v>43541</v>
      </c>
      <c r="I533" s="7">
        <f>TimeEntry[[#This Row],[Date]]</f>
        <v>43539</v>
      </c>
      <c r="J533" s="10" t="str">
        <f>IF(TimeEntry[[#This Row],[Date]]=0,"",TEXT(TimeEntry[[#This Row],[Date]],"ddd"))</f>
        <v>Fri</v>
      </c>
      <c r="K533" s="9" t="str">
        <f>IF(TimeEntry[[#This Row],[Project]]=0,"",INDEX(ProjectsAll[job number],MATCH(TimeEntry[[#This Row],[Project]],ProjectsAll[Project],0)))</f>
        <v>266122-21</v>
      </c>
      <c r="L533" s="6" t="s">
        <v>301</v>
      </c>
      <c r="M533" s="6">
        <v>7.5</v>
      </c>
      <c r="N533" s="9">
        <f>IF(TimeEntry[[#This Row],[Date]]=0,"",WEEKDAY(C533,2))</f>
        <v>5</v>
      </c>
      <c r="O533" s="10">
        <f>YEAR(TimeEntry[[#This Row],[WkEnd]])</f>
        <v>2019</v>
      </c>
      <c r="P533" s="10">
        <f>WEEKNUM(TimeEntry[[#This Row],[WkEnd]])</f>
        <v>12</v>
      </c>
      <c r="Q533" s="10" t="str">
        <f>TimeEntry[[#This Row],[Year]]&amp;"-"&amp;TimeEntry[[#This Row],[WkNo]]</f>
        <v>2019-12</v>
      </c>
    </row>
    <row r="534" spans="1:17" ht="30" x14ac:dyDescent="0.25">
      <c r="A534" s="9" t="e">
        <f>MOD(IF(ROW()=11,0.1,IF(INDEX(TimeEntry[WkEnd],ROW()-10)            =            INDEX(TimeEntry[WkEnd],ROW()-11),               INDEX(TimeEntry[format],ROW()-11),               INDEX(TimeEntry[format],ROW()-11)    +1)),2)</f>
        <v>#VALUE!</v>
      </c>
      <c r="B534" s="14"/>
      <c r="C534" s="7">
        <v>43528</v>
      </c>
      <c r="D534" s="7"/>
      <c r="E534" s="7"/>
      <c r="F534" s="6" t="s">
        <v>4</v>
      </c>
      <c r="G534" s="6"/>
      <c r="H534" s="7">
        <f>IF(TimeEntry[[#This Row],[Date]]=0,H533,C534+(7-N534))</f>
        <v>43534</v>
      </c>
      <c r="I534" s="7">
        <f>TimeEntry[[#This Row],[Date]]</f>
        <v>43528</v>
      </c>
      <c r="J534" s="10" t="str">
        <f>IF(TimeEntry[[#This Row],[Date]]=0,"",TEXT(TimeEntry[[#This Row],[Date]],"ddd"))</f>
        <v>Mon</v>
      </c>
      <c r="K534" s="9" t="str">
        <f>IF(TimeEntry[[#This Row],[Project]]=0,"",INDEX(ProjectsAll[job number],MATCH(TimeEntry[[#This Row],[Project]],ProjectsAll[Project],0)))</f>
        <v>266122-21</v>
      </c>
      <c r="L534" s="6" t="s">
        <v>302</v>
      </c>
      <c r="M534" s="6">
        <v>2</v>
      </c>
      <c r="N534" s="9">
        <f>IF(TimeEntry[[#This Row],[Date]]=0,"",WEEKDAY(C534,2))</f>
        <v>1</v>
      </c>
      <c r="O534" s="10">
        <f>YEAR(TimeEntry[[#This Row],[WkEnd]])</f>
        <v>2019</v>
      </c>
      <c r="P534" s="10">
        <f>WEEKNUM(TimeEntry[[#This Row],[WkEnd]])</f>
        <v>11</v>
      </c>
      <c r="Q534" s="10" t="str">
        <f>TimeEntry[[#This Row],[Year]]&amp;"-"&amp;TimeEntry[[#This Row],[WkNo]]</f>
        <v>2019-11</v>
      </c>
    </row>
    <row r="535" spans="1:17" ht="30" x14ac:dyDescent="0.25">
      <c r="A535" s="9" t="e">
        <f>MOD(IF(ROW()=11,0.1,IF(INDEX(TimeEntry[WkEnd],ROW()-10)            =            INDEX(TimeEntry[WkEnd],ROW()-11),               INDEX(TimeEntry[format],ROW()-11),               INDEX(TimeEntry[format],ROW()-11)    +1)),2)</f>
        <v>#VALUE!</v>
      </c>
      <c r="B535" s="14"/>
      <c r="C535" s="7">
        <v>43528</v>
      </c>
      <c r="D535" s="7"/>
      <c r="E535" s="7"/>
      <c r="F535" s="6" t="s">
        <v>4</v>
      </c>
      <c r="G535" s="6"/>
      <c r="H535" s="7">
        <f>IF(TimeEntry[[#This Row],[Date]]=0,H534,C535+(7-N535))</f>
        <v>43534</v>
      </c>
      <c r="I535" s="7">
        <f>TimeEntry[[#This Row],[Date]]</f>
        <v>43528</v>
      </c>
      <c r="J535" s="10" t="str">
        <f>IF(TimeEntry[[#This Row],[Date]]=0,"",TEXT(TimeEntry[[#This Row],[Date]],"ddd"))</f>
        <v>Mon</v>
      </c>
      <c r="K535" s="9" t="str">
        <f>IF(TimeEntry[[#This Row],[Project]]=0,"",INDEX(ProjectsAll[job number],MATCH(TimeEntry[[#This Row],[Project]],ProjectsAll[Project],0)))</f>
        <v>266122-21</v>
      </c>
      <c r="L535" s="6" t="s">
        <v>303</v>
      </c>
      <c r="M535" s="6">
        <v>5.5</v>
      </c>
      <c r="N535" s="9">
        <f>IF(TimeEntry[[#This Row],[Date]]=0,"",WEEKDAY(C535,2))</f>
        <v>1</v>
      </c>
      <c r="O535" s="10">
        <f>YEAR(TimeEntry[[#This Row],[WkEnd]])</f>
        <v>2019</v>
      </c>
      <c r="P535" s="10">
        <f>WEEKNUM(TimeEntry[[#This Row],[WkEnd]])</f>
        <v>11</v>
      </c>
      <c r="Q535" s="10" t="str">
        <f>TimeEntry[[#This Row],[Year]]&amp;"-"&amp;TimeEntry[[#This Row],[WkNo]]</f>
        <v>2019-11</v>
      </c>
    </row>
    <row r="536" spans="1:17" ht="30" x14ac:dyDescent="0.25">
      <c r="A536" s="9" t="e">
        <f>MOD(IF(ROW()=11,0.1,IF(INDEX(TimeEntry[WkEnd],ROW()-10)            =            INDEX(TimeEntry[WkEnd],ROW()-11),               INDEX(TimeEntry[format],ROW()-11),               INDEX(TimeEntry[format],ROW()-11)    +1)),2)</f>
        <v>#VALUE!</v>
      </c>
      <c r="B536" s="14"/>
      <c r="C536" s="7">
        <v>43529</v>
      </c>
      <c r="D536" s="7"/>
      <c r="E536" s="7"/>
      <c r="F536" s="6" t="s">
        <v>4</v>
      </c>
      <c r="G536" s="6"/>
      <c r="H536" s="7">
        <f>IF(TimeEntry[[#This Row],[Date]]=0,H535,C536+(7-N536))</f>
        <v>43534</v>
      </c>
      <c r="I536" s="7">
        <f>TimeEntry[[#This Row],[Date]]</f>
        <v>43529</v>
      </c>
      <c r="J536" s="10" t="str">
        <f>IF(TimeEntry[[#This Row],[Date]]=0,"",TEXT(TimeEntry[[#This Row],[Date]],"ddd"))</f>
        <v>Tue</v>
      </c>
      <c r="K536" s="9" t="str">
        <f>IF(TimeEntry[[#This Row],[Project]]=0,"",INDEX(ProjectsAll[job number],MATCH(TimeEntry[[#This Row],[Project]],ProjectsAll[Project],0)))</f>
        <v>266122-21</v>
      </c>
      <c r="L536" s="6" t="s">
        <v>304</v>
      </c>
      <c r="M536" s="6">
        <v>2.5</v>
      </c>
      <c r="N536" s="9">
        <f>IF(TimeEntry[[#This Row],[Date]]=0,"",WEEKDAY(C536,2))</f>
        <v>2</v>
      </c>
      <c r="O536" s="10">
        <f>YEAR(TimeEntry[[#This Row],[WkEnd]])</f>
        <v>2019</v>
      </c>
      <c r="P536" s="10">
        <f>WEEKNUM(TimeEntry[[#This Row],[WkEnd]])</f>
        <v>11</v>
      </c>
      <c r="Q536" s="10" t="str">
        <f>TimeEntry[[#This Row],[Year]]&amp;"-"&amp;TimeEntry[[#This Row],[WkNo]]</f>
        <v>2019-11</v>
      </c>
    </row>
    <row r="537" spans="1:17" ht="30" x14ac:dyDescent="0.25">
      <c r="A537" s="9" t="e">
        <f>MOD(IF(ROW()=11,0.1,IF(INDEX(TimeEntry[WkEnd],ROW()-10)            =            INDEX(TimeEntry[WkEnd],ROW()-11),               INDEX(TimeEntry[format],ROW()-11),               INDEX(TimeEntry[format],ROW()-11)    +1)),2)</f>
        <v>#VALUE!</v>
      </c>
      <c r="B537" s="14"/>
      <c r="C537" s="7">
        <v>43529</v>
      </c>
      <c r="D537" s="7"/>
      <c r="E537" s="7"/>
      <c r="F537" s="6" t="s">
        <v>34</v>
      </c>
      <c r="G537" s="6"/>
      <c r="H537" s="7">
        <f>IF(TimeEntry[[#This Row],[Date]]=0,H536,C537+(7-N537))</f>
        <v>43534</v>
      </c>
      <c r="I537" s="7">
        <f>TimeEntry[[#This Row],[Date]]</f>
        <v>43529</v>
      </c>
      <c r="J537" s="10" t="str">
        <f>IF(TimeEntry[[#This Row],[Date]]=0,"",TEXT(TimeEntry[[#This Row],[Date]],"ddd"))</f>
        <v>Tue</v>
      </c>
      <c r="K537" s="9" t="str">
        <f>IF(TimeEntry[[#This Row],[Project]]=0,"",INDEX(ProjectsAll[job number],MATCH(TimeEntry[[#This Row],[Project]],ProjectsAll[Project],0)))</f>
        <v>264520-00</v>
      </c>
      <c r="L537" s="6" t="s">
        <v>305</v>
      </c>
      <c r="M537" s="6">
        <v>5</v>
      </c>
      <c r="N537" s="9">
        <f>IF(TimeEntry[[#This Row],[Date]]=0,"",WEEKDAY(C537,2))</f>
        <v>2</v>
      </c>
      <c r="O537" s="10">
        <f>YEAR(TimeEntry[[#This Row],[WkEnd]])</f>
        <v>2019</v>
      </c>
      <c r="P537" s="10">
        <f>WEEKNUM(TimeEntry[[#This Row],[WkEnd]])</f>
        <v>11</v>
      </c>
      <c r="Q537" s="10" t="str">
        <f>TimeEntry[[#This Row],[Year]]&amp;"-"&amp;TimeEntry[[#This Row],[WkNo]]</f>
        <v>2019-11</v>
      </c>
    </row>
    <row r="538" spans="1:17" ht="30" x14ac:dyDescent="0.25">
      <c r="A538" s="9" t="e">
        <f>MOD(IF(ROW()=11,0.1,IF(INDEX(TimeEntry[WkEnd],ROW()-10)            =            INDEX(TimeEntry[WkEnd],ROW()-11),               INDEX(TimeEntry[format],ROW()-11),               INDEX(TimeEntry[format],ROW()-11)    +1)),2)</f>
        <v>#VALUE!</v>
      </c>
      <c r="B538" s="14"/>
      <c r="C538" s="7">
        <v>43530</v>
      </c>
      <c r="D538" s="7"/>
      <c r="E538" s="7"/>
      <c r="F538" s="6" t="s">
        <v>72</v>
      </c>
      <c r="G538" s="6"/>
      <c r="H538" s="7">
        <f>IF(TimeEntry[[#This Row],[Date]]=0,H537,C538+(7-N538))</f>
        <v>43534</v>
      </c>
      <c r="I538" s="7">
        <f>TimeEntry[[#This Row],[Date]]</f>
        <v>43530</v>
      </c>
      <c r="J538" s="10" t="str">
        <f>IF(TimeEntry[[#This Row],[Date]]=0,"",TEXT(TimeEntry[[#This Row],[Date]],"ddd"))</f>
        <v>Wed</v>
      </c>
      <c r="K538" s="9" t="str">
        <f>IF(TimeEntry[[#This Row],[Project]]=0,"",INDEX(ProjectsAll[job number],MATCH(TimeEntry[[#This Row],[Project]],ProjectsAll[Project],0)))</f>
        <v>239230-42</v>
      </c>
      <c r="L538" s="6" t="s">
        <v>306</v>
      </c>
      <c r="M538" s="6">
        <v>7.5</v>
      </c>
      <c r="N538" s="9">
        <f>IF(TimeEntry[[#This Row],[Date]]=0,"",WEEKDAY(C538,2))</f>
        <v>3</v>
      </c>
      <c r="O538" s="10">
        <f>YEAR(TimeEntry[[#This Row],[WkEnd]])</f>
        <v>2019</v>
      </c>
      <c r="P538" s="10">
        <f>WEEKNUM(TimeEntry[[#This Row],[WkEnd]])</f>
        <v>11</v>
      </c>
      <c r="Q538" s="10" t="str">
        <f>TimeEntry[[#This Row],[Year]]&amp;"-"&amp;TimeEntry[[#This Row],[WkNo]]</f>
        <v>2019-11</v>
      </c>
    </row>
    <row r="539" spans="1:17" ht="30" x14ac:dyDescent="0.25">
      <c r="A539" s="9" t="e">
        <f>MOD(IF(ROW()=11,0.1,IF(INDEX(TimeEntry[WkEnd],ROW()-10)            =            INDEX(TimeEntry[WkEnd],ROW()-11),               INDEX(TimeEntry[format],ROW()-11),               INDEX(TimeEntry[format],ROW()-11)    +1)),2)</f>
        <v>#VALUE!</v>
      </c>
      <c r="B539" s="14"/>
      <c r="C539" s="7">
        <v>43531</v>
      </c>
      <c r="D539" s="7"/>
      <c r="E539" s="7"/>
      <c r="F539" s="6" t="s">
        <v>86</v>
      </c>
      <c r="G539" s="6"/>
      <c r="H539" s="7">
        <f>IF(TimeEntry[[#This Row],[Date]]=0,H538,C539+(7-N539))</f>
        <v>43534</v>
      </c>
      <c r="I539" s="7">
        <f>TimeEntry[[#This Row],[Date]]</f>
        <v>43531</v>
      </c>
      <c r="J539" s="10" t="str">
        <f>IF(TimeEntry[[#This Row],[Date]]=0,"",TEXT(TimeEntry[[#This Row],[Date]],"ddd"))</f>
        <v>Thu</v>
      </c>
      <c r="K539" s="9" t="str">
        <f>IF(TimeEntry[[#This Row],[Project]]=0,"",INDEX(ProjectsAll[job number],MATCH(TimeEntry[[#This Row],[Project]],ProjectsAll[Project],0)))</f>
        <v>265720-10</v>
      </c>
      <c r="L539" s="6" t="s">
        <v>307</v>
      </c>
      <c r="M539" s="6">
        <v>7.5</v>
      </c>
      <c r="N539" s="9">
        <f>IF(TimeEntry[[#This Row],[Date]]=0,"",WEEKDAY(C539,2))</f>
        <v>4</v>
      </c>
      <c r="O539" s="10">
        <f>YEAR(TimeEntry[[#This Row],[WkEnd]])</f>
        <v>2019</v>
      </c>
      <c r="P539" s="10">
        <f>WEEKNUM(TimeEntry[[#This Row],[WkEnd]])</f>
        <v>11</v>
      </c>
      <c r="Q539" s="10" t="str">
        <f>TimeEntry[[#This Row],[Year]]&amp;"-"&amp;TimeEntry[[#This Row],[WkNo]]</f>
        <v>2019-11</v>
      </c>
    </row>
    <row r="540" spans="1:17" ht="30" x14ac:dyDescent="0.25">
      <c r="A540" s="9" t="e">
        <f>MOD(IF(ROW()=11,0.1,IF(INDEX(TimeEntry[WkEnd],ROW()-10)            =            INDEX(TimeEntry[WkEnd],ROW()-11),               INDEX(TimeEntry[format],ROW()-11),               INDEX(TimeEntry[format],ROW()-11)    +1)),2)</f>
        <v>#VALUE!</v>
      </c>
      <c r="B540" s="14"/>
      <c r="C540" s="7">
        <v>43532</v>
      </c>
      <c r="D540" s="7"/>
      <c r="E540" s="7"/>
      <c r="F540" s="6" t="s">
        <v>4</v>
      </c>
      <c r="G540" s="6"/>
      <c r="H540" s="7">
        <f>IF(TimeEntry[[#This Row],[Date]]=0,H539,C540+(7-N540))</f>
        <v>43534</v>
      </c>
      <c r="I540" s="7">
        <f>TimeEntry[[#This Row],[Date]]</f>
        <v>43532</v>
      </c>
      <c r="J540" s="10" t="str">
        <f>IF(TimeEntry[[#This Row],[Date]]=0,"",TEXT(TimeEntry[[#This Row],[Date]],"ddd"))</f>
        <v>Fri</v>
      </c>
      <c r="K540" s="9" t="str">
        <f>IF(TimeEntry[[#This Row],[Project]]=0,"",INDEX(ProjectsAll[job number],MATCH(TimeEntry[[#This Row],[Project]],ProjectsAll[Project],0)))</f>
        <v>266122-21</v>
      </c>
      <c r="L540" s="6" t="s">
        <v>296</v>
      </c>
      <c r="M540" s="6">
        <v>5</v>
      </c>
      <c r="N540" s="9">
        <f>IF(TimeEntry[[#This Row],[Date]]=0,"",WEEKDAY(C540,2))</f>
        <v>5</v>
      </c>
      <c r="O540" s="10">
        <f>YEAR(TimeEntry[[#This Row],[WkEnd]])</f>
        <v>2019</v>
      </c>
      <c r="P540" s="10">
        <f>WEEKNUM(TimeEntry[[#This Row],[WkEnd]])</f>
        <v>11</v>
      </c>
      <c r="Q540" s="10" t="str">
        <f>TimeEntry[[#This Row],[Year]]&amp;"-"&amp;TimeEntry[[#This Row],[WkNo]]</f>
        <v>2019-11</v>
      </c>
    </row>
    <row r="541" spans="1:17" ht="30" x14ac:dyDescent="0.25">
      <c r="A541" s="9" t="e">
        <f>MOD(IF(ROW()=11,0.1,IF(INDEX(TimeEntry[WkEnd],ROW()-10)            =            INDEX(TimeEntry[WkEnd],ROW()-11),               INDEX(TimeEntry[format],ROW()-11),               INDEX(TimeEntry[format],ROW()-11)    +1)),2)</f>
        <v>#VALUE!</v>
      </c>
      <c r="B541" s="14"/>
      <c r="C541" s="7">
        <v>43532</v>
      </c>
      <c r="D541" s="7"/>
      <c r="E541" s="7"/>
      <c r="F541" s="6" t="s">
        <v>4</v>
      </c>
      <c r="G541" s="6"/>
      <c r="H541" s="7">
        <f>IF(TimeEntry[[#This Row],[Date]]=0,H540,C541+(7-N541))</f>
        <v>43534</v>
      </c>
      <c r="I541" s="7">
        <f>TimeEntry[[#This Row],[Date]]</f>
        <v>43532</v>
      </c>
      <c r="J541" s="10" t="str">
        <f>IF(TimeEntry[[#This Row],[Date]]=0,"",TEXT(TimeEntry[[#This Row],[Date]],"ddd"))</f>
        <v>Fri</v>
      </c>
      <c r="K541" s="9" t="str">
        <f>IF(TimeEntry[[#This Row],[Project]]=0,"",INDEX(ProjectsAll[job number],MATCH(TimeEntry[[#This Row],[Project]],ProjectsAll[Project],0)))</f>
        <v>266122-21</v>
      </c>
      <c r="L541" s="6" t="s">
        <v>308</v>
      </c>
      <c r="M541" s="6">
        <v>2.5</v>
      </c>
      <c r="N541" s="9">
        <f>IF(TimeEntry[[#This Row],[Date]]=0,"",WEEKDAY(C541,2))</f>
        <v>5</v>
      </c>
      <c r="O541" s="10">
        <f>YEAR(TimeEntry[[#This Row],[WkEnd]])</f>
        <v>2019</v>
      </c>
      <c r="P541" s="10">
        <f>WEEKNUM(TimeEntry[[#This Row],[WkEnd]])</f>
        <v>11</v>
      </c>
      <c r="Q541" s="10" t="str">
        <f>TimeEntry[[#This Row],[Year]]&amp;"-"&amp;TimeEntry[[#This Row],[WkNo]]</f>
        <v>2019-11</v>
      </c>
    </row>
    <row r="542" spans="1:17" ht="30" x14ac:dyDescent="0.25">
      <c r="A542" s="9" t="e">
        <f>MOD(IF(ROW()=11,0.1,IF(INDEX(TimeEntry[WkEnd],ROW()-10)            =            INDEX(TimeEntry[WkEnd],ROW()-11),               INDEX(TimeEntry[format],ROW()-11),               INDEX(TimeEntry[format],ROW()-11)    +1)),2)</f>
        <v>#VALUE!</v>
      </c>
      <c r="B542" s="14"/>
      <c r="C542" s="7">
        <v>43521</v>
      </c>
      <c r="D542" s="7"/>
      <c r="E542" s="7"/>
      <c r="F542" s="6" t="s">
        <v>95</v>
      </c>
      <c r="G542" s="6"/>
      <c r="H542" s="7">
        <f>IF(TimeEntry[[#This Row],[Date]]=0,H541,C542+(7-N542))</f>
        <v>43527</v>
      </c>
      <c r="I542" s="7">
        <f>TimeEntry[[#This Row],[Date]]</f>
        <v>43521</v>
      </c>
      <c r="J542" s="10" t="str">
        <f>IF(TimeEntry[[#This Row],[Date]]=0,"",TEXT(TimeEntry[[#This Row],[Date]],"ddd"))</f>
        <v>Mon</v>
      </c>
      <c r="K542" s="9" t="str">
        <f>IF(TimeEntry[[#This Row],[Project]]=0,"",INDEX(ProjectsAll[job number],MATCH(TimeEntry[[#This Row],[Project]],ProjectsAll[Project],0)))</f>
        <v>264744-00</v>
      </c>
      <c r="L542" s="6" t="s">
        <v>309</v>
      </c>
      <c r="M542" s="6">
        <v>2</v>
      </c>
      <c r="N542" s="9">
        <f>IF(TimeEntry[[#This Row],[Date]]=0,"",WEEKDAY(C542,2))</f>
        <v>1</v>
      </c>
      <c r="O542" s="10">
        <f>YEAR(TimeEntry[[#This Row],[WkEnd]])</f>
        <v>2019</v>
      </c>
      <c r="P542" s="10">
        <f>WEEKNUM(TimeEntry[[#This Row],[WkEnd]])</f>
        <v>10</v>
      </c>
      <c r="Q542" s="10" t="str">
        <f>TimeEntry[[#This Row],[Year]]&amp;"-"&amp;TimeEntry[[#This Row],[WkNo]]</f>
        <v>2019-10</v>
      </c>
    </row>
    <row r="543" spans="1:17" x14ac:dyDescent="0.25">
      <c r="A543" s="9" t="e">
        <f>MOD(IF(ROW()=11,0.1,IF(INDEX(TimeEntry[WkEnd],ROW()-10)            =            INDEX(TimeEntry[WkEnd],ROW()-11),               INDEX(TimeEntry[format],ROW()-11),               INDEX(TimeEntry[format],ROW()-11)    +1)),2)</f>
        <v>#VALUE!</v>
      </c>
      <c r="B543" s="14"/>
      <c r="C543" s="7">
        <v>43521</v>
      </c>
      <c r="D543" s="7"/>
      <c r="E543" s="7"/>
      <c r="F543" s="6" t="s">
        <v>310</v>
      </c>
      <c r="G543" s="6"/>
      <c r="H543" s="7">
        <f>IF(TimeEntry[[#This Row],[Date]]=0,H542,C543+(7-N543))</f>
        <v>43527</v>
      </c>
      <c r="I543" s="7">
        <f>TimeEntry[[#This Row],[Date]]</f>
        <v>43521</v>
      </c>
      <c r="J543" s="10" t="str">
        <f>IF(TimeEntry[[#This Row],[Date]]=0,"",TEXT(TimeEntry[[#This Row],[Date]],"ddd"))</f>
        <v>Mon</v>
      </c>
      <c r="K543" s="9" t="e">
        <f>IF(TimeEntry[[#This Row],[Project]]=0,"",INDEX(ProjectsAll[job number],MATCH(TimeEntry[[#This Row],[Project]],ProjectsAll[Project],0)))</f>
        <v>#N/A</v>
      </c>
      <c r="L543" s="6" t="s">
        <v>59</v>
      </c>
      <c r="M543" s="6">
        <v>2.5</v>
      </c>
      <c r="N543" s="9">
        <f>IF(TimeEntry[[#This Row],[Date]]=0,"",WEEKDAY(C543,2))</f>
        <v>1</v>
      </c>
      <c r="O543" s="10">
        <f>YEAR(TimeEntry[[#This Row],[WkEnd]])</f>
        <v>2019</v>
      </c>
      <c r="P543" s="10">
        <f>WEEKNUM(TimeEntry[[#This Row],[WkEnd]])</f>
        <v>10</v>
      </c>
      <c r="Q543" s="10" t="str">
        <f>TimeEntry[[#This Row],[Year]]&amp;"-"&amp;TimeEntry[[#This Row],[WkNo]]</f>
        <v>2019-10</v>
      </c>
    </row>
    <row r="544" spans="1:17" x14ac:dyDescent="0.25">
      <c r="A544" s="9" t="e">
        <f>MOD(IF(ROW()=11,0.1,IF(INDEX(TimeEntry[WkEnd],ROW()-10)            =            INDEX(TimeEntry[WkEnd],ROW()-11),               INDEX(TimeEntry[format],ROW()-11),               INDEX(TimeEntry[format],ROW()-11)    +1)),2)</f>
        <v>#VALUE!</v>
      </c>
      <c r="B544" s="14"/>
      <c r="C544" s="7">
        <v>43521</v>
      </c>
      <c r="D544" s="7"/>
      <c r="E544" s="7"/>
      <c r="F544" s="6" t="s">
        <v>310</v>
      </c>
      <c r="G544" s="6"/>
      <c r="H544" s="7">
        <f>IF(TimeEntry[[#This Row],[Date]]=0,H543,C544+(7-N544))</f>
        <v>43527</v>
      </c>
      <c r="I544" s="7">
        <f>TimeEntry[[#This Row],[Date]]</f>
        <v>43521</v>
      </c>
      <c r="J544" s="10" t="str">
        <f>IF(TimeEntry[[#This Row],[Date]]=0,"",TEXT(TimeEntry[[#This Row],[Date]],"ddd"))</f>
        <v>Mon</v>
      </c>
      <c r="K544" s="9" t="e">
        <f>IF(TimeEntry[[#This Row],[Project]]=0,"",INDEX(ProjectsAll[job number],MATCH(TimeEntry[[#This Row],[Project]],ProjectsAll[Project],0)))</f>
        <v>#N/A</v>
      </c>
      <c r="L544" s="6" t="s">
        <v>311</v>
      </c>
      <c r="M544" s="6">
        <v>1</v>
      </c>
      <c r="N544" s="9">
        <f>IF(TimeEntry[[#This Row],[Date]]=0,"",WEEKDAY(C544,2))</f>
        <v>1</v>
      </c>
      <c r="O544" s="10">
        <f>YEAR(TimeEntry[[#This Row],[WkEnd]])</f>
        <v>2019</v>
      </c>
      <c r="P544" s="10">
        <f>WEEKNUM(TimeEntry[[#This Row],[WkEnd]])</f>
        <v>10</v>
      </c>
      <c r="Q544" s="10" t="str">
        <f>TimeEntry[[#This Row],[Year]]&amp;"-"&amp;TimeEntry[[#This Row],[WkNo]]</f>
        <v>2019-10</v>
      </c>
    </row>
    <row r="545" spans="1:17" ht="30" x14ac:dyDescent="0.25">
      <c r="A545" s="9" t="e">
        <f>MOD(IF(ROW()=11,0.1,IF(INDEX(TimeEntry[WkEnd],ROW()-10)            =            INDEX(TimeEntry[WkEnd],ROW()-11),               INDEX(TimeEntry[format],ROW()-11),               INDEX(TimeEntry[format],ROW()-11)    +1)),2)</f>
        <v>#VALUE!</v>
      </c>
      <c r="B545" s="14"/>
      <c r="C545" s="7">
        <v>43521</v>
      </c>
      <c r="D545" s="7"/>
      <c r="E545" s="7"/>
      <c r="F545" s="6" t="s">
        <v>72</v>
      </c>
      <c r="G545" s="6"/>
      <c r="H545" s="7">
        <f>IF(TimeEntry[[#This Row],[Date]]=0,H544,C545+(7-N545))</f>
        <v>43527</v>
      </c>
      <c r="I545" s="7">
        <f>TimeEntry[[#This Row],[Date]]</f>
        <v>43521</v>
      </c>
      <c r="J545" s="10" t="str">
        <f>IF(TimeEntry[[#This Row],[Date]]=0,"",TEXT(TimeEntry[[#This Row],[Date]],"ddd"))</f>
        <v>Mon</v>
      </c>
      <c r="K545" s="9" t="str">
        <f>IF(TimeEntry[[#This Row],[Project]]=0,"",INDEX(ProjectsAll[job number],MATCH(TimeEntry[[#This Row],[Project]],ProjectsAll[Project],0)))</f>
        <v>239230-42</v>
      </c>
      <c r="L545" s="6" t="s">
        <v>312</v>
      </c>
      <c r="M545" s="6">
        <v>1</v>
      </c>
      <c r="N545" s="9">
        <f>IF(TimeEntry[[#This Row],[Date]]=0,"",WEEKDAY(C545,2))</f>
        <v>1</v>
      </c>
      <c r="O545" s="10">
        <f>YEAR(TimeEntry[[#This Row],[WkEnd]])</f>
        <v>2019</v>
      </c>
      <c r="P545" s="10">
        <f>WEEKNUM(TimeEntry[[#This Row],[WkEnd]])</f>
        <v>10</v>
      </c>
      <c r="Q545" s="10" t="str">
        <f>TimeEntry[[#This Row],[Year]]&amp;"-"&amp;TimeEntry[[#This Row],[WkNo]]</f>
        <v>2019-10</v>
      </c>
    </row>
    <row r="546" spans="1:17" ht="30" x14ac:dyDescent="0.25">
      <c r="A546" s="9" t="e">
        <f>MOD(IF(ROW()=11,0.1,IF(INDEX(TimeEntry[WkEnd],ROW()-10)            =            INDEX(TimeEntry[WkEnd],ROW()-11),               INDEX(TimeEntry[format],ROW()-11),               INDEX(TimeEntry[format],ROW()-11)    +1)),2)</f>
        <v>#VALUE!</v>
      </c>
      <c r="B546" s="14"/>
      <c r="C546" s="7">
        <v>43521</v>
      </c>
      <c r="D546" s="7"/>
      <c r="E546" s="7"/>
      <c r="F546" s="6" t="s">
        <v>4</v>
      </c>
      <c r="G546" s="6"/>
      <c r="H546" s="7">
        <f>IF(TimeEntry[[#This Row],[Date]]=0,H545,C546+(7-N546))</f>
        <v>43527</v>
      </c>
      <c r="I546" s="7">
        <f>TimeEntry[[#This Row],[Date]]</f>
        <v>43521</v>
      </c>
      <c r="J546" s="10" t="str">
        <f>IF(TimeEntry[[#This Row],[Date]]=0,"",TEXT(TimeEntry[[#This Row],[Date]],"ddd"))</f>
        <v>Mon</v>
      </c>
      <c r="K546" s="9" t="str">
        <f>IF(TimeEntry[[#This Row],[Project]]=0,"",INDEX(ProjectsAll[job number],MATCH(TimeEntry[[#This Row],[Project]],ProjectsAll[Project],0)))</f>
        <v>266122-21</v>
      </c>
      <c r="L546" s="6" t="s">
        <v>313</v>
      </c>
      <c r="M546" s="6">
        <v>1</v>
      </c>
      <c r="N546" s="9">
        <f>IF(TimeEntry[[#This Row],[Date]]=0,"",WEEKDAY(C546,2))</f>
        <v>1</v>
      </c>
      <c r="O546" s="10">
        <f>YEAR(TimeEntry[[#This Row],[WkEnd]])</f>
        <v>2019</v>
      </c>
      <c r="P546" s="10">
        <f>WEEKNUM(TimeEntry[[#This Row],[WkEnd]])</f>
        <v>10</v>
      </c>
      <c r="Q546" s="10" t="str">
        <f>TimeEntry[[#This Row],[Year]]&amp;"-"&amp;TimeEntry[[#This Row],[WkNo]]</f>
        <v>2019-10</v>
      </c>
    </row>
    <row r="547" spans="1:17" ht="30" x14ac:dyDescent="0.25">
      <c r="A547" s="9" t="e">
        <f>MOD(IF(ROW()=11,0.1,IF(INDEX(TimeEntry[WkEnd],ROW()-10)            =            INDEX(TimeEntry[WkEnd],ROW()-11),               INDEX(TimeEntry[format],ROW()-11),               INDEX(TimeEntry[format],ROW()-11)    +1)),2)</f>
        <v>#VALUE!</v>
      </c>
      <c r="B547" s="14"/>
      <c r="C547" s="7">
        <v>43522</v>
      </c>
      <c r="D547" s="7"/>
      <c r="E547" s="7"/>
      <c r="F547" s="6" t="s">
        <v>92</v>
      </c>
      <c r="G547" s="6"/>
      <c r="H547" s="7">
        <f>IF(TimeEntry[[#This Row],[Date]]=0,H546,C547+(7-N547))</f>
        <v>43527</v>
      </c>
      <c r="I547" s="7">
        <f>TimeEntry[[#This Row],[Date]]</f>
        <v>43522</v>
      </c>
      <c r="J547" s="10" t="str">
        <f>IF(TimeEntry[[#This Row],[Date]]=0,"",TEXT(TimeEntry[[#This Row],[Date]],"ddd"))</f>
        <v>Tue</v>
      </c>
      <c r="K547" s="9" t="str">
        <f>IF(TimeEntry[[#This Row],[Project]]=0,"",INDEX(ProjectsAll[job number],MATCH(TimeEntry[[#This Row],[Project]],ProjectsAll[Project],0)))</f>
        <v>259933-00</v>
      </c>
      <c r="L547" s="6" t="s">
        <v>314</v>
      </c>
      <c r="M547" s="6">
        <v>5.5</v>
      </c>
      <c r="N547" s="9">
        <f>IF(TimeEntry[[#This Row],[Date]]=0,"",WEEKDAY(C547,2))</f>
        <v>2</v>
      </c>
      <c r="O547" s="10">
        <f>YEAR(TimeEntry[[#This Row],[WkEnd]])</f>
        <v>2019</v>
      </c>
      <c r="P547" s="10">
        <f>WEEKNUM(TimeEntry[[#This Row],[WkEnd]])</f>
        <v>10</v>
      </c>
      <c r="Q547" s="10" t="str">
        <f>TimeEntry[[#This Row],[Year]]&amp;"-"&amp;TimeEntry[[#This Row],[WkNo]]</f>
        <v>2019-10</v>
      </c>
    </row>
    <row r="548" spans="1:17" ht="30" x14ac:dyDescent="0.25">
      <c r="A548" s="9" t="e">
        <f>MOD(IF(ROW()=11,0.1,IF(INDEX(TimeEntry[WkEnd],ROW()-10)            =            INDEX(TimeEntry[WkEnd],ROW()-11),               INDEX(TimeEntry[format],ROW()-11),               INDEX(TimeEntry[format],ROW()-11)    +1)),2)</f>
        <v>#VALUE!</v>
      </c>
      <c r="B548" s="14"/>
      <c r="C548" s="7">
        <v>43522</v>
      </c>
      <c r="D548" s="7"/>
      <c r="E548" s="7"/>
      <c r="F548" s="6" t="s">
        <v>72</v>
      </c>
      <c r="G548" s="6"/>
      <c r="H548" s="7">
        <f>IF(TimeEntry[[#This Row],[Date]]=0,H547,C548+(7-N548))</f>
        <v>43527</v>
      </c>
      <c r="I548" s="7">
        <f>TimeEntry[[#This Row],[Date]]</f>
        <v>43522</v>
      </c>
      <c r="J548" s="10" t="str">
        <f>IF(TimeEntry[[#This Row],[Date]]=0,"",TEXT(TimeEntry[[#This Row],[Date]],"ddd"))</f>
        <v>Tue</v>
      </c>
      <c r="K548" s="9" t="str">
        <f>IF(TimeEntry[[#This Row],[Project]]=0,"",INDEX(ProjectsAll[job number],MATCH(TimeEntry[[#This Row],[Project]],ProjectsAll[Project],0)))</f>
        <v>239230-42</v>
      </c>
      <c r="L548" s="6" t="s">
        <v>312</v>
      </c>
      <c r="M548" s="6">
        <v>2</v>
      </c>
      <c r="N548" s="9">
        <f>IF(TimeEntry[[#This Row],[Date]]=0,"",WEEKDAY(C548,2))</f>
        <v>2</v>
      </c>
      <c r="O548" s="10">
        <f>YEAR(TimeEntry[[#This Row],[WkEnd]])</f>
        <v>2019</v>
      </c>
      <c r="P548" s="10">
        <f>WEEKNUM(TimeEntry[[#This Row],[WkEnd]])</f>
        <v>10</v>
      </c>
      <c r="Q548" s="10" t="str">
        <f>TimeEntry[[#This Row],[Year]]&amp;"-"&amp;TimeEntry[[#This Row],[WkNo]]</f>
        <v>2019-10</v>
      </c>
    </row>
    <row r="549" spans="1:17" ht="30" x14ac:dyDescent="0.25">
      <c r="A549" s="9" t="e">
        <f>MOD(IF(ROW()=11,0.1,IF(INDEX(TimeEntry[WkEnd],ROW()-10)            =            INDEX(TimeEntry[WkEnd],ROW()-11),               INDEX(TimeEntry[format],ROW()-11),               INDEX(TimeEntry[format],ROW()-11)    +1)),2)</f>
        <v>#VALUE!</v>
      </c>
      <c r="B549" s="14"/>
      <c r="C549" s="7">
        <v>43523</v>
      </c>
      <c r="D549" s="7"/>
      <c r="E549" s="7"/>
      <c r="F549" s="6" t="s">
        <v>4</v>
      </c>
      <c r="G549" s="6"/>
      <c r="H549" s="7">
        <f>IF(TimeEntry[[#This Row],[Date]]=0,H548,C549+(7-N549))</f>
        <v>43527</v>
      </c>
      <c r="I549" s="7">
        <f>TimeEntry[[#This Row],[Date]]</f>
        <v>43523</v>
      </c>
      <c r="J549" s="10" t="str">
        <f>IF(TimeEntry[[#This Row],[Date]]=0,"",TEXT(TimeEntry[[#This Row],[Date]],"ddd"))</f>
        <v>Wed</v>
      </c>
      <c r="K549" s="9" t="str">
        <f>IF(TimeEntry[[#This Row],[Project]]=0,"",INDEX(ProjectsAll[job number],MATCH(TimeEntry[[#This Row],[Project]],ProjectsAll[Project],0)))</f>
        <v>266122-21</v>
      </c>
      <c r="L549" s="6" t="s">
        <v>315</v>
      </c>
      <c r="M549" s="6">
        <v>3.75</v>
      </c>
      <c r="N549" s="9">
        <f>IF(TimeEntry[[#This Row],[Date]]=0,"",WEEKDAY(C549,2))</f>
        <v>3</v>
      </c>
      <c r="O549" s="10">
        <f>YEAR(TimeEntry[[#This Row],[WkEnd]])</f>
        <v>2019</v>
      </c>
      <c r="P549" s="10">
        <f>WEEKNUM(TimeEntry[[#This Row],[WkEnd]])</f>
        <v>10</v>
      </c>
      <c r="Q549" s="10" t="str">
        <f>TimeEntry[[#This Row],[Year]]&amp;"-"&amp;TimeEntry[[#This Row],[WkNo]]</f>
        <v>2019-10</v>
      </c>
    </row>
    <row r="550" spans="1:17" ht="30" x14ac:dyDescent="0.25">
      <c r="A550" s="9" t="e">
        <f>MOD(IF(ROW()=11,0.1,IF(INDEX(TimeEntry[WkEnd],ROW()-10)            =            INDEX(TimeEntry[WkEnd],ROW()-11),               INDEX(TimeEntry[format],ROW()-11),               INDEX(TimeEntry[format],ROW()-11)    +1)),2)</f>
        <v>#VALUE!</v>
      </c>
      <c r="B550" s="14"/>
      <c r="C550" s="7">
        <v>43523</v>
      </c>
      <c r="D550" s="7"/>
      <c r="E550" s="7"/>
      <c r="F550" s="6" t="s">
        <v>4</v>
      </c>
      <c r="G550" s="6"/>
      <c r="H550" s="7">
        <f>IF(TimeEntry[[#This Row],[Date]]=0,H549,C550+(7-N550))</f>
        <v>43527</v>
      </c>
      <c r="I550" s="7">
        <f>TimeEntry[[#This Row],[Date]]</f>
        <v>43523</v>
      </c>
      <c r="J550" s="10" t="str">
        <f>IF(TimeEntry[[#This Row],[Date]]=0,"",TEXT(TimeEntry[[#This Row],[Date]],"ddd"))</f>
        <v>Wed</v>
      </c>
      <c r="K550" s="9" t="str">
        <f>IF(TimeEntry[[#This Row],[Project]]=0,"",INDEX(ProjectsAll[job number],MATCH(TimeEntry[[#This Row],[Project]],ProjectsAll[Project],0)))</f>
        <v>266122-21</v>
      </c>
      <c r="L550" s="6" t="s">
        <v>316</v>
      </c>
      <c r="M550" s="6">
        <v>3.75</v>
      </c>
      <c r="N550" s="9">
        <f>IF(TimeEntry[[#This Row],[Date]]=0,"",WEEKDAY(C550,2))</f>
        <v>3</v>
      </c>
      <c r="O550" s="10">
        <f>YEAR(TimeEntry[[#This Row],[WkEnd]])</f>
        <v>2019</v>
      </c>
      <c r="P550" s="10">
        <f>WEEKNUM(TimeEntry[[#This Row],[WkEnd]])</f>
        <v>10</v>
      </c>
      <c r="Q550" s="10" t="str">
        <f>TimeEntry[[#This Row],[Year]]&amp;"-"&amp;TimeEntry[[#This Row],[WkNo]]</f>
        <v>2019-10</v>
      </c>
    </row>
    <row r="551" spans="1:17" ht="30" x14ac:dyDescent="0.25">
      <c r="A551" s="9" t="e">
        <f>MOD(IF(ROW()=11,0.1,IF(INDEX(TimeEntry[WkEnd],ROW()-10)            =            INDEX(TimeEntry[WkEnd],ROW()-11),               INDEX(TimeEntry[format],ROW()-11),               INDEX(TimeEntry[format],ROW()-11)    +1)),2)</f>
        <v>#VALUE!</v>
      </c>
      <c r="B551" s="14"/>
      <c r="C551" s="7">
        <v>43524</v>
      </c>
      <c r="D551" s="7"/>
      <c r="E551" s="7"/>
      <c r="F551" s="6" t="s">
        <v>74</v>
      </c>
      <c r="G551" s="6"/>
      <c r="H551" s="7">
        <f>IF(TimeEntry[[#This Row],[Date]]=0,H550,C551+(7-N551))</f>
        <v>43527</v>
      </c>
      <c r="I551" s="7">
        <f>TimeEntry[[#This Row],[Date]]</f>
        <v>43524</v>
      </c>
      <c r="J551" s="10" t="str">
        <f>IF(TimeEntry[[#This Row],[Date]]=0,"",TEXT(TimeEntry[[#This Row],[Date]],"ddd"))</f>
        <v>Thu</v>
      </c>
      <c r="K551" s="9" t="str">
        <f>IF(TimeEntry[[#This Row],[Project]]=0,"",INDEX(ProjectsAll[job number],MATCH(TimeEntry[[#This Row],[Project]],ProjectsAll[Project],0)))</f>
        <v>261723-02</v>
      </c>
      <c r="L551" s="6" t="s">
        <v>317</v>
      </c>
      <c r="M551" s="6">
        <v>2.5</v>
      </c>
      <c r="N551" s="9">
        <f>IF(TimeEntry[[#This Row],[Date]]=0,"",WEEKDAY(C551,2))</f>
        <v>4</v>
      </c>
      <c r="O551" s="10">
        <f>YEAR(TimeEntry[[#This Row],[WkEnd]])</f>
        <v>2019</v>
      </c>
      <c r="P551" s="10">
        <f>WEEKNUM(TimeEntry[[#This Row],[WkEnd]])</f>
        <v>10</v>
      </c>
      <c r="Q551" s="10" t="str">
        <f>TimeEntry[[#This Row],[Year]]&amp;"-"&amp;TimeEntry[[#This Row],[WkNo]]</f>
        <v>2019-10</v>
      </c>
    </row>
    <row r="552" spans="1:17" ht="30" x14ac:dyDescent="0.25">
      <c r="A552" s="9" t="e">
        <f>MOD(IF(ROW()=11,0.1,IF(INDEX(TimeEntry[WkEnd],ROW()-10)            =            INDEX(TimeEntry[WkEnd],ROW()-11),               INDEX(TimeEntry[format],ROW()-11),               INDEX(TimeEntry[format],ROW()-11)    +1)),2)</f>
        <v>#VALUE!</v>
      </c>
      <c r="B552" s="14"/>
      <c r="C552" s="7">
        <v>43524</v>
      </c>
      <c r="D552" s="7"/>
      <c r="E552" s="7"/>
      <c r="F552" s="6" t="s">
        <v>48</v>
      </c>
      <c r="G552" s="6"/>
      <c r="H552" s="7">
        <f>IF(TimeEntry[[#This Row],[Date]]=0,H551,C552+(7-N552))</f>
        <v>43527</v>
      </c>
      <c r="I552" s="7">
        <f>TimeEntry[[#This Row],[Date]]</f>
        <v>43524</v>
      </c>
      <c r="J552" s="10" t="str">
        <f>IF(TimeEntry[[#This Row],[Date]]=0,"",TEXT(TimeEntry[[#This Row],[Date]],"ddd"))</f>
        <v>Thu</v>
      </c>
      <c r="K552" s="9" t="str">
        <f>IF(TimeEntry[[#This Row],[Project]]=0,"",INDEX(ProjectsAll[job number],MATCH(TimeEntry[[#This Row],[Project]],ProjectsAll[Project],0)))</f>
        <v>254304-96</v>
      </c>
      <c r="L552" s="6" t="s">
        <v>263</v>
      </c>
      <c r="M552" s="6">
        <v>2.5</v>
      </c>
      <c r="N552" s="9">
        <f>IF(TimeEntry[[#This Row],[Date]]=0,"",WEEKDAY(C552,2))</f>
        <v>4</v>
      </c>
      <c r="O552" s="10">
        <f>YEAR(TimeEntry[[#This Row],[WkEnd]])</f>
        <v>2019</v>
      </c>
      <c r="P552" s="10">
        <f>WEEKNUM(TimeEntry[[#This Row],[WkEnd]])</f>
        <v>10</v>
      </c>
      <c r="Q552" s="10" t="str">
        <f>TimeEntry[[#This Row],[Year]]&amp;"-"&amp;TimeEntry[[#This Row],[WkNo]]</f>
        <v>2019-10</v>
      </c>
    </row>
    <row r="553" spans="1:17" ht="30" x14ac:dyDescent="0.25">
      <c r="A553" s="9" t="e">
        <f>MOD(IF(ROW()=11,0.1,IF(INDEX(TimeEntry[WkEnd],ROW()-10)            =            INDEX(TimeEntry[WkEnd],ROW()-11),               INDEX(TimeEntry[format],ROW()-11),               INDEX(TimeEntry[format],ROW()-11)    +1)),2)</f>
        <v>#VALUE!</v>
      </c>
      <c r="B553" s="14"/>
      <c r="C553" s="7">
        <v>43524</v>
      </c>
      <c r="D553" s="7"/>
      <c r="E553" s="7"/>
      <c r="F553" s="6" t="s">
        <v>48</v>
      </c>
      <c r="G553" s="6"/>
      <c r="H553" s="7">
        <f>IF(TimeEntry[[#This Row],[Date]]=0,H552,C553+(7-N553))</f>
        <v>43527</v>
      </c>
      <c r="I553" s="7">
        <f>TimeEntry[[#This Row],[Date]]</f>
        <v>43524</v>
      </c>
      <c r="J553" s="10" t="str">
        <f>IF(TimeEntry[[#This Row],[Date]]=0,"",TEXT(TimeEntry[[#This Row],[Date]],"ddd"))</f>
        <v>Thu</v>
      </c>
      <c r="K553" s="9" t="str">
        <f>IF(TimeEntry[[#This Row],[Project]]=0,"",INDEX(ProjectsAll[job number],MATCH(TimeEntry[[#This Row],[Project]],ProjectsAll[Project],0)))</f>
        <v>254304-96</v>
      </c>
      <c r="L553" s="6" t="s">
        <v>318</v>
      </c>
      <c r="M553" s="6">
        <v>2.5</v>
      </c>
      <c r="N553" s="9">
        <f>IF(TimeEntry[[#This Row],[Date]]=0,"",WEEKDAY(C553,2))</f>
        <v>4</v>
      </c>
      <c r="O553" s="10">
        <f>YEAR(TimeEntry[[#This Row],[WkEnd]])</f>
        <v>2019</v>
      </c>
      <c r="P553" s="10">
        <f>WEEKNUM(TimeEntry[[#This Row],[WkEnd]])</f>
        <v>10</v>
      </c>
      <c r="Q553" s="10" t="str">
        <f>TimeEntry[[#This Row],[Year]]&amp;"-"&amp;TimeEntry[[#This Row],[WkNo]]</f>
        <v>2019-10</v>
      </c>
    </row>
    <row r="554" spans="1:17" ht="30" x14ac:dyDescent="0.25">
      <c r="A554" s="9" t="e">
        <f>MOD(IF(ROW()=11,0.1,IF(INDEX(TimeEntry[WkEnd],ROW()-10)            =            INDEX(TimeEntry[WkEnd],ROW()-11),               INDEX(TimeEntry[format],ROW()-11),               INDEX(TimeEntry[format],ROW()-11)    +1)),2)</f>
        <v>#VALUE!</v>
      </c>
      <c r="B554" s="14"/>
      <c r="C554" s="7">
        <v>43525</v>
      </c>
      <c r="D554" s="7"/>
      <c r="E554" s="7"/>
      <c r="F554" s="6" t="s">
        <v>4</v>
      </c>
      <c r="G554" s="6"/>
      <c r="H554" s="7">
        <f>IF(TimeEntry[[#This Row],[Date]]=0,H553,C554+(7-N554))</f>
        <v>43527</v>
      </c>
      <c r="I554" s="7">
        <f>TimeEntry[[#This Row],[Date]]</f>
        <v>43525</v>
      </c>
      <c r="J554" s="10" t="str">
        <f>IF(TimeEntry[[#This Row],[Date]]=0,"",TEXT(TimeEntry[[#This Row],[Date]],"ddd"))</f>
        <v>Fri</v>
      </c>
      <c r="K554" s="9" t="str">
        <f>IF(TimeEntry[[#This Row],[Project]]=0,"",INDEX(ProjectsAll[job number],MATCH(TimeEntry[[#This Row],[Project]],ProjectsAll[Project],0)))</f>
        <v>266122-21</v>
      </c>
      <c r="L554" s="6" t="s">
        <v>263</v>
      </c>
      <c r="M554" s="6">
        <v>7.5</v>
      </c>
      <c r="N554" s="9">
        <f>IF(TimeEntry[[#This Row],[Date]]=0,"",WEEKDAY(C554,2))</f>
        <v>5</v>
      </c>
      <c r="O554" s="10">
        <f>YEAR(TimeEntry[[#This Row],[WkEnd]])</f>
        <v>2019</v>
      </c>
      <c r="P554" s="10">
        <f>WEEKNUM(TimeEntry[[#This Row],[WkEnd]])</f>
        <v>10</v>
      </c>
      <c r="Q554" s="10" t="str">
        <f>TimeEntry[[#This Row],[Year]]&amp;"-"&amp;TimeEntry[[#This Row],[WkNo]]</f>
        <v>2019-10</v>
      </c>
    </row>
    <row r="555" spans="1:17" ht="30" x14ac:dyDescent="0.25">
      <c r="A555" s="9" t="e">
        <f>MOD(IF(ROW()=11,0.1,IF(INDEX(TimeEntry[WkEnd],ROW()-10)            =            INDEX(TimeEntry[WkEnd],ROW()-11),               INDEX(TimeEntry[format],ROW()-11),               INDEX(TimeEntry[format],ROW()-11)    +1)),2)</f>
        <v>#VALUE!</v>
      </c>
      <c r="B555" s="14"/>
      <c r="C555" s="7">
        <v>43514</v>
      </c>
      <c r="D555" s="7"/>
      <c r="E555" s="7"/>
      <c r="F555" s="6" t="s">
        <v>4</v>
      </c>
      <c r="G555" s="6"/>
      <c r="H555" s="7">
        <f>IF(TimeEntry[[#This Row],[Date]]=0,H554,C555+(7-N555))</f>
        <v>43520</v>
      </c>
      <c r="I555" s="7">
        <f>TimeEntry[[#This Row],[Date]]</f>
        <v>43514</v>
      </c>
      <c r="J555" s="10" t="str">
        <f>IF(TimeEntry[[#This Row],[Date]]=0,"",TEXT(TimeEntry[[#This Row],[Date]],"ddd"))</f>
        <v>Mon</v>
      </c>
      <c r="K555" s="9" t="str">
        <f>IF(TimeEntry[[#This Row],[Project]]=0,"",INDEX(ProjectsAll[job number],MATCH(TimeEntry[[#This Row],[Project]],ProjectsAll[Project],0)))</f>
        <v>266122-21</v>
      </c>
      <c r="L555" s="6" t="s">
        <v>319</v>
      </c>
      <c r="M555" s="6">
        <v>7.5</v>
      </c>
      <c r="N555" s="9">
        <f>IF(TimeEntry[[#This Row],[Date]]=0,"",WEEKDAY(C555,2))</f>
        <v>1</v>
      </c>
      <c r="O555" s="10">
        <f>YEAR(TimeEntry[[#This Row],[WkEnd]])</f>
        <v>2019</v>
      </c>
      <c r="P555" s="10">
        <f>WEEKNUM(TimeEntry[[#This Row],[WkEnd]])</f>
        <v>9</v>
      </c>
      <c r="Q555" s="10" t="str">
        <f>TimeEntry[[#This Row],[Year]]&amp;"-"&amp;TimeEntry[[#This Row],[WkNo]]</f>
        <v>2019-9</v>
      </c>
    </row>
    <row r="556" spans="1:17" ht="30" x14ac:dyDescent="0.25">
      <c r="A556" s="9" t="e">
        <f>MOD(IF(ROW()=11,0.1,IF(INDEX(TimeEntry[WkEnd],ROW()-10)            =            INDEX(TimeEntry[WkEnd],ROW()-11),               INDEX(TimeEntry[format],ROW()-11),               INDEX(TimeEntry[format],ROW()-11)    +1)),2)</f>
        <v>#VALUE!</v>
      </c>
      <c r="B556" s="14"/>
      <c r="C556" s="7">
        <v>43515</v>
      </c>
      <c r="D556" s="7"/>
      <c r="E556" s="7"/>
      <c r="F556" s="6" t="s">
        <v>70</v>
      </c>
      <c r="G556" s="6"/>
      <c r="H556" s="7">
        <f>IF(TimeEntry[[#This Row],[Date]]=0,H555,C556+(7-N556))</f>
        <v>43520</v>
      </c>
      <c r="I556" s="7">
        <f>TimeEntry[[#This Row],[Date]]</f>
        <v>43515</v>
      </c>
      <c r="J556" s="10" t="str">
        <f>IF(TimeEntry[[#This Row],[Date]]=0,"",TEXT(TimeEntry[[#This Row],[Date]],"ddd"))</f>
        <v>Tue</v>
      </c>
      <c r="K556" s="9" t="str">
        <f>IF(TimeEntry[[#This Row],[Project]]=0,"",INDEX(ProjectsAll[job number],MATCH(TimeEntry[[#This Row],[Project]],ProjectsAll[Project],0)))</f>
        <v>255375-00</v>
      </c>
      <c r="L556" s="6" t="s">
        <v>320</v>
      </c>
      <c r="M556" s="6">
        <v>6.5</v>
      </c>
      <c r="N556" s="9">
        <f>IF(TimeEntry[[#This Row],[Date]]=0,"",WEEKDAY(C556,2))</f>
        <v>2</v>
      </c>
      <c r="O556" s="10">
        <f>YEAR(TimeEntry[[#This Row],[WkEnd]])</f>
        <v>2019</v>
      </c>
      <c r="P556" s="10">
        <f>WEEKNUM(TimeEntry[[#This Row],[WkEnd]])</f>
        <v>9</v>
      </c>
      <c r="Q556" s="10" t="str">
        <f>TimeEntry[[#This Row],[Year]]&amp;"-"&amp;TimeEntry[[#This Row],[WkNo]]</f>
        <v>2019-9</v>
      </c>
    </row>
    <row r="557" spans="1:17" ht="30" x14ac:dyDescent="0.25">
      <c r="A557" s="9" t="e">
        <f>MOD(IF(ROW()=11,0.1,IF(INDEX(TimeEntry[WkEnd],ROW()-10)            =            INDEX(TimeEntry[WkEnd],ROW()-11),               INDEX(TimeEntry[format],ROW()-11),               INDEX(TimeEntry[format],ROW()-11)    +1)),2)</f>
        <v>#VALUE!</v>
      </c>
      <c r="B557" s="14"/>
      <c r="C557" s="7">
        <v>43515</v>
      </c>
      <c r="D557" s="7"/>
      <c r="E557" s="7"/>
      <c r="F557" s="6" t="s">
        <v>40</v>
      </c>
      <c r="G557" s="6"/>
      <c r="H557" s="7">
        <f>IF(TimeEntry[[#This Row],[Date]]=0,H556,C557+(7-N557))</f>
        <v>43520</v>
      </c>
      <c r="I557" s="7">
        <f>TimeEntry[[#This Row],[Date]]</f>
        <v>43515</v>
      </c>
      <c r="J557" s="10" t="str">
        <f>IF(TimeEntry[[#This Row],[Date]]=0,"",TEXT(TimeEntry[[#This Row],[Date]],"ddd"))</f>
        <v>Tue</v>
      </c>
      <c r="K557" s="9" t="str">
        <f>IF(TimeEntry[[#This Row],[Project]]=0,"",INDEX(ProjectsAll[job number],MATCH(TimeEntry[[#This Row],[Project]],ProjectsAll[Project],0)))</f>
        <v>255670-17</v>
      </c>
      <c r="L557" s="6" t="s">
        <v>321</v>
      </c>
      <c r="M557" s="6">
        <v>1</v>
      </c>
      <c r="N557" s="9">
        <f>IF(TimeEntry[[#This Row],[Date]]=0,"",WEEKDAY(C557,2))</f>
        <v>2</v>
      </c>
      <c r="O557" s="10">
        <f>YEAR(TimeEntry[[#This Row],[WkEnd]])</f>
        <v>2019</v>
      </c>
      <c r="P557" s="10">
        <f>WEEKNUM(TimeEntry[[#This Row],[WkEnd]])</f>
        <v>9</v>
      </c>
      <c r="Q557" s="10" t="str">
        <f>TimeEntry[[#This Row],[Year]]&amp;"-"&amp;TimeEntry[[#This Row],[WkNo]]</f>
        <v>2019-9</v>
      </c>
    </row>
    <row r="558" spans="1:17" ht="30" x14ac:dyDescent="0.25">
      <c r="A558" s="9" t="e">
        <f>MOD(IF(ROW()=11,0.1,IF(INDEX(TimeEntry[WkEnd],ROW()-10)            =            INDEX(TimeEntry[WkEnd],ROW()-11),               INDEX(TimeEntry[format],ROW()-11),               INDEX(TimeEntry[format],ROW()-11)    +1)),2)</f>
        <v>#VALUE!</v>
      </c>
      <c r="B558" s="14"/>
      <c r="C558" s="7">
        <v>43516</v>
      </c>
      <c r="D558" s="7"/>
      <c r="E558" s="7"/>
      <c r="F558" s="6" t="s">
        <v>95</v>
      </c>
      <c r="G558" s="6"/>
      <c r="H558" s="7">
        <f>IF(TimeEntry[[#This Row],[Date]]=0,H557,C558+(7-N558))</f>
        <v>43520</v>
      </c>
      <c r="I558" s="7">
        <f>TimeEntry[[#This Row],[Date]]</f>
        <v>43516</v>
      </c>
      <c r="J558" s="10" t="str">
        <f>IF(TimeEntry[[#This Row],[Date]]=0,"",TEXT(TimeEntry[[#This Row],[Date]],"ddd"))</f>
        <v>Wed</v>
      </c>
      <c r="K558" s="9" t="str">
        <f>IF(TimeEntry[[#This Row],[Project]]=0,"",INDEX(ProjectsAll[job number],MATCH(TimeEntry[[#This Row],[Project]],ProjectsAll[Project],0)))</f>
        <v>264744-00</v>
      </c>
      <c r="L558" s="6" t="s">
        <v>322</v>
      </c>
      <c r="M558" s="6">
        <v>2</v>
      </c>
      <c r="N558" s="9">
        <f>IF(TimeEntry[[#This Row],[Date]]=0,"",WEEKDAY(C558,2))</f>
        <v>3</v>
      </c>
      <c r="O558" s="10">
        <f>YEAR(TimeEntry[[#This Row],[WkEnd]])</f>
        <v>2019</v>
      </c>
      <c r="P558" s="10">
        <f>WEEKNUM(TimeEntry[[#This Row],[WkEnd]])</f>
        <v>9</v>
      </c>
      <c r="Q558" s="10" t="str">
        <f>TimeEntry[[#This Row],[Year]]&amp;"-"&amp;TimeEntry[[#This Row],[WkNo]]</f>
        <v>2019-9</v>
      </c>
    </row>
    <row r="559" spans="1:17" ht="30" x14ac:dyDescent="0.25">
      <c r="A559" s="9" t="e">
        <f>MOD(IF(ROW()=11,0.1,IF(INDEX(TimeEntry[WkEnd],ROW()-10)            =            INDEX(TimeEntry[WkEnd],ROW()-11),               INDEX(TimeEntry[format],ROW()-11),               INDEX(TimeEntry[format],ROW()-11)    +1)),2)</f>
        <v>#VALUE!</v>
      </c>
      <c r="B559" s="14"/>
      <c r="C559" s="7">
        <v>43516</v>
      </c>
      <c r="D559" s="7"/>
      <c r="E559" s="7"/>
      <c r="F559" s="6" t="s">
        <v>74</v>
      </c>
      <c r="G559" s="6"/>
      <c r="H559" s="7">
        <f>IF(TimeEntry[[#This Row],[Date]]=0,H558,C559+(7-N559))</f>
        <v>43520</v>
      </c>
      <c r="I559" s="7">
        <f>TimeEntry[[#This Row],[Date]]</f>
        <v>43516</v>
      </c>
      <c r="J559" s="10" t="str">
        <f>IF(TimeEntry[[#This Row],[Date]]=0,"",TEXT(TimeEntry[[#This Row],[Date]],"ddd"))</f>
        <v>Wed</v>
      </c>
      <c r="K559" s="9" t="str">
        <f>IF(TimeEntry[[#This Row],[Project]]=0,"",INDEX(ProjectsAll[job number],MATCH(TimeEntry[[#This Row],[Project]],ProjectsAll[Project],0)))</f>
        <v>261723-02</v>
      </c>
      <c r="L559" s="6" t="s">
        <v>323</v>
      </c>
      <c r="M559" s="6">
        <v>2</v>
      </c>
      <c r="N559" s="9">
        <f>IF(TimeEntry[[#This Row],[Date]]=0,"",WEEKDAY(C559,2))</f>
        <v>3</v>
      </c>
      <c r="O559" s="10">
        <f>YEAR(TimeEntry[[#This Row],[WkEnd]])</f>
        <v>2019</v>
      </c>
      <c r="P559" s="10">
        <f>WEEKNUM(TimeEntry[[#This Row],[WkEnd]])</f>
        <v>9</v>
      </c>
      <c r="Q559" s="10" t="str">
        <f>TimeEntry[[#This Row],[Year]]&amp;"-"&amp;TimeEntry[[#This Row],[WkNo]]</f>
        <v>2019-9</v>
      </c>
    </row>
    <row r="560" spans="1:17" ht="30" x14ac:dyDescent="0.25">
      <c r="A560" s="9" t="e">
        <f>MOD(IF(ROW()=11,0.1,IF(INDEX(TimeEntry[WkEnd],ROW()-10)            =            INDEX(TimeEntry[WkEnd],ROW()-11),               INDEX(TimeEntry[format],ROW()-11),               INDEX(TimeEntry[format],ROW()-11)    +1)),2)</f>
        <v>#VALUE!</v>
      </c>
      <c r="B560" s="14"/>
      <c r="C560" s="7">
        <v>43516</v>
      </c>
      <c r="D560" s="7"/>
      <c r="E560" s="7"/>
      <c r="F560" s="6" t="s">
        <v>4</v>
      </c>
      <c r="G560" s="6"/>
      <c r="H560" s="7">
        <f>IF(TimeEntry[[#This Row],[Date]]=0,H559,C560+(7-N560))</f>
        <v>43520</v>
      </c>
      <c r="I560" s="7">
        <f>TimeEntry[[#This Row],[Date]]</f>
        <v>43516</v>
      </c>
      <c r="J560" s="10" t="str">
        <f>IF(TimeEntry[[#This Row],[Date]]=0,"",TEXT(TimeEntry[[#This Row],[Date]],"ddd"))</f>
        <v>Wed</v>
      </c>
      <c r="K560" s="9" t="str">
        <f>IF(TimeEntry[[#This Row],[Project]]=0,"",INDEX(ProjectsAll[job number],MATCH(TimeEntry[[#This Row],[Project]],ProjectsAll[Project],0)))</f>
        <v>266122-21</v>
      </c>
      <c r="L560" s="6" t="s">
        <v>298</v>
      </c>
      <c r="M560" s="6">
        <v>3.5</v>
      </c>
      <c r="N560" s="9">
        <f>IF(TimeEntry[[#This Row],[Date]]=0,"",WEEKDAY(C560,2))</f>
        <v>3</v>
      </c>
      <c r="O560" s="10">
        <f>YEAR(TimeEntry[[#This Row],[WkEnd]])</f>
        <v>2019</v>
      </c>
      <c r="P560" s="10">
        <f>WEEKNUM(TimeEntry[[#This Row],[WkEnd]])</f>
        <v>9</v>
      </c>
      <c r="Q560" s="10" t="str">
        <f>TimeEntry[[#This Row],[Year]]&amp;"-"&amp;TimeEntry[[#This Row],[WkNo]]</f>
        <v>2019-9</v>
      </c>
    </row>
    <row r="561" spans="1:17" x14ac:dyDescent="0.25">
      <c r="A561" s="9" t="e">
        <f>MOD(IF(ROW()=11,0.1,IF(INDEX(TimeEntry[WkEnd],ROW()-10)            =            INDEX(TimeEntry[WkEnd],ROW()-11),               INDEX(TimeEntry[format],ROW()-11),               INDEX(TimeEntry[format],ROW()-11)    +1)),2)</f>
        <v>#VALUE!</v>
      </c>
      <c r="B561" s="14"/>
      <c r="C561" s="7">
        <v>43517</v>
      </c>
      <c r="D561" s="7"/>
      <c r="E561" s="7"/>
      <c r="F561" s="6" t="s">
        <v>60</v>
      </c>
      <c r="G561" s="6"/>
      <c r="H561" s="7">
        <f>IF(TimeEntry[[#This Row],[Date]]=0,H560,C561+(7-N561))</f>
        <v>43520</v>
      </c>
      <c r="I561" s="7">
        <f>TimeEntry[[#This Row],[Date]]</f>
        <v>43517</v>
      </c>
      <c r="J561" s="10" t="str">
        <f>IF(TimeEntry[[#This Row],[Date]]=0,"",TEXT(TimeEntry[[#This Row],[Date]],"ddd"))</f>
        <v>Thu</v>
      </c>
      <c r="K561" s="9">
        <f>IF(TimeEntry[[#This Row],[Project]]=0,"",INDEX(ProjectsAll[job number],MATCH(TimeEntry[[#This Row],[Project]],ProjectsAll[Project],0)))</f>
        <v>0</v>
      </c>
      <c r="L561" s="6" t="s">
        <v>324</v>
      </c>
      <c r="M561" s="6">
        <v>4</v>
      </c>
      <c r="N561" s="9">
        <f>IF(TimeEntry[[#This Row],[Date]]=0,"",WEEKDAY(C561,2))</f>
        <v>4</v>
      </c>
      <c r="O561" s="10">
        <f>YEAR(TimeEntry[[#This Row],[WkEnd]])</f>
        <v>2019</v>
      </c>
      <c r="P561" s="10">
        <f>WEEKNUM(TimeEntry[[#This Row],[WkEnd]])</f>
        <v>9</v>
      </c>
      <c r="Q561" s="10" t="str">
        <f>TimeEntry[[#This Row],[Year]]&amp;"-"&amp;TimeEntry[[#This Row],[WkNo]]</f>
        <v>2019-9</v>
      </c>
    </row>
    <row r="562" spans="1:17" ht="30" x14ac:dyDescent="0.25">
      <c r="A562" s="9" t="e">
        <f>MOD(IF(ROW()=11,0.1,IF(INDEX(TimeEntry[WkEnd],ROW()-10)            =            INDEX(TimeEntry[WkEnd],ROW()-11),               INDEX(TimeEntry[format],ROW()-11),               INDEX(TimeEntry[format],ROW()-11)    +1)),2)</f>
        <v>#VALUE!</v>
      </c>
      <c r="B562" s="14"/>
      <c r="C562" s="7">
        <v>43517</v>
      </c>
      <c r="D562" s="7"/>
      <c r="E562" s="7"/>
      <c r="F562" s="6" t="s">
        <v>4</v>
      </c>
      <c r="G562" s="6"/>
      <c r="H562" s="7">
        <f>IF(TimeEntry[[#This Row],[Date]]=0,H561,C562+(7-N562))</f>
        <v>43520</v>
      </c>
      <c r="I562" s="7">
        <f>TimeEntry[[#This Row],[Date]]</f>
        <v>43517</v>
      </c>
      <c r="J562" s="10" t="str">
        <f>IF(TimeEntry[[#This Row],[Date]]=0,"",TEXT(TimeEntry[[#This Row],[Date]],"ddd"))</f>
        <v>Thu</v>
      </c>
      <c r="K562" s="9" t="str">
        <f>IF(TimeEntry[[#This Row],[Project]]=0,"",INDEX(ProjectsAll[job number],MATCH(TimeEntry[[#This Row],[Project]],ProjectsAll[Project],0)))</f>
        <v>266122-21</v>
      </c>
      <c r="L562" s="6" t="s">
        <v>325</v>
      </c>
      <c r="M562" s="6">
        <v>3.5</v>
      </c>
      <c r="N562" s="9">
        <f>IF(TimeEntry[[#This Row],[Date]]=0,"",WEEKDAY(C562,2))</f>
        <v>4</v>
      </c>
      <c r="O562" s="10">
        <f>YEAR(TimeEntry[[#This Row],[WkEnd]])</f>
        <v>2019</v>
      </c>
      <c r="P562" s="10">
        <f>WEEKNUM(TimeEntry[[#This Row],[WkEnd]])</f>
        <v>9</v>
      </c>
      <c r="Q562" s="10" t="str">
        <f>TimeEntry[[#This Row],[Year]]&amp;"-"&amp;TimeEntry[[#This Row],[WkNo]]</f>
        <v>2019-9</v>
      </c>
    </row>
    <row r="563" spans="1:17" ht="30" x14ac:dyDescent="0.25">
      <c r="A563" s="9" t="e">
        <f>MOD(IF(ROW()=11,0.1,IF(INDEX(TimeEntry[WkEnd],ROW()-10)            =            INDEX(TimeEntry[WkEnd],ROW()-11),               INDEX(TimeEntry[format],ROW()-11),               INDEX(TimeEntry[format],ROW()-11)    +1)),2)</f>
        <v>#VALUE!</v>
      </c>
      <c r="B563" s="14"/>
      <c r="C563" s="7">
        <v>43518</v>
      </c>
      <c r="D563" s="7"/>
      <c r="E563" s="7"/>
      <c r="F563" s="6" t="s">
        <v>4</v>
      </c>
      <c r="G563" s="6"/>
      <c r="H563" s="7">
        <f>IF(TimeEntry[[#This Row],[Date]]=0,H562,C563+(7-N563))</f>
        <v>43520</v>
      </c>
      <c r="I563" s="7">
        <f>TimeEntry[[#This Row],[Date]]</f>
        <v>43518</v>
      </c>
      <c r="J563" s="10" t="str">
        <f>IF(TimeEntry[[#This Row],[Date]]=0,"",TEXT(TimeEntry[[#This Row],[Date]],"ddd"))</f>
        <v>Fri</v>
      </c>
      <c r="K563" s="9" t="str">
        <f>IF(TimeEntry[[#This Row],[Project]]=0,"",INDEX(ProjectsAll[job number],MATCH(TimeEntry[[#This Row],[Project]],ProjectsAll[Project],0)))</f>
        <v>266122-21</v>
      </c>
      <c r="L563" s="6" t="s">
        <v>326</v>
      </c>
      <c r="M563" s="6">
        <v>7.5</v>
      </c>
      <c r="N563" s="9">
        <f>IF(TimeEntry[[#This Row],[Date]]=0,"",WEEKDAY(C563,2))</f>
        <v>5</v>
      </c>
      <c r="O563" s="10">
        <f>YEAR(TimeEntry[[#This Row],[WkEnd]])</f>
        <v>2019</v>
      </c>
      <c r="P563" s="10">
        <f>WEEKNUM(TimeEntry[[#This Row],[WkEnd]])</f>
        <v>9</v>
      </c>
      <c r="Q563" s="10" t="str">
        <f>TimeEntry[[#This Row],[Year]]&amp;"-"&amp;TimeEntry[[#This Row],[WkNo]]</f>
        <v>2019-9</v>
      </c>
    </row>
    <row r="564" spans="1:17" x14ac:dyDescent="0.25">
      <c r="A564" s="9" t="e">
        <f>MOD(IF(ROW()=11,0.1,IF(INDEX(TimeEntry[WkEnd],ROW()-10)            =            INDEX(TimeEntry[WkEnd],ROW()-11),               INDEX(TimeEntry[format],ROW()-11),               INDEX(TimeEntry[format],ROW()-11)    +1)),2)</f>
        <v>#VALUE!</v>
      </c>
      <c r="B564" s="14"/>
      <c r="C564" s="7">
        <v>43507</v>
      </c>
      <c r="D564" s="7"/>
      <c r="E564" s="7"/>
      <c r="F564" s="6" t="s">
        <v>68</v>
      </c>
      <c r="G564" s="6"/>
      <c r="H564" s="7">
        <f>IF(TimeEntry[[#This Row],[Date]]=0,H563,C564+(7-N564))</f>
        <v>43513</v>
      </c>
      <c r="I564" s="7">
        <f>TimeEntry[[#This Row],[Date]]</f>
        <v>43507</v>
      </c>
      <c r="J564" s="10" t="str">
        <f>IF(TimeEntry[[#This Row],[Date]]=0,"",TEXT(TimeEntry[[#This Row],[Date]],"ddd"))</f>
        <v>Mon</v>
      </c>
      <c r="K564" s="9" t="str">
        <f>IF(TimeEntry[[#This Row],[Project]]=0,"",INDEX(ProjectsAll[job number],MATCH(TimeEntry[[#This Row],[Project]],ProjectsAll[Project],0)))</f>
        <v>LEAVE</v>
      </c>
      <c r="L564" s="6" t="s">
        <v>68</v>
      </c>
      <c r="M564" s="6">
        <v>7.5</v>
      </c>
      <c r="N564" s="9">
        <f>IF(TimeEntry[[#This Row],[Date]]=0,"",WEEKDAY(C564,2))</f>
        <v>1</v>
      </c>
      <c r="O564" s="10">
        <f>YEAR(TimeEntry[[#This Row],[WkEnd]])</f>
        <v>2019</v>
      </c>
      <c r="P564" s="10">
        <f>WEEKNUM(TimeEntry[[#This Row],[WkEnd]])</f>
        <v>8</v>
      </c>
      <c r="Q564" s="10" t="str">
        <f>TimeEntry[[#This Row],[Year]]&amp;"-"&amp;TimeEntry[[#This Row],[WkNo]]</f>
        <v>2019-8</v>
      </c>
    </row>
    <row r="565" spans="1:17" x14ac:dyDescent="0.25">
      <c r="A565" s="9" t="e">
        <f>MOD(IF(ROW()=11,0.1,IF(INDEX(TimeEntry[WkEnd],ROW()-10)            =            INDEX(TimeEntry[WkEnd],ROW()-11),               INDEX(TimeEntry[format],ROW()-11),               INDEX(TimeEntry[format],ROW()-11)    +1)),2)</f>
        <v>#VALUE!</v>
      </c>
      <c r="B565" s="14"/>
      <c r="C565" s="7">
        <v>43508</v>
      </c>
      <c r="D565" s="7"/>
      <c r="E565" s="7"/>
      <c r="F565" s="6" t="s">
        <v>68</v>
      </c>
      <c r="G565" s="6"/>
      <c r="H565" s="7">
        <f>IF(TimeEntry[[#This Row],[Date]]=0,H564,C565+(7-N565))</f>
        <v>43513</v>
      </c>
      <c r="I565" s="7">
        <f>TimeEntry[[#This Row],[Date]]</f>
        <v>43508</v>
      </c>
      <c r="J565" s="10" t="str">
        <f>IF(TimeEntry[[#This Row],[Date]]=0,"",TEXT(TimeEntry[[#This Row],[Date]],"ddd"))</f>
        <v>Tue</v>
      </c>
      <c r="K565" s="9" t="str">
        <f>IF(TimeEntry[[#This Row],[Project]]=0,"",INDEX(ProjectsAll[job number],MATCH(TimeEntry[[#This Row],[Project]],ProjectsAll[Project],0)))</f>
        <v>LEAVE</v>
      </c>
      <c r="L565" s="6" t="s">
        <v>68</v>
      </c>
      <c r="M565" s="6">
        <v>7.5</v>
      </c>
      <c r="N565" s="9">
        <f>IF(TimeEntry[[#This Row],[Date]]=0,"",WEEKDAY(C565,2))</f>
        <v>2</v>
      </c>
      <c r="O565" s="10">
        <f>YEAR(TimeEntry[[#This Row],[WkEnd]])</f>
        <v>2019</v>
      </c>
      <c r="P565" s="10">
        <f>WEEKNUM(TimeEntry[[#This Row],[WkEnd]])</f>
        <v>8</v>
      </c>
      <c r="Q565" s="10" t="str">
        <f>TimeEntry[[#This Row],[Year]]&amp;"-"&amp;TimeEntry[[#This Row],[WkNo]]</f>
        <v>2019-8</v>
      </c>
    </row>
    <row r="566" spans="1:17" x14ac:dyDescent="0.25">
      <c r="A566" s="9" t="e">
        <f>MOD(IF(ROW()=11,0.1,IF(INDEX(TimeEntry[WkEnd],ROW()-10)            =            INDEX(TimeEntry[WkEnd],ROW()-11),               INDEX(TimeEntry[format],ROW()-11),               INDEX(TimeEntry[format],ROW()-11)    +1)),2)</f>
        <v>#VALUE!</v>
      </c>
      <c r="B566" s="14"/>
      <c r="C566" s="7">
        <v>43509</v>
      </c>
      <c r="D566" s="7"/>
      <c r="E566" s="7"/>
      <c r="F566" s="6" t="s">
        <v>68</v>
      </c>
      <c r="G566" s="6"/>
      <c r="H566" s="7">
        <f>IF(TimeEntry[[#This Row],[Date]]=0,H565,C566+(7-N566))</f>
        <v>43513</v>
      </c>
      <c r="I566" s="7">
        <f>TimeEntry[[#This Row],[Date]]</f>
        <v>43509</v>
      </c>
      <c r="J566" s="10" t="str">
        <f>IF(TimeEntry[[#This Row],[Date]]=0,"",TEXT(TimeEntry[[#This Row],[Date]],"ddd"))</f>
        <v>Wed</v>
      </c>
      <c r="K566" s="9" t="str">
        <f>IF(TimeEntry[[#This Row],[Project]]=0,"",INDEX(ProjectsAll[job number],MATCH(TimeEntry[[#This Row],[Project]],ProjectsAll[Project],0)))</f>
        <v>LEAVE</v>
      </c>
      <c r="L566" s="6" t="s">
        <v>68</v>
      </c>
      <c r="M566" s="6">
        <v>7.5</v>
      </c>
      <c r="N566" s="9">
        <f>IF(TimeEntry[[#This Row],[Date]]=0,"",WEEKDAY(C566,2))</f>
        <v>3</v>
      </c>
      <c r="O566" s="10">
        <f>YEAR(TimeEntry[[#This Row],[WkEnd]])</f>
        <v>2019</v>
      </c>
      <c r="P566" s="10">
        <f>WEEKNUM(TimeEntry[[#This Row],[WkEnd]])</f>
        <v>8</v>
      </c>
      <c r="Q566" s="10" t="str">
        <f>TimeEntry[[#This Row],[Year]]&amp;"-"&amp;TimeEntry[[#This Row],[WkNo]]</f>
        <v>2019-8</v>
      </c>
    </row>
    <row r="567" spans="1:17" x14ac:dyDescent="0.25">
      <c r="A567" s="9" t="e">
        <f>MOD(IF(ROW()=11,0.1,IF(INDEX(TimeEntry[WkEnd],ROW()-10)            =            INDEX(TimeEntry[WkEnd],ROW()-11),               INDEX(TimeEntry[format],ROW()-11),               INDEX(TimeEntry[format],ROW()-11)    +1)),2)</f>
        <v>#VALUE!</v>
      </c>
      <c r="B567" s="14"/>
      <c r="C567" s="7">
        <v>43510</v>
      </c>
      <c r="D567" s="7"/>
      <c r="E567" s="7"/>
      <c r="F567" s="6" t="s">
        <v>68</v>
      </c>
      <c r="G567" s="6"/>
      <c r="H567" s="7">
        <f>IF(TimeEntry[[#This Row],[Date]]=0,H566,C567+(7-N567))</f>
        <v>43513</v>
      </c>
      <c r="I567" s="7">
        <f>TimeEntry[[#This Row],[Date]]</f>
        <v>43510</v>
      </c>
      <c r="J567" s="10" t="str">
        <f>IF(TimeEntry[[#This Row],[Date]]=0,"",TEXT(TimeEntry[[#This Row],[Date]],"ddd"))</f>
        <v>Thu</v>
      </c>
      <c r="K567" s="9" t="str">
        <f>IF(TimeEntry[[#This Row],[Project]]=0,"",INDEX(ProjectsAll[job number],MATCH(TimeEntry[[#This Row],[Project]],ProjectsAll[Project],0)))</f>
        <v>LEAVE</v>
      </c>
      <c r="L567" s="6" t="s">
        <v>68</v>
      </c>
      <c r="M567" s="6">
        <v>7.5</v>
      </c>
      <c r="N567" s="9">
        <f>IF(TimeEntry[[#This Row],[Date]]=0,"",WEEKDAY(C567,2))</f>
        <v>4</v>
      </c>
      <c r="O567" s="10">
        <f>YEAR(TimeEntry[[#This Row],[WkEnd]])</f>
        <v>2019</v>
      </c>
      <c r="P567" s="10">
        <f>WEEKNUM(TimeEntry[[#This Row],[WkEnd]])</f>
        <v>8</v>
      </c>
      <c r="Q567" s="10" t="str">
        <f>TimeEntry[[#This Row],[Year]]&amp;"-"&amp;TimeEntry[[#This Row],[WkNo]]</f>
        <v>2019-8</v>
      </c>
    </row>
    <row r="568" spans="1:17" x14ac:dyDescent="0.25">
      <c r="A568" s="9" t="e">
        <f>MOD(IF(ROW()=11,0.1,IF(INDEX(TimeEntry[WkEnd],ROW()-10)            =            INDEX(TimeEntry[WkEnd],ROW()-11),               INDEX(TimeEntry[format],ROW()-11),               INDEX(TimeEntry[format],ROW()-11)    +1)),2)</f>
        <v>#VALUE!</v>
      </c>
      <c r="B568" s="14"/>
      <c r="C568" s="7">
        <v>43511</v>
      </c>
      <c r="D568" s="7"/>
      <c r="E568" s="7"/>
      <c r="F568" s="6" t="s">
        <v>68</v>
      </c>
      <c r="G568" s="6"/>
      <c r="H568" s="7">
        <f>IF(TimeEntry[[#This Row],[Date]]=0,H567,C568+(7-N568))</f>
        <v>43513</v>
      </c>
      <c r="I568" s="7">
        <f>TimeEntry[[#This Row],[Date]]</f>
        <v>43511</v>
      </c>
      <c r="J568" s="10" t="str">
        <f>IF(TimeEntry[[#This Row],[Date]]=0,"",TEXT(TimeEntry[[#This Row],[Date]],"ddd"))</f>
        <v>Fri</v>
      </c>
      <c r="K568" s="9" t="str">
        <f>IF(TimeEntry[[#This Row],[Project]]=0,"",INDEX(ProjectsAll[job number],MATCH(TimeEntry[[#This Row],[Project]],ProjectsAll[Project],0)))</f>
        <v>LEAVE</v>
      </c>
      <c r="L568" s="6" t="s">
        <v>68</v>
      </c>
      <c r="M568" s="6">
        <v>7.5</v>
      </c>
      <c r="N568" s="9">
        <f>IF(TimeEntry[[#This Row],[Date]]=0,"",WEEKDAY(C568,2))</f>
        <v>5</v>
      </c>
      <c r="O568" s="10">
        <f>YEAR(TimeEntry[[#This Row],[WkEnd]])</f>
        <v>2019</v>
      </c>
      <c r="P568" s="10">
        <f>WEEKNUM(TimeEntry[[#This Row],[WkEnd]])</f>
        <v>8</v>
      </c>
      <c r="Q568" s="10" t="str">
        <f>TimeEntry[[#This Row],[Year]]&amp;"-"&amp;TimeEntry[[#This Row],[WkNo]]</f>
        <v>2019-8</v>
      </c>
    </row>
    <row r="569" spans="1:17" ht="30" x14ac:dyDescent="0.25">
      <c r="A569" s="9" t="e">
        <f>MOD(IF(ROW()=11,0.1,IF(INDEX(TimeEntry[WkEnd],ROW()-10)            =            INDEX(TimeEntry[WkEnd],ROW()-11),               INDEX(TimeEntry[format],ROW()-11),               INDEX(TimeEntry[format],ROW()-11)    +1)),2)</f>
        <v>#VALUE!</v>
      </c>
      <c r="B569" s="14"/>
      <c r="C569" s="7">
        <v>43500</v>
      </c>
      <c r="D569" s="7"/>
      <c r="E569" s="7"/>
      <c r="F569" s="6" t="s">
        <v>32</v>
      </c>
      <c r="G569" s="6"/>
      <c r="H569" s="7">
        <f>IF(TimeEntry[[#This Row],[Date]]=0,H568,C569+(7-N569))</f>
        <v>43506</v>
      </c>
      <c r="I569" s="7">
        <f>TimeEntry[[#This Row],[Date]]</f>
        <v>43500</v>
      </c>
      <c r="J569" s="10" t="str">
        <f>IF(TimeEntry[[#This Row],[Date]]=0,"",TEXT(TimeEntry[[#This Row],[Date]],"ddd"))</f>
        <v>Mon</v>
      </c>
      <c r="K569" s="9" t="str">
        <f>IF(TimeEntry[[#This Row],[Project]]=0,"",INDEX(ProjectsAll[job number],MATCH(TimeEntry[[#This Row],[Project]],ProjectsAll[Project],0)))</f>
        <v>260258-41</v>
      </c>
      <c r="L569" s="6" t="s">
        <v>327</v>
      </c>
      <c r="M569" s="6">
        <v>3.75</v>
      </c>
      <c r="N569" s="9">
        <f>IF(TimeEntry[[#This Row],[Date]]=0,"",WEEKDAY(C569,2))</f>
        <v>1</v>
      </c>
      <c r="O569" s="10">
        <f>YEAR(TimeEntry[[#This Row],[WkEnd]])</f>
        <v>2019</v>
      </c>
      <c r="P569" s="10">
        <f>WEEKNUM(TimeEntry[[#This Row],[WkEnd]])</f>
        <v>7</v>
      </c>
      <c r="Q569" s="10" t="str">
        <f>TimeEntry[[#This Row],[Year]]&amp;"-"&amp;TimeEntry[[#This Row],[WkNo]]</f>
        <v>2019-7</v>
      </c>
    </row>
    <row r="570" spans="1:17" ht="30" x14ac:dyDescent="0.25">
      <c r="A570" s="9" t="e">
        <f>MOD(IF(ROW()=11,0.1,IF(INDEX(TimeEntry[WkEnd],ROW()-10)            =            INDEX(TimeEntry[WkEnd],ROW()-11),               INDEX(TimeEntry[format],ROW()-11),               INDEX(TimeEntry[format],ROW()-11)    +1)),2)</f>
        <v>#VALUE!</v>
      </c>
      <c r="B570" s="14"/>
      <c r="C570" s="7">
        <v>43500</v>
      </c>
      <c r="D570" s="7"/>
      <c r="E570" s="7"/>
      <c r="F570" s="6" t="s">
        <v>70</v>
      </c>
      <c r="G570" s="6"/>
      <c r="H570" s="7">
        <f>IF(TimeEntry[[#This Row],[Date]]=0,H569,C570+(7-N570))</f>
        <v>43506</v>
      </c>
      <c r="I570" s="7">
        <f>TimeEntry[[#This Row],[Date]]</f>
        <v>43500</v>
      </c>
      <c r="J570" s="10" t="str">
        <f>IF(TimeEntry[[#This Row],[Date]]=0,"",TEXT(TimeEntry[[#This Row],[Date]],"ddd"))</f>
        <v>Mon</v>
      </c>
      <c r="K570" s="9" t="str">
        <f>IF(TimeEntry[[#This Row],[Project]]=0,"",INDEX(ProjectsAll[job number],MATCH(TimeEntry[[#This Row],[Project]],ProjectsAll[Project],0)))</f>
        <v>255375-00</v>
      </c>
      <c r="L570" s="6" t="s">
        <v>328</v>
      </c>
      <c r="M570" s="6">
        <v>3.75</v>
      </c>
      <c r="N570" s="9">
        <f>IF(TimeEntry[[#This Row],[Date]]=0,"",WEEKDAY(C570,2))</f>
        <v>1</v>
      </c>
      <c r="O570" s="10">
        <f>YEAR(TimeEntry[[#This Row],[WkEnd]])</f>
        <v>2019</v>
      </c>
      <c r="P570" s="10">
        <f>WEEKNUM(TimeEntry[[#This Row],[WkEnd]])</f>
        <v>7</v>
      </c>
      <c r="Q570" s="10" t="str">
        <f>TimeEntry[[#This Row],[Year]]&amp;"-"&amp;TimeEntry[[#This Row],[WkNo]]</f>
        <v>2019-7</v>
      </c>
    </row>
    <row r="571" spans="1:17" ht="30" x14ac:dyDescent="0.25">
      <c r="A571" s="9" t="e">
        <f>MOD(IF(ROW()=11,0.1,IF(INDEX(TimeEntry[WkEnd],ROW()-10)            =            INDEX(TimeEntry[WkEnd],ROW()-11),               INDEX(TimeEntry[format],ROW()-11),               INDEX(TimeEntry[format],ROW()-11)    +1)),2)</f>
        <v>#VALUE!</v>
      </c>
      <c r="B571" s="14"/>
      <c r="C571" s="7">
        <v>43501</v>
      </c>
      <c r="D571" s="7"/>
      <c r="E571" s="7"/>
      <c r="F571" s="6" t="s">
        <v>4</v>
      </c>
      <c r="G571" s="6"/>
      <c r="H571" s="7">
        <f>IF(TimeEntry[[#This Row],[Date]]=0,H570,C571+(7-N571))</f>
        <v>43506</v>
      </c>
      <c r="I571" s="7">
        <f>TimeEntry[[#This Row],[Date]]</f>
        <v>43501</v>
      </c>
      <c r="J571" s="10" t="str">
        <f>IF(TimeEntry[[#This Row],[Date]]=0,"",TEXT(TimeEntry[[#This Row],[Date]],"ddd"))</f>
        <v>Tue</v>
      </c>
      <c r="K571" s="9" t="str">
        <f>IF(TimeEntry[[#This Row],[Project]]=0,"",INDEX(ProjectsAll[job number],MATCH(TimeEntry[[#This Row],[Project]],ProjectsAll[Project],0)))</f>
        <v>266122-21</v>
      </c>
      <c r="L571" s="6" t="s">
        <v>329</v>
      </c>
      <c r="M571" s="6">
        <v>7.5</v>
      </c>
      <c r="N571" s="9">
        <f>IF(TimeEntry[[#This Row],[Date]]=0,"",WEEKDAY(C571,2))</f>
        <v>2</v>
      </c>
      <c r="O571" s="10">
        <f>YEAR(TimeEntry[[#This Row],[WkEnd]])</f>
        <v>2019</v>
      </c>
      <c r="P571" s="10">
        <f>WEEKNUM(TimeEntry[[#This Row],[WkEnd]])</f>
        <v>7</v>
      </c>
      <c r="Q571" s="10" t="str">
        <f>TimeEntry[[#This Row],[Year]]&amp;"-"&amp;TimeEntry[[#This Row],[WkNo]]</f>
        <v>2019-7</v>
      </c>
    </row>
    <row r="572" spans="1:17" ht="30" x14ac:dyDescent="0.25">
      <c r="A572" s="9" t="e">
        <f>MOD(IF(ROW()=11,0.1,IF(INDEX(TimeEntry[WkEnd],ROW()-10)            =            INDEX(TimeEntry[WkEnd],ROW()-11),               INDEX(TimeEntry[format],ROW()-11),               INDEX(TimeEntry[format],ROW()-11)    +1)),2)</f>
        <v>#VALUE!</v>
      </c>
      <c r="B572" s="14"/>
      <c r="C572" s="7">
        <v>43502</v>
      </c>
      <c r="D572" s="7"/>
      <c r="E572" s="7"/>
      <c r="F572" s="6" t="s">
        <v>32</v>
      </c>
      <c r="G572" s="6"/>
      <c r="H572" s="7">
        <f>IF(TimeEntry[[#This Row],[Date]]=0,H571,C572+(7-N572))</f>
        <v>43506</v>
      </c>
      <c r="I572" s="7">
        <f>TimeEntry[[#This Row],[Date]]</f>
        <v>43502</v>
      </c>
      <c r="J572" s="10" t="str">
        <f>IF(TimeEntry[[#This Row],[Date]]=0,"",TEXT(TimeEntry[[#This Row],[Date]],"ddd"))</f>
        <v>Wed</v>
      </c>
      <c r="K572" s="9" t="str">
        <f>IF(TimeEntry[[#This Row],[Project]]=0,"",INDEX(ProjectsAll[job number],MATCH(TimeEntry[[#This Row],[Project]],ProjectsAll[Project],0)))</f>
        <v>260258-41</v>
      </c>
      <c r="L572" s="6" t="s">
        <v>330</v>
      </c>
      <c r="M572" s="6">
        <v>7.5</v>
      </c>
      <c r="N572" s="9">
        <f>IF(TimeEntry[[#This Row],[Date]]=0,"",WEEKDAY(C572,2))</f>
        <v>3</v>
      </c>
      <c r="O572" s="10">
        <f>YEAR(TimeEntry[[#This Row],[WkEnd]])</f>
        <v>2019</v>
      </c>
      <c r="P572" s="10">
        <f>WEEKNUM(TimeEntry[[#This Row],[WkEnd]])</f>
        <v>7</v>
      </c>
      <c r="Q572" s="10" t="str">
        <f>TimeEntry[[#This Row],[Year]]&amp;"-"&amp;TimeEntry[[#This Row],[WkNo]]</f>
        <v>2019-7</v>
      </c>
    </row>
    <row r="573" spans="1:17" ht="30" x14ac:dyDescent="0.25">
      <c r="A573" s="9" t="e">
        <f>MOD(IF(ROW()=11,0.1,IF(INDEX(TimeEntry[WkEnd],ROW()-10)            =            INDEX(TimeEntry[WkEnd],ROW()-11),               INDEX(TimeEntry[format],ROW()-11),               INDEX(TimeEntry[format],ROW()-11)    +1)),2)</f>
        <v>#VALUE!</v>
      </c>
      <c r="B573" s="14"/>
      <c r="C573" s="7">
        <v>43503</v>
      </c>
      <c r="D573" s="7"/>
      <c r="E573" s="7"/>
      <c r="F573" s="6" t="s">
        <v>55</v>
      </c>
      <c r="G573" s="6"/>
      <c r="H573" s="7">
        <f>IF(TimeEntry[[#This Row],[Date]]=0,H572,C573+(7-N573))</f>
        <v>43506</v>
      </c>
      <c r="I573" s="7">
        <f>TimeEntry[[#This Row],[Date]]</f>
        <v>43503</v>
      </c>
      <c r="J573" s="10" t="str">
        <f>IF(TimeEntry[[#This Row],[Date]]=0,"",TEXT(TimeEntry[[#This Row],[Date]],"ddd"))</f>
        <v>Thu</v>
      </c>
      <c r="K573" s="9" t="str">
        <f>IF(TimeEntry[[#This Row],[Project]]=0,"",INDEX(ProjectsAll[job number],MATCH(TimeEntry[[#This Row],[Project]],ProjectsAll[Project],0)))</f>
        <v>077616-63</v>
      </c>
      <c r="L573" s="6" t="s">
        <v>331</v>
      </c>
      <c r="M573" s="6">
        <v>7.5</v>
      </c>
      <c r="N573" s="9">
        <f>IF(TimeEntry[[#This Row],[Date]]=0,"",WEEKDAY(C573,2))</f>
        <v>4</v>
      </c>
      <c r="O573" s="10">
        <f>YEAR(TimeEntry[[#This Row],[WkEnd]])</f>
        <v>2019</v>
      </c>
      <c r="P573" s="10">
        <f>WEEKNUM(TimeEntry[[#This Row],[WkEnd]])</f>
        <v>7</v>
      </c>
      <c r="Q573" s="10" t="str">
        <f>TimeEntry[[#This Row],[Year]]&amp;"-"&amp;TimeEntry[[#This Row],[WkNo]]</f>
        <v>2019-7</v>
      </c>
    </row>
    <row r="574" spans="1:17" ht="30" x14ac:dyDescent="0.25">
      <c r="A574" s="9" t="e">
        <f>MOD(IF(ROW()=11,0.1,IF(INDEX(TimeEntry[WkEnd],ROW()-10)            =            INDEX(TimeEntry[WkEnd],ROW()-11),               INDEX(TimeEntry[format],ROW()-11),               INDEX(TimeEntry[format],ROW()-11)    +1)),2)</f>
        <v>#VALUE!</v>
      </c>
      <c r="B574" s="14"/>
      <c r="C574" s="7">
        <v>43504</v>
      </c>
      <c r="D574" s="7"/>
      <c r="E574" s="7"/>
      <c r="F574" s="6" t="s">
        <v>4</v>
      </c>
      <c r="G574" s="6"/>
      <c r="H574" s="7">
        <f>IF(TimeEntry[[#This Row],[Date]]=0,H573,C574+(7-N574))</f>
        <v>43506</v>
      </c>
      <c r="I574" s="7">
        <f>TimeEntry[[#This Row],[Date]]</f>
        <v>43504</v>
      </c>
      <c r="J574" s="10" t="str">
        <f>IF(TimeEntry[[#This Row],[Date]]=0,"",TEXT(TimeEntry[[#This Row],[Date]],"ddd"))</f>
        <v>Fri</v>
      </c>
      <c r="K574" s="9" t="str">
        <f>IF(TimeEntry[[#This Row],[Project]]=0,"",INDEX(ProjectsAll[job number],MATCH(TimeEntry[[#This Row],[Project]],ProjectsAll[Project],0)))</f>
        <v>266122-21</v>
      </c>
      <c r="L574" s="6" t="s">
        <v>332</v>
      </c>
      <c r="M574" s="6">
        <v>3.75</v>
      </c>
      <c r="N574" s="9">
        <f>IF(TimeEntry[[#This Row],[Date]]=0,"",WEEKDAY(C574,2))</f>
        <v>5</v>
      </c>
      <c r="O574" s="10">
        <f>YEAR(TimeEntry[[#This Row],[WkEnd]])</f>
        <v>2019</v>
      </c>
      <c r="P574" s="10">
        <f>WEEKNUM(TimeEntry[[#This Row],[WkEnd]])</f>
        <v>7</v>
      </c>
      <c r="Q574" s="10" t="str">
        <f>TimeEntry[[#This Row],[Year]]&amp;"-"&amp;TimeEntry[[#This Row],[WkNo]]</f>
        <v>2019-7</v>
      </c>
    </row>
    <row r="575" spans="1:17" ht="30" x14ac:dyDescent="0.25">
      <c r="A575" s="9" t="e">
        <f>MOD(IF(ROW()=11,0.1,IF(INDEX(TimeEntry[WkEnd],ROW()-10)            =            INDEX(TimeEntry[WkEnd],ROW()-11),               INDEX(TimeEntry[format],ROW()-11),               INDEX(TimeEntry[format],ROW()-11)    +1)),2)</f>
        <v>#VALUE!</v>
      </c>
      <c r="B575" s="14"/>
      <c r="C575" s="7">
        <v>43504</v>
      </c>
      <c r="D575" s="7"/>
      <c r="E575" s="7"/>
      <c r="F575" s="6" t="s">
        <v>32</v>
      </c>
      <c r="G575" s="6"/>
      <c r="H575" s="7">
        <f>IF(TimeEntry[[#This Row],[Date]]=0,H574,C575+(7-N575))</f>
        <v>43506</v>
      </c>
      <c r="I575" s="7">
        <f>TimeEntry[[#This Row],[Date]]</f>
        <v>43504</v>
      </c>
      <c r="J575" s="10" t="str">
        <f>IF(TimeEntry[[#This Row],[Date]]=0,"",TEXT(TimeEntry[[#This Row],[Date]],"ddd"))</f>
        <v>Fri</v>
      </c>
      <c r="K575" s="9" t="str">
        <f>IF(TimeEntry[[#This Row],[Project]]=0,"",INDEX(ProjectsAll[job number],MATCH(TimeEntry[[#This Row],[Project]],ProjectsAll[Project],0)))</f>
        <v>260258-41</v>
      </c>
      <c r="L575" s="6" t="s">
        <v>333</v>
      </c>
      <c r="M575" s="6">
        <v>1</v>
      </c>
      <c r="N575" s="9">
        <f>IF(TimeEntry[[#This Row],[Date]]=0,"",WEEKDAY(C575,2))</f>
        <v>5</v>
      </c>
      <c r="O575" s="10">
        <f>YEAR(TimeEntry[[#This Row],[WkEnd]])</f>
        <v>2019</v>
      </c>
      <c r="P575" s="10">
        <f>WEEKNUM(TimeEntry[[#This Row],[WkEnd]])</f>
        <v>7</v>
      </c>
      <c r="Q575" s="10" t="str">
        <f>TimeEntry[[#This Row],[Year]]&amp;"-"&amp;TimeEntry[[#This Row],[WkNo]]</f>
        <v>2019-7</v>
      </c>
    </row>
    <row r="576" spans="1:17" ht="30" x14ac:dyDescent="0.25">
      <c r="A576" s="9" t="e">
        <f>MOD(IF(ROW()=11,0.1,IF(INDEX(TimeEntry[WkEnd],ROW()-10)            =            INDEX(TimeEntry[WkEnd],ROW()-11),               INDEX(TimeEntry[format],ROW()-11),               INDEX(TimeEntry[format],ROW()-11)    +1)),2)</f>
        <v>#VALUE!</v>
      </c>
      <c r="B576" s="14"/>
      <c r="C576" s="7">
        <v>43504</v>
      </c>
      <c r="D576" s="7"/>
      <c r="E576" s="7"/>
      <c r="F576" s="6" t="s">
        <v>48</v>
      </c>
      <c r="G576" s="6"/>
      <c r="H576" s="7">
        <f>IF(TimeEntry[[#This Row],[Date]]=0,H575,C576+(7-N576))</f>
        <v>43506</v>
      </c>
      <c r="I576" s="7">
        <f>TimeEntry[[#This Row],[Date]]</f>
        <v>43504</v>
      </c>
      <c r="J576" s="10" t="str">
        <f>IF(TimeEntry[[#This Row],[Date]]=0,"",TEXT(TimeEntry[[#This Row],[Date]],"ddd"))</f>
        <v>Fri</v>
      </c>
      <c r="K576" s="9" t="str">
        <f>IF(TimeEntry[[#This Row],[Project]]=0,"",INDEX(ProjectsAll[job number],MATCH(TimeEntry[[#This Row],[Project]],ProjectsAll[Project],0)))</f>
        <v>254304-96</v>
      </c>
      <c r="L576" s="6" t="s">
        <v>334</v>
      </c>
      <c r="M576" s="6">
        <v>1.5</v>
      </c>
      <c r="N576" s="9">
        <f>IF(TimeEntry[[#This Row],[Date]]=0,"",WEEKDAY(C576,2))</f>
        <v>5</v>
      </c>
      <c r="O576" s="10">
        <f>YEAR(TimeEntry[[#This Row],[WkEnd]])</f>
        <v>2019</v>
      </c>
      <c r="P576" s="10">
        <f>WEEKNUM(TimeEntry[[#This Row],[WkEnd]])</f>
        <v>7</v>
      </c>
      <c r="Q576" s="10" t="str">
        <f>TimeEntry[[#This Row],[Year]]&amp;"-"&amp;TimeEntry[[#This Row],[WkNo]]</f>
        <v>2019-7</v>
      </c>
    </row>
    <row r="577" spans="1:17" ht="30" x14ac:dyDescent="0.25">
      <c r="A577" s="9" t="e">
        <f>MOD(IF(ROW()=11,0.1,IF(INDEX(TimeEntry[WkEnd],ROW()-10)            =            INDEX(TimeEntry[WkEnd],ROW()-11),               INDEX(TimeEntry[format],ROW()-11),               INDEX(TimeEntry[format],ROW()-11)    +1)),2)</f>
        <v>#VALUE!</v>
      </c>
      <c r="B577" s="14"/>
      <c r="C577" s="7">
        <v>43504</v>
      </c>
      <c r="D577" s="7"/>
      <c r="E577" s="7"/>
      <c r="F577" s="6" t="s">
        <v>48</v>
      </c>
      <c r="G577" s="6"/>
      <c r="H577" s="7">
        <f>IF(TimeEntry[[#This Row],[Date]]=0,H576,C577+(7-N577))</f>
        <v>43506</v>
      </c>
      <c r="I577" s="7">
        <f>TimeEntry[[#This Row],[Date]]</f>
        <v>43504</v>
      </c>
      <c r="J577" s="10" t="str">
        <f>IF(TimeEntry[[#This Row],[Date]]=0,"",TEXT(TimeEntry[[#This Row],[Date]],"ddd"))</f>
        <v>Fri</v>
      </c>
      <c r="K577" s="9" t="str">
        <f>IF(TimeEntry[[#This Row],[Project]]=0,"",INDEX(ProjectsAll[job number],MATCH(TimeEntry[[#This Row],[Project]],ProjectsAll[Project],0)))</f>
        <v>254304-96</v>
      </c>
      <c r="L577" s="6" t="s">
        <v>335</v>
      </c>
      <c r="M577" s="6">
        <v>1.25</v>
      </c>
      <c r="N577" s="9">
        <f>IF(TimeEntry[[#This Row],[Date]]=0,"",WEEKDAY(C577,2))</f>
        <v>5</v>
      </c>
      <c r="O577" s="10">
        <f>YEAR(TimeEntry[[#This Row],[WkEnd]])</f>
        <v>2019</v>
      </c>
      <c r="P577" s="10">
        <f>WEEKNUM(TimeEntry[[#This Row],[WkEnd]])</f>
        <v>7</v>
      </c>
      <c r="Q577" s="10" t="str">
        <f>TimeEntry[[#This Row],[Year]]&amp;"-"&amp;TimeEntry[[#This Row],[WkNo]]</f>
        <v>2019-7</v>
      </c>
    </row>
    <row r="578" spans="1:17" ht="30" x14ac:dyDescent="0.25">
      <c r="A578" s="9" t="e">
        <f>MOD(IF(ROW()=11,0.1,IF(INDEX(TimeEntry[WkEnd],ROW()-10)            =            INDEX(TimeEntry[WkEnd],ROW()-11),               INDEX(TimeEntry[format],ROW()-11),               INDEX(TimeEntry[format],ROW()-11)    +1)),2)</f>
        <v>#VALUE!</v>
      </c>
      <c r="B578" s="14"/>
      <c r="C578" s="7">
        <v>43493</v>
      </c>
      <c r="D578" s="7"/>
      <c r="E578" s="7"/>
      <c r="F578" s="6" t="s">
        <v>48</v>
      </c>
      <c r="G578" s="6"/>
      <c r="H578" s="7">
        <f>IF(TimeEntry[[#This Row],[Date]]=0,H577,C578+(7-N578))</f>
        <v>43499</v>
      </c>
      <c r="I578" s="7">
        <f>TimeEntry[[#This Row],[Date]]</f>
        <v>43493</v>
      </c>
      <c r="J578" s="10" t="str">
        <f>IF(TimeEntry[[#This Row],[Date]]=0,"",TEXT(TimeEntry[[#This Row],[Date]],"ddd"))</f>
        <v>Mon</v>
      </c>
      <c r="K578" s="9" t="str">
        <f>IF(TimeEntry[[#This Row],[Project]]=0,"",INDEX(ProjectsAll[job number],MATCH(TimeEntry[[#This Row],[Project]],ProjectsAll[Project],0)))</f>
        <v>254304-96</v>
      </c>
      <c r="L578" s="6" t="s">
        <v>336</v>
      </c>
      <c r="M578" s="6">
        <v>2.5</v>
      </c>
      <c r="N578" s="9">
        <f>IF(TimeEntry[[#This Row],[Date]]=0,"",WEEKDAY(C578,2))</f>
        <v>1</v>
      </c>
      <c r="O578" s="10">
        <f>YEAR(TimeEntry[[#This Row],[WkEnd]])</f>
        <v>2019</v>
      </c>
      <c r="P578" s="10">
        <f>WEEKNUM(TimeEntry[[#This Row],[WkEnd]])</f>
        <v>6</v>
      </c>
      <c r="Q578" s="10" t="str">
        <f>TimeEntry[[#This Row],[Year]]&amp;"-"&amp;TimeEntry[[#This Row],[WkNo]]</f>
        <v>2019-6</v>
      </c>
    </row>
    <row r="579" spans="1:17" ht="30" x14ac:dyDescent="0.25">
      <c r="A579" s="9" t="e">
        <f>MOD(IF(ROW()=11,0.1,IF(INDEX(TimeEntry[WkEnd],ROW()-10)            =            INDEX(TimeEntry[WkEnd],ROW()-11),               INDEX(TimeEntry[format],ROW()-11),               INDEX(TimeEntry[format],ROW()-11)    +1)),2)</f>
        <v>#VALUE!</v>
      </c>
      <c r="B579" s="14"/>
      <c r="C579" s="7">
        <v>43493</v>
      </c>
      <c r="D579" s="7"/>
      <c r="E579" s="7"/>
      <c r="F579" s="6" t="s">
        <v>4</v>
      </c>
      <c r="G579" s="6"/>
      <c r="H579" s="7">
        <f>IF(TimeEntry[[#This Row],[Date]]=0,H578,C579+(7-N579))</f>
        <v>43499</v>
      </c>
      <c r="I579" s="7">
        <f>TimeEntry[[#This Row],[Date]]</f>
        <v>43493</v>
      </c>
      <c r="J579" s="10" t="str">
        <f>IF(TimeEntry[[#This Row],[Date]]=0,"",TEXT(TimeEntry[[#This Row],[Date]],"ddd"))</f>
        <v>Mon</v>
      </c>
      <c r="K579" s="9" t="str">
        <f>IF(TimeEntry[[#This Row],[Project]]=0,"",INDEX(ProjectsAll[job number],MATCH(TimeEntry[[#This Row],[Project]],ProjectsAll[Project],0)))</f>
        <v>266122-21</v>
      </c>
      <c r="L579" s="6" t="s">
        <v>337</v>
      </c>
      <c r="M579" s="6">
        <v>2</v>
      </c>
      <c r="N579" s="9">
        <f>IF(TimeEntry[[#This Row],[Date]]=0,"",WEEKDAY(C579,2))</f>
        <v>1</v>
      </c>
      <c r="O579" s="10">
        <f>YEAR(TimeEntry[[#This Row],[WkEnd]])</f>
        <v>2019</v>
      </c>
      <c r="P579" s="10">
        <f>WEEKNUM(TimeEntry[[#This Row],[WkEnd]])</f>
        <v>6</v>
      </c>
      <c r="Q579" s="10" t="str">
        <f>TimeEntry[[#This Row],[Year]]&amp;"-"&amp;TimeEntry[[#This Row],[WkNo]]</f>
        <v>2019-6</v>
      </c>
    </row>
    <row r="580" spans="1:17" ht="30" x14ac:dyDescent="0.25">
      <c r="A580" s="9" t="e">
        <f>MOD(IF(ROW()=11,0.1,IF(INDEX(TimeEntry[WkEnd],ROW()-10)            =            INDEX(TimeEntry[WkEnd],ROW()-11),               INDEX(TimeEntry[format],ROW()-11),               INDEX(TimeEntry[format],ROW()-11)    +1)),2)</f>
        <v>#VALUE!</v>
      </c>
      <c r="B580" s="14"/>
      <c r="C580" s="7">
        <v>43493</v>
      </c>
      <c r="D580" s="7"/>
      <c r="E580" s="7"/>
      <c r="F580" s="6" t="s">
        <v>4</v>
      </c>
      <c r="G580" s="6"/>
      <c r="H580" s="7">
        <f>IF(TimeEntry[[#This Row],[Date]]=0,H579,C580+(7-N580))</f>
        <v>43499</v>
      </c>
      <c r="I580" s="7">
        <f>TimeEntry[[#This Row],[Date]]</f>
        <v>43493</v>
      </c>
      <c r="J580" s="10" t="str">
        <f>IF(TimeEntry[[#This Row],[Date]]=0,"",TEXT(TimeEntry[[#This Row],[Date]],"ddd"))</f>
        <v>Mon</v>
      </c>
      <c r="K580" s="9" t="str">
        <f>IF(TimeEntry[[#This Row],[Project]]=0,"",INDEX(ProjectsAll[job number],MATCH(TimeEntry[[#This Row],[Project]],ProjectsAll[Project],0)))</f>
        <v>266122-21</v>
      </c>
      <c r="L580" s="6" t="s">
        <v>338</v>
      </c>
      <c r="M580" s="6">
        <v>3</v>
      </c>
      <c r="N580" s="9">
        <f>IF(TimeEntry[[#This Row],[Date]]=0,"",WEEKDAY(C580,2))</f>
        <v>1</v>
      </c>
      <c r="O580" s="10">
        <f>YEAR(TimeEntry[[#This Row],[WkEnd]])</f>
        <v>2019</v>
      </c>
      <c r="P580" s="10">
        <f>WEEKNUM(TimeEntry[[#This Row],[WkEnd]])</f>
        <v>6</v>
      </c>
      <c r="Q580" s="10" t="str">
        <f>TimeEntry[[#This Row],[Year]]&amp;"-"&amp;TimeEntry[[#This Row],[WkNo]]</f>
        <v>2019-6</v>
      </c>
    </row>
    <row r="581" spans="1:17" ht="30" x14ac:dyDescent="0.25">
      <c r="A581" s="9" t="e">
        <f>MOD(IF(ROW()=11,0.1,IF(INDEX(TimeEntry[WkEnd],ROW()-10)            =            INDEX(TimeEntry[WkEnd],ROW()-11),               INDEX(TimeEntry[format],ROW()-11),               INDEX(TimeEntry[format],ROW()-11)    +1)),2)</f>
        <v>#VALUE!</v>
      </c>
      <c r="B581" s="14"/>
      <c r="C581" s="7">
        <v>43494</v>
      </c>
      <c r="D581" s="7"/>
      <c r="E581" s="7"/>
      <c r="F581" s="6" t="s">
        <v>4</v>
      </c>
      <c r="G581" s="6"/>
      <c r="H581" s="7">
        <f>IF(TimeEntry[[#This Row],[Date]]=0,H580,C581+(7-N581))</f>
        <v>43499</v>
      </c>
      <c r="I581" s="7">
        <f>TimeEntry[[#This Row],[Date]]</f>
        <v>43494</v>
      </c>
      <c r="J581" s="10" t="str">
        <f>IF(TimeEntry[[#This Row],[Date]]=0,"",TEXT(TimeEntry[[#This Row],[Date]],"ddd"))</f>
        <v>Tue</v>
      </c>
      <c r="K581" s="9" t="str">
        <f>IF(TimeEntry[[#This Row],[Project]]=0,"",INDEX(ProjectsAll[job number],MATCH(TimeEntry[[#This Row],[Project]],ProjectsAll[Project],0)))</f>
        <v>266122-21</v>
      </c>
      <c r="L581" s="6" t="s">
        <v>339</v>
      </c>
      <c r="M581" s="6">
        <v>7.5</v>
      </c>
      <c r="N581" s="9">
        <f>IF(TimeEntry[[#This Row],[Date]]=0,"",WEEKDAY(C581,2))</f>
        <v>2</v>
      </c>
      <c r="O581" s="10">
        <f>YEAR(TimeEntry[[#This Row],[WkEnd]])</f>
        <v>2019</v>
      </c>
      <c r="P581" s="10">
        <f>WEEKNUM(TimeEntry[[#This Row],[WkEnd]])</f>
        <v>6</v>
      </c>
      <c r="Q581" s="10" t="str">
        <f>TimeEntry[[#This Row],[Year]]&amp;"-"&amp;TimeEntry[[#This Row],[WkNo]]</f>
        <v>2019-6</v>
      </c>
    </row>
    <row r="582" spans="1:17" ht="30" x14ac:dyDescent="0.25">
      <c r="A582" s="9" t="e">
        <f>MOD(IF(ROW()=11,0.1,IF(INDEX(TimeEntry[WkEnd],ROW()-10)            =            INDEX(TimeEntry[WkEnd],ROW()-11),               INDEX(TimeEntry[format],ROW()-11),               INDEX(TimeEntry[format],ROW()-11)    +1)),2)</f>
        <v>#VALUE!</v>
      </c>
      <c r="B582" s="14"/>
      <c r="C582" s="7">
        <v>43495</v>
      </c>
      <c r="D582" s="7"/>
      <c r="E582" s="7"/>
      <c r="F582" s="6" t="s">
        <v>70</v>
      </c>
      <c r="G582" s="6"/>
      <c r="H582" s="7">
        <f>IF(TimeEntry[[#This Row],[Date]]=0,H581,C582+(7-N582))</f>
        <v>43499</v>
      </c>
      <c r="I582" s="7">
        <f>TimeEntry[[#This Row],[Date]]</f>
        <v>43495</v>
      </c>
      <c r="J582" s="10" t="str">
        <f>IF(TimeEntry[[#This Row],[Date]]=0,"",TEXT(TimeEntry[[#This Row],[Date]],"ddd"))</f>
        <v>Wed</v>
      </c>
      <c r="K582" s="9" t="str">
        <f>IF(TimeEntry[[#This Row],[Project]]=0,"",INDEX(ProjectsAll[job number],MATCH(TimeEntry[[#This Row],[Project]],ProjectsAll[Project],0)))</f>
        <v>255375-00</v>
      </c>
      <c r="L582" s="6" t="s">
        <v>340</v>
      </c>
      <c r="M582" s="6">
        <v>7.5</v>
      </c>
      <c r="N582" s="9">
        <f>IF(TimeEntry[[#This Row],[Date]]=0,"",WEEKDAY(C582,2))</f>
        <v>3</v>
      </c>
      <c r="O582" s="10">
        <f>YEAR(TimeEntry[[#This Row],[WkEnd]])</f>
        <v>2019</v>
      </c>
      <c r="P582" s="10">
        <f>WEEKNUM(TimeEntry[[#This Row],[WkEnd]])</f>
        <v>6</v>
      </c>
      <c r="Q582" s="10" t="str">
        <f>TimeEntry[[#This Row],[Year]]&amp;"-"&amp;TimeEntry[[#This Row],[WkNo]]</f>
        <v>2019-6</v>
      </c>
    </row>
    <row r="583" spans="1:17" x14ac:dyDescent="0.25">
      <c r="A583" s="9" t="e">
        <f>MOD(IF(ROW()=11,0.1,IF(INDEX(TimeEntry[WkEnd],ROW()-10)            =            INDEX(TimeEntry[WkEnd],ROW()-11),               INDEX(TimeEntry[format],ROW()-11),               INDEX(TimeEntry[format],ROW()-11)    +1)),2)</f>
        <v>#VALUE!</v>
      </c>
      <c r="B583" s="14"/>
      <c r="C583" s="7">
        <v>43496</v>
      </c>
      <c r="D583" s="7"/>
      <c r="E583" s="7"/>
      <c r="F583" s="6" t="s">
        <v>23</v>
      </c>
      <c r="G583" s="6"/>
      <c r="H583" s="7">
        <f>IF(TimeEntry[[#This Row],[Date]]=0,H582,C583+(7-N583))</f>
        <v>43499</v>
      </c>
      <c r="I583" s="7">
        <f>TimeEntry[[#This Row],[Date]]</f>
        <v>43496</v>
      </c>
      <c r="J583" s="10" t="str">
        <f>IF(TimeEntry[[#This Row],[Date]]=0,"",TEXT(TimeEntry[[#This Row],[Date]],"ddd"))</f>
        <v>Thu</v>
      </c>
      <c r="K583" s="9" t="e">
        <f>IF(TimeEntry[[#This Row],[Project]]=0,"",INDEX(ProjectsAll[job number],MATCH(TimeEntry[[#This Row],[Project]],ProjectsAll[Project],0)))</f>
        <v>#N/A</v>
      </c>
      <c r="L583" s="6" t="s">
        <v>341</v>
      </c>
      <c r="M583" s="6">
        <v>3.75</v>
      </c>
      <c r="N583" s="9">
        <f>IF(TimeEntry[[#This Row],[Date]]=0,"",WEEKDAY(C583,2))</f>
        <v>4</v>
      </c>
      <c r="O583" s="10">
        <f>YEAR(TimeEntry[[#This Row],[WkEnd]])</f>
        <v>2019</v>
      </c>
      <c r="P583" s="10">
        <f>WEEKNUM(TimeEntry[[#This Row],[WkEnd]])</f>
        <v>6</v>
      </c>
      <c r="Q583" s="10" t="str">
        <f>TimeEntry[[#This Row],[Year]]&amp;"-"&amp;TimeEntry[[#This Row],[WkNo]]</f>
        <v>2019-6</v>
      </c>
    </row>
    <row r="584" spans="1:17" ht="30" x14ac:dyDescent="0.25">
      <c r="A584" s="9" t="e">
        <f>MOD(IF(ROW()=11,0.1,IF(INDEX(TimeEntry[WkEnd],ROW()-10)            =            INDEX(TimeEntry[WkEnd],ROW()-11),               INDEX(TimeEntry[format],ROW()-11),               INDEX(TimeEntry[format],ROW()-11)    +1)),2)</f>
        <v>#VALUE!</v>
      </c>
      <c r="B584" s="14"/>
      <c r="C584" s="7">
        <v>43496</v>
      </c>
      <c r="D584" s="7"/>
      <c r="E584" s="7"/>
      <c r="F584" s="6" t="s">
        <v>4</v>
      </c>
      <c r="G584" s="6"/>
      <c r="H584" s="7">
        <f>IF(TimeEntry[[#This Row],[Date]]=0,H583,C584+(7-N584))</f>
        <v>43499</v>
      </c>
      <c r="I584" s="7">
        <f>TimeEntry[[#This Row],[Date]]</f>
        <v>43496</v>
      </c>
      <c r="J584" s="10" t="str">
        <f>IF(TimeEntry[[#This Row],[Date]]=0,"",TEXT(TimeEntry[[#This Row],[Date]],"ddd"))</f>
        <v>Thu</v>
      </c>
      <c r="K584" s="9" t="str">
        <f>IF(TimeEntry[[#This Row],[Project]]=0,"",INDEX(ProjectsAll[job number],MATCH(TimeEntry[[#This Row],[Project]],ProjectsAll[Project],0)))</f>
        <v>266122-21</v>
      </c>
      <c r="L584" s="6" t="s">
        <v>342</v>
      </c>
      <c r="M584" s="6">
        <v>3.75</v>
      </c>
      <c r="N584" s="9">
        <f>IF(TimeEntry[[#This Row],[Date]]=0,"",WEEKDAY(C584,2))</f>
        <v>4</v>
      </c>
      <c r="O584" s="10">
        <f>YEAR(TimeEntry[[#This Row],[WkEnd]])</f>
        <v>2019</v>
      </c>
      <c r="P584" s="10">
        <f>WEEKNUM(TimeEntry[[#This Row],[WkEnd]])</f>
        <v>6</v>
      </c>
      <c r="Q584" s="10" t="str">
        <f>TimeEntry[[#This Row],[Year]]&amp;"-"&amp;TimeEntry[[#This Row],[WkNo]]</f>
        <v>2019-6</v>
      </c>
    </row>
    <row r="585" spans="1:17" ht="30" x14ac:dyDescent="0.25">
      <c r="A585" s="9" t="e">
        <f>MOD(IF(ROW()=11,0.1,IF(INDEX(TimeEntry[WkEnd],ROW()-10)            =            INDEX(TimeEntry[WkEnd],ROW()-11),               INDEX(TimeEntry[format],ROW()-11),               INDEX(TimeEntry[format],ROW()-11)    +1)),2)</f>
        <v>#VALUE!</v>
      </c>
      <c r="B585" s="14"/>
      <c r="C585" s="7">
        <v>43497</v>
      </c>
      <c r="D585" s="7"/>
      <c r="E585" s="7"/>
      <c r="F585" s="6" t="s">
        <v>4</v>
      </c>
      <c r="G585" s="6"/>
      <c r="H585" s="7">
        <f>IF(TimeEntry[[#This Row],[Date]]=0,H584,C585+(7-N585))</f>
        <v>43499</v>
      </c>
      <c r="I585" s="7">
        <f>TimeEntry[[#This Row],[Date]]</f>
        <v>43497</v>
      </c>
      <c r="J585" s="10" t="str">
        <f>IF(TimeEntry[[#This Row],[Date]]=0,"",TEXT(TimeEntry[[#This Row],[Date]],"ddd"))</f>
        <v>Fri</v>
      </c>
      <c r="K585" s="9" t="str">
        <f>IF(TimeEntry[[#This Row],[Project]]=0,"",INDEX(ProjectsAll[job number],MATCH(TimeEntry[[#This Row],[Project]],ProjectsAll[Project],0)))</f>
        <v>266122-21</v>
      </c>
      <c r="L585" s="6" t="s">
        <v>343</v>
      </c>
      <c r="M585" s="6">
        <v>3.75</v>
      </c>
      <c r="N585" s="9">
        <f>IF(TimeEntry[[#This Row],[Date]]=0,"",WEEKDAY(C585,2))</f>
        <v>5</v>
      </c>
      <c r="O585" s="10">
        <f>YEAR(TimeEntry[[#This Row],[WkEnd]])</f>
        <v>2019</v>
      </c>
      <c r="P585" s="10">
        <f>WEEKNUM(TimeEntry[[#This Row],[WkEnd]])</f>
        <v>6</v>
      </c>
      <c r="Q585" s="10" t="str">
        <f>TimeEntry[[#This Row],[Year]]&amp;"-"&amp;TimeEntry[[#This Row],[WkNo]]</f>
        <v>2019-6</v>
      </c>
    </row>
    <row r="586" spans="1:17" ht="30" x14ac:dyDescent="0.25">
      <c r="A586" s="9" t="e">
        <f>MOD(IF(ROW()=11,0.1,IF(INDEX(TimeEntry[WkEnd],ROW()-10)            =            INDEX(TimeEntry[WkEnd],ROW()-11),               INDEX(TimeEntry[format],ROW()-11),               INDEX(TimeEntry[format],ROW()-11)    +1)),2)</f>
        <v>#VALUE!</v>
      </c>
      <c r="B586" s="14"/>
      <c r="C586" s="7">
        <v>43497</v>
      </c>
      <c r="D586" s="7"/>
      <c r="E586" s="7"/>
      <c r="F586" s="6" t="s">
        <v>4</v>
      </c>
      <c r="G586" s="6"/>
      <c r="H586" s="7">
        <f>IF(TimeEntry[[#This Row],[Date]]=0,H585,C586+(7-N586))</f>
        <v>43499</v>
      </c>
      <c r="I586" s="7">
        <f>TimeEntry[[#This Row],[Date]]</f>
        <v>43497</v>
      </c>
      <c r="J586" s="10" t="str">
        <f>IF(TimeEntry[[#This Row],[Date]]=0,"",TEXT(TimeEntry[[#This Row],[Date]],"ddd"))</f>
        <v>Fri</v>
      </c>
      <c r="K586" s="9" t="str">
        <f>IF(TimeEntry[[#This Row],[Project]]=0,"",INDEX(ProjectsAll[job number],MATCH(TimeEntry[[#This Row],[Project]],ProjectsAll[Project],0)))</f>
        <v>266122-21</v>
      </c>
      <c r="L586" s="6" t="s">
        <v>344</v>
      </c>
      <c r="M586" s="6">
        <v>3.75</v>
      </c>
      <c r="N586" s="9">
        <f>IF(TimeEntry[[#This Row],[Date]]=0,"",WEEKDAY(C586,2))</f>
        <v>5</v>
      </c>
      <c r="O586" s="10">
        <f>YEAR(TimeEntry[[#This Row],[WkEnd]])</f>
        <v>2019</v>
      </c>
      <c r="P586" s="10">
        <f>WEEKNUM(TimeEntry[[#This Row],[WkEnd]])</f>
        <v>6</v>
      </c>
      <c r="Q586" s="10" t="str">
        <f>TimeEntry[[#This Row],[Year]]&amp;"-"&amp;TimeEntry[[#This Row],[WkNo]]</f>
        <v>2019-6</v>
      </c>
    </row>
    <row r="587" spans="1:17" ht="30" x14ac:dyDescent="0.25">
      <c r="A587" s="9" t="e">
        <f>MOD(IF(ROW()=11,0.1,IF(INDEX(TimeEntry[WkEnd],ROW()-10)            =            INDEX(TimeEntry[WkEnd],ROW()-11),               INDEX(TimeEntry[format],ROW()-11),               INDEX(TimeEntry[format],ROW()-11)    +1)),2)</f>
        <v>#VALUE!</v>
      </c>
      <c r="B587" s="14"/>
      <c r="C587" s="7">
        <v>43486</v>
      </c>
      <c r="D587" s="7"/>
      <c r="E587" s="7"/>
      <c r="F587" s="6" t="s">
        <v>4</v>
      </c>
      <c r="G587" s="6"/>
      <c r="H587" s="7">
        <f>IF(TimeEntry[[#This Row],[Date]]=0,H586,C587+(7-N587))</f>
        <v>43492</v>
      </c>
      <c r="I587" s="7">
        <f>TimeEntry[[#This Row],[Date]]</f>
        <v>43486</v>
      </c>
      <c r="J587" s="10" t="str">
        <f>IF(TimeEntry[[#This Row],[Date]]=0,"",TEXT(TimeEntry[[#This Row],[Date]],"ddd"))</f>
        <v>Mon</v>
      </c>
      <c r="K587" s="9" t="str">
        <f>IF(TimeEntry[[#This Row],[Project]]=0,"",INDEX(ProjectsAll[job number],MATCH(TimeEntry[[#This Row],[Project]],ProjectsAll[Project],0)))</f>
        <v>266122-21</v>
      </c>
      <c r="L587" s="6" t="s">
        <v>345</v>
      </c>
      <c r="M587" s="6">
        <v>7.5</v>
      </c>
      <c r="N587" s="9">
        <f>IF(TimeEntry[[#This Row],[Date]]=0,"",WEEKDAY(C587,2))</f>
        <v>1</v>
      </c>
      <c r="O587" s="10">
        <f>YEAR(TimeEntry[[#This Row],[WkEnd]])</f>
        <v>2019</v>
      </c>
      <c r="P587" s="10">
        <f>WEEKNUM(TimeEntry[[#This Row],[WkEnd]])</f>
        <v>5</v>
      </c>
      <c r="Q587" s="10" t="str">
        <f>TimeEntry[[#This Row],[Year]]&amp;"-"&amp;TimeEntry[[#This Row],[WkNo]]</f>
        <v>2019-5</v>
      </c>
    </row>
    <row r="588" spans="1:17" x14ac:dyDescent="0.25">
      <c r="A588" s="9" t="e">
        <f>MOD(IF(ROW()=11,0.1,IF(INDEX(TimeEntry[WkEnd],ROW()-10)            =            INDEX(TimeEntry[WkEnd],ROW()-11),               INDEX(TimeEntry[format],ROW()-11),               INDEX(TimeEntry[format],ROW()-11)    +1)),2)</f>
        <v>#VALUE!</v>
      </c>
      <c r="B588" s="14"/>
      <c r="C588" s="7">
        <v>43487</v>
      </c>
      <c r="D588" s="7"/>
      <c r="E588" s="7"/>
      <c r="F588" s="6" t="s">
        <v>310</v>
      </c>
      <c r="G588" s="6"/>
      <c r="H588" s="7">
        <f>IF(TimeEntry[[#This Row],[Date]]=0,H587,C588+(7-N588))</f>
        <v>43492</v>
      </c>
      <c r="I588" s="7">
        <f>TimeEntry[[#This Row],[Date]]</f>
        <v>43487</v>
      </c>
      <c r="J588" s="10" t="str">
        <f>IF(TimeEntry[[#This Row],[Date]]=0,"",TEXT(TimeEntry[[#This Row],[Date]],"ddd"))</f>
        <v>Tue</v>
      </c>
      <c r="K588" s="9" t="e">
        <f>IF(TimeEntry[[#This Row],[Project]]=0,"",INDEX(ProjectsAll[job number],MATCH(TimeEntry[[#This Row],[Project]],ProjectsAll[Project],0)))</f>
        <v>#N/A</v>
      </c>
      <c r="L588" s="6" t="s">
        <v>59</v>
      </c>
      <c r="M588" s="6">
        <v>7.5</v>
      </c>
      <c r="N588" s="9">
        <f>IF(TimeEntry[[#This Row],[Date]]=0,"",WEEKDAY(C588,2))</f>
        <v>2</v>
      </c>
      <c r="O588" s="10">
        <f>YEAR(TimeEntry[[#This Row],[WkEnd]])</f>
        <v>2019</v>
      </c>
      <c r="P588" s="10">
        <f>WEEKNUM(TimeEntry[[#This Row],[WkEnd]])</f>
        <v>5</v>
      </c>
      <c r="Q588" s="10" t="str">
        <f>TimeEntry[[#This Row],[Year]]&amp;"-"&amp;TimeEntry[[#This Row],[WkNo]]</f>
        <v>2019-5</v>
      </c>
    </row>
    <row r="589" spans="1:17" ht="30" x14ac:dyDescent="0.25">
      <c r="A589" s="9" t="e">
        <f>MOD(IF(ROW()=11,0.1,IF(INDEX(TimeEntry[WkEnd],ROW()-10)            =            INDEX(TimeEntry[WkEnd],ROW()-11),               INDEX(TimeEntry[format],ROW()-11),               INDEX(TimeEntry[format],ROW()-11)    +1)),2)</f>
        <v>#VALUE!</v>
      </c>
      <c r="B589" s="14"/>
      <c r="C589" s="7">
        <v>43488</v>
      </c>
      <c r="D589" s="7"/>
      <c r="E589" s="7"/>
      <c r="F589" s="6" t="s">
        <v>25</v>
      </c>
      <c r="G589" s="6"/>
      <c r="H589" s="7">
        <f>IF(TimeEntry[[#This Row],[Date]]=0,H588,C589+(7-N589))</f>
        <v>43492</v>
      </c>
      <c r="I589" s="7">
        <f>TimeEntry[[#This Row],[Date]]</f>
        <v>43488</v>
      </c>
      <c r="J589" s="10" t="str">
        <f>IF(TimeEntry[[#This Row],[Date]]=0,"",TEXT(TimeEntry[[#This Row],[Date]],"ddd"))</f>
        <v>Wed</v>
      </c>
      <c r="K589" s="9" t="str">
        <f>IF(TimeEntry[[#This Row],[Project]]=0,"",INDEX(ProjectsAll[job number],MATCH(TimeEntry[[#This Row],[Project]],ProjectsAll[Project],0)))</f>
        <v>265675-00</v>
      </c>
      <c r="L589" s="6" t="s">
        <v>346</v>
      </c>
      <c r="M589" s="6">
        <v>2</v>
      </c>
      <c r="N589" s="9">
        <f>IF(TimeEntry[[#This Row],[Date]]=0,"",WEEKDAY(C589,2))</f>
        <v>3</v>
      </c>
      <c r="O589" s="10">
        <f>YEAR(TimeEntry[[#This Row],[WkEnd]])</f>
        <v>2019</v>
      </c>
      <c r="P589" s="10">
        <f>WEEKNUM(TimeEntry[[#This Row],[WkEnd]])</f>
        <v>5</v>
      </c>
      <c r="Q589" s="10" t="str">
        <f>TimeEntry[[#This Row],[Year]]&amp;"-"&amp;TimeEntry[[#This Row],[WkNo]]</f>
        <v>2019-5</v>
      </c>
    </row>
    <row r="590" spans="1:17" x14ac:dyDescent="0.25">
      <c r="A590" s="9" t="e">
        <f>MOD(IF(ROW()=11,0.1,IF(INDEX(TimeEntry[WkEnd],ROW()-10)            =            INDEX(TimeEntry[WkEnd],ROW()-11),               INDEX(TimeEntry[format],ROW()-11),               INDEX(TimeEntry[format],ROW()-11)    +1)),2)</f>
        <v>#VALUE!</v>
      </c>
      <c r="B590" s="14"/>
      <c r="C590" s="7">
        <v>43488</v>
      </c>
      <c r="D590" s="7"/>
      <c r="E590" s="7"/>
      <c r="F590" s="6" t="s">
        <v>310</v>
      </c>
      <c r="G590" s="6"/>
      <c r="H590" s="7">
        <f>IF(TimeEntry[[#This Row],[Date]]=0,H589,C590+(7-N590))</f>
        <v>43492</v>
      </c>
      <c r="I590" s="7">
        <f>TimeEntry[[#This Row],[Date]]</f>
        <v>43488</v>
      </c>
      <c r="J590" s="10" t="str">
        <f>IF(TimeEntry[[#This Row],[Date]]=0,"",TEXT(TimeEntry[[#This Row],[Date]],"ddd"))</f>
        <v>Wed</v>
      </c>
      <c r="K590" s="9" t="e">
        <f>IF(TimeEntry[[#This Row],[Project]]=0,"",INDEX(ProjectsAll[job number],MATCH(TimeEntry[[#This Row],[Project]],ProjectsAll[Project],0)))</f>
        <v>#N/A</v>
      </c>
      <c r="L590" s="6" t="s">
        <v>59</v>
      </c>
      <c r="M590" s="6">
        <v>5.5</v>
      </c>
      <c r="N590" s="9">
        <f>IF(TimeEntry[[#This Row],[Date]]=0,"",WEEKDAY(C590,2))</f>
        <v>3</v>
      </c>
      <c r="O590" s="10">
        <f>YEAR(TimeEntry[[#This Row],[WkEnd]])</f>
        <v>2019</v>
      </c>
      <c r="P590" s="10">
        <f>WEEKNUM(TimeEntry[[#This Row],[WkEnd]])</f>
        <v>5</v>
      </c>
      <c r="Q590" s="10" t="str">
        <f>TimeEntry[[#This Row],[Year]]&amp;"-"&amp;TimeEntry[[#This Row],[WkNo]]</f>
        <v>2019-5</v>
      </c>
    </row>
    <row r="591" spans="1:17" ht="30" x14ac:dyDescent="0.25">
      <c r="A591" s="9" t="e">
        <f>MOD(IF(ROW()=11,0.1,IF(INDEX(TimeEntry[WkEnd],ROW()-10)            =            INDEX(TimeEntry[WkEnd],ROW()-11),               INDEX(TimeEntry[format],ROW()-11),               INDEX(TimeEntry[format],ROW()-11)    +1)),2)</f>
        <v>#VALUE!</v>
      </c>
      <c r="B591" s="14"/>
      <c r="C591" s="7">
        <v>43489</v>
      </c>
      <c r="D591" s="7"/>
      <c r="E591" s="7"/>
      <c r="F591" s="6" t="s">
        <v>92</v>
      </c>
      <c r="G591" s="6"/>
      <c r="H591" s="7">
        <f>IF(TimeEntry[[#This Row],[Date]]=0,H590,C591+(7-N591))</f>
        <v>43492</v>
      </c>
      <c r="I591" s="7">
        <f>TimeEntry[[#This Row],[Date]]</f>
        <v>43489</v>
      </c>
      <c r="J591" s="10" t="str">
        <f>IF(TimeEntry[[#This Row],[Date]]=0,"",TEXT(TimeEntry[[#This Row],[Date]],"ddd"))</f>
        <v>Thu</v>
      </c>
      <c r="K591" s="9" t="str">
        <f>IF(TimeEntry[[#This Row],[Project]]=0,"",INDEX(ProjectsAll[job number],MATCH(TimeEntry[[#This Row],[Project]],ProjectsAll[Project],0)))</f>
        <v>259933-00</v>
      </c>
      <c r="L591" s="6" t="s">
        <v>347</v>
      </c>
      <c r="M591" s="6">
        <v>7.5</v>
      </c>
      <c r="N591" s="9">
        <f>IF(TimeEntry[[#This Row],[Date]]=0,"",WEEKDAY(C591,2))</f>
        <v>4</v>
      </c>
      <c r="O591" s="10">
        <f>YEAR(TimeEntry[[#This Row],[WkEnd]])</f>
        <v>2019</v>
      </c>
      <c r="P591" s="10">
        <f>WEEKNUM(TimeEntry[[#This Row],[WkEnd]])</f>
        <v>5</v>
      </c>
      <c r="Q591" s="10" t="str">
        <f>TimeEntry[[#This Row],[Year]]&amp;"-"&amp;TimeEntry[[#This Row],[WkNo]]</f>
        <v>2019-5</v>
      </c>
    </row>
    <row r="592" spans="1:17" ht="30" x14ac:dyDescent="0.25">
      <c r="A592" s="9" t="e">
        <f>MOD(IF(ROW()=11,0.1,IF(INDEX(TimeEntry[WkEnd],ROW()-10)            =            INDEX(TimeEntry[WkEnd],ROW()-11),               INDEX(TimeEntry[format],ROW()-11),               INDEX(TimeEntry[format],ROW()-11)    +1)),2)</f>
        <v>#VALUE!</v>
      </c>
      <c r="B592" s="14"/>
      <c r="C592" s="7">
        <v>43490</v>
      </c>
      <c r="D592" s="7"/>
      <c r="E592" s="7"/>
      <c r="F592" s="6" t="s">
        <v>48</v>
      </c>
      <c r="G592" s="6"/>
      <c r="H592" s="7">
        <f>IF(TimeEntry[[#This Row],[Date]]=0,H591,C592+(7-N592))</f>
        <v>43492</v>
      </c>
      <c r="I592" s="7">
        <f>TimeEntry[[#This Row],[Date]]</f>
        <v>43490</v>
      </c>
      <c r="J592" s="10" t="str">
        <f>IF(TimeEntry[[#This Row],[Date]]=0,"",TEXT(TimeEntry[[#This Row],[Date]],"ddd"))</f>
        <v>Fri</v>
      </c>
      <c r="K592" s="9" t="str">
        <f>IF(TimeEntry[[#This Row],[Project]]=0,"",INDEX(ProjectsAll[job number],MATCH(TimeEntry[[#This Row],[Project]],ProjectsAll[Project],0)))</f>
        <v>254304-96</v>
      </c>
      <c r="L592" s="6" t="s">
        <v>348</v>
      </c>
      <c r="M592" s="6">
        <v>3.75</v>
      </c>
      <c r="N592" s="9">
        <f>IF(TimeEntry[[#This Row],[Date]]=0,"",WEEKDAY(C592,2))</f>
        <v>5</v>
      </c>
      <c r="O592" s="10">
        <f>YEAR(TimeEntry[[#This Row],[WkEnd]])</f>
        <v>2019</v>
      </c>
      <c r="P592" s="10">
        <f>WEEKNUM(TimeEntry[[#This Row],[WkEnd]])</f>
        <v>5</v>
      </c>
      <c r="Q592" s="10" t="str">
        <f>TimeEntry[[#This Row],[Year]]&amp;"-"&amp;TimeEntry[[#This Row],[WkNo]]</f>
        <v>2019-5</v>
      </c>
    </row>
    <row r="593" spans="1:17" ht="30" x14ac:dyDescent="0.25">
      <c r="A593" s="9" t="e">
        <f>MOD(IF(ROW()=11,0.1,IF(INDEX(TimeEntry[WkEnd],ROW()-10)            =            INDEX(TimeEntry[WkEnd],ROW()-11),               INDEX(TimeEntry[format],ROW()-11),               INDEX(TimeEntry[format],ROW()-11)    +1)),2)</f>
        <v>#VALUE!</v>
      </c>
      <c r="B593" s="14"/>
      <c r="C593" s="7">
        <v>43490</v>
      </c>
      <c r="D593" s="7"/>
      <c r="E593" s="7"/>
      <c r="F593" s="6" t="s">
        <v>4</v>
      </c>
      <c r="G593" s="6"/>
      <c r="H593" s="7">
        <f>IF(TimeEntry[[#This Row],[Date]]=0,H592,C593+(7-N593))</f>
        <v>43492</v>
      </c>
      <c r="I593" s="7">
        <f>TimeEntry[[#This Row],[Date]]</f>
        <v>43490</v>
      </c>
      <c r="J593" s="10" t="str">
        <f>IF(TimeEntry[[#This Row],[Date]]=0,"",TEXT(TimeEntry[[#This Row],[Date]],"ddd"))</f>
        <v>Fri</v>
      </c>
      <c r="K593" s="9" t="str">
        <f>IF(TimeEntry[[#This Row],[Project]]=0,"",INDEX(ProjectsAll[job number],MATCH(TimeEntry[[#This Row],[Project]],ProjectsAll[Project],0)))</f>
        <v>266122-21</v>
      </c>
      <c r="L593" s="6" t="s">
        <v>349</v>
      </c>
      <c r="M593" s="6">
        <v>3.75</v>
      </c>
      <c r="N593" s="9">
        <f>IF(TimeEntry[[#This Row],[Date]]=0,"",WEEKDAY(C593,2))</f>
        <v>5</v>
      </c>
      <c r="O593" s="10">
        <f>YEAR(TimeEntry[[#This Row],[WkEnd]])</f>
        <v>2019</v>
      </c>
      <c r="P593" s="10">
        <f>WEEKNUM(TimeEntry[[#This Row],[WkEnd]])</f>
        <v>5</v>
      </c>
      <c r="Q593" s="10" t="str">
        <f>TimeEntry[[#This Row],[Year]]&amp;"-"&amp;TimeEntry[[#This Row],[WkNo]]</f>
        <v>2019-5</v>
      </c>
    </row>
    <row r="594" spans="1:17" ht="30" x14ac:dyDescent="0.25">
      <c r="A594" s="9" t="e">
        <f>MOD(IF(ROW()=11,0.1,IF(INDEX(TimeEntry[WkEnd],ROW()-10)            =            INDEX(TimeEntry[WkEnd],ROW()-11),               INDEX(TimeEntry[format],ROW()-11),               INDEX(TimeEntry[format],ROW()-11)    +1)),2)</f>
        <v>#VALUE!</v>
      </c>
      <c r="B594" s="14"/>
      <c r="C594" s="7">
        <v>43479</v>
      </c>
      <c r="D594" s="7"/>
      <c r="E594" s="7"/>
      <c r="F594" s="6" t="s">
        <v>92</v>
      </c>
      <c r="G594" s="6"/>
      <c r="H594" s="7">
        <f>IF(TimeEntry[[#This Row],[Date]]=0,H593,C594+(7-N594))</f>
        <v>43485</v>
      </c>
      <c r="I594" s="7">
        <f>TimeEntry[[#This Row],[Date]]</f>
        <v>43479</v>
      </c>
      <c r="J594" s="10" t="str">
        <f>IF(TimeEntry[[#This Row],[Date]]=0,"",TEXT(TimeEntry[[#This Row],[Date]],"ddd"))</f>
        <v>Mon</v>
      </c>
      <c r="K594" s="9" t="str">
        <f>IF(TimeEntry[[#This Row],[Project]]=0,"",INDEX(ProjectsAll[job number],MATCH(TimeEntry[[#This Row],[Project]],ProjectsAll[Project],0)))</f>
        <v>259933-00</v>
      </c>
      <c r="L594" s="6" t="s">
        <v>350</v>
      </c>
      <c r="M594" s="6">
        <v>7.5</v>
      </c>
      <c r="N594" s="9">
        <f>IF(TimeEntry[[#This Row],[Date]]=0,"",WEEKDAY(C594,2))</f>
        <v>1</v>
      </c>
      <c r="O594" s="10">
        <f>YEAR(TimeEntry[[#This Row],[WkEnd]])</f>
        <v>2019</v>
      </c>
      <c r="P594" s="10">
        <f>WEEKNUM(TimeEntry[[#This Row],[WkEnd]])</f>
        <v>4</v>
      </c>
      <c r="Q594" s="10" t="str">
        <f>TimeEntry[[#This Row],[Year]]&amp;"-"&amp;TimeEntry[[#This Row],[WkNo]]</f>
        <v>2019-4</v>
      </c>
    </row>
    <row r="595" spans="1:17" ht="30" x14ac:dyDescent="0.25">
      <c r="A595" s="9" t="e">
        <f>MOD(IF(ROW()=11,0.1,IF(INDEX(TimeEntry[WkEnd],ROW()-10)            =            INDEX(TimeEntry[WkEnd],ROW()-11),               INDEX(TimeEntry[format],ROW()-11),               INDEX(TimeEntry[format],ROW()-11)    +1)),2)</f>
        <v>#VALUE!</v>
      </c>
      <c r="B595" s="14"/>
      <c r="C595" s="7">
        <v>43480</v>
      </c>
      <c r="D595" s="7"/>
      <c r="E595" s="7"/>
      <c r="F595" s="6" t="s">
        <v>92</v>
      </c>
      <c r="G595" s="6"/>
      <c r="H595" s="7">
        <f>IF(TimeEntry[[#This Row],[Date]]=0,H594,C595+(7-N595))</f>
        <v>43485</v>
      </c>
      <c r="I595" s="7">
        <f>TimeEntry[[#This Row],[Date]]</f>
        <v>43480</v>
      </c>
      <c r="J595" s="10" t="str">
        <f>IF(TimeEntry[[#This Row],[Date]]=0,"",TEXT(TimeEntry[[#This Row],[Date]],"ddd"))</f>
        <v>Tue</v>
      </c>
      <c r="K595" s="9" t="str">
        <f>IF(TimeEntry[[#This Row],[Project]]=0,"",INDEX(ProjectsAll[job number],MATCH(TimeEntry[[#This Row],[Project]],ProjectsAll[Project],0)))</f>
        <v>259933-00</v>
      </c>
      <c r="L595" s="6" t="s">
        <v>350</v>
      </c>
      <c r="M595" s="6">
        <v>7.5</v>
      </c>
      <c r="N595" s="9">
        <f>IF(TimeEntry[[#This Row],[Date]]=0,"",WEEKDAY(C595,2))</f>
        <v>2</v>
      </c>
      <c r="O595" s="10">
        <f>YEAR(TimeEntry[[#This Row],[WkEnd]])</f>
        <v>2019</v>
      </c>
      <c r="P595" s="10">
        <f>WEEKNUM(TimeEntry[[#This Row],[WkEnd]])</f>
        <v>4</v>
      </c>
      <c r="Q595" s="10" t="str">
        <f>TimeEntry[[#This Row],[Year]]&amp;"-"&amp;TimeEntry[[#This Row],[WkNo]]</f>
        <v>2019-4</v>
      </c>
    </row>
    <row r="596" spans="1:17" ht="30" x14ac:dyDescent="0.25">
      <c r="A596" s="9" t="e">
        <f>MOD(IF(ROW()=11,0.1,IF(INDEX(TimeEntry[WkEnd],ROW()-10)            =            INDEX(TimeEntry[WkEnd],ROW()-11),               INDEX(TimeEntry[format],ROW()-11),               INDEX(TimeEntry[format],ROW()-11)    +1)),2)</f>
        <v>#VALUE!</v>
      </c>
      <c r="B596" s="14"/>
      <c r="C596" s="7">
        <v>43481</v>
      </c>
      <c r="D596" s="7"/>
      <c r="E596" s="7"/>
      <c r="F596" s="6" t="s">
        <v>55</v>
      </c>
      <c r="G596" s="6"/>
      <c r="H596" s="7">
        <f>IF(TimeEntry[[#This Row],[Date]]=0,H595,C596+(7-N596))</f>
        <v>43485</v>
      </c>
      <c r="I596" s="7">
        <f>TimeEntry[[#This Row],[Date]]</f>
        <v>43481</v>
      </c>
      <c r="J596" s="10" t="str">
        <f>IF(TimeEntry[[#This Row],[Date]]=0,"",TEXT(TimeEntry[[#This Row],[Date]],"ddd"))</f>
        <v>Wed</v>
      </c>
      <c r="K596" s="9" t="str">
        <f>IF(TimeEntry[[#This Row],[Project]]=0,"",INDEX(ProjectsAll[job number],MATCH(TimeEntry[[#This Row],[Project]],ProjectsAll[Project],0)))</f>
        <v>077616-63</v>
      </c>
      <c r="L596" s="6" t="s">
        <v>351</v>
      </c>
      <c r="M596" s="6">
        <v>7.5</v>
      </c>
      <c r="N596" s="9">
        <f>IF(TimeEntry[[#This Row],[Date]]=0,"",WEEKDAY(C596,2))</f>
        <v>3</v>
      </c>
      <c r="O596" s="10">
        <f>YEAR(TimeEntry[[#This Row],[WkEnd]])</f>
        <v>2019</v>
      </c>
      <c r="P596" s="10">
        <f>WEEKNUM(TimeEntry[[#This Row],[WkEnd]])</f>
        <v>4</v>
      </c>
      <c r="Q596" s="10" t="str">
        <f>TimeEntry[[#This Row],[Year]]&amp;"-"&amp;TimeEntry[[#This Row],[WkNo]]</f>
        <v>2019-4</v>
      </c>
    </row>
    <row r="597" spans="1:17" ht="30" x14ac:dyDescent="0.25">
      <c r="A597" s="9" t="e">
        <f>MOD(IF(ROW()=11,0.1,IF(INDEX(TimeEntry[WkEnd],ROW()-10)            =            INDEX(TimeEntry[WkEnd],ROW()-11),               INDEX(TimeEntry[format],ROW()-11),               INDEX(TimeEntry[format],ROW()-11)    +1)),2)</f>
        <v>#VALUE!</v>
      </c>
      <c r="B597" s="14"/>
      <c r="C597" s="7">
        <v>43482</v>
      </c>
      <c r="D597" s="7"/>
      <c r="E597" s="7"/>
      <c r="F597" s="6" t="s">
        <v>55</v>
      </c>
      <c r="G597" s="6"/>
      <c r="H597" s="7">
        <f>IF(TimeEntry[[#This Row],[Date]]=0,H596,C597+(7-N597))</f>
        <v>43485</v>
      </c>
      <c r="I597" s="7">
        <f>TimeEntry[[#This Row],[Date]]</f>
        <v>43482</v>
      </c>
      <c r="J597" s="10" t="str">
        <f>IF(TimeEntry[[#This Row],[Date]]=0,"",TEXT(TimeEntry[[#This Row],[Date]],"ddd"))</f>
        <v>Thu</v>
      </c>
      <c r="K597" s="9" t="str">
        <f>IF(TimeEntry[[#This Row],[Project]]=0,"",INDEX(ProjectsAll[job number],MATCH(TimeEntry[[#This Row],[Project]],ProjectsAll[Project],0)))</f>
        <v>077616-63</v>
      </c>
      <c r="L597" s="6" t="s">
        <v>351</v>
      </c>
      <c r="M597" s="6">
        <v>7.5</v>
      </c>
      <c r="N597" s="9">
        <f>IF(TimeEntry[[#This Row],[Date]]=0,"",WEEKDAY(C597,2))</f>
        <v>4</v>
      </c>
      <c r="O597" s="10">
        <f>YEAR(TimeEntry[[#This Row],[WkEnd]])</f>
        <v>2019</v>
      </c>
      <c r="P597" s="10">
        <f>WEEKNUM(TimeEntry[[#This Row],[WkEnd]])</f>
        <v>4</v>
      </c>
      <c r="Q597" s="10" t="str">
        <f>TimeEntry[[#This Row],[Year]]&amp;"-"&amp;TimeEntry[[#This Row],[WkNo]]</f>
        <v>2019-4</v>
      </c>
    </row>
    <row r="598" spans="1:17" ht="30" x14ac:dyDescent="0.25">
      <c r="A598" s="9" t="e">
        <f>MOD(IF(ROW()=11,0.1,IF(INDEX(TimeEntry[WkEnd],ROW()-10)            =            INDEX(TimeEntry[WkEnd],ROW()-11),               INDEX(TimeEntry[format],ROW()-11),               INDEX(TimeEntry[format],ROW()-11)    +1)),2)</f>
        <v>#VALUE!</v>
      </c>
      <c r="B598" s="14"/>
      <c r="C598" s="7">
        <v>43483</v>
      </c>
      <c r="D598" s="7"/>
      <c r="E598" s="7"/>
      <c r="F598" s="6" t="s">
        <v>55</v>
      </c>
      <c r="G598" s="6"/>
      <c r="H598" s="7">
        <f>IF(TimeEntry[[#This Row],[Date]]=0,H597,C598+(7-N598))</f>
        <v>43485</v>
      </c>
      <c r="I598" s="7">
        <f>TimeEntry[[#This Row],[Date]]</f>
        <v>43483</v>
      </c>
      <c r="J598" s="10" t="str">
        <f>IF(TimeEntry[[#This Row],[Date]]=0,"",TEXT(TimeEntry[[#This Row],[Date]],"ddd"))</f>
        <v>Fri</v>
      </c>
      <c r="K598" s="9" t="str">
        <f>IF(TimeEntry[[#This Row],[Project]]=0,"",INDEX(ProjectsAll[job number],MATCH(TimeEntry[[#This Row],[Project]],ProjectsAll[Project],0)))</f>
        <v>077616-63</v>
      </c>
      <c r="L598" s="6" t="s">
        <v>351</v>
      </c>
      <c r="M598" s="6">
        <v>7.5</v>
      </c>
      <c r="N598" s="9">
        <f>IF(TimeEntry[[#This Row],[Date]]=0,"",WEEKDAY(C598,2))</f>
        <v>5</v>
      </c>
      <c r="O598" s="10">
        <f>YEAR(TimeEntry[[#This Row],[WkEnd]])</f>
        <v>2019</v>
      </c>
      <c r="P598" s="10">
        <f>WEEKNUM(TimeEntry[[#This Row],[WkEnd]])</f>
        <v>4</v>
      </c>
      <c r="Q598" s="10" t="str">
        <f>TimeEntry[[#This Row],[Year]]&amp;"-"&amp;TimeEntry[[#This Row],[WkNo]]</f>
        <v>2019-4</v>
      </c>
    </row>
    <row r="599" spans="1:17" ht="30" x14ac:dyDescent="0.25">
      <c r="A599" s="9" t="e">
        <f>MOD(IF(ROW()=11,0.1,IF(INDEX(TimeEntry[WkEnd],ROW()-10)            =            INDEX(TimeEntry[WkEnd],ROW()-11),               INDEX(TimeEntry[format],ROW()-11),               INDEX(TimeEntry[format],ROW()-11)    +1)),2)</f>
        <v>#VALUE!</v>
      </c>
      <c r="B599" s="14"/>
      <c r="C599" s="7">
        <v>43472</v>
      </c>
      <c r="D599" s="7"/>
      <c r="E599" s="7"/>
      <c r="F599" s="6" t="s">
        <v>70</v>
      </c>
      <c r="G599" s="6"/>
      <c r="H599" s="7">
        <f>IF(TimeEntry[[#This Row],[Date]]=0,H598,C599+(7-N599))</f>
        <v>43478</v>
      </c>
      <c r="I599" s="7">
        <f>TimeEntry[[#This Row],[Date]]</f>
        <v>43472</v>
      </c>
      <c r="J599" s="10" t="str">
        <f>IF(TimeEntry[[#This Row],[Date]]=0,"",TEXT(TimeEntry[[#This Row],[Date]],"ddd"))</f>
        <v>Mon</v>
      </c>
      <c r="K599" s="9" t="str">
        <f>IF(TimeEntry[[#This Row],[Project]]=0,"",INDEX(ProjectsAll[job number],MATCH(TimeEntry[[#This Row],[Project]],ProjectsAll[Project],0)))</f>
        <v>255375-00</v>
      </c>
      <c r="L599" s="6" t="s">
        <v>352</v>
      </c>
      <c r="M599" s="6">
        <v>7.5</v>
      </c>
      <c r="N599" s="9">
        <f>IF(TimeEntry[[#This Row],[Date]]=0,"",WEEKDAY(C599,2))</f>
        <v>1</v>
      </c>
      <c r="O599" s="10">
        <f>YEAR(TimeEntry[[#This Row],[WkEnd]])</f>
        <v>2019</v>
      </c>
      <c r="P599" s="10">
        <f>WEEKNUM(TimeEntry[[#This Row],[WkEnd]])</f>
        <v>3</v>
      </c>
      <c r="Q599" s="10" t="str">
        <f>TimeEntry[[#This Row],[Year]]&amp;"-"&amp;TimeEntry[[#This Row],[WkNo]]</f>
        <v>2019-3</v>
      </c>
    </row>
    <row r="600" spans="1:17" ht="30" x14ac:dyDescent="0.25">
      <c r="A600" s="9" t="e">
        <f>MOD(IF(ROW()=11,0.1,IF(INDEX(TimeEntry[WkEnd],ROW()-10)            =            INDEX(TimeEntry[WkEnd],ROW()-11),               INDEX(TimeEntry[format],ROW()-11),               INDEX(TimeEntry[format],ROW()-11)    +1)),2)</f>
        <v>#VALUE!</v>
      </c>
      <c r="B600" s="14"/>
      <c r="C600" s="7">
        <v>43473</v>
      </c>
      <c r="D600" s="7"/>
      <c r="E600" s="7"/>
      <c r="F600" s="6" t="s">
        <v>30</v>
      </c>
      <c r="G600" s="6"/>
      <c r="H600" s="7">
        <f>IF(TimeEntry[[#This Row],[Date]]=0,H599,C600+(7-N600))</f>
        <v>43478</v>
      </c>
      <c r="I600" s="7">
        <f>TimeEntry[[#This Row],[Date]]</f>
        <v>43473</v>
      </c>
      <c r="J600" s="10" t="str">
        <f>IF(TimeEntry[[#This Row],[Date]]=0,"",TEXT(TimeEntry[[#This Row],[Date]],"ddd"))</f>
        <v>Tue</v>
      </c>
      <c r="K600" s="9" t="str">
        <f>IF(TimeEntry[[#This Row],[Project]]=0,"",INDEX(ProjectsAll[job number],MATCH(TimeEntry[[#This Row],[Project]],ProjectsAll[Project],0)))</f>
        <v>260258-47</v>
      </c>
      <c r="L600" s="6" t="s">
        <v>353</v>
      </c>
      <c r="M600" s="6">
        <v>3</v>
      </c>
      <c r="N600" s="9">
        <f>IF(TimeEntry[[#This Row],[Date]]=0,"",WEEKDAY(C600,2))</f>
        <v>2</v>
      </c>
      <c r="O600" s="10">
        <f>YEAR(TimeEntry[[#This Row],[WkEnd]])</f>
        <v>2019</v>
      </c>
      <c r="P600" s="10">
        <f>WEEKNUM(TimeEntry[[#This Row],[WkEnd]])</f>
        <v>3</v>
      </c>
      <c r="Q600" s="10" t="str">
        <f>TimeEntry[[#This Row],[Year]]&amp;"-"&amp;TimeEntry[[#This Row],[WkNo]]</f>
        <v>2019-3</v>
      </c>
    </row>
    <row r="601" spans="1:17" x14ac:dyDescent="0.25">
      <c r="A601" s="9" t="e">
        <f>MOD(IF(ROW()=11,0.1,IF(INDEX(TimeEntry[WkEnd],ROW()-10)            =            INDEX(TimeEntry[WkEnd],ROW()-11),               INDEX(TimeEntry[format],ROW()-11),               INDEX(TimeEntry[format],ROW()-11)    +1)),2)</f>
        <v>#VALUE!</v>
      </c>
      <c r="B601" s="14"/>
      <c r="C601" s="7">
        <v>43473</v>
      </c>
      <c r="D601" s="7"/>
      <c r="E601" s="7"/>
      <c r="F601" s="6" t="s">
        <v>310</v>
      </c>
      <c r="G601" s="6"/>
      <c r="H601" s="7">
        <f>IF(TimeEntry[[#This Row],[Date]]=0,H600,C601+(7-N601))</f>
        <v>43478</v>
      </c>
      <c r="I601" s="7">
        <f>TimeEntry[[#This Row],[Date]]</f>
        <v>43473</v>
      </c>
      <c r="J601" s="10" t="str">
        <f>IF(TimeEntry[[#This Row],[Date]]=0,"",TEXT(TimeEntry[[#This Row],[Date]],"ddd"))</f>
        <v>Tue</v>
      </c>
      <c r="K601" s="9" t="e">
        <f>IF(TimeEntry[[#This Row],[Project]]=0,"",INDEX(ProjectsAll[job number],MATCH(TimeEntry[[#This Row],[Project]],ProjectsAll[Project],0)))</f>
        <v>#N/A</v>
      </c>
      <c r="L601" s="6" t="s">
        <v>59</v>
      </c>
      <c r="M601" s="6">
        <v>4.5</v>
      </c>
      <c r="N601" s="9">
        <f>IF(TimeEntry[[#This Row],[Date]]=0,"",WEEKDAY(C601,2))</f>
        <v>2</v>
      </c>
      <c r="O601" s="10">
        <f>YEAR(TimeEntry[[#This Row],[WkEnd]])</f>
        <v>2019</v>
      </c>
      <c r="P601" s="10">
        <f>WEEKNUM(TimeEntry[[#This Row],[WkEnd]])</f>
        <v>3</v>
      </c>
      <c r="Q601" s="10" t="str">
        <f>TimeEntry[[#This Row],[Year]]&amp;"-"&amp;TimeEntry[[#This Row],[WkNo]]</f>
        <v>2019-3</v>
      </c>
    </row>
    <row r="602" spans="1:17" x14ac:dyDescent="0.25">
      <c r="A602" s="9" t="e">
        <f>MOD(IF(ROW()=11,0.1,IF(INDEX(TimeEntry[WkEnd],ROW()-10)            =            INDEX(TimeEntry[WkEnd],ROW()-11),               INDEX(TimeEntry[format],ROW()-11),               INDEX(TimeEntry[format],ROW()-11)    +1)),2)</f>
        <v>#VALUE!</v>
      </c>
      <c r="B602" s="14"/>
      <c r="C602" s="7">
        <v>43474</v>
      </c>
      <c r="D602" s="7"/>
      <c r="E602" s="7"/>
      <c r="F602" s="6" t="s">
        <v>310</v>
      </c>
      <c r="G602" s="6"/>
      <c r="H602" s="7">
        <f>IF(TimeEntry[[#This Row],[Date]]=0,H601,C602+(7-N602))</f>
        <v>43478</v>
      </c>
      <c r="I602" s="7">
        <f>TimeEntry[[#This Row],[Date]]</f>
        <v>43474</v>
      </c>
      <c r="J602" s="10" t="str">
        <f>IF(TimeEntry[[#This Row],[Date]]=0,"",TEXT(TimeEntry[[#This Row],[Date]],"ddd"))</f>
        <v>Wed</v>
      </c>
      <c r="K602" s="9" t="e">
        <f>IF(TimeEntry[[#This Row],[Project]]=0,"",INDEX(ProjectsAll[job number],MATCH(TimeEntry[[#This Row],[Project]],ProjectsAll[Project],0)))</f>
        <v>#N/A</v>
      </c>
      <c r="L602" s="6" t="s">
        <v>59</v>
      </c>
      <c r="M602" s="6">
        <v>7.5</v>
      </c>
      <c r="N602" s="9">
        <f>IF(TimeEntry[[#This Row],[Date]]=0,"",WEEKDAY(C602,2))</f>
        <v>3</v>
      </c>
      <c r="O602" s="10">
        <f>YEAR(TimeEntry[[#This Row],[WkEnd]])</f>
        <v>2019</v>
      </c>
      <c r="P602" s="10">
        <f>WEEKNUM(TimeEntry[[#This Row],[WkEnd]])</f>
        <v>3</v>
      </c>
      <c r="Q602" s="10" t="str">
        <f>TimeEntry[[#This Row],[Year]]&amp;"-"&amp;TimeEntry[[#This Row],[WkNo]]</f>
        <v>2019-3</v>
      </c>
    </row>
    <row r="603" spans="1:17" ht="30" x14ac:dyDescent="0.25">
      <c r="A603" s="9" t="e">
        <f>MOD(IF(ROW()=11,0.1,IF(INDEX(TimeEntry[WkEnd],ROW()-10)            =            INDEX(TimeEntry[WkEnd],ROW()-11),               INDEX(TimeEntry[format],ROW()-11),               INDEX(TimeEntry[format],ROW()-11)    +1)),2)</f>
        <v>#VALUE!</v>
      </c>
      <c r="B603" s="14"/>
      <c r="C603" s="7">
        <v>43475</v>
      </c>
      <c r="D603" s="7"/>
      <c r="E603" s="7"/>
      <c r="F603" s="6" t="s">
        <v>40</v>
      </c>
      <c r="G603" s="6"/>
      <c r="H603" s="7">
        <f>IF(TimeEntry[[#This Row],[Date]]=0,H602,C603+(7-N603))</f>
        <v>43478</v>
      </c>
      <c r="I603" s="7">
        <f>TimeEntry[[#This Row],[Date]]</f>
        <v>43475</v>
      </c>
      <c r="J603" s="10" t="str">
        <f>IF(TimeEntry[[#This Row],[Date]]=0,"",TEXT(TimeEntry[[#This Row],[Date]],"ddd"))</f>
        <v>Thu</v>
      </c>
      <c r="K603" s="9" t="str">
        <f>IF(TimeEntry[[#This Row],[Project]]=0,"",INDEX(ProjectsAll[job number],MATCH(TimeEntry[[#This Row],[Project]],ProjectsAll[Project],0)))</f>
        <v>255670-17</v>
      </c>
      <c r="L603" s="6" t="s">
        <v>354</v>
      </c>
      <c r="M603" s="6">
        <v>2</v>
      </c>
      <c r="N603" s="9">
        <f>IF(TimeEntry[[#This Row],[Date]]=0,"",WEEKDAY(C603,2))</f>
        <v>4</v>
      </c>
      <c r="O603" s="10">
        <f>YEAR(TimeEntry[[#This Row],[WkEnd]])</f>
        <v>2019</v>
      </c>
      <c r="P603" s="10">
        <f>WEEKNUM(TimeEntry[[#This Row],[WkEnd]])</f>
        <v>3</v>
      </c>
      <c r="Q603" s="10" t="str">
        <f>TimeEntry[[#This Row],[Year]]&amp;"-"&amp;TimeEntry[[#This Row],[WkNo]]</f>
        <v>2019-3</v>
      </c>
    </row>
    <row r="604" spans="1:17" ht="30" x14ac:dyDescent="0.25">
      <c r="A604" s="9" t="e">
        <f>MOD(IF(ROW()=11,0.1,IF(INDEX(TimeEntry[WkEnd],ROW()-10)            =            INDEX(TimeEntry[WkEnd],ROW()-11),               INDEX(TimeEntry[format],ROW()-11),               INDEX(TimeEntry[format],ROW()-11)    +1)),2)</f>
        <v>#VALUE!</v>
      </c>
      <c r="B604" s="14"/>
      <c r="C604" s="7">
        <v>43475</v>
      </c>
      <c r="D604" s="7"/>
      <c r="E604" s="7"/>
      <c r="F604" s="6" t="s">
        <v>48</v>
      </c>
      <c r="G604" s="6"/>
      <c r="H604" s="7">
        <f>IF(TimeEntry[[#This Row],[Date]]=0,H603,C604+(7-N604))</f>
        <v>43478</v>
      </c>
      <c r="I604" s="7">
        <f>TimeEntry[[#This Row],[Date]]</f>
        <v>43475</v>
      </c>
      <c r="J604" s="10" t="str">
        <f>IF(TimeEntry[[#This Row],[Date]]=0,"",TEXT(TimeEntry[[#This Row],[Date]],"ddd"))</f>
        <v>Thu</v>
      </c>
      <c r="K604" s="9" t="str">
        <f>IF(TimeEntry[[#This Row],[Project]]=0,"",INDEX(ProjectsAll[job number],MATCH(TimeEntry[[#This Row],[Project]],ProjectsAll[Project],0)))</f>
        <v>254304-96</v>
      </c>
      <c r="L604" s="6" t="s">
        <v>355</v>
      </c>
      <c r="M604" s="6">
        <v>5.5</v>
      </c>
      <c r="N604" s="9">
        <f>IF(TimeEntry[[#This Row],[Date]]=0,"",WEEKDAY(C604,2))</f>
        <v>4</v>
      </c>
      <c r="O604" s="10">
        <f>YEAR(TimeEntry[[#This Row],[WkEnd]])</f>
        <v>2019</v>
      </c>
      <c r="P604" s="10">
        <f>WEEKNUM(TimeEntry[[#This Row],[WkEnd]])</f>
        <v>3</v>
      </c>
      <c r="Q604" s="10" t="str">
        <f>TimeEntry[[#This Row],[Year]]&amp;"-"&amp;TimeEntry[[#This Row],[WkNo]]</f>
        <v>2019-3</v>
      </c>
    </row>
    <row r="605" spans="1:17" ht="30" x14ac:dyDescent="0.25">
      <c r="A605" s="9" t="e">
        <f>MOD(IF(ROW()=11,0.1,IF(INDEX(TimeEntry[WkEnd],ROW()-10)            =            INDEX(TimeEntry[WkEnd],ROW()-11),               INDEX(TimeEntry[format],ROW()-11),               INDEX(TimeEntry[format],ROW()-11)    +1)),2)</f>
        <v>#VALUE!</v>
      </c>
      <c r="B605" s="14"/>
      <c r="C605" s="7">
        <v>43476</v>
      </c>
      <c r="D605" s="7"/>
      <c r="E605" s="7"/>
      <c r="F605" s="6" t="s">
        <v>51</v>
      </c>
      <c r="G605" s="6"/>
      <c r="H605" s="7">
        <f>IF(TimeEntry[[#This Row],[Date]]=0,H604,C605+(7-N605))</f>
        <v>43478</v>
      </c>
      <c r="I605" s="7">
        <f>TimeEntry[[#This Row],[Date]]</f>
        <v>43476</v>
      </c>
      <c r="J605" s="10" t="str">
        <f>IF(TimeEntry[[#This Row],[Date]]=0,"",TEXT(TimeEntry[[#This Row],[Date]],"ddd"))</f>
        <v>Fri</v>
      </c>
      <c r="K605" s="9" t="str">
        <f>IF(TimeEntry[[#This Row],[Project]]=0,"",INDEX(ProjectsAll[job number],MATCH(TimeEntry[[#This Row],[Project]],ProjectsAll[Project],0)))</f>
        <v>246233-56</v>
      </c>
      <c r="L605" s="6" t="s">
        <v>356</v>
      </c>
      <c r="M605" s="6">
        <v>2.5</v>
      </c>
      <c r="N605" s="9">
        <f>IF(TimeEntry[[#This Row],[Date]]=0,"",WEEKDAY(C605,2))</f>
        <v>5</v>
      </c>
      <c r="O605" s="10">
        <f>YEAR(TimeEntry[[#This Row],[WkEnd]])</f>
        <v>2019</v>
      </c>
      <c r="P605" s="10">
        <f>WEEKNUM(TimeEntry[[#This Row],[WkEnd]])</f>
        <v>3</v>
      </c>
      <c r="Q605" s="10" t="str">
        <f>TimeEntry[[#This Row],[Year]]&amp;"-"&amp;TimeEntry[[#This Row],[WkNo]]</f>
        <v>2019-3</v>
      </c>
    </row>
    <row r="606" spans="1:17" ht="30" x14ac:dyDescent="0.25">
      <c r="A606" s="9" t="e">
        <f>MOD(IF(ROW()=11,0.1,IF(INDEX(TimeEntry[WkEnd],ROW()-10)            =            INDEX(TimeEntry[WkEnd],ROW()-11),               INDEX(TimeEntry[format],ROW()-11),               INDEX(TimeEntry[format],ROW()-11)    +1)),2)</f>
        <v>#VALUE!</v>
      </c>
      <c r="B606" s="14"/>
      <c r="C606" s="7">
        <v>43476</v>
      </c>
      <c r="D606" s="7"/>
      <c r="E606" s="7"/>
      <c r="F606" s="6" t="s">
        <v>92</v>
      </c>
      <c r="G606" s="6"/>
      <c r="H606" s="7">
        <f>IF(TimeEntry[[#This Row],[Date]]=0,H605,C606+(7-N606))</f>
        <v>43478</v>
      </c>
      <c r="I606" s="7">
        <f>TimeEntry[[#This Row],[Date]]</f>
        <v>43476</v>
      </c>
      <c r="J606" s="10" t="str">
        <f>IF(TimeEntry[[#This Row],[Date]]=0,"",TEXT(TimeEntry[[#This Row],[Date]],"ddd"))</f>
        <v>Fri</v>
      </c>
      <c r="K606" s="9" t="str">
        <f>IF(TimeEntry[[#This Row],[Project]]=0,"",INDEX(ProjectsAll[job number],MATCH(TimeEntry[[#This Row],[Project]],ProjectsAll[Project],0)))</f>
        <v>259933-00</v>
      </c>
      <c r="L606" s="6" t="s">
        <v>357</v>
      </c>
      <c r="M606" s="6">
        <v>2.5</v>
      </c>
      <c r="N606" s="9">
        <f>IF(TimeEntry[[#This Row],[Date]]=0,"",WEEKDAY(C606,2))</f>
        <v>5</v>
      </c>
      <c r="O606" s="10">
        <f>YEAR(TimeEntry[[#This Row],[WkEnd]])</f>
        <v>2019</v>
      </c>
      <c r="P606" s="10">
        <f>WEEKNUM(TimeEntry[[#This Row],[WkEnd]])</f>
        <v>3</v>
      </c>
      <c r="Q606" s="10" t="str">
        <f>TimeEntry[[#This Row],[Year]]&amp;"-"&amp;TimeEntry[[#This Row],[WkNo]]</f>
        <v>2019-3</v>
      </c>
    </row>
    <row r="607" spans="1:17" ht="30" x14ac:dyDescent="0.25">
      <c r="A607" s="9" t="e">
        <f>MOD(IF(ROW()=11,0.1,IF(INDEX(TimeEntry[WkEnd],ROW()-10)            =            INDEX(TimeEntry[WkEnd],ROW()-11),               INDEX(TimeEntry[format],ROW()-11),               INDEX(TimeEntry[format],ROW()-11)    +1)),2)</f>
        <v>#VALUE!</v>
      </c>
      <c r="B607" s="14"/>
      <c r="C607" s="7">
        <v>43476</v>
      </c>
      <c r="D607" s="7"/>
      <c r="E607" s="7"/>
      <c r="F607" s="6" t="s">
        <v>48</v>
      </c>
      <c r="G607" s="6"/>
      <c r="H607" s="7">
        <f>IF(TimeEntry[[#This Row],[Date]]=0,H606,C607+(7-N607))</f>
        <v>43478</v>
      </c>
      <c r="I607" s="7">
        <f>TimeEntry[[#This Row],[Date]]</f>
        <v>43476</v>
      </c>
      <c r="J607" s="10" t="str">
        <f>IF(TimeEntry[[#This Row],[Date]]=0,"",TEXT(TimeEntry[[#This Row],[Date]],"ddd"))</f>
        <v>Fri</v>
      </c>
      <c r="K607" s="9" t="str">
        <f>IF(TimeEntry[[#This Row],[Project]]=0,"",INDEX(ProjectsAll[job number],MATCH(TimeEntry[[#This Row],[Project]],ProjectsAll[Project],0)))</f>
        <v>254304-96</v>
      </c>
      <c r="L607" s="6" t="s">
        <v>358</v>
      </c>
      <c r="M607" s="6">
        <v>2.5</v>
      </c>
      <c r="N607" s="9">
        <f>IF(TimeEntry[[#This Row],[Date]]=0,"",WEEKDAY(C607,2))</f>
        <v>5</v>
      </c>
      <c r="O607" s="10">
        <f>YEAR(TimeEntry[[#This Row],[WkEnd]])</f>
        <v>2019</v>
      </c>
      <c r="P607" s="10">
        <f>WEEKNUM(TimeEntry[[#This Row],[WkEnd]])</f>
        <v>3</v>
      </c>
      <c r="Q607" s="10" t="str">
        <f>TimeEntry[[#This Row],[Year]]&amp;"-"&amp;TimeEntry[[#This Row],[WkNo]]</f>
        <v>2019-3</v>
      </c>
    </row>
    <row r="608" spans="1:17" x14ac:dyDescent="0.25">
      <c r="A608" s="9" t="e">
        <f>MOD(IF(ROW()=11,0.1,IF(INDEX(TimeEntry[WkEnd],ROW()-10)            =            INDEX(TimeEntry[WkEnd],ROW()-11),               INDEX(TimeEntry[format],ROW()-11),               INDEX(TimeEntry[format],ROW()-11)    +1)),2)</f>
        <v>#VALUE!</v>
      </c>
      <c r="B608" s="14"/>
      <c r="C608" s="7">
        <v>43465</v>
      </c>
      <c r="D608" s="7"/>
      <c r="E608" s="7"/>
      <c r="F608" s="6" t="s">
        <v>68</v>
      </c>
      <c r="G608" s="6"/>
      <c r="H608" s="7">
        <f>IF(TimeEntry[[#This Row],[Date]]=0,H607,C608+(7-N608))</f>
        <v>43471</v>
      </c>
      <c r="I608" s="7">
        <f>TimeEntry[[#This Row],[Date]]</f>
        <v>43465</v>
      </c>
      <c r="J608" s="10" t="str">
        <f>IF(TimeEntry[[#This Row],[Date]]=0,"",TEXT(TimeEntry[[#This Row],[Date]],"ddd"))</f>
        <v>Mon</v>
      </c>
      <c r="K608" s="9" t="str">
        <f>IF(TimeEntry[[#This Row],[Project]]=0,"",INDEX(ProjectsAll[job number],MATCH(TimeEntry[[#This Row],[Project]],ProjectsAll[Project],0)))</f>
        <v>LEAVE</v>
      </c>
      <c r="L608" s="6" t="s">
        <v>69</v>
      </c>
      <c r="M608" s="6">
        <v>7.5</v>
      </c>
      <c r="N608" s="9">
        <f>IF(TimeEntry[[#This Row],[Date]]=0,"",WEEKDAY(C608,2))</f>
        <v>1</v>
      </c>
      <c r="O608" s="10">
        <f>YEAR(TimeEntry[[#This Row],[WkEnd]])</f>
        <v>2019</v>
      </c>
      <c r="P608" s="10">
        <f>WEEKNUM(TimeEntry[[#This Row],[WkEnd]])</f>
        <v>2</v>
      </c>
      <c r="Q608" s="10" t="str">
        <f>TimeEntry[[#This Row],[Year]]&amp;"-"&amp;TimeEntry[[#This Row],[WkNo]]</f>
        <v>2019-2</v>
      </c>
    </row>
    <row r="609" spans="1:17" ht="30" x14ac:dyDescent="0.25">
      <c r="A609" s="9" t="e">
        <f>MOD(IF(ROW()=11,0.1,IF(INDEX(TimeEntry[WkEnd],ROW()-10)            =            INDEX(TimeEntry[WkEnd],ROW()-11),               INDEX(TimeEntry[format],ROW()-11),               INDEX(TimeEntry[format],ROW()-11)    +1)),2)</f>
        <v>#VALUE!</v>
      </c>
      <c r="B609" s="14"/>
      <c r="C609" s="7">
        <v>43466</v>
      </c>
      <c r="D609" s="7"/>
      <c r="E609" s="7"/>
      <c r="F609" s="6" t="s">
        <v>12</v>
      </c>
      <c r="G609" s="6"/>
      <c r="H609" s="7">
        <f>IF(TimeEntry[[#This Row],[Date]]=0,H608,C609+(7-N609))</f>
        <v>43471</v>
      </c>
      <c r="I609" s="7">
        <f>TimeEntry[[#This Row],[Date]]</f>
        <v>43466</v>
      </c>
      <c r="J609" s="10" t="str">
        <f>IF(TimeEntry[[#This Row],[Date]]=0,"",TEXT(TimeEntry[[#This Row],[Date]],"ddd"))</f>
        <v>Tue</v>
      </c>
      <c r="K609" s="9" t="str">
        <f>IF(TimeEntry[[#This Row],[Project]]=0,"",INDEX(ProjectsAll[job number],MATCH(TimeEntry[[#This Row],[Project]],ProjectsAll[Project],0)))</f>
        <v>BANK HOLIDAY</v>
      </c>
      <c r="L609" s="6" t="s">
        <v>13</v>
      </c>
      <c r="M609" s="6">
        <v>7.5</v>
      </c>
      <c r="N609" s="9">
        <f>IF(TimeEntry[[#This Row],[Date]]=0,"",WEEKDAY(C609,2))</f>
        <v>2</v>
      </c>
      <c r="O609" s="10">
        <f>YEAR(TimeEntry[[#This Row],[WkEnd]])</f>
        <v>2019</v>
      </c>
      <c r="P609" s="10">
        <f>WEEKNUM(TimeEntry[[#This Row],[WkEnd]])</f>
        <v>2</v>
      </c>
      <c r="Q609" s="10" t="str">
        <f>TimeEntry[[#This Row],[Year]]&amp;"-"&amp;TimeEntry[[#This Row],[WkNo]]</f>
        <v>2019-2</v>
      </c>
    </row>
    <row r="610" spans="1:17" x14ac:dyDescent="0.25">
      <c r="A610" s="9" t="e">
        <f>MOD(IF(ROW()=11,0.1,IF(INDEX(TimeEntry[WkEnd],ROW()-10)            =            INDEX(TimeEntry[WkEnd],ROW()-11),               INDEX(TimeEntry[format],ROW()-11),               INDEX(TimeEntry[format],ROW()-11)    +1)),2)</f>
        <v>#VALUE!</v>
      </c>
      <c r="B610" s="14"/>
      <c r="C610" s="7">
        <v>43467</v>
      </c>
      <c r="D610" s="7"/>
      <c r="E610" s="7"/>
      <c r="F610" s="6" t="s">
        <v>23</v>
      </c>
      <c r="G610" s="6"/>
      <c r="H610" s="7">
        <f>IF(TimeEntry[[#This Row],[Date]]=0,H609,C610+(7-N610))</f>
        <v>43471</v>
      </c>
      <c r="I610" s="7">
        <f>TimeEntry[[#This Row],[Date]]</f>
        <v>43467</v>
      </c>
      <c r="J610" s="10" t="str">
        <f>IF(TimeEntry[[#This Row],[Date]]=0,"",TEXT(TimeEntry[[#This Row],[Date]],"ddd"))</f>
        <v>Wed</v>
      </c>
      <c r="K610" s="9" t="e">
        <f>IF(TimeEntry[[#This Row],[Project]]=0,"",INDEX(ProjectsAll[job number],MATCH(TimeEntry[[#This Row],[Project]],ProjectsAll[Project],0)))</f>
        <v>#N/A</v>
      </c>
      <c r="L610" s="6" t="s">
        <v>359</v>
      </c>
      <c r="M610" s="6">
        <v>7.5</v>
      </c>
      <c r="N610" s="9">
        <f>IF(TimeEntry[[#This Row],[Date]]=0,"",WEEKDAY(C610,2))</f>
        <v>3</v>
      </c>
      <c r="O610" s="10">
        <f>YEAR(TimeEntry[[#This Row],[WkEnd]])</f>
        <v>2019</v>
      </c>
      <c r="P610" s="10">
        <f>WEEKNUM(TimeEntry[[#This Row],[WkEnd]])</f>
        <v>2</v>
      </c>
      <c r="Q610" s="10" t="str">
        <f>TimeEntry[[#This Row],[Year]]&amp;"-"&amp;TimeEntry[[#This Row],[WkNo]]</f>
        <v>2019-2</v>
      </c>
    </row>
    <row r="611" spans="1:17" ht="30" x14ac:dyDescent="0.25">
      <c r="A611" s="9" t="e">
        <f>MOD(IF(ROW()=11,0.1,IF(INDEX(TimeEntry[WkEnd],ROW()-10)            =            INDEX(TimeEntry[WkEnd],ROW()-11),               INDEX(TimeEntry[format],ROW()-11),               INDEX(TimeEntry[format],ROW()-11)    +1)),2)</f>
        <v>#VALUE!</v>
      </c>
      <c r="B611" s="14"/>
      <c r="C611" s="7">
        <v>43468</v>
      </c>
      <c r="D611" s="7"/>
      <c r="E611" s="7"/>
      <c r="F611" s="6" t="s">
        <v>30</v>
      </c>
      <c r="G611" s="6"/>
      <c r="H611" s="7">
        <f>IF(TimeEntry[[#This Row],[Date]]=0,H610,C611+(7-N611))</f>
        <v>43471</v>
      </c>
      <c r="I611" s="7">
        <f>TimeEntry[[#This Row],[Date]]</f>
        <v>43468</v>
      </c>
      <c r="J611" s="10" t="str">
        <f>IF(TimeEntry[[#This Row],[Date]]=0,"",TEXT(TimeEntry[[#This Row],[Date]],"ddd"))</f>
        <v>Thu</v>
      </c>
      <c r="K611" s="9" t="str">
        <f>IF(TimeEntry[[#This Row],[Project]]=0,"",INDEX(ProjectsAll[job number],MATCH(TimeEntry[[#This Row],[Project]],ProjectsAll[Project],0)))</f>
        <v>260258-47</v>
      </c>
      <c r="L611" s="6" t="s">
        <v>360</v>
      </c>
      <c r="M611" s="6">
        <v>7.5</v>
      </c>
      <c r="N611" s="9">
        <f>IF(TimeEntry[[#This Row],[Date]]=0,"",WEEKDAY(C611,2))</f>
        <v>4</v>
      </c>
      <c r="O611" s="10">
        <f>YEAR(TimeEntry[[#This Row],[WkEnd]])</f>
        <v>2019</v>
      </c>
      <c r="P611" s="10">
        <f>WEEKNUM(TimeEntry[[#This Row],[WkEnd]])</f>
        <v>2</v>
      </c>
      <c r="Q611" s="10" t="str">
        <f>TimeEntry[[#This Row],[Year]]&amp;"-"&amp;TimeEntry[[#This Row],[WkNo]]</f>
        <v>2019-2</v>
      </c>
    </row>
    <row r="612" spans="1:17" ht="30" x14ac:dyDescent="0.25">
      <c r="A612" s="9" t="e">
        <f>MOD(IF(ROW()=11,0.1,IF(INDEX(TimeEntry[WkEnd],ROW()-10)            =            INDEX(TimeEntry[WkEnd],ROW()-11),               INDEX(TimeEntry[format],ROW()-11),               INDEX(TimeEntry[format],ROW()-11)    +1)),2)</f>
        <v>#VALUE!</v>
      </c>
      <c r="B612" s="14"/>
      <c r="C612" s="7">
        <v>43469</v>
      </c>
      <c r="D612" s="7"/>
      <c r="E612" s="7"/>
      <c r="F612" s="6" t="s">
        <v>30</v>
      </c>
      <c r="G612" s="6"/>
      <c r="H612" s="7">
        <f>IF(TimeEntry[[#This Row],[Date]]=0,H611,C612+(7-N612))</f>
        <v>43471</v>
      </c>
      <c r="I612" s="7">
        <f>TimeEntry[[#This Row],[Date]]</f>
        <v>43469</v>
      </c>
      <c r="J612" s="10" t="str">
        <f>IF(TimeEntry[[#This Row],[Date]]=0,"",TEXT(TimeEntry[[#This Row],[Date]],"ddd"))</f>
        <v>Fri</v>
      </c>
      <c r="K612" s="9" t="str">
        <f>IF(TimeEntry[[#This Row],[Project]]=0,"",INDEX(ProjectsAll[job number],MATCH(TimeEntry[[#This Row],[Project]],ProjectsAll[Project],0)))</f>
        <v>260258-47</v>
      </c>
      <c r="L612" s="6" t="s">
        <v>360</v>
      </c>
      <c r="M612" s="6">
        <v>2.5</v>
      </c>
      <c r="N612" s="9">
        <f>IF(TimeEntry[[#This Row],[Date]]=0,"",WEEKDAY(C612,2))</f>
        <v>5</v>
      </c>
      <c r="O612" s="10">
        <f>YEAR(TimeEntry[[#This Row],[WkEnd]])</f>
        <v>2019</v>
      </c>
      <c r="P612" s="10">
        <f>WEEKNUM(TimeEntry[[#This Row],[WkEnd]])</f>
        <v>2</v>
      </c>
      <c r="Q612" s="10" t="str">
        <f>TimeEntry[[#This Row],[Year]]&amp;"-"&amp;TimeEntry[[#This Row],[WkNo]]</f>
        <v>2019-2</v>
      </c>
    </row>
    <row r="613" spans="1:17" ht="30" x14ac:dyDescent="0.25">
      <c r="A613" s="9" t="e">
        <f>MOD(IF(ROW()=11,0.1,IF(INDEX(TimeEntry[WkEnd],ROW()-10)            =            INDEX(TimeEntry[WkEnd],ROW()-11),               INDEX(TimeEntry[format],ROW()-11),               INDEX(TimeEntry[format],ROW()-11)    +1)),2)</f>
        <v>#VALUE!</v>
      </c>
      <c r="B613" s="14"/>
      <c r="C613" s="7">
        <v>43469</v>
      </c>
      <c r="D613" s="7"/>
      <c r="E613" s="7"/>
      <c r="F613" s="6" t="s">
        <v>70</v>
      </c>
      <c r="G613" s="6"/>
      <c r="H613" s="7">
        <f>IF(TimeEntry[[#This Row],[Date]]=0,H612,C613+(7-N613))</f>
        <v>43471</v>
      </c>
      <c r="I613" s="7">
        <f>TimeEntry[[#This Row],[Date]]</f>
        <v>43469</v>
      </c>
      <c r="J613" s="10" t="str">
        <f>IF(TimeEntry[[#This Row],[Date]]=0,"",TEXT(TimeEntry[[#This Row],[Date]],"ddd"))</f>
        <v>Fri</v>
      </c>
      <c r="K613" s="9" t="str">
        <f>IF(TimeEntry[[#This Row],[Project]]=0,"",INDEX(ProjectsAll[job number],MATCH(TimeEntry[[#This Row],[Project]],ProjectsAll[Project],0)))</f>
        <v>255375-00</v>
      </c>
      <c r="L613" s="6" t="s">
        <v>361</v>
      </c>
      <c r="M613" s="6">
        <v>3</v>
      </c>
      <c r="N613" s="9">
        <f>IF(TimeEntry[[#This Row],[Date]]=0,"",WEEKDAY(C613,2))</f>
        <v>5</v>
      </c>
      <c r="O613" s="10">
        <f>YEAR(TimeEntry[[#This Row],[WkEnd]])</f>
        <v>2019</v>
      </c>
      <c r="P613" s="10">
        <f>WEEKNUM(TimeEntry[[#This Row],[WkEnd]])</f>
        <v>2</v>
      </c>
      <c r="Q613" s="10" t="str">
        <f>TimeEntry[[#This Row],[Year]]&amp;"-"&amp;TimeEntry[[#This Row],[WkNo]]</f>
        <v>2019-2</v>
      </c>
    </row>
    <row r="614" spans="1:17" ht="30" x14ac:dyDescent="0.25">
      <c r="A614" s="9" t="e">
        <f>MOD(IF(ROW()=11,0.1,IF(INDEX(TimeEntry[WkEnd],ROW()-10)            =            INDEX(TimeEntry[WkEnd],ROW()-11),               INDEX(TimeEntry[format],ROW()-11),               INDEX(TimeEntry[format],ROW()-11)    +1)),2)</f>
        <v>#VALUE!</v>
      </c>
      <c r="B614" s="14"/>
      <c r="C614" s="7">
        <v>43469</v>
      </c>
      <c r="D614" s="7"/>
      <c r="E614" s="7"/>
      <c r="F614" s="6" t="s">
        <v>51</v>
      </c>
      <c r="G614" s="6"/>
      <c r="H614" s="7">
        <f>IF(TimeEntry[[#This Row],[Date]]=0,H613,C614+(7-N614))</f>
        <v>43471</v>
      </c>
      <c r="I614" s="7">
        <f>TimeEntry[[#This Row],[Date]]</f>
        <v>43469</v>
      </c>
      <c r="J614" s="10" t="str">
        <f>IF(TimeEntry[[#This Row],[Date]]=0,"",TEXT(TimeEntry[[#This Row],[Date]],"ddd"))</f>
        <v>Fri</v>
      </c>
      <c r="K614" s="9" t="str">
        <f>IF(TimeEntry[[#This Row],[Project]]=0,"",INDEX(ProjectsAll[job number],MATCH(TimeEntry[[#This Row],[Project]],ProjectsAll[Project],0)))</f>
        <v>246233-56</v>
      </c>
      <c r="L614" s="6" t="s">
        <v>362</v>
      </c>
      <c r="M614" s="6">
        <v>2</v>
      </c>
      <c r="N614" s="9">
        <f>IF(TimeEntry[[#This Row],[Date]]=0,"",WEEKDAY(C614,2))</f>
        <v>5</v>
      </c>
      <c r="O614" s="10">
        <f>YEAR(TimeEntry[[#This Row],[WkEnd]])</f>
        <v>2019</v>
      </c>
      <c r="P614" s="10">
        <f>WEEKNUM(TimeEntry[[#This Row],[WkEnd]])</f>
        <v>2</v>
      </c>
      <c r="Q614" s="10" t="str">
        <f>TimeEntry[[#This Row],[Year]]&amp;"-"&amp;TimeEntry[[#This Row],[WkNo]]</f>
        <v>2019-2</v>
      </c>
    </row>
    <row r="615" spans="1:17" x14ac:dyDescent="0.25">
      <c r="A615" s="9" t="e">
        <f>MOD(IF(ROW()=11,0.1,IF(INDEX(TimeEntry[WkEnd],ROW()-10)            =            INDEX(TimeEntry[WkEnd],ROW()-11),               INDEX(TimeEntry[format],ROW()-11),               INDEX(TimeEntry[format],ROW()-11)    +1)),2)</f>
        <v>#VALUE!</v>
      </c>
      <c r="B615" s="14"/>
      <c r="C615" s="7">
        <v>43458</v>
      </c>
      <c r="D615" s="7"/>
      <c r="E615" s="7"/>
      <c r="F615" s="6" t="s">
        <v>68</v>
      </c>
      <c r="G615" s="6"/>
      <c r="H615" s="7">
        <f>IF(TimeEntry[[#This Row],[Date]]=0,H614,C615+(7-N615))</f>
        <v>43464</v>
      </c>
      <c r="I615" s="7">
        <f>TimeEntry[[#This Row],[Date]]</f>
        <v>43458</v>
      </c>
      <c r="J615" s="10" t="str">
        <f>IF(TimeEntry[[#This Row],[Date]]=0,"",TEXT(TimeEntry[[#This Row],[Date]],"ddd"))</f>
        <v>Mon</v>
      </c>
      <c r="K615" s="9" t="str">
        <f>IF(TimeEntry[[#This Row],[Project]]=0,"",INDEX(ProjectsAll[job number],MATCH(TimeEntry[[#This Row],[Project]],ProjectsAll[Project],0)))</f>
        <v>LEAVE</v>
      </c>
      <c r="L615" s="6" t="s">
        <v>69</v>
      </c>
      <c r="M615" s="6">
        <v>7.5</v>
      </c>
      <c r="N615" s="9">
        <f>IF(TimeEntry[[#This Row],[Date]]=0,"",WEEKDAY(C615,2))</f>
        <v>1</v>
      </c>
      <c r="O615" s="10">
        <f>YEAR(TimeEntry[[#This Row],[WkEnd]])</f>
        <v>2018</v>
      </c>
      <c r="P615" s="10">
        <f>WEEKNUM(TimeEntry[[#This Row],[WkEnd]])</f>
        <v>53</v>
      </c>
      <c r="Q615" s="10" t="str">
        <f>TimeEntry[[#This Row],[Year]]&amp;"-"&amp;TimeEntry[[#This Row],[WkNo]]</f>
        <v>2018-53</v>
      </c>
    </row>
    <row r="616" spans="1:17" ht="30" x14ac:dyDescent="0.25">
      <c r="A616" s="9" t="e">
        <f>MOD(IF(ROW()=11,0.1,IF(INDEX(TimeEntry[WkEnd],ROW()-10)            =            INDEX(TimeEntry[WkEnd],ROW()-11),               INDEX(TimeEntry[format],ROW()-11),               INDEX(TimeEntry[format],ROW()-11)    +1)),2)</f>
        <v>#VALUE!</v>
      </c>
      <c r="B616" s="14"/>
      <c r="C616" s="7">
        <v>43459</v>
      </c>
      <c r="D616" s="7"/>
      <c r="E616" s="7"/>
      <c r="F616" s="6" t="s">
        <v>12</v>
      </c>
      <c r="G616" s="6"/>
      <c r="H616" s="7">
        <f>IF(TimeEntry[[#This Row],[Date]]=0,H615,C616+(7-N616))</f>
        <v>43464</v>
      </c>
      <c r="I616" s="7">
        <f>TimeEntry[[#This Row],[Date]]</f>
        <v>43459</v>
      </c>
      <c r="J616" s="10" t="str">
        <f>IF(TimeEntry[[#This Row],[Date]]=0,"",TEXT(TimeEntry[[#This Row],[Date]],"ddd"))</f>
        <v>Tue</v>
      </c>
      <c r="K616" s="9" t="str">
        <f>IF(TimeEntry[[#This Row],[Project]]=0,"",INDEX(ProjectsAll[job number],MATCH(TimeEntry[[#This Row],[Project]],ProjectsAll[Project],0)))</f>
        <v>BANK HOLIDAY</v>
      </c>
      <c r="L616" s="6" t="s">
        <v>13</v>
      </c>
      <c r="M616" s="6">
        <v>7.5</v>
      </c>
      <c r="N616" s="9">
        <f>IF(TimeEntry[[#This Row],[Date]]=0,"",WEEKDAY(C616,2))</f>
        <v>2</v>
      </c>
      <c r="O616" s="10">
        <f>YEAR(TimeEntry[[#This Row],[WkEnd]])</f>
        <v>2018</v>
      </c>
      <c r="P616" s="10">
        <f>WEEKNUM(TimeEntry[[#This Row],[WkEnd]])</f>
        <v>53</v>
      </c>
      <c r="Q616" s="10" t="str">
        <f>TimeEntry[[#This Row],[Year]]&amp;"-"&amp;TimeEntry[[#This Row],[WkNo]]</f>
        <v>2018-53</v>
      </c>
    </row>
    <row r="617" spans="1:17" ht="30" x14ac:dyDescent="0.25">
      <c r="A617" s="9" t="e">
        <f>MOD(IF(ROW()=11,0.1,IF(INDEX(TimeEntry[WkEnd],ROW()-10)            =            INDEX(TimeEntry[WkEnd],ROW()-11),               INDEX(TimeEntry[format],ROW()-11),               INDEX(TimeEntry[format],ROW()-11)    +1)),2)</f>
        <v>#VALUE!</v>
      </c>
      <c r="B617" s="14"/>
      <c r="C617" s="7">
        <v>43460</v>
      </c>
      <c r="D617" s="7"/>
      <c r="E617" s="7"/>
      <c r="F617" s="6" t="s">
        <v>12</v>
      </c>
      <c r="G617" s="6"/>
      <c r="H617" s="7">
        <f>IF(TimeEntry[[#This Row],[Date]]=0,H616,C617+(7-N617))</f>
        <v>43464</v>
      </c>
      <c r="I617" s="7">
        <f>TimeEntry[[#This Row],[Date]]</f>
        <v>43460</v>
      </c>
      <c r="J617" s="10" t="str">
        <f>IF(TimeEntry[[#This Row],[Date]]=0,"",TEXT(TimeEntry[[#This Row],[Date]],"ddd"))</f>
        <v>Wed</v>
      </c>
      <c r="K617" s="9" t="str">
        <f>IF(TimeEntry[[#This Row],[Project]]=0,"",INDEX(ProjectsAll[job number],MATCH(TimeEntry[[#This Row],[Project]],ProjectsAll[Project],0)))</f>
        <v>BANK HOLIDAY</v>
      </c>
      <c r="L617" s="6" t="s">
        <v>13</v>
      </c>
      <c r="M617" s="6">
        <v>7.5</v>
      </c>
      <c r="N617" s="9">
        <f>IF(TimeEntry[[#This Row],[Date]]=0,"",WEEKDAY(C617,2))</f>
        <v>3</v>
      </c>
      <c r="O617" s="10">
        <f>YEAR(TimeEntry[[#This Row],[WkEnd]])</f>
        <v>2018</v>
      </c>
      <c r="P617" s="10">
        <f>WEEKNUM(TimeEntry[[#This Row],[WkEnd]])</f>
        <v>53</v>
      </c>
      <c r="Q617" s="10" t="str">
        <f>TimeEntry[[#This Row],[Year]]&amp;"-"&amp;TimeEntry[[#This Row],[WkNo]]</f>
        <v>2018-53</v>
      </c>
    </row>
    <row r="618" spans="1:17" x14ac:dyDescent="0.25">
      <c r="A618" s="9" t="e">
        <f>MOD(IF(ROW()=11,0.1,IF(INDEX(TimeEntry[WkEnd],ROW()-10)            =            INDEX(TimeEntry[WkEnd],ROW()-11),               INDEX(TimeEntry[format],ROW()-11),               INDEX(TimeEntry[format],ROW()-11)    +1)),2)</f>
        <v>#VALUE!</v>
      </c>
      <c r="B618" s="14"/>
      <c r="C618" s="7">
        <v>43461</v>
      </c>
      <c r="D618" s="7"/>
      <c r="E618" s="7"/>
      <c r="F618" s="6" t="s">
        <v>68</v>
      </c>
      <c r="G618" s="6"/>
      <c r="H618" s="7">
        <f>IF(TimeEntry[[#This Row],[Date]]=0,H617,C618+(7-N618))</f>
        <v>43464</v>
      </c>
      <c r="I618" s="7">
        <f>TimeEntry[[#This Row],[Date]]</f>
        <v>43461</v>
      </c>
      <c r="J618" s="10" t="str">
        <f>IF(TimeEntry[[#This Row],[Date]]=0,"",TEXT(TimeEntry[[#This Row],[Date]],"ddd"))</f>
        <v>Thu</v>
      </c>
      <c r="K618" s="9" t="str">
        <f>IF(TimeEntry[[#This Row],[Project]]=0,"",INDEX(ProjectsAll[job number],MATCH(TimeEntry[[#This Row],[Project]],ProjectsAll[Project],0)))</f>
        <v>LEAVE</v>
      </c>
      <c r="L618" s="6" t="s">
        <v>69</v>
      </c>
      <c r="M618" s="6">
        <v>7.5</v>
      </c>
      <c r="N618" s="9">
        <f>IF(TimeEntry[[#This Row],[Date]]=0,"",WEEKDAY(C618,2))</f>
        <v>4</v>
      </c>
      <c r="O618" s="10">
        <f>YEAR(TimeEntry[[#This Row],[WkEnd]])</f>
        <v>2018</v>
      </c>
      <c r="P618" s="10">
        <f>WEEKNUM(TimeEntry[[#This Row],[WkEnd]])</f>
        <v>53</v>
      </c>
      <c r="Q618" s="10" t="str">
        <f>TimeEntry[[#This Row],[Year]]&amp;"-"&amp;TimeEntry[[#This Row],[WkNo]]</f>
        <v>2018-53</v>
      </c>
    </row>
    <row r="619" spans="1:17" x14ac:dyDescent="0.25">
      <c r="A619" s="9" t="e">
        <f>MOD(IF(ROW()=11,0.1,IF(INDEX(TimeEntry[WkEnd],ROW()-10)            =            INDEX(TimeEntry[WkEnd],ROW()-11),               INDEX(TimeEntry[format],ROW()-11),               INDEX(TimeEntry[format],ROW()-11)    +1)),2)</f>
        <v>#VALUE!</v>
      </c>
      <c r="B619" s="14"/>
      <c r="C619" s="7">
        <v>43462</v>
      </c>
      <c r="D619" s="7"/>
      <c r="E619" s="7"/>
      <c r="F619" s="6" t="s">
        <v>68</v>
      </c>
      <c r="G619" s="6"/>
      <c r="H619" s="7">
        <f>IF(TimeEntry[[#This Row],[Date]]=0,H618,C619+(7-N619))</f>
        <v>43464</v>
      </c>
      <c r="I619" s="7">
        <f>TimeEntry[[#This Row],[Date]]</f>
        <v>43462</v>
      </c>
      <c r="J619" s="10" t="str">
        <f>IF(TimeEntry[[#This Row],[Date]]=0,"",TEXT(TimeEntry[[#This Row],[Date]],"ddd"))</f>
        <v>Fri</v>
      </c>
      <c r="K619" s="9" t="str">
        <f>IF(TimeEntry[[#This Row],[Project]]=0,"",INDEX(ProjectsAll[job number],MATCH(TimeEntry[[#This Row],[Project]],ProjectsAll[Project],0)))</f>
        <v>LEAVE</v>
      </c>
      <c r="L619" s="6" t="s">
        <v>69</v>
      </c>
      <c r="M619" s="6">
        <v>7.5</v>
      </c>
      <c r="N619" s="9">
        <f>IF(TimeEntry[[#This Row],[Date]]=0,"",WEEKDAY(C619,2))</f>
        <v>5</v>
      </c>
      <c r="O619" s="10">
        <f>YEAR(TimeEntry[[#This Row],[WkEnd]])</f>
        <v>2018</v>
      </c>
      <c r="P619" s="10">
        <f>WEEKNUM(TimeEntry[[#This Row],[WkEnd]])</f>
        <v>53</v>
      </c>
      <c r="Q619" s="10" t="str">
        <f>TimeEntry[[#This Row],[Year]]&amp;"-"&amp;TimeEntry[[#This Row],[WkNo]]</f>
        <v>2018-53</v>
      </c>
    </row>
    <row r="620" spans="1:17" x14ac:dyDescent="0.25">
      <c r="A620" s="9" t="e">
        <f>MOD(IF(ROW()=11,0.1,IF(INDEX(TimeEntry[WkEnd],ROW()-10)            =            INDEX(TimeEntry[WkEnd],ROW()-11),               INDEX(TimeEntry[format],ROW()-11),               INDEX(TimeEntry[format],ROW()-11)    +1)),2)</f>
        <v>#VALUE!</v>
      </c>
      <c r="B620" s="14"/>
      <c r="C620" s="7">
        <v>43451</v>
      </c>
      <c r="D620" s="7"/>
      <c r="E620" s="7"/>
      <c r="F620" s="6" t="s">
        <v>310</v>
      </c>
      <c r="G620" s="6"/>
      <c r="H620" s="7">
        <f>IF(TimeEntry[[#This Row],[Date]]=0,H619,C620+(7-N620))</f>
        <v>43457</v>
      </c>
      <c r="I620" s="7">
        <f>TimeEntry[[#This Row],[Date]]</f>
        <v>43451</v>
      </c>
      <c r="J620" s="10" t="str">
        <f>IF(TimeEntry[[#This Row],[Date]]=0,"",TEXT(TimeEntry[[#This Row],[Date]],"ddd"))</f>
        <v>Mon</v>
      </c>
      <c r="K620" s="9" t="e">
        <f>IF(TimeEntry[[#This Row],[Project]]=0,"",INDEX(ProjectsAll[job number],MATCH(TimeEntry[[#This Row],[Project]],ProjectsAll[Project],0)))</f>
        <v>#N/A</v>
      </c>
      <c r="L620" s="6" t="s">
        <v>59</v>
      </c>
      <c r="M620" s="6">
        <v>3.75</v>
      </c>
      <c r="N620" s="6">
        <f>IF(TimeEntry[[#This Row],[Date]]=0,"",WEEKDAY(C620,2))</f>
        <v>1</v>
      </c>
      <c r="O620" s="10">
        <f>YEAR(TimeEntry[[#This Row],[WkEnd]])</f>
        <v>2018</v>
      </c>
      <c r="P620" s="10">
        <f>WEEKNUM(TimeEntry[[#This Row],[WkEnd]])</f>
        <v>52</v>
      </c>
      <c r="Q620" s="10" t="str">
        <f>TimeEntry[[#This Row],[Year]]&amp;"-"&amp;TimeEntry[[#This Row],[WkNo]]</f>
        <v>2018-52</v>
      </c>
    </row>
    <row r="621" spans="1:17" ht="30" x14ac:dyDescent="0.25">
      <c r="A621" s="9" t="e">
        <f>MOD(IF(ROW()=11,0.1,IF(INDEX(TimeEntry[WkEnd],ROW()-10)            =            INDEX(TimeEntry[WkEnd],ROW()-11),               INDEX(TimeEntry[format],ROW()-11),               INDEX(TimeEntry[format],ROW()-11)    +1)),2)</f>
        <v>#VALUE!</v>
      </c>
      <c r="B621" s="14"/>
      <c r="C621" s="7">
        <v>43451</v>
      </c>
      <c r="D621" s="7"/>
      <c r="E621" s="7"/>
      <c r="F621" s="6" t="s">
        <v>92</v>
      </c>
      <c r="G621" s="6"/>
      <c r="H621" s="7">
        <f>IF(TimeEntry[[#This Row],[Date]]=0,H620,C621+(7-N621))</f>
        <v>43457</v>
      </c>
      <c r="I621" s="7">
        <f>TimeEntry[[#This Row],[Date]]</f>
        <v>43451</v>
      </c>
      <c r="J621" s="10" t="str">
        <f>IF(TimeEntry[[#This Row],[Date]]=0,"",TEXT(TimeEntry[[#This Row],[Date]],"ddd"))</f>
        <v>Mon</v>
      </c>
      <c r="K621" s="9" t="str">
        <f>IF(TimeEntry[[#This Row],[Project]]=0,"",INDEX(ProjectsAll[job number],MATCH(TimeEntry[[#This Row],[Project]],ProjectsAll[Project],0)))</f>
        <v>259933-00</v>
      </c>
      <c r="L621" s="6" t="s">
        <v>363</v>
      </c>
      <c r="M621" s="6">
        <v>3.75</v>
      </c>
      <c r="N621" s="9">
        <f>IF(TimeEntry[[#This Row],[Date]]=0,"",WEEKDAY(C621,2))</f>
        <v>1</v>
      </c>
      <c r="O621" s="10">
        <f>YEAR(TimeEntry[[#This Row],[WkEnd]])</f>
        <v>2018</v>
      </c>
      <c r="P621" s="10">
        <f>WEEKNUM(TimeEntry[[#This Row],[WkEnd]])</f>
        <v>52</v>
      </c>
      <c r="Q621" s="10" t="str">
        <f>TimeEntry[[#This Row],[Year]]&amp;"-"&amp;TimeEntry[[#This Row],[WkNo]]</f>
        <v>2018-52</v>
      </c>
    </row>
    <row r="622" spans="1:17" x14ac:dyDescent="0.25">
      <c r="A622" s="9" t="e">
        <f>MOD(IF(ROW()=11,0.1,IF(INDEX(TimeEntry[WkEnd],ROW()-10)            =            INDEX(TimeEntry[WkEnd],ROW()-11),               INDEX(TimeEntry[format],ROW()-11),               INDEX(TimeEntry[format],ROW()-11)    +1)),2)</f>
        <v>#VALUE!</v>
      </c>
      <c r="B622" s="14"/>
      <c r="C622" s="7">
        <v>43452</v>
      </c>
      <c r="D622" s="7"/>
      <c r="E622" s="7"/>
      <c r="F622" s="6" t="s">
        <v>310</v>
      </c>
      <c r="G622" s="6"/>
      <c r="H622" s="7">
        <f>IF(TimeEntry[[#This Row],[Date]]=0,H621,C622+(7-N622))</f>
        <v>43457</v>
      </c>
      <c r="I622" s="7">
        <f>TimeEntry[[#This Row],[Date]]</f>
        <v>43452</v>
      </c>
      <c r="J622" s="10" t="str">
        <f>IF(TimeEntry[[#This Row],[Date]]=0,"",TEXT(TimeEntry[[#This Row],[Date]],"ddd"))</f>
        <v>Tue</v>
      </c>
      <c r="K622" s="9" t="e">
        <f>IF(TimeEntry[[#This Row],[Project]]=0,"",INDEX(ProjectsAll[job number],MATCH(TimeEntry[[#This Row],[Project]],ProjectsAll[Project],0)))</f>
        <v>#N/A</v>
      </c>
      <c r="L622" s="6" t="s">
        <v>59</v>
      </c>
      <c r="M622" s="6">
        <v>7.5</v>
      </c>
      <c r="N622" s="6">
        <f>IF(TimeEntry[[#This Row],[Date]]=0,"",WEEKDAY(C622,2))</f>
        <v>2</v>
      </c>
      <c r="O622" s="10">
        <f>YEAR(TimeEntry[[#This Row],[WkEnd]])</f>
        <v>2018</v>
      </c>
      <c r="P622" s="10">
        <f>WEEKNUM(TimeEntry[[#This Row],[WkEnd]])</f>
        <v>52</v>
      </c>
      <c r="Q622" s="10" t="str">
        <f>TimeEntry[[#This Row],[Year]]&amp;"-"&amp;TimeEntry[[#This Row],[WkNo]]</f>
        <v>2018-52</v>
      </c>
    </row>
    <row r="623" spans="1:17" ht="30" x14ac:dyDescent="0.25">
      <c r="A623" s="9" t="e">
        <f>MOD(IF(ROW()=11,0.1,IF(INDEX(TimeEntry[WkEnd],ROW()-10)            =            INDEX(TimeEntry[WkEnd],ROW()-11),               INDEX(TimeEntry[format],ROW()-11),               INDEX(TimeEntry[format],ROW()-11)    +1)),2)</f>
        <v>#VALUE!</v>
      </c>
      <c r="B623" s="14"/>
      <c r="C623" s="7">
        <v>43453</v>
      </c>
      <c r="D623" s="7"/>
      <c r="E623" s="7"/>
      <c r="F623" s="6" t="s">
        <v>80</v>
      </c>
      <c r="G623" s="6"/>
      <c r="H623" s="7">
        <f>IF(TimeEntry[[#This Row],[Date]]=0,H622,C623+(7-N623))</f>
        <v>43457</v>
      </c>
      <c r="I623" s="7">
        <f>TimeEntry[[#This Row],[Date]]</f>
        <v>43453</v>
      </c>
      <c r="J623" s="10" t="str">
        <f>IF(TimeEntry[[#This Row],[Date]]=0,"",TEXT(TimeEntry[[#This Row],[Date]],"ddd"))</f>
        <v>Wed</v>
      </c>
      <c r="K623" s="9" t="str">
        <f>IF(TimeEntry[[#This Row],[Project]]=0,"",INDEX(ProjectsAll[job number],MATCH(TimeEntry[[#This Row],[Project]],ProjectsAll[Project],0)))</f>
        <v>TRAINING</v>
      </c>
      <c r="L623" s="6" t="s">
        <v>364</v>
      </c>
      <c r="M623" s="6">
        <v>1</v>
      </c>
      <c r="N623" s="6">
        <f>IF(TimeEntry[[#This Row],[Date]]=0,"",WEEKDAY(C623,2))</f>
        <v>3</v>
      </c>
      <c r="O623" s="10">
        <f>YEAR(TimeEntry[[#This Row],[WkEnd]])</f>
        <v>2018</v>
      </c>
      <c r="P623" s="10">
        <f>WEEKNUM(TimeEntry[[#This Row],[WkEnd]])</f>
        <v>52</v>
      </c>
      <c r="Q623" s="10" t="str">
        <f>TimeEntry[[#This Row],[Year]]&amp;"-"&amp;TimeEntry[[#This Row],[WkNo]]</f>
        <v>2018-52</v>
      </c>
    </row>
    <row r="624" spans="1:17" ht="30" x14ac:dyDescent="0.25">
      <c r="A624" s="9" t="e">
        <f>MOD(IF(ROW()=11,0.1,IF(INDEX(TimeEntry[WkEnd],ROW()-10)            =            INDEX(TimeEntry[WkEnd],ROW()-11),               INDEX(TimeEntry[format],ROW()-11),               INDEX(TimeEntry[format],ROW()-11)    +1)),2)</f>
        <v>#VALUE!</v>
      </c>
      <c r="B624" s="14"/>
      <c r="C624" s="7">
        <v>43453</v>
      </c>
      <c r="D624" s="7"/>
      <c r="E624" s="7"/>
      <c r="F624" s="6" t="s">
        <v>45</v>
      </c>
      <c r="G624" s="6"/>
      <c r="H624" s="7">
        <f>IF(TimeEntry[[#This Row],[Date]]=0,H623,C624+(7-N624))</f>
        <v>43457</v>
      </c>
      <c r="I624" s="7">
        <f>TimeEntry[[#This Row],[Date]]</f>
        <v>43453</v>
      </c>
      <c r="J624" s="10" t="str">
        <f>IF(TimeEntry[[#This Row],[Date]]=0,"",TEXT(TimeEntry[[#This Row],[Date]],"ddd"))</f>
        <v>Wed</v>
      </c>
      <c r="K624" s="9" t="str">
        <f>IF(TimeEntry[[#This Row],[Project]]=0,"",INDEX(ProjectsAll[job number],MATCH(TimeEntry[[#This Row],[Project]],ProjectsAll[Project],0)))</f>
        <v>254304-79</v>
      </c>
      <c r="L624" s="6" t="s">
        <v>365</v>
      </c>
      <c r="M624" s="6">
        <v>2</v>
      </c>
      <c r="N624" s="9">
        <f>IF(TimeEntry[[#This Row],[Date]]=0,"",WEEKDAY(C624,2))</f>
        <v>3</v>
      </c>
      <c r="O624" s="10">
        <f>YEAR(TimeEntry[[#This Row],[WkEnd]])</f>
        <v>2018</v>
      </c>
      <c r="P624" s="10">
        <f>WEEKNUM(TimeEntry[[#This Row],[WkEnd]])</f>
        <v>52</v>
      </c>
      <c r="Q624" s="10" t="str">
        <f>TimeEntry[[#This Row],[Year]]&amp;"-"&amp;TimeEntry[[#This Row],[WkNo]]</f>
        <v>2018-52</v>
      </c>
    </row>
    <row r="625" spans="1:17" ht="30" x14ac:dyDescent="0.25">
      <c r="A625" s="9" t="e">
        <f>MOD(IF(ROW()=11,0.1,IF(INDEX(TimeEntry[WkEnd],ROW()-10)            =            INDEX(TimeEntry[WkEnd],ROW()-11),               INDEX(TimeEntry[format],ROW()-11),               INDEX(TimeEntry[format],ROW()-11)    +1)),2)</f>
        <v>#VALUE!</v>
      </c>
      <c r="B625" s="14"/>
      <c r="C625" s="7">
        <v>43453</v>
      </c>
      <c r="D625" s="7"/>
      <c r="E625" s="7"/>
      <c r="F625" s="6" t="s">
        <v>48</v>
      </c>
      <c r="G625" s="6"/>
      <c r="H625" s="7">
        <f>IF(TimeEntry[[#This Row],[Date]]=0,H624,C625+(7-N625))</f>
        <v>43457</v>
      </c>
      <c r="I625" s="7">
        <f>TimeEntry[[#This Row],[Date]]</f>
        <v>43453</v>
      </c>
      <c r="J625" s="10" t="str">
        <f>IF(TimeEntry[[#This Row],[Date]]=0,"",TEXT(TimeEntry[[#This Row],[Date]],"ddd"))</f>
        <v>Wed</v>
      </c>
      <c r="K625" s="9" t="str">
        <f>IF(TimeEntry[[#This Row],[Project]]=0,"",INDEX(ProjectsAll[job number],MATCH(TimeEntry[[#This Row],[Project]],ProjectsAll[Project],0)))</f>
        <v>254304-96</v>
      </c>
      <c r="L625" s="6" t="s">
        <v>366</v>
      </c>
      <c r="M625" s="6">
        <v>4.5</v>
      </c>
      <c r="N625" s="9">
        <f>IF(TimeEntry[[#This Row],[Date]]=0,"",WEEKDAY(C625,2))</f>
        <v>3</v>
      </c>
      <c r="O625" s="10">
        <f>YEAR(TimeEntry[[#This Row],[WkEnd]])</f>
        <v>2018</v>
      </c>
      <c r="P625" s="10">
        <f>WEEKNUM(TimeEntry[[#This Row],[WkEnd]])</f>
        <v>52</v>
      </c>
      <c r="Q625" s="10" t="str">
        <f>TimeEntry[[#This Row],[Year]]&amp;"-"&amp;TimeEntry[[#This Row],[WkNo]]</f>
        <v>2018-52</v>
      </c>
    </row>
    <row r="626" spans="1:17" ht="30" x14ac:dyDescent="0.25">
      <c r="A626" s="9" t="e">
        <f>MOD(IF(ROW()=11,0.1,IF(INDEX(TimeEntry[WkEnd],ROW()-10)            =            INDEX(TimeEntry[WkEnd],ROW()-11),               INDEX(TimeEntry[format],ROW()-11),               INDEX(TimeEntry[format],ROW()-11)    +1)),2)</f>
        <v>#VALUE!</v>
      </c>
      <c r="B626" s="14"/>
      <c r="C626" s="7">
        <v>43454</v>
      </c>
      <c r="D626" s="7"/>
      <c r="E626" s="7"/>
      <c r="F626" s="6" t="s">
        <v>23</v>
      </c>
      <c r="G626" s="6"/>
      <c r="H626" s="7">
        <f>IF(TimeEntry[[#This Row],[Date]]=0,H625,C626+(7-N626))</f>
        <v>43457</v>
      </c>
      <c r="I626" s="7">
        <f>TimeEntry[[#This Row],[Date]]</f>
        <v>43454</v>
      </c>
      <c r="J626" s="10" t="str">
        <f>IF(TimeEntry[[#This Row],[Date]]=0,"",TEXT(TimeEntry[[#This Row],[Date]],"ddd"))</f>
        <v>Thu</v>
      </c>
      <c r="K626" s="9" t="e">
        <f>IF(TimeEntry[[#This Row],[Project]]=0,"",INDEX(ProjectsAll[job number],MATCH(TimeEntry[[#This Row],[Project]],ProjectsAll[Project],0)))</f>
        <v>#N/A</v>
      </c>
      <c r="L626" s="6" t="s">
        <v>367</v>
      </c>
      <c r="M626" s="6">
        <v>7.5</v>
      </c>
      <c r="N626" s="6">
        <f>IF(TimeEntry[[#This Row],[Date]]=0,"",WEEKDAY(C626,2))</f>
        <v>4</v>
      </c>
      <c r="O626" s="10">
        <f>YEAR(TimeEntry[[#This Row],[WkEnd]])</f>
        <v>2018</v>
      </c>
      <c r="P626" s="10">
        <f>WEEKNUM(TimeEntry[[#This Row],[WkEnd]])</f>
        <v>52</v>
      </c>
      <c r="Q626" s="10" t="str">
        <f>TimeEntry[[#This Row],[Year]]&amp;"-"&amp;TimeEntry[[#This Row],[WkNo]]</f>
        <v>2018-52</v>
      </c>
    </row>
    <row r="627" spans="1:17" x14ac:dyDescent="0.25">
      <c r="A627" s="9" t="e">
        <f>MOD(IF(ROW()=11,0.1,IF(INDEX(TimeEntry[WkEnd],ROW()-10)            =            INDEX(TimeEntry[WkEnd],ROW()-11),               INDEX(TimeEntry[format],ROW()-11),               INDEX(TimeEntry[format],ROW()-11)    +1)),2)</f>
        <v>#VALUE!</v>
      </c>
      <c r="B627" s="14"/>
      <c r="C627" s="7">
        <v>43455</v>
      </c>
      <c r="D627" s="7"/>
      <c r="E627" s="7"/>
      <c r="F627" s="6" t="s">
        <v>23</v>
      </c>
      <c r="G627" s="6"/>
      <c r="H627" s="7">
        <f>IF(TimeEntry[[#This Row],[Date]]=0,H626,C627+(7-N627))</f>
        <v>43457</v>
      </c>
      <c r="I627" s="7">
        <f>TimeEntry[[#This Row],[Date]]</f>
        <v>43455</v>
      </c>
      <c r="J627" s="10" t="str">
        <f>IF(TimeEntry[[#This Row],[Date]]=0,"",TEXT(TimeEntry[[#This Row],[Date]],"ddd"))</f>
        <v>Fri</v>
      </c>
      <c r="K627" s="9" t="e">
        <f>IF(TimeEntry[[#This Row],[Project]]=0,"",INDEX(ProjectsAll[job number],MATCH(TimeEntry[[#This Row],[Project]],ProjectsAll[Project],0)))</f>
        <v>#N/A</v>
      </c>
      <c r="L627" s="6" t="s">
        <v>368</v>
      </c>
      <c r="M627" s="6">
        <v>3.75</v>
      </c>
      <c r="N627" s="9">
        <f>IF(TimeEntry[[#This Row],[Date]]=0,"",WEEKDAY(C627,2))</f>
        <v>5</v>
      </c>
      <c r="O627" s="10">
        <f>YEAR(TimeEntry[[#This Row],[WkEnd]])</f>
        <v>2018</v>
      </c>
      <c r="P627" s="10">
        <f>WEEKNUM(TimeEntry[[#This Row],[WkEnd]])</f>
        <v>52</v>
      </c>
      <c r="Q627" s="10" t="str">
        <f>TimeEntry[[#This Row],[Year]]&amp;"-"&amp;TimeEntry[[#This Row],[WkNo]]</f>
        <v>2018-52</v>
      </c>
    </row>
    <row r="628" spans="1:17" ht="30" x14ac:dyDescent="0.25">
      <c r="A628" s="9" t="e">
        <f>MOD(IF(ROW()=11,0.1,IF(INDEX(TimeEntry[WkEnd],ROW()-10)            =            INDEX(TimeEntry[WkEnd],ROW()-11),               INDEX(TimeEntry[format],ROW()-11),               INDEX(TimeEntry[format],ROW()-11)    +1)),2)</f>
        <v>#VALUE!</v>
      </c>
      <c r="B628" s="14"/>
      <c r="C628" s="7">
        <v>43455</v>
      </c>
      <c r="D628" s="7"/>
      <c r="E628" s="7"/>
      <c r="F628" s="6" t="s">
        <v>92</v>
      </c>
      <c r="G628" s="6"/>
      <c r="H628" s="7">
        <f>IF(TimeEntry[[#This Row],[Date]]=0,H627,C628+(7-N628))</f>
        <v>43457</v>
      </c>
      <c r="I628" s="7">
        <f>TimeEntry[[#This Row],[Date]]</f>
        <v>43455</v>
      </c>
      <c r="J628" s="10" t="str">
        <f>IF(TimeEntry[[#This Row],[Date]]=0,"",TEXT(TimeEntry[[#This Row],[Date]],"ddd"))</f>
        <v>Fri</v>
      </c>
      <c r="K628" s="9" t="str">
        <f>IF(TimeEntry[[#This Row],[Project]]=0,"",INDEX(ProjectsAll[job number],MATCH(TimeEntry[[#This Row],[Project]],ProjectsAll[Project],0)))</f>
        <v>259933-00</v>
      </c>
      <c r="L628" s="6" t="s">
        <v>369</v>
      </c>
      <c r="M628" s="6">
        <v>3.75</v>
      </c>
      <c r="N628" s="6">
        <f>IF(TimeEntry[[#This Row],[Date]]=0,"",WEEKDAY(C628,2))</f>
        <v>5</v>
      </c>
      <c r="O628" s="10">
        <f>YEAR(TimeEntry[[#This Row],[WkEnd]])</f>
        <v>2018</v>
      </c>
      <c r="P628" s="10">
        <f>WEEKNUM(TimeEntry[[#This Row],[WkEnd]])</f>
        <v>52</v>
      </c>
      <c r="Q628" s="10" t="str">
        <f>TimeEntry[[#This Row],[Year]]&amp;"-"&amp;TimeEntry[[#This Row],[WkNo]]</f>
        <v>2018-52</v>
      </c>
    </row>
    <row r="629" spans="1:17" ht="30" x14ac:dyDescent="0.25">
      <c r="A629" s="9" t="e">
        <f>MOD(IF(ROW()=11,0.1,IF(INDEX(TimeEntry[WkEnd],ROW()-10)            =            INDEX(TimeEntry[WkEnd],ROW()-11),               INDEX(TimeEntry[format],ROW()-11),               INDEX(TimeEntry[format],ROW()-11)    +1)),2)</f>
        <v>#VALUE!</v>
      </c>
      <c r="B629" s="14"/>
      <c r="C629" s="7">
        <v>43444</v>
      </c>
      <c r="D629" s="7"/>
      <c r="E629" s="7"/>
      <c r="F629" s="6" t="s">
        <v>78</v>
      </c>
      <c r="G629" s="6"/>
      <c r="H629" s="7">
        <f>IF(TimeEntry[[#This Row],[Date]]=0,H628,C629+(7-N629))</f>
        <v>43450</v>
      </c>
      <c r="I629" s="7">
        <f>TimeEntry[[#This Row],[Date]]</f>
        <v>43444</v>
      </c>
      <c r="J629" s="10" t="str">
        <f>IF(TimeEntry[[#This Row],[Date]]=0,"",TEXT(TimeEntry[[#This Row],[Date]],"ddd"))</f>
        <v>Mon</v>
      </c>
      <c r="K629" s="9" t="str">
        <f>IF(TimeEntry[[#This Row],[Project]]=0,"",INDEX(ProjectsAll[job number],MATCH(TimeEntry[[#This Row],[Project]],ProjectsAll[Project],0)))</f>
        <v>601701-23</v>
      </c>
      <c r="L629" s="6" t="s">
        <v>370</v>
      </c>
      <c r="M629" s="6">
        <v>7.5</v>
      </c>
      <c r="N629" s="6">
        <f>IF(TimeEntry[[#This Row],[Date]]=0,"",WEEKDAY(C629,2))</f>
        <v>1</v>
      </c>
      <c r="O629" s="10">
        <f>YEAR(TimeEntry[[#This Row],[WkEnd]])</f>
        <v>2018</v>
      </c>
      <c r="P629" s="10">
        <f>WEEKNUM(TimeEntry[[#This Row],[WkEnd]])</f>
        <v>51</v>
      </c>
      <c r="Q629" s="10" t="str">
        <f>TimeEntry[[#This Row],[Year]]&amp;"-"&amp;TimeEntry[[#This Row],[WkNo]]</f>
        <v>2018-51</v>
      </c>
    </row>
    <row r="630" spans="1:17" x14ac:dyDescent="0.25">
      <c r="A630" s="9" t="e">
        <f>MOD(IF(ROW()=11,0.1,IF(INDEX(TimeEntry[WkEnd],ROW()-10)            =            INDEX(TimeEntry[WkEnd],ROW()-11),               INDEX(TimeEntry[format],ROW()-11),               INDEX(TimeEntry[format],ROW()-11)    +1)),2)</f>
        <v>#VALUE!</v>
      </c>
      <c r="B630" s="14"/>
      <c r="C630" s="7">
        <v>43445</v>
      </c>
      <c r="D630" s="7"/>
      <c r="E630" s="7"/>
      <c r="F630" s="6" t="s">
        <v>310</v>
      </c>
      <c r="G630" s="6"/>
      <c r="H630" s="7">
        <f>IF(TimeEntry[[#This Row],[Date]]=0,H629,C630+(7-N630))</f>
        <v>43450</v>
      </c>
      <c r="I630" s="7">
        <f>TimeEntry[[#This Row],[Date]]</f>
        <v>43445</v>
      </c>
      <c r="J630" s="10" t="str">
        <f>IF(TimeEntry[[#This Row],[Date]]=0,"",TEXT(TimeEntry[[#This Row],[Date]],"ddd"))</f>
        <v>Tue</v>
      </c>
      <c r="K630" s="9" t="e">
        <f>IF(TimeEntry[[#This Row],[Project]]=0,"",INDEX(ProjectsAll[job number],MATCH(TimeEntry[[#This Row],[Project]],ProjectsAll[Project],0)))</f>
        <v>#N/A</v>
      </c>
      <c r="L630" s="6" t="s">
        <v>59</v>
      </c>
      <c r="M630" s="6">
        <v>7.5</v>
      </c>
      <c r="N630" s="6">
        <f>IF(TimeEntry[[#This Row],[Date]]=0,"",WEEKDAY(C630,2))</f>
        <v>2</v>
      </c>
      <c r="O630" s="10">
        <f>YEAR(TimeEntry[[#This Row],[WkEnd]])</f>
        <v>2018</v>
      </c>
      <c r="P630" s="10">
        <f>WEEKNUM(TimeEntry[[#This Row],[WkEnd]])</f>
        <v>51</v>
      </c>
      <c r="Q630" s="10" t="str">
        <f>TimeEntry[[#This Row],[Year]]&amp;"-"&amp;TimeEntry[[#This Row],[WkNo]]</f>
        <v>2018-51</v>
      </c>
    </row>
    <row r="631" spans="1:17" x14ac:dyDescent="0.25">
      <c r="A631" s="9" t="e">
        <f>MOD(IF(ROW()=11,0.1,IF(INDEX(TimeEntry[WkEnd],ROW()-10)            =            INDEX(TimeEntry[WkEnd],ROW()-11),               INDEX(TimeEntry[format],ROW()-11),               INDEX(TimeEntry[format],ROW()-11)    +1)),2)</f>
        <v>#VALUE!</v>
      </c>
      <c r="B631" s="14"/>
      <c r="C631" s="7">
        <v>43446</v>
      </c>
      <c r="D631" s="7"/>
      <c r="E631" s="7"/>
      <c r="F631" s="6" t="s">
        <v>310</v>
      </c>
      <c r="G631" s="6"/>
      <c r="H631" s="7">
        <f>IF(TimeEntry[[#This Row],[Date]]=0,H630,C631+(7-N631))</f>
        <v>43450</v>
      </c>
      <c r="I631" s="7">
        <f>TimeEntry[[#This Row],[Date]]</f>
        <v>43446</v>
      </c>
      <c r="J631" s="10" t="str">
        <f>IF(TimeEntry[[#This Row],[Date]]=0,"",TEXT(TimeEntry[[#This Row],[Date]],"ddd"))</f>
        <v>Wed</v>
      </c>
      <c r="K631" s="9" t="e">
        <f>IF(TimeEntry[[#This Row],[Project]]=0,"",INDEX(ProjectsAll[job number],MATCH(TimeEntry[[#This Row],[Project]],ProjectsAll[Project],0)))</f>
        <v>#N/A</v>
      </c>
      <c r="L631" s="6" t="s">
        <v>59</v>
      </c>
      <c r="M631" s="6">
        <v>7.5</v>
      </c>
      <c r="N631" s="6">
        <f>IF(TimeEntry[[#This Row],[Date]]=0,"",WEEKDAY(C631,2))</f>
        <v>3</v>
      </c>
      <c r="O631" s="10">
        <f>YEAR(TimeEntry[[#This Row],[WkEnd]])</f>
        <v>2018</v>
      </c>
      <c r="P631" s="10">
        <f>WEEKNUM(TimeEntry[[#This Row],[WkEnd]])</f>
        <v>51</v>
      </c>
      <c r="Q631" s="10" t="str">
        <f>TimeEntry[[#This Row],[Year]]&amp;"-"&amp;TimeEntry[[#This Row],[WkNo]]</f>
        <v>2018-51</v>
      </c>
    </row>
    <row r="632" spans="1:17" ht="30" x14ac:dyDescent="0.25">
      <c r="A632" s="9" t="e">
        <f>MOD(IF(ROW()=11,0.1,IF(INDEX(TimeEntry[WkEnd],ROW()-10)            =            INDEX(TimeEntry[WkEnd],ROW()-11),               INDEX(TimeEntry[format],ROW()-11),               INDEX(TimeEntry[format],ROW()-11)    +1)),2)</f>
        <v>#VALUE!</v>
      </c>
      <c r="B632" s="14"/>
      <c r="C632" s="7">
        <v>43447</v>
      </c>
      <c r="D632" s="7"/>
      <c r="E632" s="7"/>
      <c r="F632" s="6" t="s">
        <v>78</v>
      </c>
      <c r="G632" s="6"/>
      <c r="H632" s="7">
        <f>IF(TimeEntry[[#This Row],[Date]]=0,H631,C632+(7-N632))</f>
        <v>43450</v>
      </c>
      <c r="I632" s="7">
        <f>TimeEntry[[#This Row],[Date]]</f>
        <v>43447</v>
      </c>
      <c r="J632" s="10" t="str">
        <f>IF(TimeEntry[[#This Row],[Date]]=0,"",TEXT(TimeEntry[[#This Row],[Date]],"ddd"))</f>
        <v>Thu</v>
      </c>
      <c r="K632" s="9" t="str">
        <f>IF(TimeEntry[[#This Row],[Project]]=0,"",INDEX(ProjectsAll[job number],MATCH(TimeEntry[[#This Row],[Project]],ProjectsAll[Project],0)))</f>
        <v>601701-23</v>
      </c>
      <c r="L632" s="6" t="s">
        <v>371</v>
      </c>
      <c r="M632" s="6">
        <v>7.5</v>
      </c>
      <c r="N632" s="6">
        <f>IF(TimeEntry[[#This Row],[Date]]=0,"",WEEKDAY(C632,2))</f>
        <v>4</v>
      </c>
      <c r="O632" s="10">
        <f>YEAR(TimeEntry[[#This Row],[WkEnd]])</f>
        <v>2018</v>
      </c>
      <c r="P632" s="10">
        <f>WEEKNUM(TimeEntry[[#This Row],[WkEnd]])</f>
        <v>51</v>
      </c>
      <c r="Q632" s="10" t="str">
        <f>TimeEntry[[#This Row],[Year]]&amp;"-"&amp;TimeEntry[[#This Row],[WkNo]]</f>
        <v>2018-51</v>
      </c>
    </row>
    <row r="633" spans="1:17" ht="30" x14ac:dyDescent="0.25">
      <c r="A633" s="9" t="e">
        <f>MOD(IF(ROW()=11,0.1,IF(INDEX(TimeEntry[WkEnd],ROW()-10)            =            INDEX(TimeEntry[WkEnd],ROW()-11),               INDEX(TimeEntry[format],ROW()-11),               INDEX(TimeEntry[format],ROW()-11)    +1)),2)</f>
        <v>#VALUE!</v>
      </c>
      <c r="B633" s="14"/>
      <c r="C633" s="7">
        <v>43448</v>
      </c>
      <c r="D633" s="7"/>
      <c r="E633" s="7"/>
      <c r="F633" s="6" t="s">
        <v>92</v>
      </c>
      <c r="G633" s="6"/>
      <c r="H633" s="7">
        <f>IF(TimeEntry[[#This Row],[Date]]=0,H632,C633+(7-N633))</f>
        <v>43450</v>
      </c>
      <c r="I633" s="7">
        <f>TimeEntry[[#This Row],[Date]]</f>
        <v>43448</v>
      </c>
      <c r="J633" s="10" t="str">
        <f>IF(TimeEntry[[#This Row],[Date]]=0,"",TEXT(TimeEntry[[#This Row],[Date]],"ddd"))</f>
        <v>Fri</v>
      </c>
      <c r="K633" s="9" t="str">
        <f>IF(TimeEntry[[#This Row],[Project]]=0,"",INDEX(ProjectsAll[job number],MATCH(TimeEntry[[#This Row],[Project]],ProjectsAll[Project],0)))</f>
        <v>259933-00</v>
      </c>
      <c r="L633" s="6" t="s">
        <v>372</v>
      </c>
      <c r="M633" s="6">
        <v>4</v>
      </c>
      <c r="N633" s="6">
        <f>IF(TimeEntry[[#This Row],[Date]]=0,"",WEEKDAY(C633,2))</f>
        <v>5</v>
      </c>
      <c r="O633" s="10">
        <f>YEAR(TimeEntry[[#This Row],[WkEnd]])</f>
        <v>2018</v>
      </c>
      <c r="P633" s="10">
        <f>WEEKNUM(TimeEntry[[#This Row],[WkEnd]])</f>
        <v>51</v>
      </c>
      <c r="Q633" s="10" t="str">
        <f>TimeEntry[[#This Row],[Year]]&amp;"-"&amp;TimeEntry[[#This Row],[WkNo]]</f>
        <v>2018-51</v>
      </c>
    </row>
    <row r="634" spans="1:17" x14ac:dyDescent="0.25">
      <c r="A634" s="9" t="e">
        <f>MOD(IF(ROW()=11,0.1,IF(INDEX(TimeEntry[WkEnd],ROW()-10)            =            INDEX(TimeEntry[WkEnd],ROW()-11),               INDEX(TimeEntry[format],ROW()-11),               INDEX(TimeEntry[format],ROW()-11)    +1)),2)</f>
        <v>#VALUE!</v>
      </c>
      <c r="B634" s="14"/>
      <c r="C634" s="7">
        <v>43448</v>
      </c>
      <c r="D634" s="7"/>
      <c r="E634" s="7"/>
      <c r="F634" s="6" t="s">
        <v>36</v>
      </c>
      <c r="G634" s="6"/>
      <c r="H634" s="7">
        <f>IF(TimeEntry[[#This Row],[Date]]=0,H633,C634+(7-N634))</f>
        <v>43450</v>
      </c>
      <c r="I634" s="7">
        <f>TimeEntry[[#This Row],[Date]]</f>
        <v>43448</v>
      </c>
      <c r="J634" s="10" t="str">
        <f>IF(TimeEntry[[#This Row],[Date]]=0,"",TEXT(TimeEntry[[#This Row],[Date]],"ddd"))</f>
        <v>Fri</v>
      </c>
      <c r="K634" s="9" t="str">
        <f>IF(TimeEntry[[#This Row],[Project]]=0,"",INDEX(ProjectsAll[job number],MATCH(TimeEntry[[#This Row],[Project]],ProjectsAll[Project],0)))</f>
        <v>77616-41</v>
      </c>
      <c r="L634" s="6" t="s">
        <v>373</v>
      </c>
      <c r="M634" s="6">
        <v>2</v>
      </c>
      <c r="N634" s="6">
        <f>IF(TimeEntry[[#This Row],[Date]]=0,"",WEEKDAY(C634,2))</f>
        <v>5</v>
      </c>
      <c r="O634" s="10">
        <f>YEAR(TimeEntry[[#This Row],[WkEnd]])</f>
        <v>2018</v>
      </c>
      <c r="P634" s="10">
        <f>WEEKNUM(TimeEntry[[#This Row],[WkEnd]])</f>
        <v>51</v>
      </c>
      <c r="Q634" s="10" t="str">
        <f>TimeEntry[[#This Row],[Year]]&amp;"-"&amp;TimeEntry[[#This Row],[WkNo]]</f>
        <v>2018-51</v>
      </c>
    </row>
    <row r="635" spans="1:17" ht="30" x14ac:dyDescent="0.25">
      <c r="A635" s="9" t="e">
        <f>MOD(IF(ROW()=11,0.1,IF(INDEX(TimeEntry[WkEnd],ROW()-10)            =            INDEX(TimeEntry[WkEnd],ROW()-11),               INDEX(TimeEntry[format],ROW()-11),               INDEX(TimeEntry[format],ROW()-11)    +1)),2)</f>
        <v>#VALUE!</v>
      </c>
      <c r="B635" s="14"/>
      <c r="C635" s="7">
        <v>43448</v>
      </c>
      <c r="D635" s="7"/>
      <c r="E635" s="7"/>
      <c r="F635" s="6" t="s">
        <v>78</v>
      </c>
      <c r="G635" s="6"/>
      <c r="H635" s="7">
        <f>IF(TimeEntry[[#This Row],[Date]]=0,H634,C635+(7-N635))</f>
        <v>43450</v>
      </c>
      <c r="I635" s="7">
        <f>TimeEntry[[#This Row],[Date]]</f>
        <v>43448</v>
      </c>
      <c r="J635" s="10" t="str">
        <f>IF(TimeEntry[[#This Row],[Date]]=0,"",TEXT(TimeEntry[[#This Row],[Date]],"ddd"))</f>
        <v>Fri</v>
      </c>
      <c r="K635" s="9" t="str">
        <f>IF(TimeEntry[[#This Row],[Project]]=0,"",INDEX(ProjectsAll[job number],MATCH(TimeEntry[[#This Row],[Project]],ProjectsAll[Project],0)))</f>
        <v>601701-23</v>
      </c>
      <c r="L635" s="6" t="s">
        <v>374</v>
      </c>
      <c r="M635" s="6">
        <v>1.5</v>
      </c>
      <c r="N635" s="6">
        <f>IF(TimeEntry[[#This Row],[Date]]=0,"",WEEKDAY(C635,2))</f>
        <v>5</v>
      </c>
      <c r="O635" s="10">
        <f>YEAR(TimeEntry[[#This Row],[WkEnd]])</f>
        <v>2018</v>
      </c>
      <c r="P635" s="10">
        <f>WEEKNUM(TimeEntry[[#This Row],[WkEnd]])</f>
        <v>51</v>
      </c>
      <c r="Q635" s="10" t="str">
        <f>TimeEntry[[#This Row],[Year]]&amp;"-"&amp;TimeEntry[[#This Row],[WkNo]]</f>
        <v>2018-51</v>
      </c>
    </row>
    <row r="636" spans="1:17" ht="30" x14ac:dyDescent="0.25">
      <c r="A636" s="9" t="e">
        <f>MOD(IF(ROW()=11,0.1,IF(INDEX(TimeEntry[WkEnd],ROW()-10)            =            INDEX(TimeEntry[WkEnd],ROW()-11),               INDEX(TimeEntry[format],ROW()-11),               INDEX(TimeEntry[format],ROW()-11)    +1)),2)</f>
        <v>#VALUE!</v>
      </c>
      <c r="B636" s="14"/>
      <c r="C636" s="7">
        <v>43437</v>
      </c>
      <c r="D636" s="7"/>
      <c r="E636" s="7"/>
      <c r="F636" s="6" t="s">
        <v>10</v>
      </c>
      <c r="G636" s="6"/>
      <c r="H636" s="7">
        <f>IF(TimeEntry[[#This Row],[Date]]=0,H635,C636+(7-N636))</f>
        <v>43443</v>
      </c>
      <c r="I636" s="7">
        <f>TimeEntry[[#This Row],[Date]]</f>
        <v>43437</v>
      </c>
      <c r="J636" s="10" t="str">
        <f>IF(TimeEntry[[#This Row],[Date]]=0,"",TEXT(TimeEntry[[#This Row],[Date]],"ddd"))</f>
        <v>Mon</v>
      </c>
      <c r="K636" s="9" t="str">
        <f>IF(TimeEntry[[#This Row],[Project]]=0,"",INDEX(ProjectsAll[job number],MATCH(TimeEntry[[#This Row],[Project]],ProjectsAll[Project],0)))</f>
        <v>074097-29</v>
      </c>
      <c r="L636" s="6" t="s">
        <v>375</v>
      </c>
      <c r="M636" s="6">
        <v>2</v>
      </c>
      <c r="N636" s="6">
        <f>IF(TimeEntry[[#This Row],[Date]]=0,"",WEEKDAY(C636,2))</f>
        <v>1</v>
      </c>
      <c r="O636" s="10">
        <f>YEAR(TimeEntry[[#This Row],[WkEnd]])</f>
        <v>2018</v>
      </c>
      <c r="P636" s="10">
        <f>WEEKNUM(TimeEntry[[#This Row],[WkEnd]])</f>
        <v>50</v>
      </c>
      <c r="Q636" s="10" t="str">
        <f>TimeEntry[[#This Row],[Year]]&amp;"-"&amp;TimeEntry[[#This Row],[WkNo]]</f>
        <v>2018-50</v>
      </c>
    </row>
    <row r="637" spans="1:17" ht="30" x14ac:dyDescent="0.25">
      <c r="A637" s="9" t="e">
        <f>MOD(IF(ROW()=11,0.1,IF(INDEX(TimeEntry[WkEnd],ROW()-10)            =            INDEX(TimeEntry[WkEnd],ROW()-11),               INDEX(TimeEntry[format],ROW()-11),               INDEX(TimeEntry[format],ROW()-11)    +1)),2)</f>
        <v>#VALUE!</v>
      </c>
      <c r="B637" s="14"/>
      <c r="C637" s="7">
        <v>43437</v>
      </c>
      <c r="D637" s="7"/>
      <c r="E637" s="7"/>
      <c r="F637" s="6" t="s">
        <v>48</v>
      </c>
      <c r="G637" s="6"/>
      <c r="H637" s="7">
        <f>IF(TimeEntry[[#This Row],[Date]]=0,H636,C637+(7-N637))</f>
        <v>43443</v>
      </c>
      <c r="I637" s="7">
        <f>TimeEntry[[#This Row],[Date]]</f>
        <v>43437</v>
      </c>
      <c r="J637" s="10" t="str">
        <f>IF(TimeEntry[[#This Row],[Date]]=0,"",TEXT(TimeEntry[[#This Row],[Date]],"ddd"))</f>
        <v>Mon</v>
      </c>
      <c r="K637" s="9" t="str">
        <f>IF(TimeEntry[[#This Row],[Project]]=0,"",INDEX(ProjectsAll[job number],MATCH(TimeEntry[[#This Row],[Project]],ProjectsAll[Project],0)))</f>
        <v>254304-96</v>
      </c>
      <c r="L637" s="6" t="s">
        <v>376</v>
      </c>
      <c r="M637" s="6">
        <v>5.5</v>
      </c>
      <c r="N637" s="6">
        <f>IF(TimeEntry[[#This Row],[Date]]=0,"",WEEKDAY(C637,2))</f>
        <v>1</v>
      </c>
      <c r="O637" s="10">
        <f>YEAR(TimeEntry[[#This Row],[WkEnd]])</f>
        <v>2018</v>
      </c>
      <c r="P637" s="10">
        <f>WEEKNUM(TimeEntry[[#This Row],[WkEnd]])</f>
        <v>50</v>
      </c>
      <c r="Q637" s="10" t="str">
        <f>TimeEntry[[#This Row],[Year]]&amp;"-"&amp;TimeEntry[[#This Row],[WkNo]]</f>
        <v>2018-50</v>
      </c>
    </row>
    <row r="638" spans="1:17" ht="30" x14ac:dyDescent="0.25">
      <c r="A638" s="9" t="e">
        <f>MOD(IF(ROW()=11,0.1,IF(INDEX(TimeEntry[WkEnd],ROW()-10)            =            INDEX(TimeEntry[WkEnd],ROW()-11),               INDEX(TimeEntry[format],ROW()-11),               INDEX(TimeEntry[format],ROW()-11)    +1)),2)</f>
        <v>#VALUE!</v>
      </c>
      <c r="B638" s="14"/>
      <c r="C638" s="7">
        <v>43438</v>
      </c>
      <c r="D638" s="7"/>
      <c r="E638" s="7"/>
      <c r="F638" s="6" t="s">
        <v>76</v>
      </c>
      <c r="G638" s="6"/>
      <c r="H638" s="7">
        <f>IF(TimeEntry[[#This Row],[Date]]=0,H637,C638+(7-N638))</f>
        <v>43443</v>
      </c>
      <c r="I638" s="7">
        <f>TimeEntry[[#This Row],[Date]]</f>
        <v>43438</v>
      </c>
      <c r="J638" s="10" t="str">
        <f>IF(TimeEntry[[#This Row],[Date]]=0,"",TEXT(TimeEntry[[#This Row],[Date]],"ddd"))</f>
        <v>Tue</v>
      </c>
      <c r="K638" s="9" t="str">
        <f>IF(TimeEntry[[#This Row],[Project]]=0,"",INDEX(ProjectsAll[job number],MATCH(TimeEntry[[#This Row],[Project]],ProjectsAll[Project],0)))</f>
        <v>239230-40</v>
      </c>
      <c r="L638" s="6" t="s">
        <v>377</v>
      </c>
      <c r="M638" s="6">
        <v>7.5</v>
      </c>
      <c r="N638" s="6">
        <f>IF(TimeEntry[[#This Row],[Date]]=0,"",WEEKDAY(C638,2))</f>
        <v>2</v>
      </c>
      <c r="O638" s="10">
        <f>YEAR(TimeEntry[[#This Row],[WkEnd]])</f>
        <v>2018</v>
      </c>
      <c r="P638" s="10">
        <f>WEEKNUM(TimeEntry[[#This Row],[WkEnd]])</f>
        <v>50</v>
      </c>
      <c r="Q638" s="10" t="str">
        <f>TimeEntry[[#This Row],[Year]]&amp;"-"&amp;TimeEntry[[#This Row],[WkNo]]</f>
        <v>2018-50</v>
      </c>
    </row>
    <row r="639" spans="1:17" x14ac:dyDescent="0.25">
      <c r="A639" s="9" t="e">
        <f>MOD(IF(ROW()=11,0.1,IF(INDEX(TimeEntry[WkEnd],ROW()-10)            =            INDEX(TimeEntry[WkEnd],ROW()-11),               INDEX(TimeEntry[format],ROW()-11),               INDEX(TimeEntry[format],ROW()-11)    +1)),2)</f>
        <v>#VALUE!</v>
      </c>
      <c r="B639" s="14"/>
      <c r="C639" s="7">
        <v>43439</v>
      </c>
      <c r="D639" s="7"/>
      <c r="E639" s="7"/>
      <c r="F639" s="6" t="s">
        <v>310</v>
      </c>
      <c r="G639" s="6"/>
      <c r="H639" s="7">
        <f>IF(TimeEntry[[#This Row],[Date]]=0,H638,C639+(7-N639))</f>
        <v>43443</v>
      </c>
      <c r="I639" s="7">
        <f>TimeEntry[[#This Row],[Date]]</f>
        <v>43439</v>
      </c>
      <c r="J639" s="10" t="str">
        <f>IF(TimeEntry[[#This Row],[Date]]=0,"",TEXT(TimeEntry[[#This Row],[Date]],"ddd"))</f>
        <v>Wed</v>
      </c>
      <c r="K639" s="9" t="e">
        <f>IF(TimeEntry[[#This Row],[Project]]=0,"",INDEX(ProjectsAll[job number],MATCH(TimeEntry[[#This Row],[Project]],ProjectsAll[Project],0)))</f>
        <v>#N/A</v>
      </c>
      <c r="L639" s="6" t="s">
        <v>59</v>
      </c>
      <c r="M639" s="6">
        <v>7.5</v>
      </c>
      <c r="N639" s="6">
        <f>IF(TimeEntry[[#This Row],[Date]]=0,"",WEEKDAY(C639,2))</f>
        <v>3</v>
      </c>
      <c r="O639" s="10">
        <f>YEAR(TimeEntry[[#This Row],[WkEnd]])</f>
        <v>2018</v>
      </c>
      <c r="P639" s="10">
        <f>WEEKNUM(TimeEntry[[#This Row],[WkEnd]])</f>
        <v>50</v>
      </c>
      <c r="Q639" s="10" t="str">
        <f>TimeEntry[[#This Row],[Year]]&amp;"-"&amp;TimeEntry[[#This Row],[WkNo]]</f>
        <v>2018-50</v>
      </c>
    </row>
    <row r="640" spans="1:17" x14ac:dyDescent="0.25">
      <c r="A640" s="9" t="e">
        <f>MOD(IF(ROW()=11,0.1,IF(INDEX(TimeEntry[WkEnd],ROW()-10)            =            INDEX(TimeEntry[WkEnd],ROW()-11),               INDEX(TimeEntry[format],ROW()-11),               INDEX(TimeEntry[format],ROW()-11)    +1)),2)</f>
        <v>#VALUE!</v>
      </c>
      <c r="B640" s="14"/>
      <c r="C640" s="7">
        <v>43440</v>
      </c>
      <c r="D640" s="7"/>
      <c r="E640" s="7"/>
      <c r="F640" s="6" t="s">
        <v>310</v>
      </c>
      <c r="G640" s="6"/>
      <c r="H640" s="7">
        <f>IF(TimeEntry[[#This Row],[Date]]=0,H639,C640+(7-N640))</f>
        <v>43443</v>
      </c>
      <c r="I640" s="7">
        <f>TimeEntry[[#This Row],[Date]]</f>
        <v>43440</v>
      </c>
      <c r="J640" s="10" t="str">
        <f>IF(TimeEntry[[#This Row],[Date]]=0,"",TEXT(TimeEntry[[#This Row],[Date]],"ddd"))</f>
        <v>Thu</v>
      </c>
      <c r="K640" s="9" t="e">
        <f>IF(TimeEntry[[#This Row],[Project]]=0,"",INDEX(ProjectsAll[job number],MATCH(TimeEntry[[#This Row],[Project]],ProjectsAll[Project],0)))</f>
        <v>#N/A</v>
      </c>
      <c r="L640" s="6" t="s">
        <v>59</v>
      </c>
      <c r="M640" s="6">
        <v>7.5</v>
      </c>
      <c r="N640" s="6">
        <f>IF(TimeEntry[[#This Row],[Date]]=0,"",WEEKDAY(C640,2))</f>
        <v>4</v>
      </c>
      <c r="O640" s="10">
        <f>YEAR(TimeEntry[[#This Row],[WkEnd]])</f>
        <v>2018</v>
      </c>
      <c r="P640" s="10">
        <f>WEEKNUM(TimeEntry[[#This Row],[WkEnd]])</f>
        <v>50</v>
      </c>
      <c r="Q640" s="10" t="str">
        <f>TimeEntry[[#This Row],[Year]]&amp;"-"&amp;TimeEntry[[#This Row],[WkNo]]</f>
        <v>2018-50</v>
      </c>
    </row>
    <row r="641" spans="1:17" ht="30" x14ac:dyDescent="0.25">
      <c r="A641" s="9" t="e">
        <f>MOD(IF(ROW()=11,0.1,IF(INDEX(TimeEntry[WkEnd],ROW()-10)            =            INDEX(TimeEntry[WkEnd],ROW()-11),               INDEX(TimeEntry[format],ROW()-11),               INDEX(TimeEntry[format],ROW()-11)    +1)),2)</f>
        <v>#VALUE!</v>
      </c>
      <c r="B641" s="14"/>
      <c r="C641" s="7">
        <v>43441</v>
      </c>
      <c r="D641" s="7"/>
      <c r="E641" s="7"/>
      <c r="F641" s="6" t="s">
        <v>10</v>
      </c>
      <c r="G641" s="6"/>
      <c r="H641" s="7">
        <f>IF(TimeEntry[[#This Row],[Date]]=0,H640,C641+(7-N641))</f>
        <v>43443</v>
      </c>
      <c r="I641" s="7">
        <f>TimeEntry[[#This Row],[Date]]</f>
        <v>43441</v>
      </c>
      <c r="J641" s="10" t="str">
        <f>IF(TimeEntry[[#This Row],[Date]]=0,"",TEXT(TimeEntry[[#This Row],[Date]],"ddd"))</f>
        <v>Fri</v>
      </c>
      <c r="K641" s="9" t="str">
        <f>IF(TimeEntry[[#This Row],[Project]]=0,"",INDEX(ProjectsAll[job number],MATCH(TimeEntry[[#This Row],[Project]],ProjectsAll[Project],0)))</f>
        <v>074097-29</v>
      </c>
      <c r="L641" s="6" t="s">
        <v>378</v>
      </c>
      <c r="M641" s="6">
        <v>2</v>
      </c>
      <c r="N641" s="6">
        <f>IF(TimeEntry[[#This Row],[Date]]=0,"",WEEKDAY(C641,2))</f>
        <v>5</v>
      </c>
      <c r="O641" s="10">
        <f>YEAR(TimeEntry[[#This Row],[WkEnd]])</f>
        <v>2018</v>
      </c>
      <c r="P641" s="10">
        <f>WEEKNUM(TimeEntry[[#This Row],[WkEnd]])</f>
        <v>50</v>
      </c>
      <c r="Q641" s="10" t="str">
        <f>TimeEntry[[#This Row],[Year]]&amp;"-"&amp;TimeEntry[[#This Row],[WkNo]]</f>
        <v>2018-50</v>
      </c>
    </row>
    <row r="642" spans="1:17" ht="30" x14ac:dyDescent="0.25">
      <c r="A642" s="9" t="e">
        <f>MOD(IF(ROW()=11,0.1,IF(INDEX(TimeEntry[WkEnd],ROW()-10)            =            INDEX(TimeEntry[WkEnd],ROW()-11),               INDEX(TimeEntry[format],ROW()-11),               INDEX(TimeEntry[format],ROW()-11)    +1)),2)</f>
        <v>#VALUE!</v>
      </c>
      <c r="B642" s="14"/>
      <c r="C642" s="7">
        <v>43441</v>
      </c>
      <c r="D642" s="7"/>
      <c r="E642" s="7"/>
      <c r="F642" s="6" t="s">
        <v>14</v>
      </c>
      <c r="G642" s="6"/>
      <c r="H642" s="7">
        <f>IF(TimeEntry[[#This Row],[Date]]=0,H641,C642+(7-N642))</f>
        <v>43443</v>
      </c>
      <c r="I642" s="7">
        <f>TimeEntry[[#This Row],[Date]]</f>
        <v>43441</v>
      </c>
      <c r="J642" s="10" t="str">
        <f>IF(TimeEntry[[#This Row],[Date]]=0,"",TEXT(TimeEntry[[#This Row],[Date]],"ddd"))</f>
        <v>Fri</v>
      </c>
      <c r="K642" s="9" t="str">
        <f>IF(TimeEntry[[#This Row],[Project]]=0,"",INDEX(ProjectsAll[job number],MATCH(TimeEntry[[#This Row],[Project]],ProjectsAll[Project],0)))</f>
        <v>071945-07</v>
      </c>
      <c r="L642" s="6" t="s">
        <v>379</v>
      </c>
      <c r="M642" s="6">
        <v>2</v>
      </c>
      <c r="N642" s="6">
        <f>IF(TimeEntry[[#This Row],[Date]]=0,"",WEEKDAY(C642,2))</f>
        <v>5</v>
      </c>
      <c r="O642" s="10">
        <f>YEAR(TimeEntry[[#This Row],[WkEnd]])</f>
        <v>2018</v>
      </c>
      <c r="P642" s="10">
        <f>WEEKNUM(TimeEntry[[#This Row],[WkEnd]])</f>
        <v>50</v>
      </c>
      <c r="Q642" s="10" t="str">
        <f>TimeEntry[[#This Row],[Year]]&amp;"-"&amp;TimeEntry[[#This Row],[WkNo]]</f>
        <v>2018-50</v>
      </c>
    </row>
    <row r="643" spans="1:17" ht="30" x14ac:dyDescent="0.25">
      <c r="A643" s="9" t="e">
        <f>MOD(IF(ROW()=11,0.1,IF(INDEX(TimeEntry[WkEnd],ROW()-10)            =            INDEX(TimeEntry[WkEnd],ROW()-11),               INDEX(TimeEntry[format],ROW()-11),               INDEX(TimeEntry[format],ROW()-11)    +1)),2)</f>
        <v>#VALUE!</v>
      </c>
      <c r="B643" s="14"/>
      <c r="C643" s="7">
        <v>43441</v>
      </c>
      <c r="D643" s="7"/>
      <c r="E643" s="7"/>
      <c r="F643" s="6" t="s">
        <v>30</v>
      </c>
      <c r="G643" s="6"/>
      <c r="H643" s="7">
        <f>IF(TimeEntry[[#This Row],[Date]]=0,H642,C643+(7-N643))</f>
        <v>43443</v>
      </c>
      <c r="I643" s="7">
        <f>TimeEntry[[#This Row],[Date]]</f>
        <v>43441</v>
      </c>
      <c r="J643" s="10" t="str">
        <f>IF(TimeEntry[[#This Row],[Date]]=0,"",TEXT(TimeEntry[[#This Row],[Date]],"ddd"))</f>
        <v>Fri</v>
      </c>
      <c r="K643" s="9" t="str">
        <f>IF(TimeEntry[[#This Row],[Project]]=0,"",INDEX(ProjectsAll[job number],MATCH(TimeEntry[[#This Row],[Project]],ProjectsAll[Project],0)))</f>
        <v>260258-47</v>
      </c>
      <c r="L643" s="6" t="s">
        <v>380</v>
      </c>
      <c r="M643" s="6">
        <v>3.5</v>
      </c>
      <c r="N643" s="6">
        <f>IF(TimeEntry[[#This Row],[Date]]=0,"",WEEKDAY(C643,2))</f>
        <v>5</v>
      </c>
      <c r="O643" s="10">
        <f>YEAR(TimeEntry[[#This Row],[WkEnd]])</f>
        <v>2018</v>
      </c>
      <c r="P643" s="10">
        <f>WEEKNUM(TimeEntry[[#This Row],[WkEnd]])</f>
        <v>50</v>
      </c>
      <c r="Q643" s="10" t="str">
        <f>TimeEntry[[#This Row],[Year]]&amp;"-"&amp;TimeEntry[[#This Row],[WkNo]]</f>
        <v>2018-50</v>
      </c>
    </row>
    <row r="644" spans="1:17" ht="30" x14ac:dyDescent="0.25">
      <c r="A644" s="9" t="e">
        <f>MOD(IF(ROW()=11,0.1,IF(INDEX(TimeEntry[WkEnd],ROW()-10)            =            INDEX(TimeEntry[WkEnd],ROW()-11),               INDEX(TimeEntry[format],ROW()-11),               INDEX(TimeEntry[format],ROW()-11)    +1)),2)</f>
        <v>#VALUE!</v>
      </c>
      <c r="B644" s="14"/>
      <c r="C644" s="7">
        <v>43430</v>
      </c>
      <c r="D644" s="7"/>
      <c r="E644" s="7"/>
      <c r="F644" s="6" t="s">
        <v>28</v>
      </c>
      <c r="G644" s="6"/>
      <c r="H644" s="7">
        <f>IF(TimeEntry[[#This Row],[Date]]=0,H643,C644+(7-N644))</f>
        <v>43436</v>
      </c>
      <c r="I644" s="7">
        <f>TimeEntry[[#This Row],[Date]]</f>
        <v>43430</v>
      </c>
      <c r="J644" s="10" t="str">
        <f>IF(TimeEntry[[#This Row],[Date]]=0,"",TEXT(TimeEntry[[#This Row],[Date]],"ddd"))</f>
        <v>Mon</v>
      </c>
      <c r="K644" s="9" t="str">
        <f>IF(TimeEntry[[#This Row],[Project]]=0,"",INDEX(ProjectsAll[job number],MATCH(TimeEntry[[#This Row],[Project]],ProjectsAll[Project],0)))</f>
        <v>074103-30</v>
      </c>
      <c r="L644" s="6" t="s">
        <v>381</v>
      </c>
      <c r="M644" s="6">
        <v>3.75</v>
      </c>
      <c r="N644" s="6">
        <f>IF(TimeEntry[[#This Row],[Date]]=0,"",WEEKDAY(C644,2))</f>
        <v>1</v>
      </c>
      <c r="O644" s="10">
        <f>YEAR(TimeEntry[[#This Row],[WkEnd]])</f>
        <v>2018</v>
      </c>
      <c r="P644" s="10">
        <f>WEEKNUM(TimeEntry[[#This Row],[WkEnd]])</f>
        <v>49</v>
      </c>
      <c r="Q644" s="10" t="str">
        <f>TimeEntry[[#This Row],[Year]]&amp;"-"&amp;TimeEntry[[#This Row],[WkNo]]</f>
        <v>2018-49</v>
      </c>
    </row>
    <row r="645" spans="1:17" x14ac:dyDescent="0.25">
      <c r="A645" s="9" t="e">
        <f>MOD(IF(ROW()=11,0.1,IF(INDEX(TimeEntry[WkEnd],ROW()-10)            =            INDEX(TimeEntry[WkEnd],ROW()-11),               INDEX(TimeEntry[format],ROW()-11),               INDEX(TimeEntry[format],ROW()-11)    +1)),2)</f>
        <v>#VALUE!</v>
      </c>
      <c r="B645" s="14"/>
      <c r="C645" s="7">
        <v>43430</v>
      </c>
      <c r="D645" s="7"/>
      <c r="E645" s="7"/>
      <c r="F645" s="6" t="s">
        <v>23</v>
      </c>
      <c r="G645" s="6"/>
      <c r="H645" s="7">
        <f>IF(TimeEntry[[#This Row],[Date]]=0,H644,C645+(7-N645))</f>
        <v>43436</v>
      </c>
      <c r="I645" s="7">
        <f>TimeEntry[[#This Row],[Date]]</f>
        <v>43430</v>
      </c>
      <c r="J645" s="10" t="str">
        <f>IF(TimeEntry[[#This Row],[Date]]=0,"",TEXT(TimeEntry[[#This Row],[Date]],"ddd"))</f>
        <v>Mon</v>
      </c>
      <c r="K645" s="9" t="e">
        <f>IF(TimeEntry[[#This Row],[Project]]=0,"",INDEX(ProjectsAll[job number],MATCH(TimeEntry[[#This Row],[Project]],ProjectsAll[Project],0)))</f>
        <v>#N/A</v>
      </c>
      <c r="L645" s="6" t="s">
        <v>382</v>
      </c>
      <c r="M645" s="6">
        <v>3.75</v>
      </c>
      <c r="N645" s="6">
        <f>IF(TimeEntry[[#This Row],[Date]]=0,"",WEEKDAY(C645,2))</f>
        <v>1</v>
      </c>
      <c r="O645" s="10">
        <f>YEAR(TimeEntry[[#This Row],[WkEnd]])</f>
        <v>2018</v>
      </c>
      <c r="P645" s="10">
        <f>WEEKNUM(TimeEntry[[#This Row],[WkEnd]])</f>
        <v>49</v>
      </c>
      <c r="Q645" s="10" t="str">
        <f>TimeEntry[[#This Row],[Year]]&amp;"-"&amp;TimeEntry[[#This Row],[WkNo]]</f>
        <v>2018-49</v>
      </c>
    </row>
    <row r="646" spans="1:17" ht="30" x14ac:dyDescent="0.25">
      <c r="A646" s="9" t="e">
        <f>MOD(IF(ROW()=11,0.1,IF(INDEX(TimeEntry[WkEnd],ROW()-10)            =            INDEX(TimeEntry[WkEnd],ROW()-11),               INDEX(TimeEntry[format],ROW()-11),               INDEX(TimeEntry[format],ROW()-11)    +1)),2)</f>
        <v>#VALUE!</v>
      </c>
      <c r="B646" s="14"/>
      <c r="C646" s="7">
        <v>43431</v>
      </c>
      <c r="D646" s="7"/>
      <c r="E646" s="7"/>
      <c r="F646" s="6" t="s">
        <v>45</v>
      </c>
      <c r="G646" s="6"/>
      <c r="H646" s="7">
        <f>IF(TimeEntry[[#This Row],[Date]]=0,H645,C646+(7-N646))</f>
        <v>43436</v>
      </c>
      <c r="I646" s="7">
        <f>TimeEntry[[#This Row],[Date]]</f>
        <v>43431</v>
      </c>
      <c r="J646" s="10" t="str">
        <f>IF(TimeEntry[[#This Row],[Date]]=0,"",TEXT(TimeEntry[[#This Row],[Date]],"ddd"))</f>
        <v>Tue</v>
      </c>
      <c r="K646" s="9" t="str">
        <f>IF(TimeEntry[[#This Row],[Project]]=0,"",INDEX(ProjectsAll[job number],MATCH(TimeEntry[[#This Row],[Project]],ProjectsAll[Project],0)))</f>
        <v>254304-79</v>
      </c>
      <c r="L646" s="6" t="s">
        <v>383</v>
      </c>
      <c r="M646" s="6">
        <v>2.5</v>
      </c>
      <c r="N646" s="6">
        <f>IF(TimeEntry[[#This Row],[Date]]=0,"",WEEKDAY(C646,2))</f>
        <v>2</v>
      </c>
      <c r="O646" s="10">
        <f>YEAR(TimeEntry[[#This Row],[WkEnd]])</f>
        <v>2018</v>
      </c>
      <c r="P646" s="10">
        <f>WEEKNUM(TimeEntry[[#This Row],[WkEnd]])</f>
        <v>49</v>
      </c>
      <c r="Q646" s="10" t="str">
        <f>TimeEntry[[#This Row],[Year]]&amp;"-"&amp;TimeEntry[[#This Row],[WkNo]]</f>
        <v>2018-49</v>
      </c>
    </row>
    <row r="647" spans="1:17" ht="30" x14ac:dyDescent="0.25">
      <c r="A647" s="9" t="e">
        <f>MOD(IF(ROW()=11,0.1,IF(INDEX(TimeEntry[WkEnd],ROW()-10)            =            INDEX(TimeEntry[WkEnd],ROW()-11),               INDEX(TimeEntry[format],ROW()-11),               INDEX(TimeEntry[format],ROW()-11)    +1)),2)</f>
        <v>#VALUE!</v>
      </c>
      <c r="B647" s="14"/>
      <c r="C647" s="7">
        <v>43431</v>
      </c>
      <c r="D647" s="7"/>
      <c r="E647" s="7"/>
      <c r="F647" s="6" t="s">
        <v>38</v>
      </c>
      <c r="G647" s="6"/>
      <c r="H647" s="7">
        <f>IF(TimeEntry[[#This Row],[Date]]=0,H646,C647+(7-N647))</f>
        <v>43436</v>
      </c>
      <c r="I647" s="7">
        <f>TimeEntry[[#This Row],[Date]]</f>
        <v>43431</v>
      </c>
      <c r="J647" s="10" t="str">
        <f>IF(TimeEntry[[#This Row],[Date]]=0,"",TEXT(TimeEntry[[#This Row],[Date]],"ddd"))</f>
        <v>Tue</v>
      </c>
      <c r="K647" s="9" t="str">
        <f>IF(TimeEntry[[#This Row],[Project]]=0,"",INDEX(ProjectsAll[job number],MATCH(TimeEntry[[#This Row],[Project]],ProjectsAll[Project],0)))</f>
        <v>254304-44</v>
      </c>
      <c r="L647" s="6" t="s">
        <v>384</v>
      </c>
      <c r="M647" s="6">
        <v>3</v>
      </c>
      <c r="N647" s="6">
        <f>IF(TimeEntry[[#This Row],[Date]]=0,"",WEEKDAY(C647,2))</f>
        <v>2</v>
      </c>
      <c r="O647" s="10">
        <f>YEAR(TimeEntry[[#This Row],[WkEnd]])</f>
        <v>2018</v>
      </c>
      <c r="P647" s="10">
        <f>WEEKNUM(TimeEntry[[#This Row],[WkEnd]])</f>
        <v>49</v>
      </c>
      <c r="Q647" s="10" t="str">
        <f>TimeEntry[[#This Row],[Year]]&amp;"-"&amp;TimeEntry[[#This Row],[WkNo]]</f>
        <v>2018-49</v>
      </c>
    </row>
    <row r="648" spans="1:17" ht="30" x14ac:dyDescent="0.25">
      <c r="A648" s="9" t="e">
        <f>MOD(IF(ROW()=11,0.1,IF(INDEX(TimeEntry[WkEnd],ROW()-10)            =            INDEX(TimeEntry[WkEnd],ROW()-11),               INDEX(TimeEntry[format],ROW()-11),               INDEX(TimeEntry[format],ROW()-11)    +1)),2)</f>
        <v>#VALUE!</v>
      </c>
      <c r="B648" s="14"/>
      <c r="C648" s="7">
        <v>43431</v>
      </c>
      <c r="D648" s="7"/>
      <c r="E648" s="7"/>
      <c r="F648" s="6" t="s">
        <v>48</v>
      </c>
      <c r="G648" s="6"/>
      <c r="H648" s="7">
        <f>IF(TimeEntry[[#This Row],[Date]]=0,H647,C648+(7-N648))</f>
        <v>43436</v>
      </c>
      <c r="I648" s="7">
        <f>TimeEntry[[#This Row],[Date]]</f>
        <v>43431</v>
      </c>
      <c r="J648" s="10" t="str">
        <f>IF(TimeEntry[[#This Row],[Date]]=0,"",TEXT(TimeEntry[[#This Row],[Date]],"ddd"))</f>
        <v>Tue</v>
      </c>
      <c r="K648" s="9" t="str">
        <f>IF(TimeEntry[[#This Row],[Project]]=0,"",INDEX(ProjectsAll[job number],MATCH(TimeEntry[[#This Row],[Project]],ProjectsAll[Project],0)))</f>
        <v>254304-96</v>
      </c>
      <c r="L648" s="6" t="s">
        <v>385</v>
      </c>
      <c r="M648" s="6">
        <v>1</v>
      </c>
      <c r="N648" s="6">
        <f>IF(TimeEntry[[#This Row],[Date]]=0,"",WEEKDAY(C648,2))</f>
        <v>2</v>
      </c>
      <c r="O648" s="10">
        <f>YEAR(TimeEntry[[#This Row],[WkEnd]])</f>
        <v>2018</v>
      </c>
      <c r="P648" s="10">
        <f>WEEKNUM(TimeEntry[[#This Row],[WkEnd]])</f>
        <v>49</v>
      </c>
      <c r="Q648" s="10" t="str">
        <f>TimeEntry[[#This Row],[Year]]&amp;"-"&amp;TimeEntry[[#This Row],[WkNo]]</f>
        <v>2018-49</v>
      </c>
    </row>
    <row r="649" spans="1:17" ht="30" x14ac:dyDescent="0.25">
      <c r="A649" s="9" t="e">
        <f>MOD(IF(ROW()=11,0.1,IF(INDEX(TimeEntry[WkEnd],ROW()-10)            =            INDEX(TimeEntry[WkEnd],ROW()-11),               INDEX(TimeEntry[format],ROW()-11),               INDEX(TimeEntry[format],ROW()-11)    +1)),2)</f>
        <v>#VALUE!</v>
      </c>
      <c r="B649" s="14"/>
      <c r="C649" s="7">
        <v>43431</v>
      </c>
      <c r="D649" s="7"/>
      <c r="E649" s="7"/>
      <c r="F649" s="6" t="s">
        <v>51</v>
      </c>
      <c r="G649" s="6"/>
      <c r="H649" s="7">
        <f>IF(TimeEntry[[#This Row],[Date]]=0,H648,C649+(7-N649))</f>
        <v>43436</v>
      </c>
      <c r="I649" s="7">
        <f>TimeEntry[[#This Row],[Date]]</f>
        <v>43431</v>
      </c>
      <c r="J649" s="10" t="str">
        <f>IF(TimeEntry[[#This Row],[Date]]=0,"",TEXT(TimeEntry[[#This Row],[Date]],"ddd"))</f>
        <v>Tue</v>
      </c>
      <c r="K649" s="9" t="str">
        <f>IF(TimeEntry[[#This Row],[Project]]=0,"",INDEX(ProjectsAll[job number],MATCH(TimeEntry[[#This Row],[Project]],ProjectsAll[Project],0)))</f>
        <v>246233-56</v>
      </c>
      <c r="L649" s="6" t="s">
        <v>386</v>
      </c>
      <c r="M649" s="6">
        <v>1</v>
      </c>
      <c r="N649" s="6">
        <f>IF(TimeEntry[[#This Row],[Date]]=0,"",WEEKDAY(C649,2))</f>
        <v>2</v>
      </c>
      <c r="O649" s="10">
        <f>YEAR(TimeEntry[[#This Row],[WkEnd]])</f>
        <v>2018</v>
      </c>
      <c r="P649" s="10">
        <f>WEEKNUM(TimeEntry[[#This Row],[WkEnd]])</f>
        <v>49</v>
      </c>
      <c r="Q649" s="10" t="str">
        <f>TimeEntry[[#This Row],[Year]]&amp;"-"&amp;TimeEntry[[#This Row],[WkNo]]</f>
        <v>2018-49</v>
      </c>
    </row>
    <row r="650" spans="1:17" ht="30" x14ac:dyDescent="0.25">
      <c r="A650" s="9" t="e">
        <f>MOD(IF(ROW()=11,0.1,IF(INDEX(TimeEntry[WkEnd],ROW()-10)            =            INDEX(TimeEntry[WkEnd],ROW()-11),               INDEX(TimeEntry[format],ROW()-11),               INDEX(TimeEntry[format],ROW()-11)    +1)),2)</f>
        <v>#VALUE!</v>
      </c>
      <c r="B650" s="14"/>
      <c r="C650" s="7">
        <v>43432</v>
      </c>
      <c r="D650" s="7"/>
      <c r="E650" s="7"/>
      <c r="F650" s="6" t="s">
        <v>45</v>
      </c>
      <c r="G650" s="6"/>
      <c r="H650" s="7">
        <f>IF(TimeEntry[[#This Row],[Date]]=0,H649,C650+(7-N650))</f>
        <v>43436</v>
      </c>
      <c r="I650" s="7">
        <f>TimeEntry[[#This Row],[Date]]</f>
        <v>43432</v>
      </c>
      <c r="J650" s="10" t="str">
        <f>IF(TimeEntry[[#This Row],[Date]]=0,"",TEXT(TimeEntry[[#This Row],[Date]],"ddd"))</f>
        <v>Wed</v>
      </c>
      <c r="K650" s="9" t="str">
        <f>IF(TimeEntry[[#This Row],[Project]]=0,"",INDEX(ProjectsAll[job number],MATCH(TimeEntry[[#This Row],[Project]],ProjectsAll[Project],0)))</f>
        <v>254304-79</v>
      </c>
      <c r="L650" s="6" t="s">
        <v>387</v>
      </c>
      <c r="M650" s="6">
        <v>7.5</v>
      </c>
      <c r="N650" s="6">
        <f>IF(TimeEntry[[#This Row],[Date]]=0,"",WEEKDAY(C650,2))</f>
        <v>3</v>
      </c>
      <c r="O650" s="10">
        <f>YEAR(TimeEntry[[#This Row],[WkEnd]])</f>
        <v>2018</v>
      </c>
      <c r="P650" s="10">
        <f>WEEKNUM(TimeEntry[[#This Row],[WkEnd]])</f>
        <v>49</v>
      </c>
      <c r="Q650" s="10" t="str">
        <f>TimeEntry[[#This Row],[Year]]&amp;"-"&amp;TimeEntry[[#This Row],[WkNo]]</f>
        <v>2018-49</v>
      </c>
    </row>
    <row r="651" spans="1:17" ht="30" x14ac:dyDescent="0.25">
      <c r="A651" s="9" t="e">
        <f>MOD(IF(ROW()=11,0.1,IF(INDEX(TimeEntry[WkEnd],ROW()-10)            =            INDEX(TimeEntry[WkEnd],ROW()-11),               INDEX(TimeEntry[format],ROW()-11),               INDEX(TimeEntry[format],ROW()-11)    +1)),2)</f>
        <v>#VALUE!</v>
      </c>
      <c r="B651" s="14"/>
      <c r="C651" s="7">
        <v>43433</v>
      </c>
      <c r="D651" s="7"/>
      <c r="E651" s="7"/>
      <c r="F651" s="6" t="s">
        <v>74</v>
      </c>
      <c r="G651" s="6"/>
      <c r="H651" s="7">
        <f>IF(TimeEntry[[#This Row],[Date]]=0,H650,C651+(7-N651))</f>
        <v>43436</v>
      </c>
      <c r="I651" s="7">
        <f>TimeEntry[[#This Row],[Date]]</f>
        <v>43433</v>
      </c>
      <c r="J651" s="10" t="str">
        <f>IF(TimeEntry[[#This Row],[Date]]=0,"",TEXT(TimeEntry[[#This Row],[Date]],"ddd"))</f>
        <v>Thu</v>
      </c>
      <c r="K651" s="9" t="str">
        <f>IF(TimeEntry[[#This Row],[Project]]=0,"",INDEX(ProjectsAll[job number],MATCH(TimeEntry[[#This Row],[Project]],ProjectsAll[Project],0)))</f>
        <v>261723-02</v>
      </c>
      <c r="L651" s="6" t="s">
        <v>388</v>
      </c>
      <c r="M651" s="6">
        <v>5</v>
      </c>
      <c r="N651" s="6">
        <f>IF(TimeEntry[[#This Row],[Date]]=0,"",WEEKDAY(C651,2))</f>
        <v>4</v>
      </c>
      <c r="O651" s="10">
        <f>YEAR(TimeEntry[[#This Row],[WkEnd]])</f>
        <v>2018</v>
      </c>
      <c r="P651" s="10">
        <f>WEEKNUM(TimeEntry[[#This Row],[WkEnd]])</f>
        <v>49</v>
      </c>
      <c r="Q651" s="10" t="str">
        <f>TimeEntry[[#This Row],[Year]]&amp;"-"&amp;TimeEntry[[#This Row],[WkNo]]</f>
        <v>2018-49</v>
      </c>
    </row>
    <row r="652" spans="1:17" x14ac:dyDescent="0.25">
      <c r="A652" s="9" t="e">
        <f>MOD(IF(ROW()=11,0.1,IF(INDEX(TimeEntry[WkEnd],ROW()-10)            =            INDEX(TimeEntry[WkEnd],ROW()-11),               INDEX(TimeEntry[format],ROW()-11),               INDEX(TimeEntry[format],ROW()-11)    +1)),2)</f>
        <v>#VALUE!</v>
      </c>
      <c r="B652" s="14"/>
      <c r="C652" s="7">
        <v>43433</v>
      </c>
      <c r="D652" s="7"/>
      <c r="E652" s="7"/>
      <c r="F652" s="6" t="s">
        <v>23</v>
      </c>
      <c r="G652" s="6"/>
      <c r="H652" s="7">
        <f>IF(TimeEntry[[#This Row],[Date]]=0,H651,C652+(7-N652))</f>
        <v>43436</v>
      </c>
      <c r="I652" s="7">
        <f>TimeEntry[[#This Row],[Date]]</f>
        <v>43433</v>
      </c>
      <c r="J652" s="10" t="str">
        <f>IF(TimeEntry[[#This Row],[Date]]=0,"",TEXT(TimeEntry[[#This Row],[Date]],"ddd"))</f>
        <v>Thu</v>
      </c>
      <c r="K652" s="9" t="e">
        <f>IF(TimeEntry[[#This Row],[Project]]=0,"",INDEX(ProjectsAll[job number],MATCH(TimeEntry[[#This Row],[Project]],ProjectsAll[Project],0)))</f>
        <v>#N/A</v>
      </c>
      <c r="L652" s="6" t="s">
        <v>389</v>
      </c>
      <c r="M652" s="6">
        <v>2.5</v>
      </c>
      <c r="N652" s="6">
        <f>IF(TimeEntry[[#This Row],[Date]]=0,"",WEEKDAY(C652,2))</f>
        <v>4</v>
      </c>
      <c r="O652" s="10">
        <f>YEAR(TimeEntry[[#This Row],[WkEnd]])</f>
        <v>2018</v>
      </c>
      <c r="P652" s="10">
        <f>WEEKNUM(TimeEntry[[#This Row],[WkEnd]])</f>
        <v>49</v>
      </c>
      <c r="Q652" s="10" t="str">
        <f>TimeEntry[[#This Row],[Year]]&amp;"-"&amp;TimeEntry[[#This Row],[WkNo]]</f>
        <v>2018-49</v>
      </c>
    </row>
    <row r="653" spans="1:17" ht="30" x14ac:dyDescent="0.25">
      <c r="A653" s="9" t="e">
        <f>MOD(IF(ROW()=11,0.1,IF(INDEX(TimeEntry[WkEnd],ROW()-10)            =            INDEX(TimeEntry[WkEnd],ROW()-11),               INDEX(TimeEntry[format],ROW()-11),               INDEX(TimeEntry[format],ROW()-11)    +1)),2)</f>
        <v>#VALUE!</v>
      </c>
      <c r="B653" s="14"/>
      <c r="C653" s="7">
        <v>43434</v>
      </c>
      <c r="D653" s="7"/>
      <c r="E653" s="7"/>
      <c r="F653" s="6" t="s">
        <v>10</v>
      </c>
      <c r="G653" s="6"/>
      <c r="H653" s="7">
        <f>IF(TimeEntry[[#This Row],[Date]]=0,H652,C653+(7-N653))</f>
        <v>43436</v>
      </c>
      <c r="I653" s="7">
        <f>TimeEntry[[#This Row],[Date]]</f>
        <v>43434</v>
      </c>
      <c r="J653" s="10" t="str">
        <f>IF(TimeEntry[[#This Row],[Date]]=0,"",TEXT(TimeEntry[[#This Row],[Date]],"ddd"))</f>
        <v>Fri</v>
      </c>
      <c r="K653" s="9" t="str">
        <f>IF(TimeEntry[[#This Row],[Project]]=0,"",INDEX(ProjectsAll[job number],MATCH(TimeEntry[[#This Row],[Project]],ProjectsAll[Project],0)))</f>
        <v>074097-29</v>
      </c>
      <c r="L653" s="6" t="s">
        <v>390</v>
      </c>
      <c r="M653" s="6">
        <v>2</v>
      </c>
      <c r="N653" s="6">
        <f>IF(TimeEntry[[#This Row],[Date]]=0,"",WEEKDAY(C653,2))</f>
        <v>5</v>
      </c>
      <c r="O653" s="10">
        <f>YEAR(TimeEntry[[#This Row],[WkEnd]])</f>
        <v>2018</v>
      </c>
      <c r="P653" s="10">
        <f>WEEKNUM(TimeEntry[[#This Row],[WkEnd]])</f>
        <v>49</v>
      </c>
      <c r="Q653" s="10" t="str">
        <f>TimeEntry[[#This Row],[Year]]&amp;"-"&amp;TimeEntry[[#This Row],[WkNo]]</f>
        <v>2018-49</v>
      </c>
    </row>
    <row r="654" spans="1:17" ht="30" x14ac:dyDescent="0.25">
      <c r="A654" s="9" t="e">
        <f>MOD(IF(ROW()=11,0.1,IF(INDEX(TimeEntry[WkEnd],ROW()-10)            =            INDEX(TimeEntry[WkEnd],ROW()-11),               INDEX(TimeEntry[format],ROW()-11),               INDEX(TimeEntry[format],ROW()-11)    +1)),2)</f>
        <v>#VALUE!</v>
      </c>
      <c r="B654" s="14"/>
      <c r="C654" s="7">
        <v>43434</v>
      </c>
      <c r="D654" s="7"/>
      <c r="E654" s="7"/>
      <c r="F654" s="6" t="s">
        <v>48</v>
      </c>
      <c r="G654" s="6"/>
      <c r="H654" s="7">
        <f>IF(TimeEntry[[#This Row],[Date]]=0,H653,C654+(7-N654))</f>
        <v>43436</v>
      </c>
      <c r="I654" s="7">
        <f>TimeEntry[[#This Row],[Date]]</f>
        <v>43434</v>
      </c>
      <c r="J654" s="10" t="str">
        <f>IF(TimeEntry[[#This Row],[Date]]=0,"",TEXT(TimeEntry[[#This Row],[Date]],"ddd"))</f>
        <v>Fri</v>
      </c>
      <c r="K654" s="9" t="str">
        <f>IF(TimeEntry[[#This Row],[Project]]=0,"",INDEX(ProjectsAll[job number],MATCH(TimeEntry[[#This Row],[Project]],ProjectsAll[Project],0)))</f>
        <v>254304-96</v>
      </c>
      <c r="L654" s="6" t="s">
        <v>391</v>
      </c>
      <c r="M654" s="6">
        <v>3</v>
      </c>
      <c r="N654" s="6">
        <f>IF(TimeEntry[[#This Row],[Date]]=0,"",WEEKDAY(C654,2))</f>
        <v>5</v>
      </c>
      <c r="O654" s="10">
        <f>YEAR(TimeEntry[[#This Row],[WkEnd]])</f>
        <v>2018</v>
      </c>
      <c r="P654" s="10">
        <f>WEEKNUM(TimeEntry[[#This Row],[WkEnd]])</f>
        <v>49</v>
      </c>
      <c r="Q654" s="10" t="str">
        <f>TimeEntry[[#This Row],[Year]]&amp;"-"&amp;TimeEntry[[#This Row],[WkNo]]</f>
        <v>2018-49</v>
      </c>
    </row>
    <row r="655" spans="1:17" ht="30" x14ac:dyDescent="0.25">
      <c r="A655" s="9" t="e">
        <f>MOD(IF(ROW()=11,0.1,IF(INDEX(TimeEntry[WkEnd],ROW()-10)            =            INDEX(TimeEntry[WkEnd],ROW()-11),               INDEX(TimeEntry[format],ROW()-11),               INDEX(TimeEntry[format],ROW()-11)    +1)),2)</f>
        <v>#VALUE!</v>
      </c>
      <c r="B655" s="14"/>
      <c r="C655" s="7">
        <v>43434</v>
      </c>
      <c r="D655" s="7"/>
      <c r="E655" s="7"/>
      <c r="F655" s="6" t="s">
        <v>51</v>
      </c>
      <c r="G655" s="6"/>
      <c r="H655" s="7">
        <f>IF(TimeEntry[[#This Row],[Date]]=0,H654,C655+(7-N655))</f>
        <v>43436</v>
      </c>
      <c r="I655" s="7">
        <f>TimeEntry[[#This Row],[Date]]</f>
        <v>43434</v>
      </c>
      <c r="J655" s="10" t="str">
        <f>IF(TimeEntry[[#This Row],[Date]]=0,"",TEXT(TimeEntry[[#This Row],[Date]],"ddd"))</f>
        <v>Fri</v>
      </c>
      <c r="K655" s="9" t="str">
        <f>IF(TimeEntry[[#This Row],[Project]]=0,"",INDEX(ProjectsAll[job number],MATCH(TimeEntry[[#This Row],[Project]],ProjectsAll[Project],0)))</f>
        <v>246233-56</v>
      </c>
      <c r="L655" s="6" t="s">
        <v>386</v>
      </c>
      <c r="M655" s="6">
        <v>2.5</v>
      </c>
      <c r="N655" s="6">
        <f>IF(TimeEntry[[#This Row],[Date]]=0,"",WEEKDAY(C655,2))</f>
        <v>5</v>
      </c>
      <c r="O655" s="10">
        <f>YEAR(TimeEntry[[#This Row],[WkEnd]])</f>
        <v>2018</v>
      </c>
      <c r="P655" s="10">
        <f>WEEKNUM(TimeEntry[[#This Row],[WkEnd]])</f>
        <v>49</v>
      </c>
      <c r="Q655" s="10" t="str">
        <f>TimeEntry[[#This Row],[Year]]&amp;"-"&amp;TimeEntry[[#This Row],[WkNo]]</f>
        <v>2018-49</v>
      </c>
    </row>
    <row r="656" spans="1:17" ht="30" x14ac:dyDescent="0.25">
      <c r="A656" s="9" t="e">
        <f>MOD(IF(ROW()=11,0.1,IF(INDEX(TimeEntry[WkEnd],ROW()-10)            =            INDEX(TimeEntry[WkEnd],ROW()-11),               INDEX(TimeEntry[format],ROW()-11),               INDEX(TimeEntry[format],ROW()-11)    +1)),2)</f>
        <v>#VALUE!</v>
      </c>
      <c r="B656" s="14"/>
      <c r="C656" s="7">
        <v>43423</v>
      </c>
      <c r="D656" s="7"/>
      <c r="E656" s="7"/>
      <c r="F656" s="6" t="s">
        <v>74</v>
      </c>
      <c r="G656" s="6"/>
      <c r="H656" s="7">
        <f>IF(TimeEntry[[#This Row],[Date]]=0,H655,C656+(7-N656))</f>
        <v>43429</v>
      </c>
      <c r="I656" s="7">
        <f>TimeEntry[[#This Row],[Date]]</f>
        <v>43423</v>
      </c>
      <c r="J656" s="10" t="str">
        <f>IF(TimeEntry[[#This Row],[Date]]=0,"",TEXT(TimeEntry[[#This Row],[Date]],"ddd"))</f>
        <v>Mon</v>
      </c>
      <c r="K656" s="9" t="str">
        <f>IF(TimeEntry[[#This Row],[Project]]=0,"",INDEX(ProjectsAll[job number],MATCH(TimeEntry[[#This Row],[Project]],ProjectsAll[Project],0)))</f>
        <v>261723-02</v>
      </c>
      <c r="L656" s="6" t="s">
        <v>392</v>
      </c>
      <c r="M656" s="6">
        <v>3.75</v>
      </c>
      <c r="N656" s="6">
        <f>IF(TimeEntry[[#This Row],[Date]]=0,"",WEEKDAY(C656,2))</f>
        <v>1</v>
      </c>
      <c r="O656" s="10">
        <f>YEAR(TimeEntry[[#This Row],[WkEnd]])</f>
        <v>2018</v>
      </c>
      <c r="P656" s="10">
        <f>WEEKNUM(TimeEntry[[#This Row],[WkEnd]])</f>
        <v>48</v>
      </c>
      <c r="Q656" s="10" t="str">
        <f>TimeEntry[[#This Row],[Year]]&amp;"-"&amp;TimeEntry[[#This Row],[WkNo]]</f>
        <v>2018-48</v>
      </c>
    </row>
    <row r="657" spans="1:17" ht="30" x14ac:dyDescent="0.25">
      <c r="A657" s="9" t="e">
        <f>MOD(IF(ROW()=11,0.1,IF(INDEX(TimeEntry[WkEnd],ROW()-10)            =            INDEX(TimeEntry[WkEnd],ROW()-11),               INDEX(TimeEntry[format],ROW()-11),               INDEX(TimeEntry[format],ROW()-11)    +1)),2)</f>
        <v>#VALUE!</v>
      </c>
      <c r="B657" s="14"/>
      <c r="C657" s="7">
        <v>43423</v>
      </c>
      <c r="D657" s="7"/>
      <c r="E657" s="7"/>
      <c r="F657" s="6" t="s">
        <v>53</v>
      </c>
      <c r="G657" s="6"/>
      <c r="H657" s="7">
        <f>IF(TimeEntry[[#This Row],[Date]]=0,H656,C657+(7-N657))</f>
        <v>43429</v>
      </c>
      <c r="I657" s="7">
        <f>TimeEntry[[#This Row],[Date]]</f>
        <v>43423</v>
      </c>
      <c r="J657" s="10" t="str">
        <f>IF(TimeEntry[[#This Row],[Date]]=0,"",TEXT(TimeEntry[[#This Row],[Date]],"ddd"))</f>
        <v>Mon</v>
      </c>
      <c r="K657" s="9" t="str">
        <f>IF(TimeEntry[[#This Row],[Project]]=0,"",INDEX(ProjectsAll[job number],MATCH(TimeEntry[[#This Row],[Project]],ProjectsAll[Project],0)))</f>
        <v>254841-07</v>
      </c>
      <c r="L657" s="6" t="s">
        <v>393</v>
      </c>
      <c r="M657" s="6">
        <v>3.75</v>
      </c>
      <c r="N657" s="6">
        <f>IF(TimeEntry[[#This Row],[Date]]=0,"",WEEKDAY(C657,2))</f>
        <v>1</v>
      </c>
      <c r="O657" s="10">
        <f>YEAR(TimeEntry[[#This Row],[WkEnd]])</f>
        <v>2018</v>
      </c>
      <c r="P657" s="10">
        <f>WEEKNUM(TimeEntry[[#This Row],[WkEnd]])</f>
        <v>48</v>
      </c>
      <c r="Q657" s="10" t="str">
        <f>TimeEntry[[#This Row],[Year]]&amp;"-"&amp;TimeEntry[[#This Row],[WkNo]]</f>
        <v>2018-48</v>
      </c>
    </row>
    <row r="658" spans="1:17" ht="30" x14ac:dyDescent="0.25">
      <c r="A658" s="9" t="e">
        <f>MOD(IF(ROW()=11,0.1,IF(INDEX(TimeEntry[WkEnd],ROW()-10)            =            INDEX(TimeEntry[WkEnd],ROW()-11),               INDEX(TimeEntry[format],ROW()-11),               INDEX(TimeEntry[format],ROW()-11)    +1)),2)</f>
        <v>#VALUE!</v>
      </c>
      <c r="B658" s="14"/>
      <c r="C658" s="7">
        <v>43424</v>
      </c>
      <c r="D658" s="7"/>
      <c r="E658" s="7"/>
      <c r="F658" s="6" t="s">
        <v>53</v>
      </c>
      <c r="G658" s="6"/>
      <c r="H658" s="7">
        <f>IF(TimeEntry[[#This Row],[Date]]=0,H657,C658+(7-N658))</f>
        <v>43429</v>
      </c>
      <c r="I658" s="7">
        <f>TimeEntry[[#This Row],[Date]]</f>
        <v>43424</v>
      </c>
      <c r="J658" s="10" t="str">
        <f>IF(TimeEntry[[#This Row],[Date]]=0,"",TEXT(TimeEntry[[#This Row],[Date]],"ddd"))</f>
        <v>Tue</v>
      </c>
      <c r="K658" s="9" t="str">
        <f>IF(TimeEntry[[#This Row],[Project]]=0,"",INDEX(ProjectsAll[job number],MATCH(TimeEntry[[#This Row],[Project]],ProjectsAll[Project],0)))</f>
        <v>254841-07</v>
      </c>
      <c r="L658" s="6" t="s">
        <v>393</v>
      </c>
      <c r="M658" s="6">
        <v>7.5</v>
      </c>
      <c r="N658" s="6">
        <f>IF(TimeEntry[[#This Row],[Date]]=0,"",WEEKDAY(C658,2))</f>
        <v>2</v>
      </c>
      <c r="O658" s="10">
        <f>YEAR(TimeEntry[[#This Row],[WkEnd]])</f>
        <v>2018</v>
      </c>
      <c r="P658" s="10">
        <f>WEEKNUM(TimeEntry[[#This Row],[WkEnd]])</f>
        <v>48</v>
      </c>
      <c r="Q658" s="10" t="str">
        <f>TimeEntry[[#This Row],[Year]]&amp;"-"&amp;TimeEntry[[#This Row],[WkNo]]</f>
        <v>2018-48</v>
      </c>
    </row>
    <row r="659" spans="1:17" ht="30" x14ac:dyDescent="0.25">
      <c r="A659" s="9" t="e">
        <f>MOD(IF(ROW()=11,0.1,IF(INDEX(TimeEntry[WkEnd],ROW()-10)            =            INDEX(TimeEntry[WkEnd],ROW()-11),               INDEX(TimeEntry[format],ROW()-11),               INDEX(TimeEntry[format],ROW()-11)    +1)),2)</f>
        <v>#VALUE!</v>
      </c>
      <c r="B659" s="14"/>
      <c r="C659" s="7">
        <v>43424</v>
      </c>
      <c r="D659" s="7"/>
      <c r="E659" s="7"/>
      <c r="F659" s="6" t="s">
        <v>28</v>
      </c>
      <c r="G659" s="6"/>
      <c r="H659" s="7">
        <f>IF(TimeEntry[[#This Row],[Date]]=0,H658,C659+(7-N659))</f>
        <v>43429</v>
      </c>
      <c r="I659" s="7">
        <f>TimeEntry[[#This Row],[Date]]</f>
        <v>43424</v>
      </c>
      <c r="J659" s="10" t="str">
        <f>IF(TimeEntry[[#This Row],[Date]]=0,"",TEXT(TimeEntry[[#This Row],[Date]],"ddd"))</f>
        <v>Tue</v>
      </c>
      <c r="K659" s="9" t="str">
        <f>IF(TimeEntry[[#This Row],[Project]]=0,"",INDEX(ProjectsAll[job number],MATCH(TimeEntry[[#This Row],[Project]],ProjectsAll[Project],0)))</f>
        <v>074103-30</v>
      </c>
      <c r="L659" s="6" t="s">
        <v>394</v>
      </c>
      <c r="M659" s="6">
        <v>0</v>
      </c>
      <c r="N659" s="6">
        <f>IF(TimeEntry[[#This Row],[Date]]=0,"",WEEKDAY(C659,2))</f>
        <v>2</v>
      </c>
      <c r="O659" s="10">
        <f>YEAR(TimeEntry[[#This Row],[WkEnd]])</f>
        <v>2018</v>
      </c>
      <c r="P659" s="10">
        <f>WEEKNUM(TimeEntry[[#This Row],[WkEnd]])</f>
        <v>48</v>
      </c>
      <c r="Q659" s="10" t="str">
        <f>TimeEntry[[#This Row],[Year]]&amp;"-"&amp;TimeEntry[[#This Row],[WkNo]]</f>
        <v>2018-48</v>
      </c>
    </row>
    <row r="660" spans="1:17" ht="30" x14ac:dyDescent="0.25">
      <c r="A660" s="9" t="e">
        <f>MOD(IF(ROW()=11,0.1,IF(INDEX(TimeEntry[WkEnd],ROW()-10)            =            INDEX(TimeEntry[WkEnd],ROW()-11),               INDEX(TimeEntry[format],ROW()-11),               INDEX(TimeEntry[format],ROW()-11)    +1)),2)</f>
        <v>#VALUE!</v>
      </c>
      <c r="B660" s="14"/>
      <c r="C660" s="7">
        <v>43424</v>
      </c>
      <c r="D660" s="7"/>
      <c r="E660" s="7"/>
      <c r="F660" s="6" t="s">
        <v>80</v>
      </c>
      <c r="G660" s="6"/>
      <c r="H660" s="7">
        <f>IF(TimeEntry[[#This Row],[Date]]=0,H659,C660+(7-N660))</f>
        <v>43429</v>
      </c>
      <c r="I660" s="7">
        <f>TimeEntry[[#This Row],[Date]]</f>
        <v>43424</v>
      </c>
      <c r="J660" s="10" t="str">
        <f>IF(TimeEntry[[#This Row],[Date]]=0,"",TEXT(TimeEntry[[#This Row],[Date]],"ddd"))</f>
        <v>Tue</v>
      </c>
      <c r="K660" s="9" t="str">
        <f>IF(TimeEntry[[#This Row],[Project]]=0,"",INDEX(ProjectsAll[job number],MATCH(TimeEntry[[#This Row],[Project]],ProjectsAll[Project],0)))</f>
        <v>TRAINING</v>
      </c>
      <c r="L660" s="6" t="s">
        <v>395</v>
      </c>
      <c r="M660" s="6">
        <v>0</v>
      </c>
      <c r="N660" s="6">
        <f>IF(TimeEntry[[#This Row],[Date]]=0,"",WEEKDAY(C660,2))</f>
        <v>2</v>
      </c>
      <c r="O660" s="10">
        <f>YEAR(TimeEntry[[#This Row],[WkEnd]])</f>
        <v>2018</v>
      </c>
      <c r="P660" s="10">
        <f>WEEKNUM(TimeEntry[[#This Row],[WkEnd]])</f>
        <v>48</v>
      </c>
      <c r="Q660" s="10" t="str">
        <f>TimeEntry[[#This Row],[Year]]&amp;"-"&amp;TimeEntry[[#This Row],[WkNo]]</f>
        <v>2018-48</v>
      </c>
    </row>
    <row r="661" spans="1:17" ht="30" x14ac:dyDescent="0.25">
      <c r="A661" s="9" t="e">
        <f>MOD(IF(ROW()=11,0.1,IF(INDEX(TimeEntry[WkEnd],ROW()-10)            =            INDEX(TimeEntry[WkEnd],ROW()-11),               INDEX(TimeEntry[format],ROW()-11),               INDEX(TimeEntry[format],ROW()-11)    +1)),2)</f>
        <v>#VALUE!</v>
      </c>
      <c r="B661" s="14"/>
      <c r="C661" s="7">
        <v>43425</v>
      </c>
      <c r="D661" s="7"/>
      <c r="E661" s="7"/>
      <c r="F661" s="6" t="s">
        <v>45</v>
      </c>
      <c r="G661" s="6"/>
      <c r="H661" s="7">
        <f>IF(TimeEntry[[#This Row],[Date]]=0,H660,C661+(7-N661))</f>
        <v>43429</v>
      </c>
      <c r="I661" s="7">
        <f>TimeEntry[[#This Row],[Date]]</f>
        <v>43425</v>
      </c>
      <c r="J661" s="10" t="str">
        <f>IF(TimeEntry[[#This Row],[Date]]=0,"",TEXT(TimeEntry[[#This Row],[Date]],"ddd"))</f>
        <v>Wed</v>
      </c>
      <c r="K661" s="9" t="str">
        <f>IF(TimeEntry[[#This Row],[Project]]=0,"",INDEX(ProjectsAll[job number],MATCH(TimeEntry[[#This Row],[Project]],ProjectsAll[Project],0)))</f>
        <v>254304-79</v>
      </c>
      <c r="L661" s="6" t="s">
        <v>396</v>
      </c>
      <c r="M661" s="6">
        <v>7.5</v>
      </c>
      <c r="N661" s="6">
        <f>IF(TimeEntry[[#This Row],[Date]]=0,"",WEEKDAY(C661,2))</f>
        <v>3</v>
      </c>
      <c r="O661" s="10">
        <f>YEAR(TimeEntry[[#This Row],[WkEnd]])</f>
        <v>2018</v>
      </c>
      <c r="P661" s="10">
        <f>WEEKNUM(TimeEntry[[#This Row],[WkEnd]])</f>
        <v>48</v>
      </c>
      <c r="Q661" s="10" t="str">
        <f>TimeEntry[[#This Row],[Year]]&amp;"-"&amp;TimeEntry[[#This Row],[WkNo]]</f>
        <v>2018-48</v>
      </c>
    </row>
    <row r="662" spans="1:17" ht="30" x14ac:dyDescent="0.25">
      <c r="A662" s="9" t="e">
        <f>MOD(IF(ROW()=11,0.1,IF(INDEX(TimeEntry[WkEnd],ROW()-10)            =            INDEX(TimeEntry[WkEnd],ROW()-11),               INDEX(TimeEntry[format],ROW()-11),               INDEX(TimeEntry[format],ROW()-11)    +1)),2)</f>
        <v>#VALUE!</v>
      </c>
      <c r="B662" s="14"/>
      <c r="C662" s="7">
        <v>43426</v>
      </c>
      <c r="D662" s="7"/>
      <c r="E662" s="7"/>
      <c r="F662" s="6" t="s">
        <v>10</v>
      </c>
      <c r="G662" s="6"/>
      <c r="H662" s="7">
        <f>IF(TimeEntry[[#This Row],[Date]]=0,H661,C662+(7-N662))</f>
        <v>43429</v>
      </c>
      <c r="I662" s="7">
        <f>TimeEntry[[#This Row],[Date]]</f>
        <v>43426</v>
      </c>
      <c r="J662" s="10" t="str">
        <f>IF(TimeEntry[[#This Row],[Date]]=0,"",TEXT(TimeEntry[[#This Row],[Date]],"ddd"))</f>
        <v>Thu</v>
      </c>
      <c r="K662" s="9" t="str">
        <f>IF(TimeEntry[[#This Row],[Project]]=0,"",INDEX(ProjectsAll[job number],MATCH(TimeEntry[[#This Row],[Project]],ProjectsAll[Project],0)))</f>
        <v>074097-29</v>
      </c>
      <c r="L662" s="6" t="s">
        <v>397</v>
      </c>
      <c r="M662" s="6">
        <v>2</v>
      </c>
      <c r="N662" s="6">
        <f>IF(TimeEntry[[#This Row],[Date]]=0,"",WEEKDAY(C662,2))</f>
        <v>4</v>
      </c>
      <c r="O662" s="10">
        <f>YEAR(TimeEntry[[#This Row],[WkEnd]])</f>
        <v>2018</v>
      </c>
      <c r="P662" s="10">
        <f>WEEKNUM(TimeEntry[[#This Row],[WkEnd]])</f>
        <v>48</v>
      </c>
      <c r="Q662" s="10" t="str">
        <f>TimeEntry[[#This Row],[Year]]&amp;"-"&amp;TimeEntry[[#This Row],[WkNo]]</f>
        <v>2018-48</v>
      </c>
    </row>
    <row r="663" spans="1:17" ht="30" x14ac:dyDescent="0.25">
      <c r="A663" s="9" t="e">
        <f>MOD(IF(ROW()=11,0.1,IF(INDEX(TimeEntry[WkEnd],ROW()-10)            =            INDEX(TimeEntry[WkEnd],ROW()-11),               INDEX(TimeEntry[format],ROW()-11),               INDEX(TimeEntry[format],ROW()-11)    +1)),2)</f>
        <v>#VALUE!</v>
      </c>
      <c r="B663" s="14"/>
      <c r="C663" s="7">
        <v>43426</v>
      </c>
      <c r="D663" s="7"/>
      <c r="E663" s="7"/>
      <c r="F663" s="6" t="s">
        <v>28</v>
      </c>
      <c r="G663" s="6"/>
      <c r="H663" s="7">
        <f>IF(TimeEntry[[#This Row],[Date]]=0,H662,C663+(7-N663))</f>
        <v>43429</v>
      </c>
      <c r="I663" s="7">
        <f>TimeEntry[[#This Row],[Date]]</f>
        <v>43426</v>
      </c>
      <c r="J663" s="10" t="str">
        <f>IF(TimeEntry[[#This Row],[Date]]=0,"",TEXT(TimeEntry[[#This Row],[Date]],"ddd"))</f>
        <v>Thu</v>
      </c>
      <c r="K663" s="9" t="str">
        <f>IF(TimeEntry[[#This Row],[Project]]=0,"",INDEX(ProjectsAll[job number],MATCH(TimeEntry[[#This Row],[Project]],ProjectsAll[Project],0)))</f>
        <v>074103-30</v>
      </c>
      <c r="L663" s="6" t="s">
        <v>398</v>
      </c>
      <c r="M663" s="6">
        <v>3</v>
      </c>
      <c r="N663" s="6">
        <f>IF(TimeEntry[[#This Row],[Date]]=0,"",WEEKDAY(C663,2))</f>
        <v>4</v>
      </c>
      <c r="O663" s="10">
        <f>YEAR(TimeEntry[[#This Row],[WkEnd]])</f>
        <v>2018</v>
      </c>
      <c r="P663" s="10">
        <f>WEEKNUM(TimeEntry[[#This Row],[WkEnd]])</f>
        <v>48</v>
      </c>
      <c r="Q663" s="10" t="str">
        <f>TimeEntry[[#This Row],[Year]]&amp;"-"&amp;TimeEntry[[#This Row],[WkNo]]</f>
        <v>2018-48</v>
      </c>
    </row>
    <row r="664" spans="1:17" ht="30" x14ac:dyDescent="0.25">
      <c r="A664" s="9" t="e">
        <f>MOD(IF(ROW()=11,0.1,IF(INDEX(TimeEntry[WkEnd],ROW()-10)            =            INDEX(TimeEntry[WkEnd],ROW()-11),               INDEX(TimeEntry[format],ROW()-11),               INDEX(TimeEntry[format],ROW()-11)    +1)),2)</f>
        <v>#VALUE!</v>
      </c>
      <c r="B664" s="14"/>
      <c r="C664" s="7">
        <v>43426</v>
      </c>
      <c r="D664" s="7"/>
      <c r="E664" s="7"/>
      <c r="F664" s="6" t="s">
        <v>45</v>
      </c>
      <c r="G664" s="6"/>
      <c r="H664" s="7">
        <f>IF(TimeEntry[[#This Row],[Date]]=0,H663,C664+(7-N664))</f>
        <v>43429</v>
      </c>
      <c r="I664" s="7">
        <f>TimeEntry[[#This Row],[Date]]</f>
        <v>43426</v>
      </c>
      <c r="J664" s="10" t="str">
        <f>IF(TimeEntry[[#This Row],[Date]]=0,"",TEXT(TimeEntry[[#This Row],[Date]],"ddd"))</f>
        <v>Thu</v>
      </c>
      <c r="K664" s="9" t="str">
        <f>IF(TimeEntry[[#This Row],[Project]]=0,"",INDEX(ProjectsAll[job number],MATCH(TimeEntry[[#This Row],[Project]],ProjectsAll[Project],0)))</f>
        <v>254304-79</v>
      </c>
      <c r="L664" s="6" t="s">
        <v>396</v>
      </c>
      <c r="M664" s="6">
        <v>2.5</v>
      </c>
      <c r="N664" s="6">
        <f>IF(TimeEntry[[#This Row],[Date]]=0,"",WEEKDAY(C664,2))</f>
        <v>4</v>
      </c>
      <c r="O664" s="10">
        <f>YEAR(TimeEntry[[#This Row],[WkEnd]])</f>
        <v>2018</v>
      </c>
      <c r="P664" s="10">
        <f>WEEKNUM(TimeEntry[[#This Row],[WkEnd]])</f>
        <v>48</v>
      </c>
      <c r="Q664" s="10" t="str">
        <f>TimeEntry[[#This Row],[Year]]&amp;"-"&amp;TimeEntry[[#This Row],[WkNo]]</f>
        <v>2018-48</v>
      </c>
    </row>
    <row r="665" spans="1:17" ht="30" x14ac:dyDescent="0.25">
      <c r="A665" s="9" t="e">
        <f>MOD(IF(ROW()=11,0.1,IF(INDEX(TimeEntry[WkEnd],ROW()-10)            =            INDEX(TimeEntry[WkEnd],ROW()-11),               INDEX(TimeEntry[format],ROW()-11),               INDEX(TimeEntry[format],ROW()-11)    +1)),2)</f>
        <v>#VALUE!</v>
      </c>
      <c r="B665" s="14"/>
      <c r="C665" s="7">
        <v>43427</v>
      </c>
      <c r="D665" s="7"/>
      <c r="E665" s="7"/>
      <c r="F665" s="6" t="s">
        <v>14</v>
      </c>
      <c r="G665" s="6"/>
      <c r="H665" s="7">
        <f>IF(TimeEntry[[#This Row],[Date]]=0,H664,C665+(7-N665))</f>
        <v>43429</v>
      </c>
      <c r="I665" s="7">
        <f>TimeEntry[[#This Row],[Date]]</f>
        <v>43427</v>
      </c>
      <c r="J665" s="10" t="str">
        <f>IF(TimeEntry[[#This Row],[Date]]=0,"",TEXT(TimeEntry[[#This Row],[Date]],"ddd"))</f>
        <v>Fri</v>
      </c>
      <c r="K665" s="9" t="str">
        <f>IF(TimeEntry[[#This Row],[Project]]=0,"",INDEX(ProjectsAll[job number],MATCH(TimeEntry[[#This Row],[Project]],ProjectsAll[Project],0)))</f>
        <v>071945-07</v>
      </c>
      <c r="L665" s="6" t="s">
        <v>379</v>
      </c>
      <c r="M665" s="6">
        <v>2</v>
      </c>
      <c r="N665" s="6">
        <f>IF(TimeEntry[[#This Row],[Date]]=0,"",WEEKDAY(C665,2))</f>
        <v>5</v>
      </c>
      <c r="O665" s="10">
        <f>YEAR(TimeEntry[[#This Row],[WkEnd]])</f>
        <v>2018</v>
      </c>
      <c r="P665" s="10">
        <f>WEEKNUM(TimeEntry[[#This Row],[WkEnd]])</f>
        <v>48</v>
      </c>
      <c r="Q665" s="10" t="str">
        <f>TimeEntry[[#This Row],[Year]]&amp;"-"&amp;TimeEntry[[#This Row],[WkNo]]</f>
        <v>2018-48</v>
      </c>
    </row>
    <row r="666" spans="1:17" ht="30" x14ac:dyDescent="0.25">
      <c r="A666" s="9" t="e">
        <f>MOD(IF(ROW()=11,0.1,IF(INDEX(TimeEntry[WkEnd],ROW()-10)            =            INDEX(TimeEntry[WkEnd],ROW()-11),               INDEX(TimeEntry[format],ROW()-11),               INDEX(TimeEntry[format],ROW()-11)    +1)),2)</f>
        <v>#VALUE!</v>
      </c>
      <c r="B666" s="14"/>
      <c r="C666" s="7">
        <v>43427</v>
      </c>
      <c r="D666" s="7"/>
      <c r="E666" s="7"/>
      <c r="F666" s="6" t="s">
        <v>14</v>
      </c>
      <c r="G666" s="6"/>
      <c r="H666" s="7">
        <f>IF(TimeEntry[[#This Row],[Date]]=0,H665,C666+(7-N666))</f>
        <v>43429</v>
      </c>
      <c r="I666" s="7">
        <f>TimeEntry[[#This Row],[Date]]</f>
        <v>43427</v>
      </c>
      <c r="J666" s="10" t="str">
        <f>IF(TimeEntry[[#This Row],[Date]]=0,"",TEXT(TimeEntry[[#This Row],[Date]],"ddd"))</f>
        <v>Fri</v>
      </c>
      <c r="K666" s="9" t="str">
        <f>IF(TimeEntry[[#This Row],[Project]]=0,"",INDEX(ProjectsAll[job number],MATCH(TimeEntry[[#This Row],[Project]],ProjectsAll[Project],0)))</f>
        <v>071945-07</v>
      </c>
      <c r="L666" s="6" t="s">
        <v>399</v>
      </c>
      <c r="M666" s="6">
        <v>1</v>
      </c>
      <c r="N666" s="6">
        <f>IF(TimeEntry[[#This Row],[Date]]=0,"",WEEKDAY(C666,2))</f>
        <v>5</v>
      </c>
      <c r="O666" s="10">
        <f>YEAR(TimeEntry[[#This Row],[WkEnd]])</f>
        <v>2018</v>
      </c>
      <c r="P666" s="10">
        <f>WEEKNUM(TimeEntry[[#This Row],[WkEnd]])</f>
        <v>48</v>
      </c>
      <c r="Q666" s="10" t="str">
        <f>TimeEntry[[#This Row],[Year]]&amp;"-"&amp;TimeEntry[[#This Row],[WkNo]]</f>
        <v>2018-48</v>
      </c>
    </row>
    <row r="667" spans="1:17" ht="30" x14ac:dyDescent="0.25">
      <c r="A667" s="9" t="e">
        <f>MOD(IF(ROW()=11,0.1,IF(INDEX(TimeEntry[WkEnd],ROW()-10)            =            INDEX(TimeEntry[WkEnd],ROW()-11),               INDEX(TimeEntry[format],ROW()-11),               INDEX(TimeEntry[format],ROW()-11)    +1)),2)</f>
        <v>#VALUE!</v>
      </c>
      <c r="B667" s="14"/>
      <c r="C667" s="7">
        <v>43427</v>
      </c>
      <c r="D667" s="7"/>
      <c r="E667" s="7"/>
      <c r="F667" s="6" t="s">
        <v>28</v>
      </c>
      <c r="G667" s="6"/>
      <c r="H667" s="7">
        <f>IF(TimeEntry[[#This Row],[Date]]=0,H666,C667+(7-N667))</f>
        <v>43429</v>
      </c>
      <c r="I667" s="7">
        <f>TimeEntry[[#This Row],[Date]]</f>
        <v>43427</v>
      </c>
      <c r="J667" s="10" t="str">
        <f>IF(TimeEntry[[#This Row],[Date]]=0,"",TEXT(TimeEntry[[#This Row],[Date]],"ddd"))</f>
        <v>Fri</v>
      </c>
      <c r="K667" s="9" t="str">
        <f>IF(TimeEntry[[#This Row],[Project]]=0,"",INDEX(ProjectsAll[job number],MATCH(TimeEntry[[#This Row],[Project]],ProjectsAll[Project],0)))</f>
        <v>074103-30</v>
      </c>
      <c r="L667" s="6" t="s">
        <v>394</v>
      </c>
      <c r="M667" s="6">
        <v>1</v>
      </c>
      <c r="N667" s="6">
        <f>IF(TimeEntry[[#This Row],[Date]]=0,"",WEEKDAY(C667,2))</f>
        <v>5</v>
      </c>
      <c r="O667" s="10">
        <f>YEAR(TimeEntry[[#This Row],[WkEnd]])</f>
        <v>2018</v>
      </c>
      <c r="P667" s="10">
        <f>WEEKNUM(TimeEntry[[#This Row],[WkEnd]])</f>
        <v>48</v>
      </c>
      <c r="Q667" s="10" t="str">
        <f>TimeEntry[[#This Row],[Year]]&amp;"-"&amp;TimeEntry[[#This Row],[WkNo]]</f>
        <v>2018-48</v>
      </c>
    </row>
    <row r="668" spans="1:17" ht="30" x14ac:dyDescent="0.25">
      <c r="A668" s="9" t="e">
        <f>MOD(IF(ROW()=11,0.1,IF(INDEX(TimeEntry[WkEnd],ROW()-10)            =            INDEX(TimeEntry[WkEnd],ROW()-11),               INDEX(TimeEntry[format],ROW()-11),               INDEX(TimeEntry[format],ROW()-11)    +1)),2)</f>
        <v>#VALUE!</v>
      </c>
      <c r="B668" s="14"/>
      <c r="C668" s="7">
        <v>43427</v>
      </c>
      <c r="D668" s="7"/>
      <c r="E668" s="7"/>
      <c r="F668" s="6" t="s">
        <v>45</v>
      </c>
      <c r="G668" s="6"/>
      <c r="H668" s="7">
        <f>IF(TimeEntry[[#This Row],[Date]]=0,H667,C668+(7-N668))</f>
        <v>43429</v>
      </c>
      <c r="I668" s="7">
        <f>TimeEntry[[#This Row],[Date]]</f>
        <v>43427</v>
      </c>
      <c r="J668" s="10" t="str">
        <f>IF(TimeEntry[[#This Row],[Date]]=0,"",TEXT(TimeEntry[[#This Row],[Date]],"ddd"))</f>
        <v>Fri</v>
      </c>
      <c r="K668" s="9" t="str">
        <f>IF(TimeEntry[[#This Row],[Project]]=0,"",INDEX(ProjectsAll[job number],MATCH(TimeEntry[[#This Row],[Project]],ProjectsAll[Project],0)))</f>
        <v>254304-79</v>
      </c>
      <c r="L668" s="6" t="s">
        <v>396</v>
      </c>
      <c r="M668" s="6">
        <v>3.5</v>
      </c>
      <c r="N668" s="6">
        <f>IF(TimeEntry[[#This Row],[Date]]=0,"",WEEKDAY(C668,2))</f>
        <v>5</v>
      </c>
      <c r="O668" s="10">
        <f>YEAR(TimeEntry[[#This Row],[WkEnd]])</f>
        <v>2018</v>
      </c>
      <c r="P668" s="10">
        <f>WEEKNUM(TimeEntry[[#This Row],[WkEnd]])</f>
        <v>48</v>
      </c>
      <c r="Q668" s="10" t="str">
        <f>TimeEntry[[#This Row],[Year]]&amp;"-"&amp;TimeEntry[[#This Row],[WkNo]]</f>
        <v>2018-48</v>
      </c>
    </row>
    <row r="669" spans="1:17" ht="30" x14ac:dyDescent="0.25">
      <c r="A669" s="9" t="e">
        <f>MOD(IF(ROW()=11,0.1,IF(INDEX(TimeEntry[WkEnd],ROW()-10)            =            INDEX(TimeEntry[WkEnd],ROW()-11),               INDEX(TimeEntry[format],ROW()-11),               INDEX(TimeEntry[format],ROW()-11)    +1)),2)</f>
        <v>#VALUE!</v>
      </c>
      <c r="B669" s="14"/>
      <c r="C669" s="7">
        <v>43416</v>
      </c>
      <c r="D669" s="7"/>
      <c r="E669" s="7"/>
      <c r="F669" s="6" t="s">
        <v>14</v>
      </c>
      <c r="G669" s="6"/>
      <c r="H669" s="7">
        <f>IF(TimeEntry[[#This Row],[Date]]=0,H668,C669+(7-N669))</f>
        <v>43422</v>
      </c>
      <c r="I669" s="7">
        <f>TimeEntry[[#This Row],[Date]]</f>
        <v>43416</v>
      </c>
      <c r="J669" s="10" t="str">
        <f>IF(TimeEntry[[#This Row],[Date]]=0,"",TEXT(TimeEntry[[#This Row],[Date]],"ddd"))</f>
        <v>Mon</v>
      </c>
      <c r="K669" s="9" t="str">
        <f>IF(TimeEntry[[#This Row],[Project]]=0,"",INDEX(ProjectsAll[job number],MATCH(TimeEntry[[#This Row],[Project]],ProjectsAll[Project],0)))</f>
        <v>071945-07</v>
      </c>
      <c r="L669" s="6" t="s">
        <v>400</v>
      </c>
      <c r="M669" s="6">
        <v>1</v>
      </c>
      <c r="N669" s="6">
        <f>IF(TimeEntry[[#This Row],[Date]]=0,"",WEEKDAY(C669,2))</f>
        <v>1</v>
      </c>
      <c r="O669" s="10">
        <f>YEAR(TimeEntry[[#This Row],[WkEnd]])</f>
        <v>2018</v>
      </c>
      <c r="P669" s="10">
        <f>WEEKNUM(TimeEntry[[#This Row],[WkEnd]])</f>
        <v>47</v>
      </c>
      <c r="Q669" s="10" t="str">
        <f>TimeEntry[[#This Row],[Year]]&amp;"-"&amp;TimeEntry[[#This Row],[WkNo]]</f>
        <v>2018-47</v>
      </c>
    </row>
    <row r="670" spans="1:17" x14ac:dyDescent="0.25">
      <c r="A670" s="9" t="e">
        <f>MOD(IF(ROW()=11,0.1,IF(INDEX(TimeEntry[WkEnd],ROW()-10)            =            INDEX(TimeEntry[WkEnd],ROW()-11),               INDEX(TimeEntry[format],ROW()-11),               INDEX(TimeEntry[format],ROW()-11)    +1)),2)</f>
        <v>#VALUE!</v>
      </c>
      <c r="B670" s="14"/>
      <c r="C670" s="7">
        <v>43416</v>
      </c>
      <c r="D670" s="7"/>
      <c r="E670" s="7"/>
      <c r="F670" s="6" t="s">
        <v>23</v>
      </c>
      <c r="G670" s="6"/>
      <c r="H670" s="7">
        <f>IF(TimeEntry[[#This Row],[Date]]=0,H669,C670+(7-N670))</f>
        <v>43422</v>
      </c>
      <c r="I670" s="7">
        <f>TimeEntry[[#This Row],[Date]]</f>
        <v>43416</v>
      </c>
      <c r="J670" s="10" t="str">
        <f>IF(TimeEntry[[#This Row],[Date]]=0,"",TEXT(TimeEntry[[#This Row],[Date]],"ddd"))</f>
        <v>Mon</v>
      </c>
      <c r="K670" s="9" t="e">
        <f>IF(TimeEntry[[#This Row],[Project]]=0,"",INDEX(ProjectsAll[job number],MATCH(TimeEntry[[#This Row],[Project]],ProjectsAll[Project],0)))</f>
        <v>#N/A</v>
      </c>
      <c r="L670" s="6" t="s">
        <v>401</v>
      </c>
      <c r="M670" s="6">
        <v>2</v>
      </c>
      <c r="N670" s="6">
        <f>IF(TimeEntry[[#This Row],[Date]]=0,"",WEEKDAY(C670,2))</f>
        <v>1</v>
      </c>
      <c r="O670" s="10">
        <f>YEAR(TimeEntry[[#This Row],[WkEnd]])</f>
        <v>2018</v>
      </c>
      <c r="P670" s="10">
        <f>WEEKNUM(TimeEntry[[#This Row],[WkEnd]])</f>
        <v>47</v>
      </c>
      <c r="Q670" s="10" t="str">
        <f>TimeEntry[[#This Row],[Year]]&amp;"-"&amp;TimeEntry[[#This Row],[WkNo]]</f>
        <v>2018-47</v>
      </c>
    </row>
    <row r="671" spans="1:17" ht="30" x14ac:dyDescent="0.25">
      <c r="A671" s="9" t="e">
        <f>MOD(IF(ROW()=11,0.1,IF(INDEX(TimeEntry[WkEnd],ROW()-10)            =            INDEX(TimeEntry[WkEnd],ROW()-11),               INDEX(TimeEntry[format],ROW()-11),               INDEX(TimeEntry[format],ROW()-11)    +1)),2)</f>
        <v>#VALUE!</v>
      </c>
      <c r="B671" s="14"/>
      <c r="C671" s="7">
        <v>43416</v>
      </c>
      <c r="D671" s="7"/>
      <c r="E671" s="7"/>
      <c r="F671" s="6" t="s">
        <v>28</v>
      </c>
      <c r="G671" s="6"/>
      <c r="H671" s="7">
        <f>IF(TimeEntry[[#This Row],[Date]]=0,H670,C671+(7-N671))</f>
        <v>43422</v>
      </c>
      <c r="I671" s="7">
        <f>TimeEntry[[#This Row],[Date]]</f>
        <v>43416</v>
      </c>
      <c r="J671" s="10" t="str">
        <f>IF(TimeEntry[[#This Row],[Date]]=0,"",TEXT(TimeEntry[[#This Row],[Date]],"ddd"))</f>
        <v>Mon</v>
      </c>
      <c r="K671" s="9" t="str">
        <f>IF(TimeEntry[[#This Row],[Project]]=0,"",INDEX(ProjectsAll[job number],MATCH(TimeEntry[[#This Row],[Project]],ProjectsAll[Project],0)))</f>
        <v>074103-30</v>
      </c>
      <c r="L671" s="6" t="s">
        <v>402</v>
      </c>
      <c r="M671" s="6">
        <v>1</v>
      </c>
      <c r="N671" s="6">
        <f>IF(TimeEntry[[#This Row],[Date]]=0,"",WEEKDAY(C671,2))</f>
        <v>1</v>
      </c>
      <c r="O671" s="10">
        <f>YEAR(TimeEntry[[#This Row],[WkEnd]])</f>
        <v>2018</v>
      </c>
      <c r="P671" s="10">
        <f>WEEKNUM(TimeEntry[[#This Row],[WkEnd]])</f>
        <v>47</v>
      </c>
      <c r="Q671" s="10" t="str">
        <f>TimeEntry[[#This Row],[Year]]&amp;"-"&amp;TimeEntry[[#This Row],[WkNo]]</f>
        <v>2018-47</v>
      </c>
    </row>
    <row r="672" spans="1:17" ht="30" x14ac:dyDescent="0.25">
      <c r="A672" s="9" t="e">
        <f>MOD(IF(ROW()=11,0.1,IF(INDEX(TimeEntry[WkEnd],ROW()-10)            =            INDEX(TimeEntry[WkEnd],ROW()-11),               INDEX(TimeEntry[format],ROW()-11),               INDEX(TimeEntry[format],ROW()-11)    +1)),2)</f>
        <v>#VALUE!</v>
      </c>
      <c r="B672" s="14"/>
      <c r="C672" s="7">
        <v>43416</v>
      </c>
      <c r="D672" s="7"/>
      <c r="E672" s="7"/>
      <c r="F672" s="6" t="s">
        <v>95</v>
      </c>
      <c r="G672" s="6"/>
      <c r="H672" s="7">
        <f>IF(TimeEntry[[#This Row],[Date]]=0,H671,C672+(7-N672))</f>
        <v>43422</v>
      </c>
      <c r="I672" s="7">
        <f>TimeEntry[[#This Row],[Date]]</f>
        <v>43416</v>
      </c>
      <c r="J672" s="10" t="str">
        <f>IF(TimeEntry[[#This Row],[Date]]=0,"",TEXT(TimeEntry[[#This Row],[Date]],"ddd"))</f>
        <v>Mon</v>
      </c>
      <c r="K672" s="9" t="str">
        <f>IF(TimeEntry[[#This Row],[Project]]=0,"",INDEX(ProjectsAll[job number],MATCH(TimeEntry[[#This Row],[Project]],ProjectsAll[Project],0)))</f>
        <v>264744-00</v>
      </c>
      <c r="L672" s="6" t="s">
        <v>403</v>
      </c>
      <c r="M672" s="6">
        <v>3.5</v>
      </c>
      <c r="N672" s="6">
        <f>IF(TimeEntry[[#This Row],[Date]]=0,"",WEEKDAY(C672,2))</f>
        <v>1</v>
      </c>
      <c r="O672" s="10">
        <f>YEAR(TimeEntry[[#This Row],[WkEnd]])</f>
        <v>2018</v>
      </c>
      <c r="P672" s="10">
        <f>WEEKNUM(TimeEntry[[#This Row],[WkEnd]])</f>
        <v>47</v>
      </c>
      <c r="Q672" s="10" t="str">
        <f>TimeEntry[[#This Row],[Year]]&amp;"-"&amp;TimeEntry[[#This Row],[WkNo]]</f>
        <v>2018-47</v>
      </c>
    </row>
    <row r="673" spans="1:17" ht="30" x14ac:dyDescent="0.25">
      <c r="A673" s="9" t="e">
        <f>MOD(IF(ROW()=11,0.1,IF(INDEX(TimeEntry[WkEnd],ROW()-10)            =            INDEX(TimeEntry[WkEnd],ROW()-11),               INDEX(TimeEntry[format],ROW()-11),               INDEX(TimeEntry[format],ROW()-11)    +1)),2)</f>
        <v>#VALUE!</v>
      </c>
      <c r="B673" s="14"/>
      <c r="C673" s="7">
        <v>43417</v>
      </c>
      <c r="D673" s="7"/>
      <c r="E673" s="7"/>
      <c r="F673" s="6" t="s">
        <v>74</v>
      </c>
      <c r="G673" s="6"/>
      <c r="H673" s="7">
        <f>IF(TimeEntry[[#This Row],[Date]]=0,H672,C673+(7-N673))</f>
        <v>43422</v>
      </c>
      <c r="I673" s="7">
        <f>TimeEntry[[#This Row],[Date]]</f>
        <v>43417</v>
      </c>
      <c r="J673" s="10" t="str">
        <f>IF(TimeEntry[[#This Row],[Date]]=0,"",TEXT(TimeEntry[[#This Row],[Date]],"ddd"))</f>
        <v>Tue</v>
      </c>
      <c r="K673" s="9" t="str">
        <f>IF(TimeEntry[[#This Row],[Project]]=0,"",INDEX(ProjectsAll[job number],MATCH(TimeEntry[[#This Row],[Project]],ProjectsAll[Project],0)))</f>
        <v>261723-02</v>
      </c>
      <c r="L673" s="6" t="s">
        <v>404</v>
      </c>
      <c r="M673" s="6">
        <v>3.75</v>
      </c>
      <c r="N673" s="6">
        <f>IF(TimeEntry[[#This Row],[Date]]=0,"",WEEKDAY(C673,2))</f>
        <v>2</v>
      </c>
      <c r="O673" s="10">
        <f>YEAR(TimeEntry[[#This Row],[WkEnd]])</f>
        <v>2018</v>
      </c>
      <c r="P673" s="10">
        <f>WEEKNUM(TimeEntry[[#This Row],[WkEnd]])</f>
        <v>47</v>
      </c>
      <c r="Q673" s="10" t="str">
        <f>TimeEntry[[#This Row],[Year]]&amp;"-"&amp;TimeEntry[[#This Row],[WkNo]]</f>
        <v>2018-47</v>
      </c>
    </row>
    <row r="674" spans="1:17" ht="30" x14ac:dyDescent="0.25">
      <c r="A674" s="9" t="e">
        <f>MOD(IF(ROW()=11,0.1,IF(INDEX(TimeEntry[WkEnd],ROW()-10)            =            INDEX(TimeEntry[WkEnd],ROW()-11),               INDEX(TimeEntry[format],ROW()-11),               INDEX(TimeEntry[format],ROW()-11)    +1)),2)</f>
        <v>#VALUE!</v>
      </c>
      <c r="B674" s="14"/>
      <c r="C674" s="7">
        <v>43417</v>
      </c>
      <c r="D674" s="7"/>
      <c r="E674" s="7"/>
      <c r="F674" s="6" t="s">
        <v>80</v>
      </c>
      <c r="G674" s="6"/>
      <c r="H674" s="7">
        <f>IF(TimeEntry[[#This Row],[Date]]=0,H673,C674+(7-N674))</f>
        <v>43422</v>
      </c>
      <c r="I674" s="7">
        <f>TimeEntry[[#This Row],[Date]]</f>
        <v>43417</v>
      </c>
      <c r="J674" s="10" t="str">
        <f>IF(TimeEntry[[#This Row],[Date]]=0,"",TEXT(TimeEntry[[#This Row],[Date]],"ddd"))</f>
        <v>Tue</v>
      </c>
      <c r="K674" s="9" t="str">
        <f>IF(TimeEntry[[#This Row],[Project]]=0,"",INDEX(ProjectsAll[job number],MATCH(TimeEntry[[#This Row],[Project]],ProjectsAll[Project],0)))</f>
        <v>TRAINING</v>
      </c>
      <c r="L674" s="6" t="s">
        <v>405</v>
      </c>
      <c r="M674" s="6">
        <v>3.75</v>
      </c>
      <c r="N674" s="6">
        <f>IF(TimeEntry[[#This Row],[Date]]=0,"",WEEKDAY(C674,2))</f>
        <v>2</v>
      </c>
      <c r="O674" s="10">
        <f>YEAR(TimeEntry[[#This Row],[WkEnd]])</f>
        <v>2018</v>
      </c>
      <c r="P674" s="10">
        <f>WEEKNUM(TimeEntry[[#This Row],[WkEnd]])</f>
        <v>47</v>
      </c>
      <c r="Q674" s="10" t="str">
        <f>TimeEntry[[#This Row],[Year]]&amp;"-"&amp;TimeEntry[[#This Row],[WkNo]]</f>
        <v>2018-47</v>
      </c>
    </row>
    <row r="675" spans="1:17" ht="30" x14ac:dyDescent="0.25">
      <c r="A675" s="9" t="e">
        <f>MOD(IF(ROW()=11,0.1,IF(INDEX(TimeEntry[WkEnd],ROW()-10)            =            INDEX(TimeEntry[WkEnd],ROW()-11),               INDEX(TimeEntry[format],ROW()-11),               INDEX(TimeEntry[format],ROW()-11)    +1)),2)</f>
        <v>#VALUE!</v>
      </c>
      <c r="B675" s="14"/>
      <c r="C675" s="7">
        <v>43418</v>
      </c>
      <c r="D675" s="7"/>
      <c r="E675" s="7"/>
      <c r="F675" s="6" t="s">
        <v>95</v>
      </c>
      <c r="G675" s="6"/>
      <c r="H675" s="7">
        <f>IF(TimeEntry[[#This Row],[Date]]=0,H674,C675+(7-N675))</f>
        <v>43422</v>
      </c>
      <c r="I675" s="7">
        <f>TimeEntry[[#This Row],[Date]]</f>
        <v>43418</v>
      </c>
      <c r="J675" s="10" t="str">
        <f>IF(TimeEntry[[#This Row],[Date]]=0,"",TEXT(TimeEntry[[#This Row],[Date]],"ddd"))</f>
        <v>Wed</v>
      </c>
      <c r="K675" s="9" t="str">
        <f>IF(TimeEntry[[#This Row],[Project]]=0,"",INDEX(ProjectsAll[job number],MATCH(TimeEntry[[#This Row],[Project]],ProjectsAll[Project],0)))</f>
        <v>264744-00</v>
      </c>
      <c r="L675" s="6" t="s">
        <v>406</v>
      </c>
      <c r="M675" s="6">
        <v>7.5</v>
      </c>
      <c r="N675" s="6">
        <f>IF(TimeEntry[[#This Row],[Date]]=0,"",WEEKDAY(C675,2))</f>
        <v>3</v>
      </c>
      <c r="O675" s="10">
        <f>YEAR(TimeEntry[[#This Row],[WkEnd]])</f>
        <v>2018</v>
      </c>
      <c r="P675" s="10">
        <f>WEEKNUM(TimeEntry[[#This Row],[WkEnd]])</f>
        <v>47</v>
      </c>
      <c r="Q675" s="10" t="str">
        <f>TimeEntry[[#This Row],[Year]]&amp;"-"&amp;TimeEntry[[#This Row],[WkNo]]</f>
        <v>2018-47</v>
      </c>
    </row>
    <row r="676" spans="1:17" ht="30" x14ac:dyDescent="0.25">
      <c r="A676" s="9" t="e">
        <f>MOD(IF(ROW()=11,0.1,IF(INDEX(TimeEntry[WkEnd],ROW()-10)            =            INDEX(TimeEntry[WkEnd],ROW()-11),               INDEX(TimeEntry[format],ROW()-11),               INDEX(TimeEntry[format],ROW()-11)    +1)),2)</f>
        <v>#VALUE!</v>
      </c>
      <c r="B676" s="14"/>
      <c r="C676" s="7">
        <v>43419</v>
      </c>
      <c r="D676" s="7"/>
      <c r="E676" s="7"/>
      <c r="F676" s="6" t="s">
        <v>95</v>
      </c>
      <c r="G676" s="6"/>
      <c r="H676" s="7">
        <f>IF(TimeEntry[[#This Row],[Date]]=0,H675,C676+(7-N676))</f>
        <v>43422</v>
      </c>
      <c r="I676" s="7">
        <f>TimeEntry[[#This Row],[Date]]</f>
        <v>43419</v>
      </c>
      <c r="J676" s="10" t="str">
        <f>IF(TimeEntry[[#This Row],[Date]]=0,"",TEXT(TimeEntry[[#This Row],[Date]],"ddd"))</f>
        <v>Thu</v>
      </c>
      <c r="K676" s="9" t="str">
        <f>IF(TimeEntry[[#This Row],[Project]]=0,"",INDEX(ProjectsAll[job number],MATCH(TimeEntry[[#This Row],[Project]],ProjectsAll[Project],0)))</f>
        <v>264744-00</v>
      </c>
      <c r="L676" s="6" t="s">
        <v>407</v>
      </c>
      <c r="M676" s="6">
        <v>7.5</v>
      </c>
      <c r="N676" s="6">
        <f>IF(TimeEntry[[#This Row],[Date]]=0,"",WEEKDAY(C676,2))</f>
        <v>4</v>
      </c>
      <c r="O676" s="10">
        <f>YEAR(TimeEntry[[#This Row],[WkEnd]])</f>
        <v>2018</v>
      </c>
      <c r="P676" s="10">
        <f>WEEKNUM(TimeEntry[[#This Row],[WkEnd]])</f>
        <v>47</v>
      </c>
      <c r="Q676" s="10" t="str">
        <f>TimeEntry[[#This Row],[Year]]&amp;"-"&amp;TimeEntry[[#This Row],[WkNo]]</f>
        <v>2018-47</v>
      </c>
    </row>
    <row r="677" spans="1:17" ht="30" x14ac:dyDescent="0.25">
      <c r="A677" s="9" t="e">
        <f>MOD(IF(ROW()=11,0.1,IF(INDEX(TimeEntry[WkEnd],ROW()-10)            =            INDEX(TimeEntry[WkEnd],ROW()-11),               INDEX(TimeEntry[format],ROW()-11),               INDEX(TimeEntry[format],ROW()-11)    +1)),2)</f>
        <v>#VALUE!</v>
      </c>
      <c r="B677" s="14"/>
      <c r="C677" s="7">
        <v>43420</v>
      </c>
      <c r="D677" s="7"/>
      <c r="E677" s="7"/>
      <c r="F677" s="6" t="s">
        <v>14</v>
      </c>
      <c r="G677" s="6"/>
      <c r="H677" s="7">
        <f>IF(TimeEntry[[#This Row],[Date]]=0,H676,C677+(7-N677))</f>
        <v>43422</v>
      </c>
      <c r="I677" s="7">
        <f>TimeEntry[[#This Row],[Date]]</f>
        <v>43420</v>
      </c>
      <c r="J677" s="10" t="str">
        <f>IF(TimeEntry[[#This Row],[Date]]=0,"",TEXT(TimeEntry[[#This Row],[Date]],"ddd"))</f>
        <v>Fri</v>
      </c>
      <c r="K677" s="9" t="str">
        <f>IF(TimeEntry[[#This Row],[Project]]=0,"",INDEX(ProjectsAll[job number],MATCH(TimeEntry[[#This Row],[Project]],ProjectsAll[Project],0)))</f>
        <v>071945-07</v>
      </c>
      <c r="L677" s="6" t="s">
        <v>408</v>
      </c>
      <c r="M677" s="6">
        <v>2</v>
      </c>
      <c r="N677" s="6">
        <f>IF(TimeEntry[[#This Row],[Date]]=0,"",WEEKDAY(C677,2))</f>
        <v>5</v>
      </c>
      <c r="O677" s="10">
        <f>YEAR(TimeEntry[[#This Row],[WkEnd]])</f>
        <v>2018</v>
      </c>
      <c r="P677" s="10">
        <f>WEEKNUM(TimeEntry[[#This Row],[WkEnd]])</f>
        <v>47</v>
      </c>
      <c r="Q677" s="10" t="str">
        <f>TimeEntry[[#This Row],[Year]]&amp;"-"&amp;TimeEntry[[#This Row],[WkNo]]</f>
        <v>2018-47</v>
      </c>
    </row>
    <row r="678" spans="1:17" x14ac:dyDescent="0.25">
      <c r="A678" s="9" t="e">
        <f>MOD(IF(ROW()=11,0.1,IF(INDEX(TimeEntry[WkEnd],ROW()-10)            =            INDEX(TimeEntry[WkEnd],ROW()-11),               INDEX(TimeEntry[format],ROW()-11),               INDEX(TimeEntry[format],ROW()-11)    +1)),2)</f>
        <v>#VALUE!</v>
      </c>
      <c r="B678" s="14"/>
      <c r="C678" s="7">
        <v>43420</v>
      </c>
      <c r="D678" s="7"/>
      <c r="E678" s="7"/>
      <c r="F678" s="6" t="s">
        <v>23</v>
      </c>
      <c r="G678" s="6"/>
      <c r="H678" s="7">
        <f>IF(TimeEntry[[#This Row],[Date]]=0,H677,C678+(7-N678))</f>
        <v>43422</v>
      </c>
      <c r="I678" s="7">
        <f>TimeEntry[[#This Row],[Date]]</f>
        <v>43420</v>
      </c>
      <c r="J678" s="10" t="str">
        <f>IF(TimeEntry[[#This Row],[Date]]=0,"",TEXT(TimeEntry[[#This Row],[Date]],"ddd"))</f>
        <v>Fri</v>
      </c>
      <c r="K678" s="9" t="e">
        <f>IF(TimeEntry[[#This Row],[Project]]=0,"",INDEX(ProjectsAll[job number],MATCH(TimeEntry[[#This Row],[Project]],ProjectsAll[Project],0)))</f>
        <v>#N/A</v>
      </c>
      <c r="L678" s="6" t="s">
        <v>401</v>
      </c>
      <c r="M678" s="6">
        <v>5.5</v>
      </c>
      <c r="N678" s="6">
        <f>IF(TimeEntry[[#This Row],[Date]]=0,"",WEEKDAY(C678,2))</f>
        <v>5</v>
      </c>
      <c r="O678" s="10">
        <f>YEAR(TimeEntry[[#This Row],[WkEnd]])</f>
        <v>2018</v>
      </c>
      <c r="P678" s="10">
        <f>WEEKNUM(TimeEntry[[#This Row],[WkEnd]])</f>
        <v>47</v>
      </c>
      <c r="Q678" s="10" t="str">
        <f>TimeEntry[[#This Row],[Year]]&amp;"-"&amp;TimeEntry[[#This Row],[WkNo]]</f>
        <v>2018-47</v>
      </c>
    </row>
    <row r="679" spans="1:17" ht="30" x14ac:dyDescent="0.25">
      <c r="A679" s="9" t="e">
        <f>MOD(IF(ROW()=11,0.1,IF(INDEX(TimeEntry[WkEnd],ROW()-10)            =            INDEX(TimeEntry[WkEnd],ROW()-11),               INDEX(TimeEntry[format],ROW()-11),               INDEX(TimeEntry[format],ROW()-11)    +1)),2)</f>
        <v>#VALUE!</v>
      </c>
      <c r="B679" s="14"/>
      <c r="C679" s="7">
        <v>43409</v>
      </c>
      <c r="D679" s="7"/>
      <c r="E679" s="7"/>
      <c r="F679" s="6" t="s">
        <v>74</v>
      </c>
      <c r="G679" s="6"/>
      <c r="H679" s="7">
        <f>IF(TimeEntry[[#This Row],[Date]]=0,H678,C679+(7-N679))</f>
        <v>43415</v>
      </c>
      <c r="I679" s="7">
        <f>TimeEntry[[#This Row],[Date]]</f>
        <v>43409</v>
      </c>
      <c r="J679" s="10" t="str">
        <f>IF(TimeEntry[[#This Row],[Date]]=0,"",TEXT(TimeEntry[[#This Row],[Date]],"ddd"))</f>
        <v>Mon</v>
      </c>
      <c r="K679" s="9" t="str">
        <f>IF(TimeEntry[[#This Row],[Project]]=0,"",INDEX(ProjectsAll[job number],MATCH(TimeEntry[[#This Row],[Project]],ProjectsAll[Project],0)))</f>
        <v>261723-02</v>
      </c>
      <c r="L679" s="6" t="s">
        <v>409</v>
      </c>
      <c r="M679" s="6">
        <v>1.25</v>
      </c>
      <c r="N679" s="6">
        <f>IF(TimeEntry[[#This Row],[Date]]=0,"",WEEKDAY(C679,2))</f>
        <v>1</v>
      </c>
      <c r="O679" s="10">
        <f>YEAR(TimeEntry[[#This Row],[WkEnd]])</f>
        <v>2018</v>
      </c>
      <c r="P679" s="10">
        <f>WEEKNUM(TimeEntry[[#This Row],[WkEnd]])</f>
        <v>46</v>
      </c>
      <c r="Q679" s="10" t="str">
        <f>TimeEntry[[#This Row],[Year]]&amp;"-"&amp;TimeEntry[[#This Row],[WkNo]]</f>
        <v>2018-46</v>
      </c>
    </row>
    <row r="680" spans="1:17" ht="30" x14ac:dyDescent="0.25">
      <c r="A680" s="9" t="e">
        <f>MOD(IF(ROW()=11,0.1,IF(INDEX(TimeEntry[WkEnd],ROW()-10)            =            INDEX(TimeEntry[WkEnd],ROW()-11),               INDEX(TimeEntry[format],ROW()-11),               INDEX(TimeEntry[format],ROW()-11)    +1)),2)</f>
        <v>#VALUE!</v>
      </c>
      <c r="B680" s="14"/>
      <c r="C680" s="7">
        <v>43409</v>
      </c>
      <c r="D680" s="7"/>
      <c r="E680" s="7"/>
      <c r="F680" s="6" t="s">
        <v>74</v>
      </c>
      <c r="G680" s="6"/>
      <c r="H680" s="7">
        <f>IF(TimeEntry[[#This Row],[Date]]=0,H679,C680+(7-N680))</f>
        <v>43415</v>
      </c>
      <c r="I680" s="7">
        <f>TimeEntry[[#This Row],[Date]]</f>
        <v>43409</v>
      </c>
      <c r="J680" s="10" t="str">
        <f>IF(TimeEntry[[#This Row],[Date]]=0,"",TEXT(TimeEntry[[#This Row],[Date]],"ddd"))</f>
        <v>Mon</v>
      </c>
      <c r="K680" s="9" t="str">
        <f>IF(TimeEntry[[#This Row],[Project]]=0,"",INDEX(ProjectsAll[job number],MATCH(TimeEntry[[#This Row],[Project]],ProjectsAll[Project],0)))</f>
        <v>261723-02</v>
      </c>
      <c r="L680" s="6" t="s">
        <v>410</v>
      </c>
      <c r="M680" s="6">
        <v>2.5</v>
      </c>
      <c r="N680" s="6">
        <f>IF(TimeEntry[[#This Row],[Date]]=0,"",WEEKDAY(C680,2))</f>
        <v>1</v>
      </c>
      <c r="O680" s="10">
        <f>YEAR(TimeEntry[[#This Row],[WkEnd]])</f>
        <v>2018</v>
      </c>
      <c r="P680" s="10">
        <f>WEEKNUM(TimeEntry[[#This Row],[WkEnd]])</f>
        <v>46</v>
      </c>
      <c r="Q680" s="10" t="str">
        <f>TimeEntry[[#This Row],[Year]]&amp;"-"&amp;TimeEntry[[#This Row],[WkNo]]</f>
        <v>2018-46</v>
      </c>
    </row>
    <row r="681" spans="1:17" x14ac:dyDescent="0.25">
      <c r="A681" s="9" t="e">
        <f>MOD(IF(ROW()=11,0.1,IF(INDEX(TimeEntry[WkEnd],ROW()-10)            =            INDEX(TimeEntry[WkEnd],ROW()-11),               INDEX(TimeEntry[format],ROW()-11),               INDEX(TimeEntry[format],ROW()-11)    +1)),2)</f>
        <v>#VALUE!</v>
      </c>
      <c r="B681" s="14"/>
      <c r="C681" s="7">
        <v>43409</v>
      </c>
      <c r="D681" s="7"/>
      <c r="E681" s="7"/>
      <c r="F681" s="6" t="s">
        <v>68</v>
      </c>
      <c r="G681" s="6"/>
      <c r="H681" s="7">
        <f>IF(TimeEntry[[#This Row],[Date]]=0,H680,C681+(7-N681))</f>
        <v>43415</v>
      </c>
      <c r="I681" s="7">
        <f>TimeEntry[[#This Row],[Date]]</f>
        <v>43409</v>
      </c>
      <c r="J681" s="10" t="str">
        <f>IF(TimeEntry[[#This Row],[Date]]=0,"",TEXT(TimeEntry[[#This Row],[Date]],"ddd"))</f>
        <v>Mon</v>
      </c>
      <c r="K681" s="9" t="str">
        <f>IF(TimeEntry[[#This Row],[Project]]=0,"",INDEX(ProjectsAll[job number],MATCH(TimeEntry[[#This Row],[Project]],ProjectsAll[Project],0)))</f>
        <v>LEAVE</v>
      </c>
      <c r="L681" s="6" t="s">
        <v>411</v>
      </c>
      <c r="M681" s="6">
        <v>3.75</v>
      </c>
      <c r="N681" s="6">
        <f>IF(TimeEntry[[#This Row],[Date]]=0,"",WEEKDAY(C681,2))</f>
        <v>1</v>
      </c>
      <c r="O681" s="10">
        <f>YEAR(TimeEntry[[#This Row],[WkEnd]])</f>
        <v>2018</v>
      </c>
      <c r="P681" s="10">
        <f>WEEKNUM(TimeEntry[[#This Row],[WkEnd]])</f>
        <v>46</v>
      </c>
      <c r="Q681" s="10" t="str">
        <f>TimeEntry[[#This Row],[Year]]&amp;"-"&amp;TimeEntry[[#This Row],[WkNo]]</f>
        <v>2018-46</v>
      </c>
    </row>
    <row r="682" spans="1:17" ht="30" x14ac:dyDescent="0.25">
      <c r="A682" s="9" t="e">
        <f>MOD(IF(ROW()=11,0.1,IF(INDEX(TimeEntry[WkEnd],ROW()-10)            =            INDEX(TimeEntry[WkEnd],ROW()-11),               INDEX(TimeEntry[format],ROW()-11),               INDEX(TimeEntry[format],ROW()-11)    +1)),2)</f>
        <v>#VALUE!</v>
      </c>
      <c r="B682" s="14"/>
      <c r="C682" s="7">
        <v>43410</v>
      </c>
      <c r="D682" s="7"/>
      <c r="E682" s="7"/>
      <c r="F682" s="6" t="s">
        <v>74</v>
      </c>
      <c r="G682" s="6"/>
      <c r="H682" s="7">
        <f>IF(TimeEntry[[#This Row],[Date]]=0,H681,C682+(7-N682))</f>
        <v>43415</v>
      </c>
      <c r="I682" s="7">
        <f>TimeEntry[[#This Row],[Date]]</f>
        <v>43410</v>
      </c>
      <c r="J682" s="10" t="str">
        <f>IF(TimeEntry[[#This Row],[Date]]=0,"",TEXT(TimeEntry[[#This Row],[Date]],"ddd"))</f>
        <v>Tue</v>
      </c>
      <c r="K682" s="9" t="str">
        <f>IF(TimeEntry[[#This Row],[Project]]=0,"",INDEX(ProjectsAll[job number],MATCH(TimeEntry[[#This Row],[Project]],ProjectsAll[Project],0)))</f>
        <v>261723-02</v>
      </c>
      <c r="L682" s="6" t="s">
        <v>412</v>
      </c>
      <c r="M682" s="6">
        <v>7.5</v>
      </c>
      <c r="N682" s="6">
        <f>IF(TimeEntry[[#This Row],[Date]]=0,"",WEEKDAY(C682,2))</f>
        <v>2</v>
      </c>
      <c r="O682" s="10">
        <f>YEAR(TimeEntry[[#This Row],[WkEnd]])</f>
        <v>2018</v>
      </c>
      <c r="P682" s="10">
        <f>WEEKNUM(TimeEntry[[#This Row],[WkEnd]])</f>
        <v>46</v>
      </c>
      <c r="Q682" s="10" t="str">
        <f>TimeEntry[[#This Row],[Year]]&amp;"-"&amp;TimeEntry[[#This Row],[WkNo]]</f>
        <v>2018-46</v>
      </c>
    </row>
    <row r="683" spans="1:17" ht="30" x14ac:dyDescent="0.25">
      <c r="A683" s="9" t="e">
        <f>MOD(IF(ROW()=11,0.1,IF(INDEX(TimeEntry[WkEnd],ROW()-10)            =            INDEX(TimeEntry[WkEnd],ROW()-11),               INDEX(TimeEntry[format],ROW()-11),               INDEX(TimeEntry[format],ROW()-11)    +1)),2)</f>
        <v>#VALUE!</v>
      </c>
      <c r="B683" s="14"/>
      <c r="C683" s="7">
        <v>43411</v>
      </c>
      <c r="D683" s="7"/>
      <c r="E683" s="7"/>
      <c r="F683" s="6" t="s">
        <v>95</v>
      </c>
      <c r="G683" s="6"/>
      <c r="H683" s="7">
        <f>IF(TimeEntry[[#This Row],[Date]]=0,H682,C683+(7-N683))</f>
        <v>43415</v>
      </c>
      <c r="I683" s="7">
        <f>TimeEntry[[#This Row],[Date]]</f>
        <v>43411</v>
      </c>
      <c r="J683" s="10" t="str">
        <f>IF(TimeEntry[[#This Row],[Date]]=0,"",TEXT(TimeEntry[[#This Row],[Date]],"ddd"))</f>
        <v>Wed</v>
      </c>
      <c r="K683" s="9" t="str">
        <f>IF(TimeEntry[[#This Row],[Project]]=0,"",INDEX(ProjectsAll[job number],MATCH(TimeEntry[[#This Row],[Project]],ProjectsAll[Project],0)))</f>
        <v>264744-00</v>
      </c>
      <c r="L683" s="6" t="s">
        <v>413</v>
      </c>
      <c r="M683" s="6">
        <v>3</v>
      </c>
      <c r="N683" s="6">
        <f>IF(TimeEntry[[#This Row],[Date]]=0,"",WEEKDAY(C683,2))</f>
        <v>3</v>
      </c>
      <c r="O683" s="10">
        <f>YEAR(TimeEntry[[#This Row],[WkEnd]])</f>
        <v>2018</v>
      </c>
      <c r="P683" s="10">
        <f>WEEKNUM(TimeEntry[[#This Row],[WkEnd]])</f>
        <v>46</v>
      </c>
      <c r="Q683" s="10" t="str">
        <f>TimeEntry[[#This Row],[Year]]&amp;"-"&amp;TimeEntry[[#This Row],[WkNo]]</f>
        <v>2018-46</v>
      </c>
    </row>
    <row r="684" spans="1:17" ht="30" x14ac:dyDescent="0.25">
      <c r="A684" s="9" t="e">
        <f>MOD(IF(ROW()=11,0.1,IF(INDEX(TimeEntry[WkEnd],ROW()-10)            =            INDEX(TimeEntry[WkEnd],ROW()-11),               INDEX(TimeEntry[format],ROW()-11),               INDEX(TimeEntry[format],ROW()-11)    +1)),2)</f>
        <v>#VALUE!</v>
      </c>
      <c r="B684" s="14"/>
      <c r="C684" s="7">
        <v>43411</v>
      </c>
      <c r="D684" s="7"/>
      <c r="E684" s="7"/>
      <c r="F684" s="6" t="s">
        <v>414</v>
      </c>
      <c r="G684" s="6"/>
      <c r="H684" s="7">
        <f>IF(TimeEntry[[#This Row],[Date]]=0,H683,C684+(7-N684))</f>
        <v>43415</v>
      </c>
      <c r="I684" s="7">
        <f>TimeEntry[[#This Row],[Date]]</f>
        <v>43411</v>
      </c>
      <c r="J684" s="10" t="str">
        <f>IF(TimeEntry[[#This Row],[Date]]=0,"",TEXT(TimeEntry[[#This Row],[Date]],"ddd"))</f>
        <v>Wed</v>
      </c>
      <c r="K684" s="9" t="e">
        <f>IF(TimeEntry[[#This Row],[Project]]=0,"",INDEX(ProjectsAll[job number],MATCH(TimeEntry[[#This Row],[Project]],ProjectsAll[Project],0)))</f>
        <v>#N/A</v>
      </c>
      <c r="L684" s="6" t="s">
        <v>415</v>
      </c>
      <c r="M684" s="6">
        <v>1</v>
      </c>
      <c r="N684" s="6">
        <f>IF(TimeEntry[[#This Row],[Date]]=0,"",WEEKDAY(C684,2))</f>
        <v>3</v>
      </c>
      <c r="O684" s="10">
        <f>YEAR(TimeEntry[[#This Row],[WkEnd]])</f>
        <v>2018</v>
      </c>
      <c r="P684" s="10">
        <f>WEEKNUM(TimeEntry[[#This Row],[WkEnd]])</f>
        <v>46</v>
      </c>
      <c r="Q684" s="10" t="str">
        <f>TimeEntry[[#This Row],[Year]]&amp;"-"&amp;TimeEntry[[#This Row],[WkNo]]</f>
        <v>2018-46</v>
      </c>
    </row>
    <row r="685" spans="1:17" ht="30" x14ac:dyDescent="0.25">
      <c r="A685" s="9" t="e">
        <f>MOD(IF(ROW()=11,0.1,IF(INDEX(TimeEntry[WkEnd],ROW()-10)            =            INDEX(TimeEntry[WkEnd],ROW()-11),               INDEX(TimeEntry[format],ROW()-11),               INDEX(TimeEntry[format],ROW()-11)    +1)),2)</f>
        <v>#VALUE!</v>
      </c>
      <c r="B685" s="14"/>
      <c r="C685" s="7">
        <v>43411</v>
      </c>
      <c r="D685" s="7"/>
      <c r="E685" s="7"/>
      <c r="F685" s="6" t="s">
        <v>414</v>
      </c>
      <c r="G685" s="6"/>
      <c r="H685" s="7">
        <f>IF(TimeEntry[[#This Row],[Date]]=0,H684,C685+(7-N685))</f>
        <v>43415</v>
      </c>
      <c r="I685" s="7">
        <f>TimeEntry[[#This Row],[Date]]</f>
        <v>43411</v>
      </c>
      <c r="J685" s="10" t="str">
        <f>IF(TimeEntry[[#This Row],[Date]]=0,"",TEXT(TimeEntry[[#This Row],[Date]],"ddd"))</f>
        <v>Wed</v>
      </c>
      <c r="K685" s="9" t="e">
        <f>IF(TimeEntry[[#This Row],[Project]]=0,"",INDEX(ProjectsAll[job number],MATCH(TimeEntry[[#This Row],[Project]],ProjectsAll[Project],0)))</f>
        <v>#N/A</v>
      </c>
      <c r="L685" s="6" t="s">
        <v>416</v>
      </c>
      <c r="M685" s="6">
        <v>3.5</v>
      </c>
      <c r="N685" s="6">
        <f>IF(TimeEntry[[#This Row],[Date]]=0,"",WEEKDAY(C685,2))</f>
        <v>3</v>
      </c>
      <c r="O685" s="10">
        <f>YEAR(TimeEntry[[#This Row],[WkEnd]])</f>
        <v>2018</v>
      </c>
      <c r="P685" s="10">
        <f>WEEKNUM(TimeEntry[[#This Row],[WkEnd]])</f>
        <v>46</v>
      </c>
      <c r="Q685" s="10" t="str">
        <f>TimeEntry[[#This Row],[Year]]&amp;"-"&amp;TimeEntry[[#This Row],[WkNo]]</f>
        <v>2018-46</v>
      </c>
    </row>
    <row r="686" spans="1:17" ht="30" x14ac:dyDescent="0.25">
      <c r="A686" s="9" t="e">
        <f>MOD(IF(ROW()=11,0.1,IF(INDEX(TimeEntry[WkEnd],ROW()-10)            =            INDEX(TimeEntry[WkEnd],ROW()-11),               INDEX(TimeEntry[format],ROW()-11),               INDEX(TimeEntry[format],ROW()-11)    +1)),2)</f>
        <v>#VALUE!</v>
      </c>
      <c r="B686" s="15"/>
      <c r="C686" s="11">
        <v>43412</v>
      </c>
      <c r="D686" s="11"/>
      <c r="E686" s="11"/>
      <c r="F686" s="6" t="s">
        <v>95</v>
      </c>
      <c r="G686" s="6"/>
      <c r="H686" s="7">
        <f>IF(TimeEntry[[#This Row],[Date]]=0,H685,C686+(7-N686))</f>
        <v>43415</v>
      </c>
      <c r="I686" s="7">
        <f>TimeEntry[[#This Row],[Date]]</f>
        <v>43412</v>
      </c>
      <c r="J686" s="10" t="str">
        <f>IF(TimeEntry[[#This Row],[Date]]=0,"",TEXT(TimeEntry[[#This Row],[Date]],"ddd"))</f>
        <v>Thu</v>
      </c>
      <c r="K686" s="9" t="str">
        <f>IF(TimeEntry[[#This Row],[Project]]=0,"",INDEX(ProjectsAll[job number],MATCH(TimeEntry[[#This Row],[Project]],ProjectsAll[Project],0)))</f>
        <v>264744-00</v>
      </c>
      <c r="L686" s="6" t="s">
        <v>413</v>
      </c>
      <c r="M686" s="6">
        <v>2</v>
      </c>
      <c r="N686" s="6">
        <f>IF(TimeEntry[[#This Row],[Date]]=0,"",WEEKDAY(C686,2))</f>
        <v>4</v>
      </c>
      <c r="O686" s="10">
        <f>YEAR(TimeEntry[[#This Row],[WkEnd]])</f>
        <v>2018</v>
      </c>
      <c r="P686" s="10">
        <f>WEEKNUM(TimeEntry[[#This Row],[WkEnd]])</f>
        <v>46</v>
      </c>
      <c r="Q686" s="10" t="str">
        <f>TimeEntry[[#This Row],[Year]]&amp;"-"&amp;TimeEntry[[#This Row],[WkNo]]</f>
        <v>2018-46</v>
      </c>
    </row>
    <row r="687" spans="1:17" ht="30" x14ac:dyDescent="0.25">
      <c r="A687" s="9" t="e">
        <f>MOD(IF(ROW()=11,0.1,IF(INDEX(TimeEntry[WkEnd],ROW()-10)            =            INDEX(TimeEntry[WkEnd],ROW()-11),               INDEX(TimeEntry[format],ROW()-11),               INDEX(TimeEntry[format],ROW()-11)    +1)),2)</f>
        <v>#VALUE!</v>
      </c>
      <c r="B687" s="16"/>
      <c r="C687" s="12">
        <v>43412</v>
      </c>
      <c r="D687" s="12"/>
      <c r="E687" s="12"/>
      <c r="F687" s="6" t="s">
        <v>14</v>
      </c>
      <c r="G687" s="6"/>
      <c r="H687" s="7">
        <f>IF(TimeEntry[[#This Row],[Date]]=0,H686,C687+(7-N687))</f>
        <v>43415</v>
      </c>
      <c r="I687" s="7">
        <f>TimeEntry[[#This Row],[Date]]</f>
        <v>43412</v>
      </c>
      <c r="J687" s="10" t="str">
        <f>IF(TimeEntry[[#This Row],[Date]]=0,"",TEXT(TimeEntry[[#This Row],[Date]],"ddd"))</f>
        <v>Thu</v>
      </c>
      <c r="K687" s="9" t="str">
        <f>IF(TimeEntry[[#This Row],[Project]]=0,"",INDEX(ProjectsAll[job number],MATCH(TimeEntry[[#This Row],[Project]],ProjectsAll[Project],0)))</f>
        <v>071945-07</v>
      </c>
      <c r="L687" s="6" t="s">
        <v>417</v>
      </c>
      <c r="M687" s="6">
        <v>2</v>
      </c>
      <c r="N687" s="6">
        <f>IF(TimeEntry[[#This Row],[Date]]=0,"",WEEKDAY(C687,2))</f>
        <v>4</v>
      </c>
      <c r="O687" s="10">
        <f>YEAR(TimeEntry[[#This Row],[WkEnd]])</f>
        <v>2018</v>
      </c>
      <c r="P687" s="10">
        <f>WEEKNUM(TimeEntry[[#This Row],[WkEnd]])</f>
        <v>46</v>
      </c>
      <c r="Q687" s="10" t="str">
        <f>TimeEntry[[#This Row],[Year]]&amp;"-"&amp;TimeEntry[[#This Row],[WkNo]]</f>
        <v>2018-46</v>
      </c>
    </row>
    <row r="688" spans="1:17" ht="30" x14ac:dyDescent="0.25">
      <c r="A688" s="9" t="e">
        <f>MOD(IF(ROW()=11,0.1,IF(INDEX(TimeEntry[WkEnd],ROW()-10)            =            INDEX(TimeEntry[WkEnd],ROW()-11),               INDEX(TimeEntry[format],ROW()-11),               INDEX(TimeEntry[format],ROW()-11)    +1)),2)</f>
        <v>#VALUE!</v>
      </c>
      <c r="B688" s="14"/>
      <c r="C688" s="7">
        <v>43412</v>
      </c>
      <c r="D688" s="7"/>
      <c r="E688" s="7"/>
      <c r="F688" s="6" t="s">
        <v>14</v>
      </c>
      <c r="G688" s="6"/>
      <c r="H688" s="7">
        <f>IF(TimeEntry[[#This Row],[Date]]=0,H687,C688+(7-N688))</f>
        <v>43415</v>
      </c>
      <c r="I688" s="7">
        <f>TimeEntry[[#This Row],[Date]]</f>
        <v>43412</v>
      </c>
      <c r="J688" s="10" t="str">
        <f>IF(TimeEntry[[#This Row],[Date]]=0,"",TEXT(TimeEntry[[#This Row],[Date]],"ddd"))</f>
        <v>Thu</v>
      </c>
      <c r="K688" s="9" t="str">
        <f>IF(TimeEntry[[#This Row],[Project]]=0,"",INDEX(ProjectsAll[job number],MATCH(TimeEntry[[#This Row],[Project]],ProjectsAll[Project],0)))</f>
        <v>071945-07</v>
      </c>
      <c r="L688" s="6" t="s">
        <v>418</v>
      </c>
      <c r="M688" s="6">
        <v>3.5</v>
      </c>
      <c r="N688" s="6">
        <f>IF(TimeEntry[[#This Row],[Date]]=0,"",WEEKDAY(C688,2))</f>
        <v>4</v>
      </c>
      <c r="O688" s="10">
        <f>YEAR(TimeEntry[[#This Row],[WkEnd]])</f>
        <v>2018</v>
      </c>
      <c r="P688" s="10">
        <f>WEEKNUM(TimeEntry[[#This Row],[WkEnd]])</f>
        <v>46</v>
      </c>
      <c r="Q688" s="10" t="str">
        <f>TimeEntry[[#This Row],[Year]]&amp;"-"&amp;TimeEntry[[#This Row],[WkNo]]</f>
        <v>2018-46</v>
      </c>
    </row>
    <row r="689" spans="1:17" ht="30" x14ac:dyDescent="0.25">
      <c r="A689" s="9" t="e">
        <f>MOD(IF(ROW()=11,0.1,IF(INDEX(TimeEntry[WkEnd],ROW()-10)            =            INDEX(TimeEntry[WkEnd],ROW()-11),               INDEX(TimeEntry[format],ROW()-11),               INDEX(TimeEntry[format],ROW()-11)    +1)),2)</f>
        <v>#VALUE!</v>
      </c>
      <c r="B689" s="14"/>
      <c r="C689" s="7">
        <v>43413</v>
      </c>
      <c r="D689" s="7"/>
      <c r="E689" s="7"/>
      <c r="F689" s="6" t="s">
        <v>14</v>
      </c>
      <c r="G689" s="6"/>
      <c r="H689" s="7">
        <f>IF(TimeEntry[[#This Row],[Date]]=0,H688,C689+(7-N689))</f>
        <v>43415</v>
      </c>
      <c r="I689" s="7">
        <f>TimeEntry[[#This Row],[Date]]</f>
        <v>43413</v>
      </c>
      <c r="J689" s="10" t="str">
        <f>IF(TimeEntry[[#This Row],[Date]]=0,"",TEXT(TimeEntry[[#This Row],[Date]],"ddd"))</f>
        <v>Fri</v>
      </c>
      <c r="K689" s="9" t="str">
        <f>IF(TimeEntry[[#This Row],[Project]]=0,"",INDEX(ProjectsAll[job number],MATCH(TimeEntry[[#This Row],[Project]],ProjectsAll[Project],0)))</f>
        <v>071945-07</v>
      </c>
      <c r="L689" s="6" t="s">
        <v>408</v>
      </c>
      <c r="M689" s="6">
        <v>2</v>
      </c>
      <c r="N689" s="6">
        <f>IF(TimeEntry[[#This Row],[Date]]=0,"",WEEKDAY(C689,2))</f>
        <v>5</v>
      </c>
      <c r="O689" s="10">
        <f>YEAR(TimeEntry[[#This Row],[WkEnd]])</f>
        <v>2018</v>
      </c>
      <c r="P689" s="10">
        <f>WEEKNUM(TimeEntry[[#This Row],[WkEnd]])</f>
        <v>46</v>
      </c>
      <c r="Q689" s="10" t="str">
        <f>TimeEntry[[#This Row],[Year]]&amp;"-"&amp;TimeEntry[[#This Row],[WkNo]]</f>
        <v>2018-46</v>
      </c>
    </row>
    <row r="690" spans="1:17" ht="30" x14ac:dyDescent="0.25">
      <c r="A690" s="9" t="e">
        <f>MOD(IF(ROW()=11,0.1,IF(INDEX(TimeEntry[WkEnd],ROW()-10)            =            INDEX(TimeEntry[WkEnd],ROW()-11),               INDEX(TimeEntry[format],ROW()-11),               INDEX(TimeEntry[format],ROW()-11)    +1)),2)</f>
        <v>#VALUE!</v>
      </c>
      <c r="B690" s="14"/>
      <c r="C690" s="7">
        <v>43413</v>
      </c>
      <c r="D690" s="7"/>
      <c r="E690" s="7"/>
      <c r="F690" s="6" t="s">
        <v>61</v>
      </c>
      <c r="G690" s="6"/>
      <c r="H690" s="7">
        <f>IF(TimeEntry[[#This Row],[Date]]=0,H689,C690+(7-N690))</f>
        <v>43415</v>
      </c>
      <c r="I690" s="7">
        <f>TimeEntry[[#This Row],[Date]]</f>
        <v>43413</v>
      </c>
      <c r="J690" s="10" t="str">
        <f>IF(TimeEntry[[#This Row],[Date]]=0,"",TEXT(TimeEntry[[#This Row],[Date]],"ddd"))</f>
        <v>Fri</v>
      </c>
      <c r="K690" s="9" t="str">
        <f>IF(TimeEntry[[#This Row],[Project]]=0,"",INDEX(ProjectsAll[job number],MATCH(TimeEntry[[#This Row],[Project]],ProjectsAll[Project],0)))</f>
        <v>252076-05</v>
      </c>
      <c r="L690" s="6" t="s">
        <v>61</v>
      </c>
      <c r="M690" s="6">
        <v>2.5</v>
      </c>
      <c r="N690" s="6">
        <f>IF(TimeEntry[[#This Row],[Date]]=0,"",WEEKDAY(C690,2))</f>
        <v>5</v>
      </c>
      <c r="O690" s="10">
        <f>YEAR(TimeEntry[[#This Row],[WkEnd]])</f>
        <v>2018</v>
      </c>
      <c r="P690" s="10">
        <f>WEEKNUM(TimeEntry[[#This Row],[WkEnd]])</f>
        <v>46</v>
      </c>
      <c r="Q690" s="10" t="str">
        <f>TimeEntry[[#This Row],[Year]]&amp;"-"&amp;TimeEntry[[#This Row],[WkNo]]</f>
        <v>2018-46</v>
      </c>
    </row>
    <row r="691" spans="1:17" ht="30" x14ac:dyDescent="0.25">
      <c r="A691" s="9" t="e">
        <f>MOD(IF(ROW()=11,0.1,IF(INDEX(TimeEntry[WkEnd],ROW()-10)            =            INDEX(TimeEntry[WkEnd],ROW()-11),               INDEX(TimeEntry[format],ROW()-11),               INDEX(TimeEntry[format],ROW()-11)    +1)),2)</f>
        <v>#VALUE!</v>
      </c>
      <c r="B691" s="14"/>
      <c r="C691" s="7">
        <v>43413</v>
      </c>
      <c r="D691" s="7"/>
      <c r="E691" s="7"/>
      <c r="F691" s="6" t="s">
        <v>95</v>
      </c>
      <c r="G691" s="6"/>
      <c r="H691" s="7">
        <f>IF(TimeEntry[[#This Row],[Date]]=0,H690,C691+(7-N691))</f>
        <v>43415</v>
      </c>
      <c r="I691" s="7">
        <f>TimeEntry[[#This Row],[Date]]</f>
        <v>43413</v>
      </c>
      <c r="J691" s="10" t="str">
        <f>IF(TimeEntry[[#This Row],[Date]]=0,"",TEXT(TimeEntry[[#This Row],[Date]],"ddd"))</f>
        <v>Fri</v>
      </c>
      <c r="K691" s="9" t="str">
        <f>IF(TimeEntry[[#This Row],[Project]]=0,"",INDEX(ProjectsAll[job number],MATCH(TimeEntry[[#This Row],[Project]],ProjectsAll[Project],0)))</f>
        <v>264744-00</v>
      </c>
      <c r="L691" s="6" t="s">
        <v>419</v>
      </c>
      <c r="M691" s="6">
        <v>3</v>
      </c>
      <c r="N691" s="6">
        <f>IF(TimeEntry[[#This Row],[Date]]=0,"",WEEKDAY(C691,2))</f>
        <v>5</v>
      </c>
      <c r="O691" s="10">
        <f>YEAR(TimeEntry[[#This Row],[WkEnd]])</f>
        <v>2018</v>
      </c>
      <c r="P691" s="10">
        <f>WEEKNUM(TimeEntry[[#This Row],[WkEnd]])</f>
        <v>46</v>
      </c>
      <c r="Q691" s="10" t="str">
        <f>TimeEntry[[#This Row],[Year]]&amp;"-"&amp;TimeEntry[[#This Row],[WkNo]]</f>
        <v>2018-46</v>
      </c>
    </row>
    <row r="692" spans="1:17" ht="30" x14ac:dyDescent="0.25">
      <c r="A692" s="9" t="e">
        <f>MOD(IF(ROW()=11,0.1,IF(INDEX(TimeEntry[WkEnd],ROW()-10)            =            INDEX(TimeEntry[WkEnd],ROW()-11),               INDEX(TimeEntry[format],ROW()-11),               INDEX(TimeEntry[format],ROW()-11)    +1)),2)</f>
        <v>#VALUE!</v>
      </c>
      <c r="B692" s="14"/>
      <c r="C692" s="7">
        <v>43402</v>
      </c>
      <c r="D692" s="7"/>
      <c r="E692" s="7"/>
      <c r="F692" s="6" t="s">
        <v>95</v>
      </c>
      <c r="G692" s="6"/>
      <c r="H692" s="7">
        <f>IF(TimeEntry[[#This Row],[Date]]=0,H691,C692+(7-N692))</f>
        <v>43408</v>
      </c>
      <c r="I692" s="7">
        <f>TimeEntry[[#This Row],[Date]]</f>
        <v>43402</v>
      </c>
      <c r="J692" s="10" t="str">
        <f>IF(TimeEntry[[#This Row],[Date]]=0,"",TEXT(TimeEntry[[#This Row],[Date]],"ddd"))</f>
        <v>Mon</v>
      </c>
      <c r="K692" s="9" t="str">
        <f>IF(TimeEntry[[#This Row],[Project]]=0,"",INDEX(ProjectsAll[job number],MATCH(TimeEntry[[#This Row],[Project]],ProjectsAll[Project],0)))</f>
        <v>264744-00</v>
      </c>
      <c r="L692" s="6" t="s">
        <v>420</v>
      </c>
      <c r="M692" s="6">
        <v>3.5</v>
      </c>
      <c r="N692" s="6">
        <f>IF(TimeEntry[[#This Row],[Date]]=0,"",WEEKDAY(C692,2))</f>
        <v>1</v>
      </c>
      <c r="O692" s="10">
        <f>YEAR(TimeEntry[[#This Row],[WkEnd]])</f>
        <v>2018</v>
      </c>
      <c r="P692" s="10">
        <f>WEEKNUM(TimeEntry[[#This Row],[WkEnd]])</f>
        <v>45</v>
      </c>
      <c r="Q692" s="10" t="str">
        <f>TimeEntry[[#This Row],[Year]]&amp;"-"&amp;TimeEntry[[#This Row],[WkNo]]</f>
        <v>2018-45</v>
      </c>
    </row>
    <row r="693" spans="1:17" ht="30" x14ac:dyDescent="0.25">
      <c r="A693" s="9" t="e">
        <f>MOD(IF(ROW()=11,0.1,IF(INDEX(TimeEntry[WkEnd],ROW()-10)            =            INDEX(TimeEntry[WkEnd],ROW()-11),               INDEX(TimeEntry[format],ROW()-11),               INDEX(TimeEntry[format],ROW()-11)    +1)),2)</f>
        <v>#VALUE!</v>
      </c>
      <c r="B693" s="14"/>
      <c r="C693" s="7">
        <v>43402</v>
      </c>
      <c r="D693" s="7"/>
      <c r="E693" s="7"/>
      <c r="F693" s="6" t="s">
        <v>414</v>
      </c>
      <c r="G693" s="6"/>
      <c r="H693" s="7">
        <f>IF(TimeEntry[[#This Row],[Date]]=0,H692,C693+(7-N693))</f>
        <v>43408</v>
      </c>
      <c r="I693" s="7">
        <f>TimeEntry[[#This Row],[Date]]</f>
        <v>43402</v>
      </c>
      <c r="J693" s="10" t="str">
        <f>IF(TimeEntry[[#This Row],[Date]]=0,"",TEXT(TimeEntry[[#This Row],[Date]],"ddd"))</f>
        <v>Mon</v>
      </c>
      <c r="K693" s="9" t="e">
        <f>IF(TimeEntry[[#This Row],[Project]]=0,"",INDEX(ProjectsAll[job number],MATCH(TimeEntry[[#This Row],[Project]],ProjectsAll[Project],0)))</f>
        <v>#N/A</v>
      </c>
      <c r="L693" s="6" t="s">
        <v>421</v>
      </c>
      <c r="M693" s="6">
        <v>4</v>
      </c>
      <c r="N693" s="6">
        <f>IF(TimeEntry[[#This Row],[Date]]=0,"",WEEKDAY(C693,2))</f>
        <v>1</v>
      </c>
      <c r="O693" s="10">
        <f>YEAR(TimeEntry[[#This Row],[WkEnd]])</f>
        <v>2018</v>
      </c>
      <c r="P693" s="10">
        <f>WEEKNUM(TimeEntry[[#This Row],[WkEnd]])</f>
        <v>45</v>
      </c>
      <c r="Q693" s="10" t="str">
        <f>TimeEntry[[#This Row],[Year]]&amp;"-"&amp;TimeEntry[[#This Row],[WkNo]]</f>
        <v>2018-45</v>
      </c>
    </row>
    <row r="694" spans="1:17" ht="30" x14ac:dyDescent="0.25">
      <c r="A694" s="9" t="e">
        <f>MOD(IF(ROW()=11,0.1,IF(INDEX(TimeEntry[WkEnd],ROW()-10)            =            INDEX(TimeEntry[WkEnd],ROW()-11),               INDEX(TimeEntry[format],ROW()-11),               INDEX(TimeEntry[format],ROW()-11)    +1)),2)</f>
        <v>#VALUE!</v>
      </c>
      <c r="B694" s="14"/>
      <c r="C694" s="7">
        <v>43403</v>
      </c>
      <c r="D694" s="7"/>
      <c r="E694" s="7"/>
      <c r="F694" s="6" t="s">
        <v>414</v>
      </c>
      <c r="G694" s="6"/>
      <c r="H694" s="7">
        <f>IF(TimeEntry[[#This Row],[Date]]=0,H693,C694+(7-N694))</f>
        <v>43408</v>
      </c>
      <c r="I694" s="7">
        <f>TimeEntry[[#This Row],[Date]]</f>
        <v>43403</v>
      </c>
      <c r="J694" s="10" t="str">
        <f>IF(TimeEntry[[#This Row],[Date]]=0,"",TEXT(TimeEntry[[#This Row],[Date]],"ddd"))</f>
        <v>Tue</v>
      </c>
      <c r="K694" s="9" t="e">
        <f>IF(TimeEntry[[#This Row],[Project]]=0,"",INDEX(ProjectsAll[job number],MATCH(TimeEntry[[#This Row],[Project]],ProjectsAll[Project],0)))</f>
        <v>#N/A</v>
      </c>
      <c r="L694" s="6" t="s">
        <v>422</v>
      </c>
      <c r="M694" s="6">
        <v>7.5</v>
      </c>
      <c r="N694" s="6">
        <f>IF(TimeEntry[[#This Row],[Date]]=0,"",WEEKDAY(C694,2))</f>
        <v>2</v>
      </c>
      <c r="O694" s="10">
        <f>YEAR(TimeEntry[[#This Row],[WkEnd]])</f>
        <v>2018</v>
      </c>
      <c r="P694" s="10">
        <f>WEEKNUM(TimeEntry[[#This Row],[WkEnd]])</f>
        <v>45</v>
      </c>
      <c r="Q694" s="10" t="str">
        <f>TimeEntry[[#This Row],[Year]]&amp;"-"&amp;TimeEntry[[#This Row],[WkNo]]</f>
        <v>2018-45</v>
      </c>
    </row>
    <row r="695" spans="1:17" ht="30" x14ac:dyDescent="0.25">
      <c r="A695" s="9" t="e">
        <f>MOD(IF(ROW()=11,0.1,IF(INDEX(TimeEntry[WkEnd],ROW()-10)            =            INDEX(TimeEntry[WkEnd],ROW()-11),               INDEX(TimeEntry[format],ROW()-11),               INDEX(TimeEntry[format],ROW()-11)    +1)),2)</f>
        <v>#VALUE!</v>
      </c>
      <c r="B695" s="14"/>
      <c r="C695" s="7">
        <v>43404</v>
      </c>
      <c r="D695" s="7"/>
      <c r="E695" s="7"/>
      <c r="F695" s="6" t="s">
        <v>74</v>
      </c>
      <c r="G695" s="6"/>
      <c r="H695" s="7">
        <f>IF(TimeEntry[[#This Row],[Date]]=0,H694,C695+(7-N695))</f>
        <v>43408</v>
      </c>
      <c r="I695" s="7">
        <f>TimeEntry[[#This Row],[Date]]</f>
        <v>43404</v>
      </c>
      <c r="J695" s="10" t="str">
        <f>IF(TimeEntry[[#This Row],[Date]]=0,"",TEXT(TimeEntry[[#This Row],[Date]],"ddd"))</f>
        <v>Wed</v>
      </c>
      <c r="K695" s="9" t="str">
        <f>IF(TimeEntry[[#This Row],[Project]]=0,"",INDEX(ProjectsAll[job number],MATCH(TimeEntry[[#This Row],[Project]],ProjectsAll[Project],0)))</f>
        <v>261723-02</v>
      </c>
      <c r="L695" s="6" t="s">
        <v>423</v>
      </c>
      <c r="M695" s="6">
        <v>7.5</v>
      </c>
      <c r="N695" s="6">
        <f>IF(TimeEntry[[#This Row],[Date]]=0,"",WEEKDAY(C695,2))</f>
        <v>3</v>
      </c>
      <c r="O695" s="10">
        <f>YEAR(TimeEntry[[#This Row],[WkEnd]])</f>
        <v>2018</v>
      </c>
      <c r="P695" s="10">
        <f>WEEKNUM(TimeEntry[[#This Row],[WkEnd]])</f>
        <v>45</v>
      </c>
      <c r="Q695" s="10" t="str">
        <f>TimeEntry[[#This Row],[Year]]&amp;"-"&amp;TimeEntry[[#This Row],[WkNo]]</f>
        <v>2018-45</v>
      </c>
    </row>
    <row r="696" spans="1:17" ht="30" x14ac:dyDescent="0.25">
      <c r="A696" s="9" t="e">
        <f>MOD(IF(ROW()=11,0.1,IF(INDEX(TimeEntry[WkEnd],ROW()-10)            =            INDEX(TimeEntry[WkEnd],ROW()-11),               INDEX(TimeEntry[format],ROW()-11),               INDEX(TimeEntry[format],ROW()-11)    +1)),2)</f>
        <v>#VALUE!</v>
      </c>
      <c r="B696" s="14"/>
      <c r="C696" s="7">
        <v>43405</v>
      </c>
      <c r="D696" s="7"/>
      <c r="E696" s="7"/>
      <c r="F696" s="6" t="s">
        <v>95</v>
      </c>
      <c r="G696" s="6"/>
      <c r="H696" s="7">
        <f>IF(TimeEntry[[#This Row],[Date]]=0,H695,C696+(7-N696))</f>
        <v>43408</v>
      </c>
      <c r="I696" s="7">
        <f>TimeEntry[[#This Row],[Date]]</f>
        <v>43405</v>
      </c>
      <c r="J696" s="10" t="str">
        <f>IF(TimeEntry[[#This Row],[Date]]=0,"",TEXT(TimeEntry[[#This Row],[Date]],"ddd"))</f>
        <v>Thu</v>
      </c>
      <c r="K696" s="9" t="str">
        <f>IF(TimeEntry[[#This Row],[Project]]=0,"",INDEX(ProjectsAll[job number],MATCH(TimeEntry[[#This Row],[Project]],ProjectsAll[Project],0)))</f>
        <v>264744-00</v>
      </c>
      <c r="L696" s="6" t="s">
        <v>424</v>
      </c>
      <c r="M696" s="6">
        <v>3.75</v>
      </c>
      <c r="N696" s="6">
        <f>IF(TimeEntry[[#This Row],[Date]]=0,"",WEEKDAY(C696,2))</f>
        <v>4</v>
      </c>
      <c r="O696" s="10">
        <f>YEAR(TimeEntry[[#This Row],[WkEnd]])</f>
        <v>2018</v>
      </c>
      <c r="P696" s="10">
        <f>WEEKNUM(TimeEntry[[#This Row],[WkEnd]])</f>
        <v>45</v>
      </c>
      <c r="Q696" s="10" t="str">
        <f>TimeEntry[[#This Row],[Year]]&amp;"-"&amp;TimeEntry[[#This Row],[WkNo]]</f>
        <v>2018-45</v>
      </c>
    </row>
    <row r="697" spans="1:17" ht="30" x14ac:dyDescent="0.25">
      <c r="A697" s="9" t="e">
        <f>MOD(IF(ROW()=11,0.1,IF(INDEX(TimeEntry[WkEnd],ROW()-10)            =            INDEX(TimeEntry[WkEnd],ROW()-11),               INDEX(TimeEntry[format],ROW()-11),               INDEX(TimeEntry[format],ROW()-11)    +1)),2)</f>
        <v>#VALUE!</v>
      </c>
      <c r="B697" s="14"/>
      <c r="C697" s="7">
        <v>43405</v>
      </c>
      <c r="D697" s="7"/>
      <c r="E697" s="7"/>
      <c r="F697" s="6" t="s">
        <v>28</v>
      </c>
      <c r="G697" s="6"/>
      <c r="H697" s="7">
        <f>IF(TimeEntry[[#This Row],[Date]]=0,H696,C697+(7-N697))</f>
        <v>43408</v>
      </c>
      <c r="I697" s="7">
        <f>TimeEntry[[#This Row],[Date]]</f>
        <v>43405</v>
      </c>
      <c r="J697" s="10" t="str">
        <f>IF(TimeEntry[[#This Row],[Date]]=0,"",TEXT(TimeEntry[[#This Row],[Date]],"ddd"))</f>
        <v>Thu</v>
      </c>
      <c r="K697" s="9" t="str">
        <f>IF(TimeEntry[[#This Row],[Project]]=0,"",INDEX(ProjectsAll[job number],MATCH(TimeEntry[[#This Row],[Project]],ProjectsAll[Project],0)))</f>
        <v>074103-30</v>
      </c>
      <c r="L697" s="6" t="s">
        <v>425</v>
      </c>
      <c r="M697" s="6">
        <v>3.75</v>
      </c>
      <c r="N697" s="6">
        <f>IF(TimeEntry[[#This Row],[Date]]=0,"",WEEKDAY(C697,2))</f>
        <v>4</v>
      </c>
      <c r="O697" s="10">
        <f>YEAR(TimeEntry[[#This Row],[WkEnd]])</f>
        <v>2018</v>
      </c>
      <c r="P697" s="10">
        <f>WEEKNUM(TimeEntry[[#This Row],[WkEnd]])</f>
        <v>45</v>
      </c>
      <c r="Q697" s="10" t="str">
        <f>TimeEntry[[#This Row],[Year]]&amp;"-"&amp;TimeEntry[[#This Row],[WkNo]]</f>
        <v>2018-45</v>
      </c>
    </row>
    <row r="698" spans="1:17" ht="30" x14ac:dyDescent="0.25">
      <c r="A698" s="9" t="e">
        <f>MOD(IF(ROW()=11,0.1,IF(INDEX(TimeEntry[WkEnd],ROW()-10)            =            INDEX(TimeEntry[WkEnd],ROW()-11),               INDEX(TimeEntry[format],ROW()-11),               INDEX(TimeEntry[format],ROW()-11)    +1)),2)</f>
        <v>#VALUE!</v>
      </c>
      <c r="B698" s="14"/>
      <c r="C698" s="7">
        <v>43406</v>
      </c>
      <c r="D698" s="7"/>
      <c r="E698" s="7"/>
      <c r="F698" s="6" t="s">
        <v>74</v>
      </c>
      <c r="G698" s="6"/>
      <c r="H698" s="7">
        <f>IF(TimeEntry[[#This Row],[Date]]=0,H697,C698+(7-N698))</f>
        <v>43408</v>
      </c>
      <c r="I698" s="7">
        <f>TimeEntry[[#This Row],[Date]]</f>
        <v>43406</v>
      </c>
      <c r="J698" s="10" t="str">
        <f>IF(TimeEntry[[#This Row],[Date]]=0,"",TEXT(TimeEntry[[#This Row],[Date]],"ddd"))</f>
        <v>Fri</v>
      </c>
      <c r="K698" s="9" t="str">
        <f>IF(TimeEntry[[#This Row],[Project]]=0,"",INDEX(ProjectsAll[job number],MATCH(TimeEntry[[#This Row],[Project]],ProjectsAll[Project],0)))</f>
        <v>261723-02</v>
      </c>
      <c r="L698" s="6" t="s">
        <v>410</v>
      </c>
      <c r="M698" s="6">
        <v>7.5</v>
      </c>
      <c r="N698" s="6">
        <f>IF(TimeEntry[[#This Row],[Date]]=0,"",WEEKDAY(C698,2))</f>
        <v>5</v>
      </c>
      <c r="O698" s="10">
        <f>YEAR(TimeEntry[[#This Row],[WkEnd]])</f>
        <v>2018</v>
      </c>
      <c r="P698" s="10">
        <f>WEEKNUM(TimeEntry[[#This Row],[WkEnd]])</f>
        <v>45</v>
      </c>
      <c r="Q698" s="10" t="str">
        <f>TimeEntry[[#This Row],[Year]]&amp;"-"&amp;TimeEntry[[#This Row],[WkNo]]</f>
        <v>2018-45</v>
      </c>
    </row>
    <row r="699" spans="1:17" ht="30" x14ac:dyDescent="0.25">
      <c r="A699" s="19" t="s">
        <v>426</v>
      </c>
      <c r="C699" s="19"/>
      <c r="Q699" s="19">
        <f>SUBTOTAL(103,TimeEntry[WkRef])</f>
        <v>687</v>
      </c>
    </row>
  </sheetData>
  <phoneticPr fontId="5" type="noConversion"/>
  <conditionalFormatting sqref="B700:M1663 M31:M32 M15:M24 L25:M30 L33:M698 M13 B58:H698 B14:H56 G57:H57 H13 N13:Q698 B11:Q11 I13:K698 H12:Q12">
    <cfRule type="expression" dxfId="63" priority="26">
      <formula>$A11=1.1</formula>
    </cfRule>
  </conditionalFormatting>
  <conditionalFormatting sqref="Y12:Y13 Z10:Z13 Z15:Z41 Y15:Y36">
    <cfRule type="containsBlanks" dxfId="62" priority="18">
      <formula>LEN(TRIM(Y10))=0</formula>
    </cfRule>
  </conditionalFormatting>
  <conditionalFormatting sqref="U11:U12">
    <cfRule type="containsBlanks" dxfId="61" priority="17">
      <formula>LEN(TRIM(U11))=0</formula>
    </cfRule>
  </conditionalFormatting>
  <conditionalFormatting sqref="U13">
    <cfRule type="containsBlanks" dxfId="60" priority="16">
      <formula>LEN(TRIM(U13))=0</formula>
    </cfRule>
  </conditionalFormatting>
  <conditionalFormatting sqref="T17:U17">
    <cfRule type="containsBlanks" dxfId="59" priority="15">
      <formula>LEN(TRIM(T17))=0</formula>
    </cfRule>
  </conditionalFormatting>
  <conditionalFormatting sqref="B57:E57">
    <cfRule type="expression" dxfId="58" priority="14">
      <formula>$A57=1.1</formula>
    </cfRule>
  </conditionalFormatting>
  <conditionalFormatting sqref="Y14:Z14">
    <cfRule type="containsBlanks" dxfId="57" priority="13">
      <formula>LEN(TRIM(Y14))=0</formula>
    </cfRule>
  </conditionalFormatting>
  <conditionalFormatting sqref="U14">
    <cfRule type="containsBlanks" dxfId="56" priority="12">
      <formula>LEN(TRIM(U14))=0</formula>
    </cfRule>
  </conditionalFormatting>
  <conditionalFormatting sqref="F57">
    <cfRule type="expression" dxfId="55" priority="11">
      <formula>$A57=1.1</formula>
    </cfRule>
  </conditionalFormatting>
  <conditionalFormatting sqref="L31">
    <cfRule type="expression" dxfId="54" priority="28">
      <formula>$A32=1.1</formula>
    </cfRule>
  </conditionalFormatting>
  <conditionalFormatting sqref="B13:E13">
    <cfRule type="expression" dxfId="53" priority="10">
      <formula>$A13=1.1</formula>
    </cfRule>
  </conditionalFormatting>
  <conditionalFormatting sqref="F13">
    <cfRule type="expression" dxfId="52" priority="9">
      <formula>$A13=1.1</formula>
    </cfRule>
  </conditionalFormatting>
  <conditionalFormatting sqref="G13">
    <cfRule type="expression" dxfId="51" priority="8">
      <formula>$A13=1.1</formula>
    </cfRule>
  </conditionalFormatting>
  <conditionalFormatting sqref="L14:L24">
    <cfRule type="expression" dxfId="50" priority="7">
      <formula>$A14=1.1</formula>
    </cfRule>
  </conditionalFormatting>
  <conditionalFormatting sqref="L13">
    <cfRule type="expression" dxfId="49" priority="6">
      <formula>$A13=1.1</formula>
    </cfRule>
  </conditionalFormatting>
  <conditionalFormatting sqref="M14">
    <cfRule type="expression" dxfId="48" priority="5">
      <formula>$A14=1.1</formula>
    </cfRule>
  </conditionalFormatting>
  <conditionalFormatting sqref="B12:E12">
    <cfRule type="expression" dxfId="47" priority="4">
      <formula>$A12=1.1</formula>
    </cfRule>
  </conditionalFormatting>
  <conditionalFormatting sqref="G12">
    <cfRule type="expression" dxfId="46" priority="2">
      <formula>$A12=1.1</formula>
    </cfRule>
  </conditionalFormatting>
  <conditionalFormatting sqref="F12">
    <cfRule type="expression" dxfId="45" priority="1">
      <formula>$A12=1.1</formula>
    </cfRule>
  </conditionalFormatting>
  <dataValidations count="2">
    <dataValidation type="list" allowBlank="1" showInputMessage="1" showErrorMessage="1" sqref="V11:V31 AA11:AA58" xr:uid="{515B9949-8340-4FF6-9577-0B92F073944C}">
      <formula1>"Open,Closed"</formula1>
    </dataValidation>
    <dataValidation type="list" allowBlank="1" showInputMessage="1" showErrorMessage="1" sqref="G65 F11:F698 L13" xr:uid="{0D0E6C57-5C8F-4E70-B4BD-1293579F81DF}">
      <formula1>INDIRECT("ProjectsCurrent[Project]")</formula1>
    </dataValidation>
  </dataValidations>
  <pageMargins left="0.7" right="0.7" top="0.75" bottom="0.75" header="0.3" footer="0.3"/>
  <pageSetup paperSize="9" orientation="portrait" r:id="rId1"/>
  <drawing r:id="rId2"/>
  <tableParts count="3">
    <tablePart r:id="rId3"/>
    <tablePart r:id="rId4"/>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dimension ref="A1:J912"/>
  <sheetViews>
    <sheetView workbookViewId="0">
      <selection activeCell="L17" sqref="L17"/>
    </sheetView>
  </sheetViews>
  <sheetFormatPr defaultRowHeight="15" x14ac:dyDescent="0.25"/>
  <cols>
    <col min="1" max="1" width="15.7109375" bestFit="1" customWidth="1"/>
    <col min="2" max="2" width="14.28515625" bestFit="1" customWidth="1"/>
    <col min="3" max="3" width="27" customWidth="1"/>
    <col min="4" max="4" width="40.7109375" customWidth="1"/>
    <col min="5" max="9" width="9.42578125" bestFit="1" customWidth="1"/>
    <col min="10" max="10" width="11.140625" bestFit="1" customWidth="1"/>
    <col min="11" max="11" width="9.42578125" bestFit="1" customWidth="1"/>
    <col min="12" max="12" width="11.140625" bestFit="1" customWidth="1"/>
  </cols>
  <sheetData>
    <row r="1" spans="1:10" x14ac:dyDescent="0.25">
      <c r="A1" s="18" t="s">
        <v>768</v>
      </c>
      <c r="B1" s="19"/>
      <c r="C1" s="19"/>
      <c r="D1" s="19"/>
      <c r="E1" s="18" t="s">
        <v>645</v>
      </c>
      <c r="F1" s="19"/>
      <c r="G1" s="19"/>
      <c r="H1" s="19"/>
      <c r="I1" s="19"/>
      <c r="J1" s="19"/>
    </row>
    <row r="2" spans="1:10" x14ac:dyDescent="0.25">
      <c r="A2" s="18" t="s">
        <v>651</v>
      </c>
      <c r="B2" s="18" t="s">
        <v>641</v>
      </c>
      <c r="C2" s="18" t="s">
        <v>642</v>
      </c>
      <c r="D2" s="18" t="s">
        <v>102</v>
      </c>
      <c r="E2" s="19" t="s">
        <v>433</v>
      </c>
      <c r="F2" s="19" t="s">
        <v>429</v>
      </c>
      <c r="G2" s="19" t="s">
        <v>428</v>
      </c>
      <c r="H2" s="19" t="s">
        <v>430</v>
      </c>
      <c r="I2" s="19" t="s">
        <v>437</v>
      </c>
      <c r="J2" s="19" t="s">
        <v>539</v>
      </c>
    </row>
    <row r="3" spans="1:10" x14ac:dyDescent="0.25">
      <c r="A3" s="20">
        <v>44052</v>
      </c>
      <c r="B3" s="19" t="s">
        <v>629</v>
      </c>
      <c r="C3" s="19" t="s">
        <v>630</v>
      </c>
      <c r="D3" s="19" t="s">
        <v>816</v>
      </c>
      <c r="E3" s="21"/>
      <c r="F3" s="21"/>
      <c r="G3" s="21"/>
      <c r="H3" s="21"/>
      <c r="I3" s="21">
        <v>3.75</v>
      </c>
      <c r="J3" s="21">
        <v>3.75</v>
      </c>
    </row>
    <row r="4" spans="1:10" ht="30" x14ac:dyDescent="0.25">
      <c r="A4" s="19"/>
      <c r="B4" s="19"/>
      <c r="C4" s="19"/>
      <c r="D4" s="19" t="s">
        <v>815</v>
      </c>
      <c r="E4" s="21"/>
      <c r="F4" s="21"/>
      <c r="G4" s="21"/>
      <c r="H4" s="21">
        <v>3.75</v>
      </c>
      <c r="I4" s="21"/>
      <c r="J4" s="21">
        <v>3.75</v>
      </c>
    </row>
    <row r="5" spans="1:10" x14ac:dyDescent="0.25">
      <c r="A5" s="19"/>
      <c r="B5" s="19"/>
      <c r="C5" s="19"/>
      <c r="D5" s="19" t="s">
        <v>814</v>
      </c>
      <c r="E5" s="21"/>
      <c r="F5" s="21"/>
      <c r="G5" s="21"/>
      <c r="H5" s="21">
        <v>3.75</v>
      </c>
      <c r="I5" s="21"/>
      <c r="J5" s="21">
        <v>3.75</v>
      </c>
    </row>
    <row r="6" spans="1:10" ht="45" x14ac:dyDescent="0.25">
      <c r="A6" s="19"/>
      <c r="B6" s="19"/>
      <c r="C6" s="19"/>
      <c r="D6" s="19" t="s">
        <v>821</v>
      </c>
      <c r="E6" s="21"/>
      <c r="F6" s="21"/>
      <c r="G6" s="21">
        <v>3</v>
      </c>
      <c r="H6" s="21"/>
      <c r="I6" s="21"/>
      <c r="J6" s="21">
        <v>3</v>
      </c>
    </row>
    <row r="7" spans="1:10" x14ac:dyDescent="0.25">
      <c r="A7" s="19"/>
      <c r="B7" s="19"/>
      <c r="C7" s="19"/>
      <c r="D7" s="19" t="s">
        <v>812</v>
      </c>
      <c r="E7" s="21"/>
      <c r="F7" s="21"/>
      <c r="G7" s="21">
        <v>2</v>
      </c>
      <c r="H7" s="21"/>
      <c r="I7" s="21"/>
      <c r="J7" s="21">
        <v>2</v>
      </c>
    </row>
    <row r="8" spans="1:10" x14ac:dyDescent="0.25">
      <c r="A8" s="19"/>
      <c r="B8" s="19"/>
      <c r="C8" s="19"/>
      <c r="D8" s="19" t="s">
        <v>817</v>
      </c>
      <c r="E8" s="21"/>
      <c r="F8" s="21">
        <v>2</v>
      </c>
      <c r="G8" s="21"/>
      <c r="H8" s="21"/>
      <c r="I8" s="21"/>
      <c r="J8" s="21">
        <v>2</v>
      </c>
    </row>
    <row r="9" spans="1:10" ht="30" x14ac:dyDescent="0.25">
      <c r="A9" s="19"/>
      <c r="B9" s="19"/>
      <c r="C9" s="19"/>
      <c r="D9" s="19" t="s">
        <v>811</v>
      </c>
      <c r="E9" s="21"/>
      <c r="F9" s="21">
        <v>3</v>
      </c>
      <c r="G9" s="21"/>
      <c r="H9" s="21"/>
      <c r="I9" s="21"/>
      <c r="J9" s="21">
        <v>3</v>
      </c>
    </row>
    <row r="10" spans="1:10" x14ac:dyDescent="0.25">
      <c r="A10" s="19"/>
      <c r="B10" s="19"/>
      <c r="C10" s="19"/>
      <c r="D10" s="19" t="s">
        <v>810</v>
      </c>
      <c r="E10" s="21">
        <v>3.75</v>
      </c>
      <c r="F10" s="21"/>
      <c r="G10" s="21"/>
      <c r="H10" s="21"/>
      <c r="I10" s="21"/>
      <c r="J10" s="21">
        <v>3.75</v>
      </c>
    </row>
    <row r="11" spans="1:10" x14ac:dyDescent="0.25">
      <c r="A11" s="19"/>
      <c r="B11" s="19"/>
      <c r="C11" s="19"/>
      <c r="D11" s="19" t="s">
        <v>809</v>
      </c>
      <c r="E11" s="21">
        <v>3.75</v>
      </c>
      <c r="F11" s="21"/>
      <c r="G11" s="21"/>
      <c r="H11" s="21"/>
      <c r="I11" s="21"/>
      <c r="J11" s="21">
        <v>3.75</v>
      </c>
    </row>
    <row r="12" spans="1:10" ht="30" x14ac:dyDescent="0.25">
      <c r="A12" s="19"/>
      <c r="B12" s="19" t="s">
        <v>684</v>
      </c>
      <c r="C12" s="19"/>
      <c r="D12" s="19"/>
      <c r="E12" s="21">
        <v>7.5</v>
      </c>
      <c r="F12" s="21">
        <v>5</v>
      </c>
      <c r="G12" s="21">
        <v>5</v>
      </c>
      <c r="H12" s="21">
        <v>7.5</v>
      </c>
      <c r="I12" s="21">
        <v>3.75</v>
      </c>
      <c r="J12" s="21">
        <v>28.75</v>
      </c>
    </row>
    <row r="13" spans="1:10" ht="30" x14ac:dyDescent="0.25">
      <c r="A13" s="19"/>
      <c r="B13" s="19" t="s">
        <v>639</v>
      </c>
      <c r="C13" s="19" t="s">
        <v>637</v>
      </c>
      <c r="D13" s="19" t="s">
        <v>818</v>
      </c>
      <c r="E13" s="21"/>
      <c r="F13" s="21"/>
      <c r="G13" s="21">
        <v>2.5</v>
      </c>
      <c r="H13" s="21"/>
      <c r="I13" s="21"/>
      <c r="J13" s="21">
        <v>2.5</v>
      </c>
    </row>
    <row r="14" spans="1:10" x14ac:dyDescent="0.25">
      <c r="A14" s="19"/>
      <c r="B14" s="19"/>
      <c r="C14" s="19"/>
      <c r="D14" s="19" t="s">
        <v>819</v>
      </c>
      <c r="E14" s="21"/>
      <c r="F14" s="21">
        <v>2.5</v>
      </c>
      <c r="G14" s="21"/>
      <c r="H14" s="21"/>
      <c r="I14" s="21"/>
      <c r="J14" s="21">
        <v>2.5</v>
      </c>
    </row>
    <row r="15" spans="1:10" ht="30" x14ac:dyDescent="0.25">
      <c r="A15" s="19"/>
      <c r="B15" s="19" t="s">
        <v>685</v>
      </c>
      <c r="C15" s="19"/>
      <c r="D15" s="19"/>
      <c r="E15" s="21"/>
      <c r="F15" s="21">
        <v>2.5</v>
      </c>
      <c r="G15" s="21">
        <v>2.5</v>
      </c>
      <c r="H15" s="21"/>
      <c r="I15" s="21"/>
      <c r="J15" s="21">
        <v>5</v>
      </c>
    </row>
    <row r="16" spans="1:10" x14ac:dyDescent="0.25">
      <c r="A16" s="19"/>
      <c r="B16" s="19" t="s">
        <v>69</v>
      </c>
      <c r="C16" s="19" t="s">
        <v>68</v>
      </c>
      <c r="D16" s="19" t="s">
        <v>68</v>
      </c>
      <c r="E16" s="21"/>
      <c r="F16" s="21"/>
      <c r="G16" s="21"/>
      <c r="H16" s="21"/>
      <c r="I16" s="21">
        <v>3.75</v>
      </c>
      <c r="J16" s="21">
        <v>3.75</v>
      </c>
    </row>
    <row r="17" spans="1:10" x14ac:dyDescent="0.25">
      <c r="A17" s="19"/>
      <c r="B17" s="19" t="s">
        <v>584</v>
      </c>
      <c r="C17" s="19"/>
      <c r="D17" s="19"/>
      <c r="E17" s="21"/>
      <c r="F17" s="21"/>
      <c r="G17" s="21"/>
      <c r="H17" s="21"/>
      <c r="I17" s="21">
        <v>3.75</v>
      </c>
      <c r="J17" s="21">
        <v>3.75</v>
      </c>
    </row>
    <row r="18" spans="1:10" x14ac:dyDescent="0.25">
      <c r="A18" s="19" t="s">
        <v>822</v>
      </c>
      <c r="B18" s="19"/>
      <c r="C18" s="19"/>
      <c r="D18" s="19"/>
      <c r="E18" s="21">
        <v>7.5</v>
      </c>
      <c r="F18" s="21">
        <v>7.5</v>
      </c>
      <c r="G18" s="21">
        <v>7.5</v>
      </c>
      <c r="H18" s="21">
        <v>7.5</v>
      </c>
      <c r="I18" s="21">
        <v>7.5</v>
      </c>
      <c r="J18" s="21">
        <v>37.5</v>
      </c>
    </row>
    <row r="19" spans="1:10" x14ac:dyDescent="0.25">
      <c r="A19" s="20">
        <v>44045</v>
      </c>
      <c r="B19" s="19" t="s">
        <v>679</v>
      </c>
      <c r="C19" s="19" t="s">
        <v>439</v>
      </c>
      <c r="D19" s="19" t="s">
        <v>439</v>
      </c>
      <c r="E19" s="21"/>
      <c r="F19" s="21"/>
      <c r="G19" s="21"/>
      <c r="H19" s="21"/>
      <c r="I19" s="21"/>
      <c r="J19" s="21"/>
    </row>
    <row r="20" spans="1:10" x14ac:dyDescent="0.25">
      <c r="A20" s="19"/>
      <c r="B20" s="19" t="s">
        <v>681</v>
      </c>
      <c r="C20" s="19"/>
      <c r="D20" s="19"/>
      <c r="E20" s="21"/>
      <c r="F20" s="21"/>
      <c r="G20" s="21"/>
      <c r="H20" s="21"/>
      <c r="I20" s="21"/>
      <c r="J20" s="21"/>
    </row>
    <row r="21" spans="1:10" x14ac:dyDescent="0.25">
      <c r="A21" s="19"/>
      <c r="B21" s="19" t="s">
        <v>629</v>
      </c>
      <c r="C21" s="19" t="s">
        <v>630</v>
      </c>
      <c r="D21" s="19" t="s">
        <v>803</v>
      </c>
      <c r="E21" s="21"/>
      <c r="F21" s="21"/>
      <c r="G21" s="21"/>
      <c r="H21" s="21">
        <v>3.75</v>
      </c>
      <c r="I21" s="21"/>
      <c r="J21" s="21">
        <v>3.75</v>
      </c>
    </row>
    <row r="22" spans="1:10" x14ac:dyDescent="0.25">
      <c r="A22" s="19"/>
      <c r="B22" s="19"/>
      <c r="C22" s="19"/>
      <c r="D22" s="19" t="s">
        <v>805</v>
      </c>
      <c r="E22" s="21"/>
      <c r="F22" s="21"/>
      <c r="G22" s="21">
        <v>3.75</v>
      </c>
      <c r="H22" s="21"/>
      <c r="I22" s="21"/>
      <c r="J22" s="21">
        <v>3.75</v>
      </c>
    </row>
    <row r="23" spans="1:10" ht="30" x14ac:dyDescent="0.25">
      <c r="A23" s="19"/>
      <c r="B23" s="19"/>
      <c r="C23" s="19"/>
      <c r="D23" s="19" t="s">
        <v>800</v>
      </c>
      <c r="E23" s="21"/>
      <c r="F23" s="21">
        <v>7.5</v>
      </c>
      <c r="G23" s="21"/>
      <c r="H23" s="21"/>
      <c r="I23" s="21"/>
      <c r="J23" s="21">
        <v>7.5</v>
      </c>
    </row>
    <row r="24" spans="1:10" ht="75" x14ac:dyDescent="0.25">
      <c r="A24" s="19"/>
      <c r="B24" s="19"/>
      <c r="C24" s="19"/>
      <c r="D24" s="19" t="s">
        <v>806</v>
      </c>
      <c r="E24" s="21">
        <v>7.5</v>
      </c>
      <c r="F24" s="21"/>
      <c r="G24" s="21"/>
      <c r="H24" s="21"/>
      <c r="I24" s="21"/>
      <c r="J24" s="21">
        <v>7.5</v>
      </c>
    </row>
    <row r="25" spans="1:10" ht="30" x14ac:dyDescent="0.25">
      <c r="A25" s="19"/>
      <c r="B25" s="19" t="s">
        <v>684</v>
      </c>
      <c r="C25" s="19"/>
      <c r="D25" s="19"/>
      <c r="E25" s="21">
        <v>7.5</v>
      </c>
      <c r="F25" s="21">
        <v>7.5</v>
      </c>
      <c r="G25" s="21">
        <v>3.75</v>
      </c>
      <c r="H25" s="21">
        <v>3.75</v>
      </c>
      <c r="I25" s="21"/>
      <c r="J25" s="21">
        <v>22.5</v>
      </c>
    </row>
    <row r="26" spans="1:10" ht="30" x14ac:dyDescent="0.25">
      <c r="A26" s="19"/>
      <c r="B26" s="19" t="s">
        <v>639</v>
      </c>
      <c r="C26" s="19" t="s">
        <v>637</v>
      </c>
      <c r="D26" s="19" t="s">
        <v>802</v>
      </c>
      <c r="E26" s="21"/>
      <c r="F26" s="21"/>
      <c r="G26" s="21"/>
      <c r="H26" s="21">
        <v>3.75</v>
      </c>
      <c r="I26" s="21"/>
      <c r="J26" s="21">
        <v>3.75</v>
      </c>
    </row>
    <row r="27" spans="1:10" ht="30" x14ac:dyDescent="0.25">
      <c r="A27" s="19"/>
      <c r="B27" s="19"/>
      <c r="C27" s="19"/>
      <c r="D27" s="19" t="s">
        <v>804</v>
      </c>
      <c r="E27" s="21"/>
      <c r="F27" s="21"/>
      <c r="G27" s="21">
        <v>3.75</v>
      </c>
      <c r="H27" s="21"/>
      <c r="I27" s="21"/>
      <c r="J27" s="21">
        <v>3.75</v>
      </c>
    </row>
    <row r="28" spans="1:10" ht="30" x14ac:dyDescent="0.25">
      <c r="A28" s="19"/>
      <c r="B28" s="19" t="s">
        <v>685</v>
      </c>
      <c r="C28" s="19"/>
      <c r="D28" s="19"/>
      <c r="E28" s="21"/>
      <c r="F28" s="21"/>
      <c r="G28" s="21">
        <v>3.75</v>
      </c>
      <c r="H28" s="21">
        <v>3.75</v>
      </c>
      <c r="I28" s="21"/>
      <c r="J28" s="21">
        <v>7.5</v>
      </c>
    </row>
    <row r="29" spans="1:10" x14ac:dyDescent="0.25">
      <c r="A29" s="19"/>
      <c r="B29" s="19" t="s">
        <v>69</v>
      </c>
      <c r="C29" s="19" t="s">
        <v>68</v>
      </c>
      <c r="D29" s="19" t="s">
        <v>439</v>
      </c>
      <c r="E29" s="21"/>
      <c r="F29" s="21"/>
      <c r="G29" s="21"/>
      <c r="H29" s="21"/>
      <c r="I29" s="21">
        <v>7.5</v>
      </c>
      <c r="J29" s="21">
        <v>7.5</v>
      </c>
    </row>
    <row r="30" spans="1:10" x14ac:dyDescent="0.25">
      <c r="A30" s="19"/>
      <c r="B30" s="19" t="s">
        <v>584</v>
      </c>
      <c r="C30" s="19"/>
      <c r="D30" s="19"/>
      <c r="E30" s="21"/>
      <c r="F30" s="21"/>
      <c r="G30" s="21"/>
      <c r="H30" s="21"/>
      <c r="I30" s="21">
        <v>7.5</v>
      </c>
      <c r="J30" s="21">
        <v>7.5</v>
      </c>
    </row>
    <row r="31" spans="1:10" x14ac:dyDescent="0.25">
      <c r="A31" s="19" t="s">
        <v>801</v>
      </c>
      <c r="B31" s="19"/>
      <c r="C31" s="19"/>
      <c r="D31" s="19"/>
      <c r="E31" s="21">
        <v>7.5</v>
      </c>
      <c r="F31" s="21">
        <v>7.5</v>
      </c>
      <c r="G31" s="21">
        <v>7.5</v>
      </c>
      <c r="H31" s="21">
        <v>7.5</v>
      </c>
      <c r="I31" s="21">
        <v>7.5</v>
      </c>
      <c r="J31" s="21">
        <v>37.5</v>
      </c>
    </row>
    <row r="32" spans="1:10" x14ac:dyDescent="0.25">
      <c r="A32" s="20">
        <v>44038</v>
      </c>
      <c r="B32" s="19">
        <v>0</v>
      </c>
      <c r="C32" s="19" t="s">
        <v>669</v>
      </c>
      <c r="D32" s="19" t="s">
        <v>439</v>
      </c>
      <c r="E32" s="21"/>
      <c r="F32" s="21"/>
      <c r="G32" s="21"/>
      <c r="H32" s="21"/>
      <c r="I32" s="21"/>
      <c r="J32" s="21"/>
    </row>
    <row r="33" spans="1:10" x14ac:dyDescent="0.25">
      <c r="A33" s="19"/>
      <c r="B33" s="19"/>
      <c r="C33" s="19"/>
      <c r="D33" s="19" t="s">
        <v>754</v>
      </c>
      <c r="E33" s="21"/>
      <c r="F33" s="21"/>
      <c r="G33" s="21"/>
      <c r="H33" s="21"/>
      <c r="I33" s="21"/>
      <c r="J33" s="21"/>
    </row>
    <row r="34" spans="1:10" x14ac:dyDescent="0.25">
      <c r="A34" s="19"/>
      <c r="B34" s="19" t="s">
        <v>579</v>
      </c>
      <c r="C34" s="19"/>
      <c r="D34" s="19"/>
      <c r="E34" s="21"/>
      <c r="F34" s="21"/>
      <c r="G34" s="21"/>
      <c r="H34" s="21"/>
      <c r="I34" s="21"/>
      <c r="J34" s="21"/>
    </row>
    <row r="35" spans="1:10" ht="30" x14ac:dyDescent="0.25">
      <c r="A35" s="19"/>
      <c r="B35" s="19" t="s">
        <v>629</v>
      </c>
      <c r="C35" s="19" t="s">
        <v>630</v>
      </c>
      <c r="D35" s="19" t="s">
        <v>794</v>
      </c>
      <c r="E35" s="21"/>
      <c r="F35" s="21"/>
      <c r="G35" s="21"/>
      <c r="H35" s="21"/>
      <c r="I35" s="21">
        <v>7.5</v>
      </c>
      <c r="J35" s="21">
        <v>7.5</v>
      </c>
    </row>
    <row r="36" spans="1:10" x14ac:dyDescent="0.25">
      <c r="A36" s="19"/>
      <c r="B36" s="19"/>
      <c r="C36" s="19"/>
      <c r="D36" s="19" t="s">
        <v>793</v>
      </c>
      <c r="E36" s="21"/>
      <c r="F36" s="21"/>
      <c r="G36" s="21">
        <v>5.5</v>
      </c>
      <c r="H36" s="21"/>
      <c r="I36" s="21"/>
      <c r="J36" s="21">
        <v>5.5</v>
      </c>
    </row>
    <row r="37" spans="1:10" x14ac:dyDescent="0.25">
      <c r="A37" s="19"/>
      <c r="B37" s="19"/>
      <c r="C37" s="19"/>
      <c r="D37" s="19" t="s">
        <v>795</v>
      </c>
      <c r="E37" s="21"/>
      <c r="F37" s="21"/>
      <c r="G37" s="21"/>
      <c r="H37" s="21">
        <v>3.75</v>
      </c>
      <c r="I37" s="21"/>
      <c r="J37" s="21">
        <v>3.75</v>
      </c>
    </row>
    <row r="38" spans="1:10" ht="30" x14ac:dyDescent="0.25">
      <c r="A38" s="19"/>
      <c r="B38" s="19"/>
      <c r="C38" s="19"/>
      <c r="D38" s="19" t="s">
        <v>789</v>
      </c>
      <c r="E38" s="21"/>
      <c r="F38" s="21"/>
      <c r="G38" s="21"/>
      <c r="H38" s="21">
        <v>3.75</v>
      </c>
      <c r="I38" s="21"/>
      <c r="J38" s="21">
        <v>3.75</v>
      </c>
    </row>
    <row r="39" spans="1:10" ht="45" x14ac:dyDescent="0.25">
      <c r="A39" s="19"/>
      <c r="B39" s="19"/>
      <c r="C39" s="19"/>
      <c r="D39" s="19" t="s">
        <v>796</v>
      </c>
      <c r="E39" s="21"/>
      <c r="F39" s="21"/>
      <c r="G39" s="21">
        <v>2</v>
      </c>
      <c r="H39" s="21"/>
      <c r="I39" s="21"/>
      <c r="J39" s="21">
        <v>2</v>
      </c>
    </row>
    <row r="40" spans="1:10" x14ac:dyDescent="0.25">
      <c r="A40" s="19"/>
      <c r="B40" s="19"/>
      <c r="C40" s="19"/>
      <c r="D40" s="19" t="s">
        <v>785</v>
      </c>
      <c r="E40" s="21"/>
      <c r="F40" s="21">
        <v>5</v>
      </c>
      <c r="G40" s="21"/>
      <c r="H40" s="21"/>
      <c r="I40" s="21"/>
      <c r="J40" s="21">
        <v>5</v>
      </c>
    </row>
    <row r="41" spans="1:10" x14ac:dyDescent="0.25">
      <c r="A41" s="19"/>
      <c r="B41" s="19"/>
      <c r="C41" s="19"/>
      <c r="D41" s="19" t="s">
        <v>792</v>
      </c>
      <c r="E41" s="21">
        <v>3.75</v>
      </c>
      <c r="F41" s="21"/>
      <c r="G41" s="21"/>
      <c r="H41" s="21"/>
      <c r="I41" s="21"/>
      <c r="J41" s="21">
        <v>3.75</v>
      </c>
    </row>
    <row r="42" spans="1:10" ht="30" x14ac:dyDescent="0.25">
      <c r="A42" s="19"/>
      <c r="B42" s="19"/>
      <c r="C42" s="19"/>
      <c r="D42" s="19" t="s">
        <v>799</v>
      </c>
      <c r="E42" s="21"/>
      <c r="F42" s="21">
        <v>2.5</v>
      </c>
      <c r="G42" s="21"/>
      <c r="H42" s="21"/>
      <c r="I42" s="21"/>
      <c r="J42" s="21">
        <v>2.5</v>
      </c>
    </row>
    <row r="43" spans="1:10" ht="30" x14ac:dyDescent="0.25">
      <c r="A43" s="19"/>
      <c r="B43" s="19" t="s">
        <v>684</v>
      </c>
      <c r="C43" s="19"/>
      <c r="D43" s="19"/>
      <c r="E43" s="21">
        <v>3.75</v>
      </c>
      <c r="F43" s="21">
        <v>7.5</v>
      </c>
      <c r="G43" s="21">
        <v>7.5</v>
      </c>
      <c r="H43" s="21">
        <v>7.5</v>
      </c>
      <c r="I43" s="21">
        <v>7.5</v>
      </c>
      <c r="J43" s="21">
        <v>33.75</v>
      </c>
    </row>
    <row r="44" spans="1:10" ht="30" x14ac:dyDescent="0.25">
      <c r="A44" s="19"/>
      <c r="B44" s="19" t="s">
        <v>639</v>
      </c>
      <c r="C44" s="19" t="s">
        <v>637</v>
      </c>
      <c r="D44" s="19" t="s">
        <v>791</v>
      </c>
      <c r="E44" s="21">
        <v>3.75</v>
      </c>
      <c r="F44" s="21"/>
      <c r="G44" s="21"/>
      <c r="H44" s="21"/>
      <c r="I44" s="21"/>
      <c r="J44" s="21">
        <v>3.75</v>
      </c>
    </row>
    <row r="45" spans="1:10" ht="30" x14ac:dyDescent="0.25">
      <c r="A45" s="19"/>
      <c r="B45" s="19" t="s">
        <v>685</v>
      </c>
      <c r="C45" s="19"/>
      <c r="D45" s="19"/>
      <c r="E45" s="21">
        <v>3.75</v>
      </c>
      <c r="F45" s="21"/>
      <c r="G45" s="21"/>
      <c r="H45" s="21"/>
      <c r="I45" s="21"/>
      <c r="J45" s="21">
        <v>3.75</v>
      </c>
    </row>
    <row r="46" spans="1:10" x14ac:dyDescent="0.25">
      <c r="A46" s="19" t="s">
        <v>787</v>
      </c>
      <c r="B46" s="19"/>
      <c r="C46" s="19"/>
      <c r="D46" s="19"/>
      <c r="E46" s="21">
        <v>7.5</v>
      </c>
      <c r="F46" s="21">
        <v>7.5</v>
      </c>
      <c r="G46" s="21">
        <v>7.5</v>
      </c>
      <c r="H46" s="21">
        <v>7.5</v>
      </c>
      <c r="I46" s="21">
        <v>7.5</v>
      </c>
      <c r="J46" s="21">
        <v>37.5</v>
      </c>
    </row>
    <row r="47" spans="1:10" x14ac:dyDescent="0.25">
      <c r="A47" s="20">
        <v>44031</v>
      </c>
      <c r="B47" s="19">
        <v>0</v>
      </c>
      <c r="C47" s="19" t="s">
        <v>669</v>
      </c>
      <c r="D47" s="19" t="s">
        <v>439</v>
      </c>
      <c r="E47" s="21"/>
      <c r="F47" s="21"/>
      <c r="G47" s="21"/>
      <c r="H47" s="21"/>
      <c r="I47" s="21"/>
      <c r="J47" s="21"/>
    </row>
    <row r="48" spans="1:10" x14ac:dyDescent="0.25">
      <c r="A48" s="19"/>
      <c r="B48" s="19" t="s">
        <v>579</v>
      </c>
      <c r="C48" s="19"/>
      <c r="D48" s="19"/>
      <c r="E48" s="21"/>
      <c r="F48" s="21"/>
      <c r="G48" s="21"/>
      <c r="H48" s="21"/>
      <c r="I48" s="21"/>
      <c r="J48" s="21"/>
    </row>
    <row r="49" spans="1:10" ht="30" x14ac:dyDescent="0.25">
      <c r="A49" s="19"/>
      <c r="B49" s="19" t="s">
        <v>629</v>
      </c>
      <c r="C49" s="19" t="s">
        <v>630</v>
      </c>
      <c r="D49" s="19" t="s">
        <v>780</v>
      </c>
      <c r="E49" s="21"/>
      <c r="F49" s="21"/>
      <c r="G49" s="21"/>
      <c r="H49" s="21"/>
      <c r="I49" s="21">
        <v>3.75</v>
      </c>
      <c r="J49" s="21">
        <v>3.75</v>
      </c>
    </row>
    <row r="50" spans="1:10" ht="30" x14ac:dyDescent="0.25">
      <c r="A50" s="19"/>
      <c r="B50" s="19"/>
      <c r="C50" s="19"/>
      <c r="D50" s="19" t="s">
        <v>778</v>
      </c>
      <c r="E50" s="21"/>
      <c r="F50" s="21"/>
      <c r="G50" s="21"/>
      <c r="H50" s="21">
        <v>5.5</v>
      </c>
      <c r="I50" s="21"/>
      <c r="J50" s="21">
        <v>5.5</v>
      </c>
    </row>
    <row r="51" spans="1:10" ht="30" x14ac:dyDescent="0.25">
      <c r="A51" s="19"/>
      <c r="B51" s="19"/>
      <c r="C51" s="19"/>
      <c r="D51" s="19" t="s">
        <v>772</v>
      </c>
      <c r="E51" s="21"/>
      <c r="F51" s="21"/>
      <c r="G51" s="21"/>
      <c r="H51" s="21"/>
      <c r="I51" s="21"/>
      <c r="J51" s="21"/>
    </row>
    <row r="52" spans="1:10" ht="30" x14ac:dyDescent="0.25">
      <c r="A52" s="19"/>
      <c r="B52" s="19"/>
      <c r="C52" s="19"/>
      <c r="D52" s="19" t="s">
        <v>782</v>
      </c>
      <c r="E52" s="21"/>
      <c r="F52" s="21"/>
      <c r="G52" s="21">
        <v>7.5</v>
      </c>
      <c r="H52" s="21"/>
      <c r="I52" s="21"/>
      <c r="J52" s="21">
        <v>7.5</v>
      </c>
    </row>
    <row r="53" spans="1:10" ht="45" x14ac:dyDescent="0.25">
      <c r="A53" s="19"/>
      <c r="B53" s="19"/>
      <c r="C53" s="19"/>
      <c r="D53" s="19" t="s">
        <v>770</v>
      </c>
      <c r="E53" s="21"/>
      <c r="F53" s="21">
        <v>3.5</v>
      </c>
      <c r="G53" s="21"/>
      <c r="H53" s="21"/>
      <c r="I53" s="21"/>
      <c r="J53" s="21">
        <v>3.5</v>
      </c>
    </row>
    <row r="54" spans="1:10" ht="30" x14ac:dyDescent="0.25">
      <c r="A54" s="19"/>
      <c r="B54" s="19"/>
      <c r="C54" s="19"/>
      <c r="D54" s="19" t="s">
        <v>783</v>
      </c>
      <c r="E54" s="21"/>
      <c r="F54" s="21">
        <v>4</v>
      </c>
      <c r="G54" s="21"/>
      <c r="H54" s="21"/>
      <c r="I54" s="21"/>
      <c r="J54" s="21">
        <v>4</v>
      </c>
    </row>
    <row r="55" spans="1:10" ht="45" x14ac:dyDescent="0.25">
      <c r="A55" s="19"/>
      <c r="B55" s="19"/>
      <c r="C55" s="19"/>
      <c r="D55" s="19" t="s">
        <v>771</v>
      </c>
      <c r="E55" s="21">
        <v>5.5</v>
      </c>
      <c r="F55" s="21"/>
      <c r="G55" s="21"/>
      <c r="H55" s="21"/>
      <c r="I55" s="21"/>
      <c r="J55" s="21">
        <v>5.5</v>
      </c>
    </row>
    <row r="56" spans="1:10" x14ac:dyDescent="0.25">
      <c r="A56" s="19"/>
      <c r="B56" s="19"/>
      <c r="C56" s="19"/>
      <c r="D56" s="19" t="s">
        <v>784</v>
      </c>
      <c r="E56" s="21">
        <v>2</v>
      </c>
      <c r="F56" s="21"/>
      <c r="G56" s="21"/>
      <c r="H56" s="21"/>
      <c r="I56" s="21"/>
      <c r="J56" s="21">
        <v>2</v>
      </c>
    </row>
    <row r="57" spans="1:10" ht="30" x14ac:dyDescent="0.25">
      <c r="A57" s="19"/>
      <c r="B57" s="19" t="s">
        <v>684</v>
      </c>
      <c r="C57" s="19"/>
      <c r="D57" s="19"/>
      <c r="E57" s="21">
        <v>7.5</v>
      </c>
      <c r="F57" s="21">
        <v>7.5</v>
      </c>
      <c r="G57" s="21">
        <v>7.5</v>
      </c>
      <c r="H57" s="21">
        <v>5.5</v>
      </c>
      <c r="I57" s="21">
        <v>3.75</v>
      </c>
      <c r="J57" s="21">
        <v>31.75</v>
      </c>
    </row>
    <row r="58" spans="1:10" ht="30" x14ac:dyDescent="0.25">
      <c r="A58" s="19"/>
      <c r="B58" s="19" t="s">
        <v>639</v>
      </c>
      <c r="C58" s="19" t="s">
        <v>637</v>
      </c>
      <c r="D58" s="19" t="s">
        <v>777</v>
      </c>
      <c r="E58" s="21"/>
      <c r="F58" s="21"/>
      <c r="G58" s="21"/>
      <c r="H58" s="21">
        <v>2</v>
      </c>
      <c r="I58" s="21"/>
      <c r="J58" s="21">
        <v>2</v>
      </c>
    </row>
    <row r="59" spans="1:10" ht="30" x14ac:dyDescent="0.25">
      <c r="A59" s="19"/>
      <c r="B59" s="19" t="s">
        <v>685</v>
      </c>
      <c r="C59" s="19"/>
      <c r="D59" s="19"/>
      <c r="E59" s="21"/>
      <c r="F59" s="21"/>
      <c r="G59" s="21"/>
      <c r="H59" s="21">
        <v>2</v>
      </c>
      <c r="I59" s="21"/>
      <c r="J59" s="21">
        <v>2</v>
      </c>
    </row>
    <row r="60" spans="1:10" x14ac:dyDescent="0.25">
      <c r="A60" s="19"/>
      <c r="B60" s="19" t="s">
        <v>69</v>
      </c>
      <c r="C60" s="19" t="s">
        <v>68</v>
      </c>
      <c r="D60" s="19" t="s">
        <v>439</v>
      </c>
      <c r="E60" s="21"/>
      <c r="F60" s="21"/>
      <c r="G60" s="21"/>
      <c r="H60" s="21"/>
      <c r="I60" s="21">
        <v>3.75</v>
      </c>
      <c r="J60" s="21">
        <v>3.75</v>
      </c>
    </row>
    <row r="61" spans="1:10" x14ac:dyDescent="0.25">
      <c r="A61" s="19"/>
      <c r="B61" s="19" t="s">
        <v>584</v>
      </c>
      <c r="C61" s="19"/>
      <c r="D61" s="19"/>
      <c r="E61" s="21"/>
      <c r="F61" s="21"/>
      <c r="G61" s="21"/>
      <c r="H61" s="21"/>
      <c r="I61" s="21">
        <v>3.75</v>
      </c>
      <c r="J61" s="21">
        <v>3.75</v>
      </c>
    </row>
    <row r="62" spans="1:10" x14ac:dyDescent="0.25">
      <c r="A62" s="19" t="s">
        <v>773</v>
      </c>
      <c r="B62" s="19"/>
      <c r="C62" s="19"/>
      <c r="D62" s="19"/>
      <c r="E62" s="21">
        <v>7.5</v>
      </c>
      <c r="F62" s="21">
        <v>7.5</v>
      </c>
      <c r="G62" s="21">
        <v>7.5</v>
      </c>
      <c r="H62" s="21">
        <v>7.5</v>
      </c>
      <c r="I62" s="21">
        <v>7.5</v>
      </c>
      <c r="J62" s="21">
        <v>37.5</v>
      </c>
    </row>
    <row r="63" spans="1:10" x14ac:dyDescent="0.25">
      <c r="A63" s="20">
        <v>44024</v>
      </c>
      <c r="B63" s="19">
        <v>0</v>
      </c>
      <c r="C63" s="19" t="s">
        <v>669</v>
      </c>
      <c r="D63" s="19" t="s">
        <v>439</v>
      </c>
      <c r="E63" s="21"/>
      <c r="F63" s="21"/>
      <c r="G63" s="21"/>
      <c r="H63" s="21"/>
      <c r="I63" s="21"/>
      <c r="J63" s="21"/>
    </row>
    <row r="64" spans="1:10" x14ac:dyDescent="0.25">
      <c r="A64" s="19"/>
      <c r="B64" s="19" t="s">
        <v>579</v>
      </c>
      <c r="C64" s="19"/>
      <c r="D64" s="19"/>
      <c r="E64" s="21"/>
      <c r="F64" s="21"/>
      <c r="G64" s="21"/>
      <c r="H64" s="21"/>
      <c r="I64" s="21"/>
      <c r="J64" s="21"/>
    </row>
    <row r="65" spans="1:10" x14ac:dyDescent="0.25">
      <c r="A65" s="19"/>
      <c r="B65" s="19" t="s">
        <v>629</v>
      </c>
      <c r="C65" s="19" t="s">
        <v>630</v>
      </c>
      <c r="D65" s="19" t="s">
        <v>752</v>
      </c>
      <c r="E65" s="21"/>
      <c r="F65" s="21"/>
      <c r="G65" s="21"/>
      <c r="H65" s="21"/>
      <c r="I65" s="21">
        <v>3.75</v>
      </c>
      <c r="J65" s="21">
        <v>3.75</v>
      </c>
    </row>
    <row r="66" spans="1:10" x14ac:dyDescent="0.25">
      <c r="A66" s="19"/>
      <c r="B66" s="19"/>
      <c r="C66" s="19"/>
      <c r="D66" s="19" t="s">
        <v>755</v>
      </c>
      <c r="E66" s="21"/>
      <c r="F66" s="21"/>
      <c r="G66" s="21"/>
      <c r="H66" s="21"/>
      <c r="I66" s="21">
        <v>3.75</v>
      </c>
      <c r="J66" s="21">
        <v>3.75</v>
      </c>
    </row>
    <row r="67" spans="1:10" ht="30" x14ac:dyDescent="0.25">
      <c r="A67" s="19"/>
      <c r="B67" s="19"/>
      <c r="C67" s="19"/>
      <c r="D67" s="19" t="s">
        <v>762</v>
      </c>
      <c r="E67" s="21"/>
      <c r="F67" s="21"/>
      <c r="G67" s="21"/>
      <c r="H67" s="21">
        <v>5.5</v>
      </c>
      <c r="I67" s="21"/>
      <c r="J67" s="21">
        <v>5.5</v>
      </c>
    </row>
    <row r="68" spans="1:10" ht="30" x14ac:dyDescent="0.25">
      <c r="A68" s="19"/>
      <c r="B68" s="19"/>
      <c r="C68" s="19"/>
      <c r="D68" s="19" t="s">
        <v>759</v>
      </c>
      <c r="E68" s="21"/>
      <c r="F68" s="21">
        <v>7.5</v>
      </c>
      <c r="G68" s="21"/>
      <c r="H68" s="21"/>
      <c r="I68" s="21"/>
      <c r="J68" s="21">
        <v>7.5</v>
      </c>
    </row>
    <row r="69" spans="1:10" ht="30" x14ac:dyDescent="0.25">
      <c r="A69" s="19"/>
      <c r="B69" s="19"/>
      <c r="C69" s="19"/>
      <c r="D69" s="19" t="s">
        <v>760</v>
      </c>
      <c r="E69" s="21">
        <v>7.5</v>
      </c>
      <c r="F69" s="21"/>
      <c r="G69" s="21"/>
      <c r="H69" s="21"/>
      <c r="I69" s="21"/>
      <c r="J69" s="21">
        <v>7.5</v>
      </c>
    </row>
    <row r="70" spans="1:10" ht="30" x14ac:dyDescent="0.25">
      <c r="A70" s="19"/>
      <c r="B70" s="19"/>
      <c r="C70" s="19"/>
      <c r="D70" s="19" t="s">
        <v>769</v>
      </c>
      <c r="E70" s="21"/>
      <c r="F70" s="21"/>
      <c r="G70" s="21">
        <v>7.5</v>
      </c>
      <c r="H70" s="21"/>
      <c r="I70" s="21"/>
      <c r="J70" s="21">
        <v>7.5</v>
      </c>
    </row>
    <row r="71" spans="1:10" ht="30" x14ac:dyDescent="0.25">
      <c r="A71" s="19"/>
      <c r="B71" s="19" t="s">
        <v>684</v>
      </c>
      <c r="C71" s="19"/>
      <c r="D71" s="19"/>
      <c r="E71" s="21">
        <v>7.5</v>
      </c>
      <c r="F71" s="21">
        <v>7.5</v>
      </c>
      <c r="G71" s="21">
        <v>7.5</v>
      </c>
      <c r="H71" s="21">
        <v>5.5</v>
      </c>
      <c r="I71" s="21">
        <v>7.5</v>
      </c>
      <c r="J71" s="21">
        <v>35.5</v>
      </c>
    </row>
    <row r="72" spans="1:10" ht="30" x14ac:dyDescent="0.25">
      <c r="A72" s="19"/>
      <c r="B72" s="19" t="s">
        <v>639</v>
      </c>
      <c r="C72" s="19" t="s">
        <v>637</v>
      </c>
      <c r="D72" s="19" t="s">
        <v>753</v>
      </c>
      <c r="E72" s="21"/>
      <c r="F72" s="21"/>
      <c r="G72" s="21"/>
      <c r="H72" s="21">
        <v>2</v>
      </c>
      <c r="I72" s="21"/>
      <c r="J72" s="21">
        <v>2</v>
      </c>
    </row>
    <row r="73" spans="1:10" ht="30" x14ac:dyDescent="0.25">
      <c r="A73" s="19"/>
      <c r="B73" s="19" t="s">
        <v>685</v>
      </c>
      <c r="C73" s="19"/>
      <c r="D73" s="19"/>
      <c r="E73" s="21"/>
      <c r="F73" s="21"/>
      <c r="G73" s="21"/>
      <c r="H73" s="21">
        <v>2</v>
      </c>
      <c r="I73" s="21"/>
      <c r="J73" s="21">
        <v>2</v>
      </c>
    </row>
    <row r="74" spans="1:10" x14ac:dyDescent="0.25">
      <c r="A74" s="19" t="s">
        <v>763</v>
      </c>
      <c r="B74" s="19"/>
      <c r="C74" s="19"/>
      <c r="D74" s="19"/>
      <c r="E74" s="21">
        <v>7.5</v>
      </c>
      <c r="F74" s="21">
        <v>7.5</v>
      </c>
      <c r="G74" s="21">
        <v>7.5</v>
      </c>
      <c r="H74" s="21">
        <v>7.5</v>
      </c>
      <c r="I74" s="21">
        <v>7.5</v>
      </c>
      <c r="J74" s="21">
        <v>37.5</v>
      </c>
    </row>
    <row r="75" spans="1:10" x14ac:dyDescent="0.25">
      <c r="A75" s="20">
        <v>44017</v>
      </c>
      <c r="B75" s="19">
        <v>0</v>
      </c>
      <c r="C75" s="19" t="s">
        <v>669</v>
      </c>
      <c r="D75" s="19" t="s">
        <v>439</v>
      </c>
      <c r="E75" s="21"/>
      <c r="F75" s="21"/>
      <c r="G75" s="21"/>
      <c r="H75" s="21"/>
      <c r="I75" s="21"/>
      <c r="J75" s="21"/>
    </row>
    <row r="76" spans="1:10" x14ac:dyDescent="0.25">
      <c r="A76" s="19"/>
      <c r="B76" s="19" t="s">
        <v>579</v>
      </c>
      <c r="C76" s="19"/>
      <c r="D76" s="19"/>
      <c r="E76" s="21"/>
      <c r="F76" s="21"/>
      <c r="G76" s="21"/>
      <c r="H76" s="21"/>
      <c r="I76" s="21"/>
      <c r="J76" s="21"/>
    </row>
    <row r="77" spans="1:10" ht="30" x14ac:dyDescent="0.25">
      <c r="A77" s="19"/>
      <c r="B77" s="19" t="s">
        <v>629</v>
      </c>
      <c r="C77" s="19" t="s">
        <v>630</v>
      </c>
      <c r="D77" s="19" t="s">
        <v>744</v>
      </c>
      <c r="E77" s="21"/>
      <c r="F77" s="21"/>
      <c r="G77" s="21"/>
      <c r="H77" s="21"/>
      <c r="I77" s="21">
        <v>7.5</v>
      </c>
      <c r="J77" s="21">
        <v>7.5</v>
      </c>
    </row>
    <row r="78" spans="1:10" ht="30" x14ac:dyDescent="0.25">
      <c r="A78" s="19"/>
      <c r="B78" s="19"/>
      <c r="C78" s="19"/>
      <c r="D78" s="19" t="s">
        <v>745</v>
      </c>
      <c r="E78" s="21"/>
      <c r="F78" s="21"/>
      <c r="G78" s="21"/>
      <c r="H78" s="21">
        <v>5</v>
      </c>
      <c r="I78" s="21"/>
      <c r="J78" s="21">
        <v>5</v>
      </c>
    </row>
    <row r="79" spans="1:10" ht="30" x14ac:dyDescent="0.25">
      <c r="A79" s="19"/>
      <c r="B79" s="19"/>
      <c r="C79" s="19"/>
      <c r="D79" s="19" t="s">
        <v>746</v>
      </c>
      <c r="E79" s="21"/>
      <c r="F79" s="21"/>
      <c r="G79" s="21"/>
      <c r="H79" s="21">
        <v>2.5</v>
      </c>
      <c r="I79" s="21"/>
      <c r="J79" s="21">
        <v>2.5</v>
      </c>
    </row>
    <row r="80" spans="1:10" ht="45" x14ac:dyDescent="0.25">
      <c r="A80" s="19"/>
      <c r="B80" s="19"/>
      <c r="C80" s="19"/>
      <c r="D80" s="19" t="s">
        <v>747</v>
      </c>
      <c r="E80" s="21"/>
      <c r="F80" s="21"/>
      <c r="G80" s="21">
        <v>7.5</v>
      </c>
      <c r="H80" s="21"/>
      <c r="I80" s="21"/>
      <c r="J80" s="21">
        <v>7.5</v>
      </c>
    </row>
    <row r="81" spans="1:10" ht="30" x14ac:dyDescent="0.25">
      <c r="A81" s="19"/>
      <c r="B81" s="19"/>
      <c r="C81" s="19"/>
      <c r="D81" s="19" t="s">
        <v>748</v>
      </c>
      <c r="E81" s="21"/>
      <c r="F81" s="21">
        <v>7.5</v>
      </c>
      <c r="G81" s="21"/>
      <c r="H81" s="21"/>
      <c r="I81" s="21"/>
      <c r="J81" s="21">
        <v>7.5</v>
      </c>
    </row>
    <row r="82" spans="1:10" ht="45" x14ac:dyDescent="0.25">
      <c r="A82" s="19"/>
      <c r="B82" s="19"/>
      <c r="C82" s="19"/>
      <c r="D82" s="19" t="s">
        <v>749</v>
      </c>
      <c r="E82" s="21">
        <v>5</v>
      </c>
      <c r="F82" s="21"/>
      <c r="G82" s="21"/>
      <c r="H82" s="21"/>
      <c r="I82" s="21"/>
      <c r="J82" s="21">
        <v>5</v>
      </c>
    </row>
    <row r="83" spans="1:10" ht="30" x14ac:dyDescent="0.25">
      <c r="A83" s="19"/>
      <c r="B83" s="19" t="s">
        <v>684</v>
      </c>
      <c r="C83" s="19"/>
      <c r="D83" s="19"/>
      <c r="E83" s="21">
        <v>5</v>
      </c>
      <c r="F83" s="21">
        <v>7.5</v>
      </c>
      <c r="G83" s="21">
        <v>7.5</v>
      </c>
      <c r="H83" s="21">
        <v>7.5</v>
      </c>
      <c r="I83" s="21">
        <v>7.5</v>
      </c>
      <c r="J83" s="21">
        <v>35</v>
      </c>
    </row>
    <row r="84" spans="1:10" x14ac:dyDescent="0.25">
      <c r="A84" s="19"/>
      <c r="B84" s="19" t="s">
        <v>733</v>
      </c>
      <c r="C84" s="19" t="s">
        <v>732</v>
      </c>
      <c r="D84" s="19" t="s">
        <v>734</v>
      </c>
      <c r="E84" s="21">
        <v>2.5</v>
      </c>
      <c r="F84" s="21"/>
      <c r="G84" s="21"/>
      <c r="H84" s="21"/>
      <c r="I84" s="21"/>
      <c r="J84" s="21">
        <v>2.5</v>
      </c>
    </row>
    <row r="85" spans="1:10" ht="30" x14ac:dyDescent="0.25">
      <c r="A85" s="19"/>
      <c r="B85" s="19" t="s">
        <v>767</v>
      </c>
      <c r="C85" s="19"/>
      <c r="D85" s="19"/>
      <c r="E85" s="21">
        <v>2.5</v>
      </c>
      <c r="F85" s="21"/>
      <c r="G85" s="21"/>
      <c r="H85" s="21"/>
      <c r="I85" s="21"/>
      <c r="J85" s="21">
        <v>2.5</v>
      </c>
    </row>
    <row r="86" spans="1:10" x14ac:dyDescent="0.25">
      <c r="A86" s="19" t="s">
        <v>764</v>
      </c>
      <c r="B86" s="19"/>
      <c r="C86" s="19"/>
      <c r="D86" s="19"/>
      <c r="E86" s="21">
        <v>7.5</v>
      </c>
      <c r="F86" s="21">
        <v>7.5</v>
      </c>
      <c r="G86" s="21">
        <v>7.5</v>
      </c>
      <c r="H86" s="21">
        <v>7.5</v>
      </c>
      <c r="I86" s="21">
        <v>7.5</v>
      </c>
      <c r="J86" s="21">
        <v>37.5</v>
      </c>
    </row>
    <row r="87" spans="1:10" x14ac:dyDescent="0.25">
      <c r="A87" s="20">
        <v>44010</v>
      </c>
      <c r="B87" s="19" t="s">
        <v>629</v>
      </c>
      <c r="C87" s="19" t="s">
        <v>630</v>
      </c>
      <c r="D87" s="19" t="s">
        <v>728</v>
      </c>
      <c r="E87" s="21"/>
      <c r="F87" s="21"/>
      <c r="G87" s="21"/>
      <c r="H87" s="21"/>
      <c r="I87" s="21"/>
      <c r="J87" s="21"/>
    </row>
    <row r="88" spans="1:10" ht="45" x14ac:dyDescent="0.25">
      <c r="A88" s="19"/>
      <c r="B88" s="19"/>
      <c r="C88" s="19"/>
      <c r="D88" s="19" t="s">
        <v>730</v>
      </c>
      <c r="E88" s="21"/>
      <c r="F88" s="21"/>
      <c r="G88" s="21"/>
      <c r="H88" s="21"/>
      <c r="I88" s="21"/>
      <c r="J88" s="21"/>
    </row>
    <row r="89" spans="1:10" ht="45" x14ac:dyDescent="0.25">
      <c r="A89" s="19"/>
      <c r="B89" s="19"/>
      <c r="C89" s="19"/>
      <c r="D89" s="19" t="s">
        <v>729</v>
      </c>
      <c r="E89" s="21"/>
      <c r="F89" s="21"/>
      <c r="G89" s="21"/>
      <c r="H89" s="21"/>
      <c r="I89" s="21"/>
      <c r="J89" s="21"/>
    </row>
    <row r="90" spans="1:10" ht="30" x14ac:dyDescent="0.25">
      <c r="A90" s="19"/>
      <c r="B90" s="19"/>
      <c r="C90" s="19"/>
      <c r="D90" s="19" t="s">
        <v>726</v>
      </c>
      <c r="E90" s="21"/>
      <c r="F90" s="21"/>
      <c r="G90" s="21"/>
      <c r="H90" s="21"/>
      <c r="I90" s="21"/>
      <c r="J90" s="21"/>
    </row>
    <row r="91" spans="1:10" ht="30" x14ac:dyDescent="0.25">
      <c r="A91" s="19"/>
      <c r="B91" s="19" t="s">
        <v>684</v>
      </c>
      <c r="C91" s="19"/>
      <c r="D91" s="19"/>
      <c r="E91" s="21"/>
      <c r="F91" s="21"/>
      <c r="G91" s="21"/>
      <c r="H91" s="21"/>
      <c r="I91" s="21"/>
      <c r="J91" s="21"/>
    </row>
    <row r="92" spans="1:10" x14ac:dyDescent="0.25">
      <c r="A92" s="19"/>
      <c r="B92" s="19" t="s">
        <v>69</v>
      </c>
      <c r="C92" s="19" t="s">
        <v>68</v>
      </c>
      <c r="D92" s="19" t="s">
        <v>439</v>
      </c>
      <c r="E92" s="21"/>
      <c r="F92" s="21"/>
      <c r="G92" s="21"/>
      <c r="H92" s="21"/>
      <c r="I92" s="21">
        <v>7.5</v>
      </c>
      <c r="J92" s="21">
        <v>7.5</v>
      </c>
    </row>
    <row r="93" spans="1:10" x14ac:dyDescent="0.25">
      <c r="A93" s="19"/>
      <c r="B93" s="19" t="s">
        <v>584</v>
      </c>
      <c r="C93" s="19"/>
      <c r="D93" s="19"/>
      <c r="E93" s="21"/>
      <c r="F93" s="21"/>
      <c r="G93" s="21"/>
      <c r="H93" s="21"/>
      <c r="I93" s="21">
        <v>7.5</v>
      </c>
      <c r="J93" s="21">
        <v>7.5</v>
      </c>
    </row>
    <row r="94" spans="1:10" x14ac:dyDescent="0.25">
      <c r="A94" s="19" t="s">
        <v>765</v>
      </c>
      <c r="B94" s="19"/>
      <c r="C94" s="19"/>
      <c r="D94" s="19"/>
      <c r="E94" s="21"/>
      <c r="F94" s="21"/>
      <c r="G94" s="21"/>
      <c r="H94" s="21"/>
      <c r="I94" s="21">
        <v>7.5</v>
      </c>
      <c r="J94" s="21">
        <v>7.5</v>
      </c>
    </row>
    <row r="95" spans="1:10" x14ac:dyDescent="0.25">
      <c r="A95" s="20">
        <v>44003</v>
      </c>
      <c r="B95" s="19" t="s">
        <v>629</v>
      </c>
      <c r="C95" s="19" t="s">
        <v>630</v>
      </c>
      <c r="D95" s="19" t="s">
        <v>439</v>
      </c>
      <c r="E95" s="21"/>
      <c r="F95" s="21"/>
      <c r="G95" s="21"/>
      <c r="H95" s="21"/>
      <c r="I95" s="21"/>
      <c r="J95" s="21"/>
    </row>
    <row r="96" spans="1:10" ht="30" x14ac:dyDescent="0.25">
      <c r="A96" s="19"/>
      <c r="B96" s="19" t="s">
        <v>684</v>
      </c>
      <c r="C96" s="19"/>
      <c r="D96" s="19"/>
      <c r="E96" s="21"/>
      <c r="F96" s="21"/>
      <c r="G96" s="21"/>
      <c r="H96" s="21"/>
      <c r="I96" s="21"/>
      <c r="J96" s="21"/>
    </row>
    <row r="97" spans="1:10" x14ac:dyDescent="0.25">
      <c r="A97" s="19" t="s">
        <v>766</v>
      </c>
      <c r="B97" s="19"/>
      <c r="C97" s="19"/>
      <c r="D97" s="19"/>
      <c r="E97" s="21"/>
      <c r="F97" s="21"/>
      <c r="G97" s="21"/>
      <c r="H97" s="21"/>
      <c r="I97" s="21"/>
      <c r="J97" s="21"/>
    </row>
    <row r="98" spans="1:10" x14ac:dyDescent="0.25">
      <c r="A98" s="20">
        <v>43996</v>
      </c>
      <c r="B98" s="19">
        <v>0</v>
      </c>
      <c r="C98" s="19" t="s">
        <v>669</v>
      </c>
      <c r="D98" s="19" t="s">
        <v>439</v>
      </c>
      <c r="E98" s="21"/>
      <c r="F98" s="21">
        <v>0</v>
      </c>
      <c r="G98" s="21"/>
      <c r="H98" s="21"/>
      <c r="I98" s="21">
        <v>0</v>
      </c>
      <c r="J98" s="21">
        <v>0</v>
      </c>
    </row>
    <row r="99" spans="1:10" x14ac:dyDescent="0.25">
      <c r="A99" s="19"/>
      <c r="B99" s="19" t="s">
        <v>579</v>
      </c>
      <c r="C99" s="19"/>
      <c r="D99" s="19"/>
      <c r="E99" s="21"/>
      <c r="F99" s="21">
        <v>0</v>
      </c>
      <c r="G99" s="21"/>
      <c r="H99" s="21"/>
      <c r="I99" s="21">
        <v>0</v>
      </c>
      <c r="J99" s="21">
        <v>0</v>
      </c>
    </row>
    <row r="100" spans="1:10" ht="30" x14ac:dyDescent="0.25">
      <c r="A100" s="19"/>
      <c r="B100" s="19" t="s">
        <v>629</v>
      </c>
      <c r="C100" s="19" t="s">
        <v>630</v>
      </c>
      <c r="D100" s="19" t="s">
        <v>717</v>
      </c>
      <c r="E100" s="21"/>
      <c r="F100" s="21"/>
      <c r="G100" s="21"/>
      <c r="H100" s="21"/>
      <c r="I100" s="21">
        <v>7.5</v>
      </c>
      <c r="J100" s="21">
        <v>7.5</v>
      </c>
    </row>
    <row r="101" spans="1:10" ht="30" x14ac:dyDescent="0.25">
      <c r="A101" s="19"/>
      <c r="B101" s="19"/>
      <c r="C101" s="19"/>
      <c r="D101" s="19" t="s">
        <v>718</v>
      </c>
      <c r="E101" s="21">
        <v>6.5</v>
      </c>
      <c r="F101" s="21"/>
      <c r="G101" s="21"/>
      <c r="H101" s="21">
        <v>7.5</v>
      </c>
      <c r="I101" s="21"/>
      <c r="J101" s="21">
        <v>14</v>
      </c>
    </row>
    <row r="102" spans="1:10" x14ac:dyDescent="0.25">
      <c r="A102" s="19"/>
      <c r="B102" s="19"/>
      <c r="C102" s="19"/>
      <c r="D102" s="19" t="s">
        <v>719</v>
      </c>
      <c r="E102" s="21"/>
      <c r="F102" s="21"/>
      <c r="G102" s="21">
        <v>2.5</v>
      </c>
      <c r="H102" s="21"/>
      <c r="I102" s="21"/>
      <c r="J102" s="21">
        <v>2.5</v>
      </c>
    </row>
    <row r="103" spans="1:10" x14ac:dyDescent="0.25">
      <c r="A103" s="19"/>
      <c r="B103" s="19"/>
      <c r="C103" s="19"/>
      <c r="D103" s="19" t="s">
        <v>720</v>
      </c>
      <c r="E103" s="21"/>
      <c r="F103" s="21"/>
      <c r="G103" s="21">
        <v>5</v>
      </c>
      <c r="H103" s="21"/>
      <c r="I103" s="21"/>
      <c r="J103" s="21">
        <v>5</v>
      </c>
    </row>
    <row r="104" spans="1:10" ht="30" x14ac:dyDescent="0.25">
      <c r="A104" s="19"/>
      <c r="B104" s="19"/>
      <c r="C104" s="19"/>
      <c r="D104" s="19" t="s">
        <v>724</v>
      </c>
      <c r="E104" s="21"/>
      <c r="F104" s="21">
        <v>4.5</v>
      </c>
      <c r="G104" s="21"/>
      <c r="H104" s="21"/>
      <c r="I104" s="21"/>
      <c r="J104" s="21">
        <v>4.5</v>
      </c>
    </row>
    <row r="105" spans="1:10" ht="30" x14ac:dyDescent="0.25">
      <c r="A105" s="19"/>
      <c r="B105" s="19" t="s">
        <v>684</v>
      </c>
      <c r="C105" s="19"/>
      <c r="D105" s="19"/>
      <c r="E105" s="21">
        <v>6.5</v>
      </c>
      <c r="F105" s="21">
        <v>4.5</v>
      </c>
      <c r="G105" s="21">
        <v>7.5</v>
      </c>
      <c r="H105" s="21">
        <v>7.5</v>
      </c>
      <c r="I105" s="21">
        <v>7.5</v>
      </c>
      <c r="J105" s="21">
        <v>33.5</v>
      </c>
    </row>
    <row r="106" spans="1:10" x14ac:dyDescent="0.25">
      <c r="A106" s="19"/>
      <c r="B106" s="19" t="s">
        <v>41</v>
      </c>
      <c r="C106" s="19" t="s">
        <v>40</v>
      </c>
      <c r="D106" s="19" t="s">
        <v>722</v>
      </c>
      <c r="E106" s="21"/>
      <c r="F106" s="21">
        <v>3</v>
      </c>
      <c r="G106" s="21"/>
      <c r="H106" s="21"/>
      <c r="I106" s="21"/>
      <c r="J106" s="21">
        <v>3</v>
      </c>
    </row>
    <row r="107" spans="1:10" x14ac:dyDescent="0.25">
      <c r="A107" s="19"/>
      <c r="B107" s="19"/>
      <c r="C107" s="19"/>
      <c r="D107" s="19" t="s">
        <v>723</v>
      </c>
      <c r="E107" s="21">
        <v>1</v>
      </c>
      <c r="F107" s="21"/>
      <c r="G107" s="21"/>
      <c r="H107" s="21"/>
      <c r="I107" s="21"/>
      <c r="J107" s="21">
        <v>1</v>
      </c>
    </row>
    <row r="108" spans="1:10" ht="30" x14ac:dyDescent="0.25">
      <c r="A108" s="19"/>
      <c r="B108" s="19" t="s">
        <v>572</v>
      </c>
      <c r="C108" s="19"/>
      <c r="D108" s="19"/>
      <c r="E108" s="21">
        <v>1</v>
      </c>
      <c r="F108" s="21">
        <v>3</v>
      </c>
      <c r="G108" s="21"/>
      <c r="H108" s="21"/>
      <c r="I108" s="21"/>
      <c r="J108" s="21">
        <v>4</v>
      </c>
    </row>
    <row r="109" spans="1:10" x14ac:dyDescent="0.25">
      <c r="A109" s="19" t="s">
        <v>713</v>
      </c>
      <c r="B109" s="19"/>
      <c r="C109" s="19"/>
      <c r="D109" s="19"/>
      <c r="E109" s="21">
        <v>7.5</v>
      </c>
      <c r="F109" s="21">
        <v>7.5</v>
      </c>
      <c r="G109" s="21">
        <v>7.5</v>
      </c>
      <c r="H109" s="21">
        <v>7.5</v>
      </c>
      <c r="I109" s="21">
        <v>7.5</v>
      </c>
      <c r="J109" s="21">
        <v>37.5</v>
      </c>
    </row>
    <row r="110" spans="1:10" x14ac:dyDescent="0.25">
      <c r="A110" s="20">
        <v>43989</v>
      </c>
      <c r="B110" s="19">
        <v>0</v>
      </c>
      <c r="C110" s="19" t="s">
        <v>669</v>
      </c>
      <c r="D110" s="19" t="s">
        <v>439</v>
      </c>
      <c r="E110" s="21"/>
      <c r="F110" s="21"/>
      <c r="G110" s="21"/>
      <c r="H110" s="21"/>
      <c r="I110" s="21">
        <v>2</v>
      </c>
      <c r="J110" s="21">
        <v>2</v>
      </c>
    </row>
    <row r="111" spans="1:10" x14ac:dyDescent="0.25">
      <c r="A111" s="19"/>
      <c r="B111" s="19" t="s">
        <v>579</v>
      </c>
      <c r="C111" s="19"/>
      <c r="D111" s="19"/>
      <c r="E111" s="21"/>
      <c r="F111" s="21"/>
      <c r="G111" s="21"/>
      <c r="H111" s="21"/>
      <c r="I111" s="21">
        <v>2</v>
      </c>
      <c r="J111" s="21">
        <v>2</v>
      </c>
    </row>
    <row r="112" spans="1:10" x14ac:dyDescent="0.25">
      <c r="A112" s="19"/>
      <c r="B112" s="19" t="s">
        <v>629</v>
      </c>
      <c r="C112" s="19" t="s">
        <v>630</v>
      </c>
      <c r="D112" s="19" t="s">
        <v>439</v>
      </c>
      <c r="E112" s="21"/>
      <c r="F112" s="21">
        <v>7.5</v>
      </c>
      <c r="G112" s="21">
        <v>7.5</v>
      </c>
      <c r="H112" s="21">
        <v>6.5</v>
      </c>
      <c r="I112" s="21">
        <v>7.5</v>
      </c>
      <c r="J112" s="21">
        <v>29</v>
      </c>
    </row>
    <row r="113" spans="1:10" ht="30" x14ac:dyDescent="0.25">
      <c r="A113" s="19"/>
      <c r="B113" s="19" t="s">
        <v>684</v>
      </c>
      <c r="C113" s="19"/>
      <c r="D113" s="19"/>
      <c r="E113" s="21"/>
      <c r="F113" s="21">
        <v>7.5</v>
      </c>
      <c r="G113" s="21">
        <v>7.5</v>
      </c>
      <c r="H113" s="21">
        <v>6.5</v>
      </c>
      <c r="I113" s="21">
        <v>7.5</v>
      </c>
      <c r="J113" s="21">
        <v>29</v>
      </c>
    </row>
    <row r="114" spans="1:10" x14ac:dyDescent="0.25">
      <c r="A114" s="19"/>
      <c r="B114" s="19" t="s">
        <v>52</v>
      </c>
      <c r="C114" s="19" t="s">
        <v>51</v>
      </c>
      <c r="D114" s="19" t="s">
        <v>678</v>
      </c>
      <c r="E114" s="21">
        <v>7.5</v>
      </c>
      <c r="F114" s="21"/>
      <c r="G114" s="21"/>
      <c r="H114" s="21"/>
      <c r="I114" s="21"/>
      <c r="J114" s="21">
        <v>7.5</v>
      </c>
    </row>
    <row r="115" spans="1:10" ht="30" x14ac:dyDescent="0.25">
      <c r="A115" s="19"/>
      <c r="B115" s="19" t="s">
        <v>576</v>
      </c>
      <c r="C115" s="19"/>
      <c r="D115" s="19"/>
      <c r="E115" s="21">
        <v>7.5</v>
      </c>
      <c r="F115" s="21"/>
      <c r="G115" s="21"/>
      <c r="H115" s="21"/>
      <c r="I115" s="21"/>
      <c r="J115" s="21">
        <v>7.5</v>
      </c>
    </row>
    <row r="116" spans="1:10" x14ac:dyDescent="0.25">
      <c r="A116" s="19"/>
      <c r="B116" s="19" t="s">
        <v>41</v>
      </c>
      <c r="C116" s="19" t="s">
        <v>40</v>
      </c>
      <c r="D116" s="19" t="s">
        <v>439</v>
      </c>
      <c r="E116" s="21"/>
      <c r="F116" s="21"/>
      <c r="G116" s="21"/>
      <c r="H116" s="21">
        <v>1</v>
      </c>
      <c r="I116" s="21"/>
      <c r="J116" s="21">
        <v>1</v>
      </c>
    </row>
    <row r="117" spans="1:10" ht="30" x14ac:dyDescent="0.25">
      <c r="A117" s="19"/>
      <c r="B117" s="19" t="s">
        <v>572</v>
      </c>
      <c r="C117" s="19"/>
      <c r="D117" s="19"/>
      <c r="E117" s="21"/>
      <c r="F117" s="21"/>
      <c r="G117" s="21"/>
      <c r="H117" s="21">
        <v>1</v>
      </c>
      <c r="I117" s="21"/>
      <c r="J117" s="21">
        <v>1</v>
      </c>
    </row>
    <row r="118" spans="1:10" x14ac:dyDescent="0.25">
      <c r="A118" s="19" t="s">
        <v>714</v>
      </c>
      <c r="B118" s="19"/>
      <c r="C118" s="19"/>
      <c r="D118" s="19"/>
      <c r="E118" s="21">
        <v>7.5</v>
      </c>
      <c r="F118" s="21">
        <v>7.5</v>
      </c>
      <c r="G118" s="21">
        <v>7.5</v>
      </c>
      <c r="H118" s="21">
        <v>7.5</v>
      </c>
      <c r="I118" s="21">
        <v>9.5</v>
      </c>
      <c r="J118" s="21">
        <v>39.5</v>
      </c>
    </row>
    <row r="119" spans="1:10" x14ac:dyDescent="0.25">
      <c r="A119" s="20">
        <v>43982</v>
      </c>
      <c r="B119" s="19">
        <v>0</v>
      </c>
      <c r="C119" s="19" t="s">
        <v>669</v>
      </c>
      <c r="D119" s="19" t="s">
        <v>439</v>
      </c>
      <c r="E119" s="21"/>
      <c r="F119" s="21"/>
      <c r="G119" s="21"/>
      <c r="H119" s="21"/>
      <c r="I119" s="21"/>
      <c r="J119" s="21"/>
    </row>
    <row r="120" spans="1:10" x14ac:dyDescent="0.25">
      <c r="A120" s="19"/>
      <c r="B120" s="19" t="s">
        <v>579</v>
      </c>
      <c r="C120" s="19"/>
      <c r="D120" s="19"/>
      <c r="E120" s="21"/>
      <c r="F120" s="21"/>
      <c r="G120" s="21"/>
      <c r="H120" s="21"/>
      <c r="I120" s="21"/>
      <c r="J120" s="21"/>
    </row>
    <row r="121" spans="1:10" x14ac:dyDescent="0.25">
      <c r="A121" s="19"/>
      <c r="B121" s="19" t="s">
        <v>629</v>
      </c>
      <c r="C121" s="19" t="s">
        <v>630</v>
      </c>
      <c r="D121" s="19" t="s">
        <v>675</v>
      </c>
      <c r="E121" s="21"/>
      <c r="F121" s="21"/>
      <c r="G121" s="21">
        <v>5.5</v>
      </c>
      <c r="H121" s="21"/>
      <c r="I121" s="21"/>
      <c r="J121" s="21">
        <v>5.5</v>
      </c>
    </row>
    <row r="122" spans="1:10" ht="30" x14ac:dyDescent="0.25">
      <c r="A122" s="19"/>
      <c r="B122" s="19"/>
      <c r="C122" s="19"/>
      <c r="D122" s="19" t="s">
        <v>661</v>
      </c>
      <c r="E122" s="21"/>
      <c r="F122" s="21"/>
      <c r="G122" s="21"/>
      <c r="H122" s="21">
        <v>4.5</v>
      </c>
      <c r="I122" s="21">
        <v>5.5</v>
      </c>
      <c r="J122" s="21">
        <v>10</v>
      </c>
    </row>
    <row r="123" spans="1:10" ht="30" x14ac:dyDescent="0.25">
      <c r="A123" s="19"/>
      <c r="B123" s="19" t="s">
        <v>684</v>
      </c>
      <c r="C123" s="19"/>
      <c r="D123" s="19"/>
      <c r="E123" s="21"/>
      <c r="F123" s="21"/>
      <c r="G123" s="21">
        <v>5.5</v>
      </c>
      <c r="H123" s="21">
        <v>4.5</v>
      </c>
      <c r="I123" s="21">
        <v>5.5</v>
      </c>
      <c r="J123" s="21">
        <v>15.5</v>
      </c>
    </row>
    <row r="124" spans="1:10" x14ac:dyDescent="0.25">
      <c r="A124" s="19"/>
      <c r="B124" s="19" t="s">
        <v>52</v>
      </c>
      <c r="C124" s="19" t="s">
        <v>51</v>
      </c>
      <c r="D124" s="19" t="s">
        <v>678</v>
      </c>
      <c r="E124" s="21"/>
      <c r="F124" s="21"/>
      <c r="G124" s="21"/>
      <c r="H124" s="21"/>
      <c r="I124" s="21">
        <v>0</v>
      </c>
      <c r="J124" s="21">
        <v>0</v>
      </c>
    </row>
    <row r="125" spans="1:10" ht="30" x14ac:dyDescent="0.25">
      <c r="A125" s="19"/>
      <c r="B125" s="19" t="s">
        <v>576</v>
      </c>
      <c r="C125" s="19"/>
      <c r="D125" s="19"/>
      <c r="E125" s="21"/>
      <c r="F125" s="21"/>
      <c r="G125" s="21"/>
      <c r="H125" s="21"/>
      <c r="I125" s="21">
        <v>0</v>
      </c>
      <c r="J125" s="21">
        <v>0</v>
      </c>
    </row>
    <row r="126" spans="1:10" x14ac:dyDescent="0.25">
      <c r="A126" s="19"/>
      <c r="B126" s="19" t="s">
        <v>41</v>
      </c>
      <c r="C126" s="19" t="s">
        <v>40</v>
      </c>
      <c r="D126" s="19" t="s">
        <v>677</v>
      </c>
      <c r="E126" s="21"/>
      <c r="F126" s="21"/>
      <c r="G126" s="21"/>
      <c r="H126" s="21">
        <v>2</v>
      </c>
      <c r="I126" s="21"/>
      <c r="J126" s="21">
        <v>2</v>
      </c>
    </row>
    <row r="127" spans="1:10" ht="30" x14ac:dyDescent="0.25">
      <c r="A127" s="19"/>
      <c r="B127" s="19" t="s">
        <v>572</v>
      </c>
      <c r="C127" s="19"/>
      <c r="D127" s="19"/>
      <c r="E127" s="21"/>
      <c r="F127" s="21"/>
      <c r="G127" s="21"/>
      <c r="H127" s="21">
        <v>2</v>
      </c>
      <c r="I127" s="21"/>
      <c r="J127" s="21">
        <v>2</v>
      </c>
    </row>
    <row r="128" spans="1:10" ht="30" x14ac:dyDescent="0.25">
      <c r="A128" s="19"/>
      <c r="B128" s="19" t="s">
        <v>639</v>
      </c>
      <c r="C128" s="19" t="s">
        <v>637</v>
      </c>
      <c r="D128" s="19" t="s">
        <v>674</v>
      </c>
      <c r="E128" s="21"/>
      <c r="F128" s="21"/>
      <c r="G128" s="21"/>
      <c r="H128" s="21">
        <v>1</v>
      </c>
      <c r="I128" s="21"/>
      <c r="J128" s="21">
        <v>1</v>
      </c>
    </row>
    <row r="129" spans="1:10" x14ac:dyDescent="0.25">
      <c r="A129" s="19"/>
      <c r="B129" s="19"/>
      <c r="C129" s="19"/>
      <c r="D129" s="19" t="s">
        <v>676</v>
      </c>
      <c r="E129" s="21"/>
      <c r="F129" s="21"/>
      <c r="G129" s="21">
        <v>2</v>
      </c>
      <c r="H129" s="21"/>
      <c r="I129" s="21"/>
      <c r="J129" s="21">
        <v>2</v>
      </c>
    </row>
    <row r="130" spans="1:10" x14ac:dyDescent="0.25">
      <c r="A130" s="19"/>
      <c r="B130" s="19"/>
      <c r="C130" s="19"/>
      <c r="D130" s="19" t="s">
        <v>673</v>
      </c>
      <c r="E130" s="21"/>
      <c r="F130" s="21">
        <v>7.5</v>
      </c>
      <c r="G130" s="21"/>
      <c r="H130" s="21"/>
      <c r="I130" s="21"/>
      <c r="J130" s="21">
        <v>7.5</v>
      </c>
    </row>
    <row r="131" spans="1:10" x14ac:dyDescent="0.25">
      <c r="A131" s="19"/>
      <c r="B131" s="19"/>
      <c r="C131" s="19"/>
      <c r="D131" s="19" t="s">
        <v>698</v>
      </c>
      <c r="E131" s="21"/>
      <c r="F131" s="21"/>
      <c r="G131" s="21"/>
      <c r="H131" s="21"/>
      <c r="I131" s="21">
        <v>2</v>
      </c>
      <c r="J131" s="21">
        <v>2</v>
      </c>
    </row>
    <row r="132" spans="1:10" ht="30" x14ac:dyDescent="0.25">
      <c r="A132" s="19"/>
      <c r="B132" s="19" t="s">
        <v>685</v>
      </c>
      <c r="C132" s="19"/>
      <c r="D132" s="19"/>
      <c r="E132" s="21"/>
      <c r="F132" s="21">
        <v>7.5</v>
      </c>
      <c r="G132" s="21">
        <v>2</v>
      </c>
      <c r="H132" s="21">
        <v>1</v>
      </c>
      <c r="I132" s="21">
        <v>2</v>
      </c>
      <c r="J132" s="21">
        <v>12.5</v>
      </c>
    </row>
    <row r="133" spans="1:10" ht="30" x14ac:dyDescent="0.25">
      <c r="A133" s="19"/>
      <c r="B133" s="19" t="s">
        <v>13</v>
      </c>
      <c r="C133" s="19" t="s">
        <v>12</v>
      </c>
      <c r="D133" s="19" t="s">
        <v>439</v>
      </c>
      <c r="E133" s="21">
        <v>7.5</v>
      </c>
      <c r="F133" s="21"/>
      <c r="G133" s="21"/>
      <c r="H133" s="21"/>
      <c r="I133" s="21"/>
      <c r="J133" s="21">
        <v>7.5</v>
      </c>
    </row>
    <row r="134" spans="1:10" ht="30" x14ac:dyDescent="0.25">
      <c r="A134" s="19"/>
      <c r="B134" s="19" t="s">
        <v>556</v>
      </c>
      <c r="C134" s="19"/>
      <c r="D134" s="19"/>
      <c r="E134" s="21">
        <v>7.5</v>
      </c>
      <c r="F134" s="21"/>
      <c r="G134" s="21"/>
      <c r="H134" s="21"/>
      <c r="I134" s="21"/>
      <c r="J134" s="21">
        <v>7.5</v>
      </c>
    </row>
    <row r="135" spans="1:10" x14ac:dyDescent="0.25">
      <c r="A135" s="19" t="s">
        <v>697</v>
      </c>
      <c r="B135" s="19"/>
      <c r="C135" s="19"/>
      <c r="D135" s="19"/>
      <c r="E135" s="21">
        <v>7.5</v>
      </c>
      <c r="F135" s="21">
        <v>7.5</v>
      </c>
      <c r="G135" s="21">
        <v>7.5</v>
      </c>
      <c r="H135" s="21">
        <v>7.5</v>
      </c>
      <c r="I135" s="21">
        <v>7.5</v>
      </c>
      <c r="J135" s="21">
        <v>37.5</v>
      </c>
    </row>
    <row r="136" spans="1:10" x14ac:dyDescent="0.25">
      <c r="A136" s="20">
        <v>43975</v>
      </c>
      <c r="B136" s="19" t="s">
        <v>629</v>
      </c>
      <c r="C136" s="19" t="s">
        <v>630</v>
      </c>
      <c r="D136" s="19" t="s">
        <v>662</v>
      </c>
      <c r="E136" s="21"/>
      <c r="F136" s="21"/>
      <c r="G136" s="21"/>
      <c r="H136" s="21">
        <v>2</v>
      </c>
      <c r="I136" s="21"/>
      <c r="J136" s="21">
        <v>2</v>
      </c>
    </row>
    <row r="137" spans="1:10" x14ac:dyDescent="0.25">
      <c r="A137" s="19"/>
      <c r="B137" s="19"/>
      <c r="C137" s="19"/>
      <c r="D137" s="19" t="s">
        <v>659</v>
      </c>
      <c r="E137" s="21"/>
      <c r="F137" s="21"/>
      <c r="G137" s="21"/>
      <c r="H137" s="21"/>
      <c r="I137" s="21">
        <v>2.5</v>
      </c>
      <c r="J137" s="21">
        <v>2.5</v>
      </c>
    </row>
    <row r="138" spans="1:10" ht="30" x14ac:dyDescent="0.25">
      <c r="A138" s="19"/>
      <c r="B138" s="19"/>
      <c r="C138" s="19"/>
      <c r="D138" s="19" t="s">
        <v>661</v>
      </c>
      <c r="E138" s="21"/>
      <c r="F138" s="21">
        <v>7.5</v>
      </c>
      <c r="G138" s="21">
        <v>7.5</v>
      </c>
      <c r="H138" s="21"/>
      <c r="I138" s="21"/>
      <c r="J138" s="21">
        <v>15</v>
      </c>
    </row>
    <row r="139" spans="1:10" ht="30" x14ac:dyDescent="0.25">
      <c r="A139" s="19"/>
      <c r="B139" s="19" t="s">
        <v>684</v>
      </c>
      <c r="C139" s="19"/>
      <c r="D139" s="19"/>
      <c r="E139" s="21"/>
      <c r="F139" s="21">
        <v>7.5</v>
      </c>
      <c r="G139" s="21">
        <v>7.5</v>
      </c>
      <c r="H139" s="21">
        <v>2</v>
      </c>
      <c r="I139" s="21">
        <v>2.5</v>
      </c>
      <c r="J139" s="21">
        <v>19.5</v>
      </c>
    </row>
    <row r="140" spans="1:10" x14ac:dyDescent="0.25">
      <c r="A140" s="19"/>
      <c r="B140" s="19" t="s">
        <v>49</v>
      </c>
      <c r="C140" s="19" t="s">
        <v>48</v>
      </c>
      <c r="D140" s="19" t="s">
        <v>663</v>
      </c>
      <c r="E140" s="21"/>
      <c r="F140" s="21"/>
      <c r="G140" s="21"/>
      <c r="H140" s="21">
        <v>3</v>
      </c>
      <c r="I140" s="21"/>
      <c r="J140" s="21">
        <v>3</v>
      </c>
    </row>
    <row r="141" spans="1:10" ht="30" x14ac:dyDescent="0.25">
      <c r="A141" s="19"/>
      <c r="B141" s="19" t="s">
        <v>575</v>
      </c>
      <c r="C141" s="19"/>
      <c r="D141" s="19"/>
      <c r="E141" s="21"/>
      <c r="F141" s="21"/>
      <c r="G141" s="21"/>
      <c r="H141" s="21">
        <v>3</v>
      </c>
      <c r="I141" s="21"/>
      <c r="J141" s="21">
        <v>3</v>
      </c>
    </row>
    <row r="142" spans="1:10" ht="30" x14ac:dyDescent="0.25">
      <c r="A142" s="19"/>
      <c r="B142" s="19" t="s">
        <v>639</v>
      </c>
      <c r="C142" s="19" t="s">
        <v>637</v>
      </c>
      <c r="D142" s="19" t="s">
        <v>658</v>
      </c>
      <c r="E142" s="21"/>
      <c r="F142" s="21"/>
      <c r="G142" s="21"/>
      <c r="H142" s="21">
        <v>2.5</v>
      </c>
      <c r="I142" s="21">
        <v>5</v>
      </c>
      <c r="J142" s="21">
        <v>7.5</v>
      </c>
    </row>
    <row r="143" spans="1:10" ht="30" x14ac:dyDescent="0.25">
      <c r="A143" s="19"/>
      <c r="B143" s="19" t="s">
        <v>685</v>
      </c>
      <c r="C143" s="19"/>
      <c r="D143" s="19"/>
      <c r="E143" s="21"/>
      <c r="F143" s="21"/>
      <c r="G143" s="21"/>
      <c r="H143" s="21">
        <v>2.5</v>
      </c>
      <c r="I143" s="21">
        <v>5</v>
      </c>
      <c r="J143" s="21">
        <v>7.5</v>
      </c>
    </row>
    <row r="144" spans="1:10" x14ac:dyDescent="0.25">
      <c r="A144" s="19"/>
      <c r="B144" s="19" t="s">
        <v>69</v>
      </c>
      <c r="C144" s="19" t="s">
        <v>68</v>
      </c>
      <c r="D144" s="19" t="s">
        <v>439</v>
      </c>
      <c r="E144" s="21">
        <v>7.5</v>
      </c>
      <c r="F144" s="21"/>
      <c r="G144" s="21"/>
      <c r="H144" s="21"/>
      <c r="I144" s="21"/>
      <c r="J144" s="21">
        <v>7.5</v>
      </c>
    </row>
    <row r="145" spans="1:10" x14ac:dyDescent="0.25">
      <c r="A145" s="19"/>
      <c r="B145" s="19" t="s">
        <v>584</v>
      </c>
      <c r="C145" s="19"/>
      <c r="D145" s="19"/>
      <c r="E145" s="21">
        <v>7.5</v>
      </c>
      <c r="F145" s="21"/>
      <c r="G145" s="21"/>
      <c r="H145" s="21"/>
      <c r="I145" s="21"/>
      <c r="J145" s="21">
        <v>7.5</v>
      </c>
    </row>
    <row r="146" spans="1:10" x14ac:dyDescent="0.25">
      <c r="A146" s="19" t="s">
        <v>696</v>
      </c>
      <c r="B146" s="19"/>
      <c r="C146" s="19"/>
      <c r="D146" s="19"/>
      <c r="E146" s="21">
        <v>7.5</v>
      </c>
      <c r="F146" s="21">
        <v>7.5</v>
      </c>
      <c r="G146" s="21">
        <v>7.5</v>
      </c>
      <c r="H146" s="21">
        <v>7.5</v>
      </c>
      <c r="I146" s="21">
        <v>7.5</v>
      </c>
      <c r="J146" s="21">
        <v>37.5</v>
      </c>
    </row>
    <row r="147" spans="1:10" x14ac:dyDescent="0.25">
      <c r="A147" s="20">
        <v>43968</v>
      </c>
      <c r="B147" s="19" t="s">
        <v>629</v>
      </c>
      <c r="C147" s="19" t="s">
        <v>630</v>
      </c>
      <c r="D147" s="19" t="s">
        <v>635</v>
      </c>
      <c r="E147" s="21"/>
      <c r="F147" s="21"/>
      <c r="G147" s="21"/>
      <c r="H147" s="21"/>
      <c r="I147" s="21">
        <v>5</v>
      </c>
      <c r="J147" s="21">
        <v>5</v>
      </c>
    </row>
    <row r="148" spans="1:10" x14ac:dyDescent="0.25">
      <c r="A148" s="19"/>
      <c r="B148" s="19"/>
      <c r="C148" s="19"/>
      <c r="D148" s="19" t="s">
        <v>636</v>
      </c>
      <c r="E148" s="21"/>
      <c r="F148" s="21"/>
      <c r="G148" s="21"/>
      <c r="H148" s="21">
        <v>2.5</v>
      </c>
      <c r="I148" s="21"/>
      <c r="J148" s="21">
        <v>2.5</v>
      </c>
    </row>
    <row r="149" spans="1:10" ht="30" x14ac:dyDescent="0.25">
      <c r="A149" s="19"/>
      <c r="B149" s="19"/>
      <c r="C149" s="19"/>
      <c r="D149" s="19" t="s">
        <v>634</v>
      </c>
      <c r="E149" s="21">
        <v>7.5</v>
      </c>
      <c r="F149" s="21">
        <v>7.5</v>
      </c>
      <c r="G149" s="21">
        <v>7.5</v>
      </c>
      <c r="H149" s="21"/>
      <c r="I149" s="21"/>
      <c r="J149" s="21">
        <v>22.5</v>
      </c>
    </row>
    <row r="150" spans="1:10" ht="30" x14ac:dyDescent="0.25">
      <c r="A150" s="19"/>
      <c r="B150" s="19" t="s">
        <v>684</v>
      </c>
      <c r="C150" s="19"/>
      <c r="D150" s="19"/>
      <c r="E150" s="21">
        <v>7.5</v>
      </c>
      <c r="F150" s="21">
        <v>7.5</v>
      </c>
      <c r="G150" s="21">
        <v>7.5</v>
      </c>
      <c r="H150" s="21">
        <v>2.5</v>
      </c>
      <c r="I150" s="21">
        <v>5</v>
      </c>
      <c r="J150" s="21">
        <v>30</v>
      </c>
    </row>
    <row r="151" spans="1:10" ht="30" x14ac:dyDescent="0.25">
      <c r="A151" s="19"/>
      <c r="B151" s="19" t="s">
        <v>639</v>
      </c>
      <c r="C151" s="19" t="s">
        <v>637</v>
      </c>
      <c r="D151" s="19" t="s">
        <v>638</v>
      </c>
      <c r="E151" s="21"/>
      <c r="F151" s="21"/>
      <c r="G151" s="21"/>
      <c r="H151" s="21">
        <v>5</v>
      </c>
      <c r="I151" s="21">
        <v>2.5</v>
      </c>
      <c r="J151" s="21">
        <v>7.5</v>
      </c>
    </row>
    <row r="152" spans="1:10" ht="30" x14ac:dyDescent="0.25">
      <c r="A152" s="19"/>
      <c r="B152" s="19" t="s">
        <v>685</v>
      </c>
      <c r="C152" s="19"/>
      <c r="D152" s="19"/>
      <c r="E152" s="21"/>
      <c r="F152" s="21"/>
      <c r="G152" s="21"/>
      <c r="H152" s="21">
        <v>5</v>
      </c>
      <c r="I152" s="21">
        <v>2.5</v>
      </c>
      <c r="J152" s="21">
        <v>7.5</v>
      </c>
    </row>
    <row r="153" spans="1:10" x14ac:dyDescent="0.25">
      <c r="A153" s="19" t="s">
        <v>695</v>
      </c>
      <c r="B153" s="19"/>
      <c r="C153" s="19"/>
      <c r="D153" s="19"/>
      <c r="E153" s="21">
        <v>7.5</v>
      </c>
      <c r="F153" s="21">
        <v>7.5</v>
      </c>
      <c r="G153" s="21">
        <v>7.5</v>
      </c>
      <c r="H153" s="21">
        <v>7.5</v>
      </c>
      <c r="I153" s="21">
        <v>7.5</v>
      </c>
      <c r="J153" s="21">
        <v>37.5</v>
      </c>
    </row>
    <row r="154" spans="1:10" x14ac:dyDescent="0.25">
      <c r="A154" s="20">
        <v>43961</v>
      </c>
      <c r="B154" s="19" t="s">
        <v>91</v>
      </c>
      <c r="C154" s="19" t="s">
        <v>90</v>
      </c>
      <c r="D154" s="19" t="s">
        <v>633</v>
      </c>
      <c r="E154" s="21">
        <v>7.5</v>
      </c>
      <c r="F154" s="21"/>
      <c r="G154" s="21"/>
      <c r="H154" s="21"/>
      <c r="I154" s="21"/>
      <c r="J154" s="21">
        <v>7.5</v>
      </c>
    </row>
    <row r="155" spans="1:10" ht="30" x14ac:dyDescent="0.25">
      <c r="A155" s="19"/>
      <c r="B155" s="19" t="s">
        <v>623</v>
      </c>
      <c r="C155" s="19"/>
      <c r="D155" s="19"/>
      <c r="E155" s="21">
        <v>7.5</v>
      </c>
      <c r="F155" s="21"/>
      <c r="G155" s="21"/>
      <c r="H155" s="21"/>
      <c r="I155" s="21"/>
      <c r="J155" s="21">
        <v>7.5</v>
      </c>
    </row>
    <row r="156" spans="1:10" ht="30" x14ac:dyDescent="0.25">
      <c r="A156" s="19"/>
      <c r="B156" s="19" t="s">
        <v>629</v>
      </c>
      <c r="C156" s="19" t="s">
        <v>630</v>
      </c>
      <c r="D156" s="19" t="s">
        <v>634</v>
      </c>
      <c r="E156" s="21"/>
      <c r="F156" s="21">
        <v>7.5</v>
      </c>
      <c r="G156" s="21">
        <v>7.5</v>
      </c>
      <c r="H156" s="21">
        <v>7.5</v>
      </c>
      <c r="I156" s="21"/>
      <c r="J156" s="21">
        <v>22.5</v>
      </c>
    </row>
    <row r="157" spans="1:10" ht="30" x14ac:dyDescent="0.25">
      <c r="A157" s="19"/>
      <c r="B157" s="19" t="s">
        <v>684</v>
      </c>
      <c r="C157" s="19"/>
      <c r="D157" s="19"/>
      <c r="E157" s="21"/>
      <c r="F157" s="21">
        <v>7.5</v>
      </c>
      <c r="G157" s="21">
        <v>7.5</v>
      </c>
      <c r="H157" s="21">
        <v>7.5</v>
      </c>
      <c r="I157" s="21"/>
      <c r="J157" s="21">
        <v>22.5</v>
      </c>
    </row>
    <row r="158" spans="1:10" ht="30" x14ac:dyDescent="0.25">
      <c r="A158" s="19"/>
      <c r="B158" s="19" t="s">
        <v>13</v>
      </c>
      <c r="C158" s="19" t="s">
        <v>12</v>
      </c>
      <c r="D158" s="19" t="s">
        <v>439</v>
      </c>
      <c r="E158" s="21"/>
      <c r="F158" s="21"/>
      <c r="G158" s="21"/>
      <c r="H158" s="21"/>
      <c r="I158" s="21">
        <v>7.5</v>
      </c>
      <c r="J158" s="21">
        <v>7.5</v>
      </c>
    </row>
    <row r="159" spans="1:10" ht="30" x14ac:dyDescent="0.25">
      <c r="A159" s="19"/>
      <c r="B159" s="19" t="s">
        <v>556</v>
      </c>
      <c r="C159" s="19"/>
      <c r="D159" s="19"/>
      <c r="E159" s="21"/>
      <c r="F159" s="21"/>
      <c r="G159" s="21"/>
      <c r="H159" s="21"/>
      <c r="I159" s="21">
        <v>7.5</v>
      </c>
      <c r="J159" s="21">
        <v>7.5</v>
      </c>
    </row>
    <row r="160" spans="1:10" x14ac:dyDescent="0.25">
      <c r="A160" s="19" t="s">
        <v>694</v>
      </c>
      <c r="B160" s="19"/>
      <c r="C160" s="19"/>
      <c r="D160" s="19"/>
      <c r="E160" s="21">
        <v>7.5</v>
      </c>
      <c r="F160" s="21">
        <v>7.5</v>
      </c>
      <c r="G160" s="21">
        <v>7.5</v>
      </c>
      <c r="H160" s="21">
        <v>7.5</v>
      </c>
      <c r="I160" s="21">
        <v>7.5</v>
      </c>
      <c r="J160" s="21">
        <v>37.5</v>
      </c>
    </row>
    <row r="161" spans="1:10" ht="30" x14ac:dyDescent="0.25">
      <c r="A161" s="20">
        <v>43954</v>
      </c>
      <c r="B161" s="19" t="s">
        <v>629</v>
      </c>
      <c r="C161" s="19" t="s">
        <v>630</v>
      </c>
      <c r="D161" s="19" t="s">
        <v>631</v>
      </c>
      <c r="E161" s="21"/>
      <c r="F161" s="21">
        <v>7.5</v>
      </c>
      <c r="G161" s="21">
        <v>7.5</v>
      </c>
      <c r="H161" s="21"/>
      <c r="I161" s="21"/>
      <c r="J161" s="21">
        <v>15</v>
      </c>
    </row>
    <row r="162" spans="1:10" x14ac:dyDescent="0.25">
      <c r="A162" s="19"/>
      <c r="B162" s="19"/>
      <c r="C162" s="19"/>
      <c r="D162" s="19" t="s">
        <v>632</v>
      </c>
      <c r="E162" s="21"/>
      <c r="F162" s="21"/>
      <c r="G162" s="21"/>
      <c r="H162" s="21">
        <v>7.5</v>
      </c>
      <c r="I162" s="21">
        <v>7.5</v>
      </c>
      <c r="J162" s="21">
        <v>15</v>
      </c>
    </row>
    <row r="163" spans="1:10" x14ac:dyDescent="0.25">
      <c r="A163" s="19"/>
      <c r="B163" s="19"/>
      <c r="C163" s="19"/>
      <c r="D163" s="19" t="s">
        <v>628</v>
      </c>
      <c r="E163" s="21">
        <v>7.5</v>
      </c>
      <c r="F163" s="21"/>
      <c r="G163" s="21"/>
      <c r="H163" s="21"/>
      <c r="I163" s="21"/>
      <c r="J163" s="21">
        <v>7.5</v>
      </c>
    </row>
    <row r="164" spans="1:10" ht="30" x14ac:dyDescent="0.25">
      <c r="A164" s="19"/>
      <c r="B164" s="19" t="s">
        <v>684</v>
      </c>
      <c r="C164" s="19"/>
      <c r="D164" s="19"/>
      <c r="E164" s="21">
        <v>7.5</v>
      </c>
      <c r="F164" s="21">
        <v>7.5</v>
      </c>
      <c r="G164" s="21">
        <v>7.5</v>
      </c>
      <c r="H164" s="21">
        <v>7.5</v>
      </c>
      <c r="I164" s="21">
        <v>7.5</v>
      </c>
      <c r="J164" s="21">
        <v>37.5</v>
      </c>
    </row>
    <row r="165" spans="1:10" x14ac:dyDescent="0.25">
      <c r="A165" s="19" t="s">
        <v>693</v>
      </c>
      <c r="B165" s="19"/>
      <c r="C165" s="19"/>
      <c r="D165" s="19"/>
      <c r="E165" s="21">
        <v>7.5</v>
      </c>
      <c r="F165" s="21">
        <v>7.5</v>
      </c>
      <c r="G165" s="21">
        <v>7.5</v>
      </c>
      <c r="H165" s="21">
        <v>7.5</v>
      </c>
      <c r="I165" s="21">
        <v>7.5</v>
      </c>
      <c r="J165" s="21">
        <v>37.5</v>
      </c>
    </row>
    <row r="166" spans="1:10" x14ac:dyDescent="0.25">
      <c r="A166" s="20">
        <v>43947</v>
      </c>
      <c r="B166" s="19" t="s">
        <v>91</v>
      </c>
      <c r="C166" s="19" t="s">
        <v>90</v>
      </c>
      <c r="D166" s="19" t="s">
        <v>625</v>
      </c>
      <c r="E166" s="21"/>
      <c r="F166" s="21"/>
      <c r="G166" s="21">
        <v>1</v>
      </c>
      <c r="H166" s="21"/>
      <c r="I166" s="21"/>
      <c r="J166" s="21">
        <v>1</v>
      </c>
    </row>
    <row r="167" spans="1:10" ht="30" x14ac:dyDescent="0.25">
      <c r="A167" s="19"/>
      <c r="B167" s="19"/>
      <c r="C167" s="19"/>
      <c r="D167" s="19" t="s">
        <v>627</v>
      </c>
      <c r="E167" s="21"/>
      <c r="F167" s="21">
        <v>7.5</v>
      </c>
      <c r="G167" s="21">
        <v>6.5</v>
      </c>
      <c r="H167" s="21">
        <v>3.75</v>
      </c>
      <c r="I167" s="21">
        <v>7.5</v>
      </c>
      <c r="J167" s="21">
        <v>25.25</v>
      </c>
    </row>
    <row r="168" spans="1:10" x14ac:dyDescent="0.25">
      <c r="A168" s="19"/>
      <c r="B168" s="19"/>
      <c r="C168" s="19"/>
      <c r="D168" s="19" t="s">
        <v>626</v>
      </c>
      <c r="E168" s="21">
        <v>7.5</v>
      </c>
      <c r="F168" s="21"/>
      <c r="G168" s="21"/>
      <c r="H168" s="21"/>
      <c r="I168" s="21"/>
      <c r="J168" s="21">
        <v>7.5</v>
      </c>
    </row>
    <row r="169" spans="1:10" ht="30" x14ac:dyDescent="0.25">
      <c r="A169" s="19"/>
      <c r="B169" s="19" t="s">
        <v>623</v>
      </c>
      <c r="C169" s="19"/>
      <c r="D169" s="19"/>
      <c r="E169" s="21">
        <v>7.5</v>
      </c>
      <c r="F169" s="21">
        <v>7.5</v>
      </c>
      <c r="G169" s="21">
        <v>7.5</v>
      </c>
      <c r="H169" s="21">
        <v>3.75</v>
      </c>
      <c r="I169" s="21">
        <v>7.5</v>
      </c>
      <c r="J169" s="21">
        <v>33.75</v>
      </c>
    </row>
    <row r="170" spans="1:10" ht="30" x14ac:dyDescent="0.25">
      <c r="A170" s="19"/>
      <c r="B170" s="19" t="s">
        <v>69</v>
      </c>
      <c r="C170" s="19" t="s">
        <v>68</v>
      </c>
      <c r="D170" s="19" t="s">
        <v>627</v>
      </c>
      <c r="E170" s="21"/>
      <c r="F170" s="21"/>
      <c r="G170" s="21"/>
      <c r="H170" s="21">
        <v>3.75</v>
      </c>
      <c r="I170" s="21"/>
      <c r="J170" s="21">
        <v>3.75</v>
      </c>
    </row>
    <row r="171" spans="1:10" x14ac:dyDescent="0.25">
      <c r="A171" s="19"/>
      <c r="B171" s="19" t="s">
        <v>584</v>
      </c>
      <c r="C171" s="19"/>
      <c r="D171" s="19"/>
      <c r="E171" s="21"/>
      <c r="F171" s="21"/>
      <c r="G171" s="21"/>
      <c r="H171" s="21">
        <v>3.75</v>
      </c>
      <c r="I171" s="21"/>
      <c r="J171" s="21">
        <v>3.75</v>
      </c>
    </row>
    <row r="172" spans="1:10" x14ac:dyDescent="0.25">
      <c r="A172" s="19" t="s">
        <v>692</v>
      </c>
      <c r="B172" s="19"/>
      <c r="C172" s="19"/>
      <c r="D172" s="19"/>
      <c r="E172" s="21">
        <v>7.5</v>
      </c>
      <c r="F172" s="21">
        <v>7.5</v>
      </c>
      <c r="G172" s="21">
        <v>7.5</v>
      </c>
      <c r="H172" s="21">
        <v>7.5</v>
      </c>
      <c r="I172" s="21">
        <v>7.5</v>
      </c>
      <c r="J172" s="21">
        <v>37.5</v>
      </c>
    </row>
    <row r="173" spans="1:10" x14ac:dyDescent="0.25">
      <c r="A173" s="20">
        <v>43940</v>
      </c>
      <c r="B173" s="19" t="s">
        <v>91</v>
      </c>
      <c r="C173" s="19" t="s">
        <v>90</v>
      </c>
      <c r="D173" s="19" t="s">
        <v>624</v>
      </c>
      <c r="E173" s="21"/>
      <c r="F173" s="21">
        <v>7.5</v>
      </c>
      <c r="G173" s="21">
        <v>7.5</v>
      </c>
      <c r="H173" s="21">
        <v>7.5</v>
      </c>
      <c r="I173" s="21">
        <v>7.5</v>
      </c>
      <c r="J173" s="21">
        <v>30</v>
      </c>
    </row>
    <row r="174" spans="1:10" ht="30" x14ac:dyDescent="0.25">
      <c r="A174" s="19"/>
      <c r="B174" s="19" t="s">
        <v>623</v>
      </c>
      <c r="C174" s="19"/>
      <c r="D174" s="19"/>
      <c r="E174" s="21"/>
      <c r="F174" s="21">
        <v>7.5</v>
      </c>
      <c r="G174" s="21">
        <v>7.5</v>
      </c>
      <c r="H174" s="21">
        <v>7.5</v>
      </c>
      <c r="I174" s="21">
        <v>7.5</v>
      </c>
      <c r="J174" s="21">
        <v>30</v>
      </c>
    </row>
    <row r="175" spans="1:10" ht="30" x14ac:dyDescent="0.25">
      <c r="A175" s="19"/>
      <c r="B175" s="19" t="s">
        <v>13</v>
      </c>
      <c r="C175" s="19" t="s">
        <v>12</v>
      </c>
      <c r="D175" s="19" t="s">
        <v>439</v>
      </c>
      <c r="E175" s="21">
        <v>7.5</v>
      </c>
      <c r="F175" s="21"/>
      <c r="G175" s="21"/>
      <c r="H175" s="21"/>
      <c r="I175" s="21"/>
      <c r="J175" s="21">
        <v>7.5</v>
      </c>
    </row>
    <row r="176" spans="1:10" ht="30" x14ac:dyDescent="0.25">
      <c r="A176" s="19"/>
      <c r="B176" s="19" t="s">
        <v>556</v>
      </c>
      <c r="C176" s="19"/>
      <c r="D176" s="19"/>
      <c r="E176" s="21">
        <v>7.5</v>
      </c>
      <c r="F176" s="21"/>
      <c r="G176" s="21"/>
      <c r="H176" s="21"/>
      <c r="I176" s="21"/>
      <c r="J176" s="21">
        <v>7.5</v>
      </c>
    </row>
    <row r="177" spans="1:10" x14ac:dyDescent="0.25">
      <c r="A177" s="19" t="s">
        <v>691</v>
      </c>
      <c r="B177" s="19"/>
      <c r="C177" s="19"/>
      <c r="D177" s="19"/>
      <c r="E177" s="21">
        <v>7.5</v>
      </c>
      <c r="F177" s="21">
        <v>7.5</v>
      </c>
      <c r="G177" s="21">
        <v>7.5</v>
      </c>
      <c r="H177" s="21">
        <v>7.5</v>
      </c>
      <c r="I177" s="21">
        <v>7.5</v>
      </c>
      <c r="J177" s="21">
        <v>37.5</v>
      </c>
    </row>
    <row r="178" spans="1:10" x14ac:dyDescent="0.25">
      <c r="A178" s="20">
        <v>43933</v>
      </c>
      <c r="B178" s="19" t="s">
        <v>91</v>
      </c>
      <c r="C178" s="19" t="s">
        <v>90</v>
      </c>
      <c r="D178" s="19" t="s">
        <v>624</v>
      </c>
      <c r="E178" s="21">
        <v>7.5</v>
      </c>
      <c r="F178" s="21">
        <v>7.5</v>
      </c>
      <c r="G178" s="21">
        <v>7.5</v>
      </c>
      <c r="H178" s="21">
        <v>7.5</v>
      </c>
      <c r="I178" s="21"/>
      <c r="J178" s="21">
        <v>30</v>
      </c>
    </row>
    <row r="179" spans="1:10" ht="30" x14ac:dyDescent="0.25">
      <c r="A179" s="19"/>
      <c r="B179" s="19" t="s">
        <v>623</v>
      </c>
      <c r="C179" s="19"/>
      <c r="D179" s="19"/>
      <c r="E179" s="21">
        <v>7.5</v>
      </c>
      <c r="F179" s="21">
        <v>7.5</v>
      </c>
      <c r="G179" s="21">
        <v>7.5</v>
      </c>
      <c r="H179" s="21">
        <v>7.5</v>
      </c>
      <c r="I179" s="21"/>
      <c r="J179" s="21">
        <v>30</v>
      </c>
    </row>
    <row r="180" spans="1:10" ht="30" x14ac:dyDescent="0.25">
      <c r="A180" s="19"/>
      <c r="B180" s="19" t="s">
        <v>13</v>
      </c>
      <c r="C180" s="19" t="s">
        <v>12</v>
      </c>
      <c r="D180" s="19" t="s">
        <v>439</v>
      </c>
      <c r="E180" s="21"/>
      <c r="F180" s="21"/>
      <c r="G180" s="21"/>
      <c r="H180" s="21"/>
      <c r="I180" s="21">
        <v>7.5</v>
      </c>
      <c r="J180" s="21">
        <v>7.5</v>
      </c>
    </row>
    <row r="181" spans="1:10" ht="30" x14ac:dyDescent="0.25">
      <c r="A181" s="19"/>
      <c r="B181" s="19" t="s">
        <v>556</v>
      </c>
      <c r="C181" s="19"/>
      <c r="D181" s="19"/>
      <c r="E181" s="21"/>
      <c r="F181" s="21"/>
      <c r="G181" s="21"/>
      <c r="H181" s="21"/>
      <c r="I181" s="21">
        <v>7.5</v>
      </c>
      <c r="J181" s="21">
        <v>7.5</v>
      </c>
    </row>
    <row r="182" spans="1:10" x14ac:dyDescent="0.25">
      <c r="A182" s="19" t="s">
        <v>690</v>
      </c>
      <c r="B182" s="19"/>
      <c r="C182" s="19"/>
      <c r="D182" s="19"/>
      <c r="E182" s="21">
        <v>7.5</v>
      </c>
      <c r="F182" s="21">
        <v>7.5</v>
      </c>
      <c r="G182" s="21">
        <v>7.5</v>
      </c>
      <c r="H182" s="21">
        <v>7.5</v>
      </c>
      <c r="I182" s="21">
        <v>7.5</v>
      </c>
      <c r="J182" s="21">
        <v>37.5</v>
      </c>
    </row>
    <row r="183" spans="1:10" x14ac:dyDescent="0.25">
      <c r="A183" s="20">
        <v>43926</v>
      </c>
      <c r="B183" s="19" t="s">
        <v>91</v>
      </c>
      <c r="C183" s="19" t="s">
        <v>90</v>
      </c>
      <c r="D183" s="19" t="s">
        <v>605</v>
      </c>
      <c r="E183" s="21">
        <v>7.5</v>
      </c>
      <c r="F183" s="21">
        <v>7.5</v>
      </c>
      <c r="G183" s="21">
        <v>7.5</v>
      </c>
      <c r="H183" s="21">
        <v>7.5</v>
      </c>
      <c r="I183" s="21">
        <v>7.5</v>
      </c>
      <c r="J183" s="21">
        <v>37.5</v>
      </c>
    </row>
    <row r="184" spans="1:10" ht="30" x14ac:dyDescent="0.25">
      <c r="A184" s="19"/>
      <c r="B184" s="19" t="s">
        <v>623</v>
      </c>
      <c r="C184" s="19"/>
      <c r="D184" s="19"/>
      <c r="E184" s="21">
        <v>7.5</v>
      </c>
      <c r="F184" s="21">
        <v>7.5</v>
      </c>
      <c r="G184" s="21">
        <v>7.5</v>
      </c>
      <c r="H184" s="21">
        <v>7.5</v>
      </c>
      <c r="I184" s="21">
        <v>7.5</v>
      </c>
      <c r="J184" s="21">
        <v>37.5</v>
      </c>
    </row>
    <row r="185" spans="1:10" x14ac:dyDescent="0.25">
      <c r="A185" s="19" t="s">
        <v>689</v>
      </c>
      <c r="B185" s="19"/>
      <c r="C185" s="19"/>
      <c r="D185" s="19"/>
      <c r="E185" s="21">
        <v>7.5</v>
      </c>
      <c r="F185" s="21">
        <v>7.5</v>
      </c>
      <c r="G185" s="21">
        <v>7.5</v>
      </c>
      <c r="H185" s="21">
        <v>7.5</v>
      </c>
      <c r="I185" s="21">
        <v>7.5</v>
      </c>
      <c r="J185" s="21">
        <v>37.5</v>
      </c>
    </row>
    <row r="186" spans="1:10" x14ac:dyDescent="0.25">
      <c r="A186" s="20">
        <v>43919</v>
      </c>
      <c r="B186" s="19" t="s">
        <v>91</v>
      </c>
      <c r="C186" s="19" t="s">
        <v>90</v>
      </c>
      <c r="D186" s="19" t="s">
        <v>605</v>
      </c>
      <c r="E186" s="21">
        <v>7.5</v>
      </c>
      <c r="F186" s="21">
        <v>7.5</v>
      </c>
      <c r="G186" s="21">
        <v>7.5</v>
      </c>
      <c r="H186" s="21">
        <v>7.5</v>
      </c>
      <c r="I186" s="21">
        <v>7.5</v>
      </c>
      <c r="J186" s="21">
        <v>37.5</v>
      </c>
    </row>
    <row r="187" spans="1:10" ht="30" x14ac:dyDescent="0.25">
      <c r="A187" s="19"/>
      <c r="B187" s="19" t="s">
        <v>623</v>
      </c>
      <c r="C187" s="19"/>
      <c r="D187" s="19"/>
      <c r="E187" s="21">
        <v>7.5</v>
      </c>
      <c r="F187" s="21">
        <v>7.5</v>
      </c>
      <c r="G187" s="21">
        <v>7.5</v>
      </c>
      <c r="H187" s="21">
        <v>7.5</v>
      </c>
      <c r="I187" s="21">
        <v>7.5</v>
      </c>
      <c r="J187" s="21">
        <v>37.5</v>
      </c>
    </row>
    <row r="188" spans="1:10" x14ac:dyDescent="0.25">
      <c r="A188" s="19" t="s">
        <v>688</v>
      </c>
      <c r="B188" s="19"/>
      <c r="C188" s="19"/>
      <c r="D188" s="19"/>
      <c r="E188" s="21">
        <v>7.5</v>
      </c>
      <c r="F188" s="21">
        <v>7.5</v>
      </c>
      <c r="G188" s="21">
        <v>7.5</v>
      </c>
      <c r="H188" s="21">
        <v>7.5</v>
      </c>
      <c r="I188" s="21">
        <v>7.5</v>
      </c>
      <c r="J188" s="21">
        <v>37.5</v>
      </c>
    </row>
    <row r="189" spans="1:10" x14ac:dyDescent="0.25">
      <c r="A189" s="20">
        <v>43912</v>
      </c>
      <c r="B189" s="19" t="s">
        <v>91</v>
      </c>
      <c r="C189" s="19" t="s">
        <v>90</v>
      </c>
      <c r="D189" s="19" t="s">
        <v>605</v>
      </c>
      <c r="E189" s="21">
        <v>7.5</v>
      </c>
      <c r="F189" s="21">
        <v>5.5</v>
      </c>
      <c r="G189" s="21">
        <v>7.5</v>
      </c>
      <c r="H189" s="21">
        <v>7.5</v>
      </c>
      <c r="I189" s="21">
        <v>5</v>
      </c>
      <c r="J189" s="21">
        <v>33</v>
      </c>
    </row>
    <row r="190" spans="1:10" ht="30" x14ac:dyDescent="0.25">
      <c r="A190" s="19"/>
      <c r="B190" s="19" t="s">
        <v>623</v>
      </c>
      <c r="C190" s="19"/>
      <c r="D190" s="19"/>
      <c r="E190" s="21">
        <v>7.5</v>
      </c>
      <c r="F190" s="21">
        <v>5.5</v>
      </c>
      <c r="G190" s="21">
        <v>7.5</v>
      </c>
      <c r="H190" s="21">
        <v>7.5</v>
      </c>
      <c r="I190" s="21">
        <v>5</v>
      </c>
      <c r="J190" s="21">
        <v>33</v>
      </c>
    </row>
    <row r="191" spans="1:10" x14ac:dyDescent="0.25">
      <c r="A191" s="19"/>
      <c r="B191" s="19" t="s">
        <v>41</v>
      </c>
      <c r="C191" s="19" t="s">
        <v>40</v>
      </c>
      <c r="D191" s="19" t="s">
        <v>603</v>
      </c>
      <c r="E191" s="21"/>
      <c r="F191" s="21">
        <v>2</v>
      </c>
      <c r="G191" s="21"/>
      <c r="H191" s="21"/>
      <c r="I191" s="21"/>
      <c r="J191" s="21">
        <v>2</v>
      </c>
    </row>
    <row r="192" spans="1:10" x14ac:dyDescent="0.25">
      <c r="A192" s="19"/>
      <c r="B192" s="19"/>
      <c r="C192" s="19"/>
      <c r="D192" s="19" t="s">
        <v>602</v>
      </c>
      <c r="E192" s="21"/>
      <c r="F192" s="21"/>
      <c r="G192" s="21"/>
      <c r="H192" s="21"/>
      <c r="I192" s="21">
        <v>2.5</v>
      </c>
      <c r="J192" s="21">
        <v>2.5</v>
      </c>
    </row>
    <row r="193" spans="1:10" ht="30" x14ac:dyDescent="0.25">
      <c r="A193" s="19"/>
      <c r="B193" s="19" t="s">
        <v>572</v>
      </c>
      <c r="C193" s="19"/>
      <c r="D193" s="19"/>
      <c r="E193" s="21"/>
      <c r="F193" s="21">
        <v>2</v>
      </c>
      <c r="G193" s="21"/>
      <c r="H193" s="21"/>
      <c r="I193" s="21">
        <v>2.5</v>
      </c>
      <c r="J193" s="21">
        <v>4.5</v>
      </c>
    </row>
    <row r="194" spans="1:10" x14ac:dyDescent="0.25">
      <c r="A194" s="19" t="s">
        <v>607</v>
      </c>
      <c r="B194" s="19"/>
      <c r="C194" s="19"/>
      <c r="D194" s="19"/>
      <c r="E194" s="21">
        <v>7.5</v>
      </c>
      <c r="F194" s="21">
        <v>7.5</v>
      </c>
      <c r="G194" s="21">
        <v>7.5</v>
      </c>
      <c r="H194" s="21">
        <v>7.5</v>
      </c>
      <c r="I194" s="21">
        <v>7.5</v>
      </c>
      <c r="J194" s="21">
        <v>37.5</v>
      </c>
    </row>
    <row r="195" spans="1:10" x14ac:dyDescent="0.25">
      <c r="A195" s="20">
        <v>43905</v>
      </c>
      <c r="B195" s="19" t="s">
        <v>91</v>
      </c>
      <c r="C195" s="19" t="s">
        <v>90</v>
      </c>
      <c r="D195" s="19" t="s">
        <v>605</v>
      </c>
      <c r="E195" s="21">
        <v>7.5</v>
      </c>
      <c r="F195" s="21">
        <v>7.5</v>
      </c>
      <c r="G195" s="21">
        <v>7.5</v>
      </c>
      <c r="H195" s="21">
        <v>7.5</v>
      </c>
      <c r="I195" s="21">
        <v>2</v>
      </c>
      <c r="J195" s="21">
        <v>32</v>
      </c>
    </row>
    <row r="196" spans="1:10" ht="30" x14ac:dyDescent="0.25">
      <c r="A196" s="19"/>
      <c r="B196" s="19" t="s">
        <v>623</v>
      </c>
      <c r="C196" s="19"/>
      <c r="D196" s="19"/>
      <c r="E196" s="21">
        <v>7.5</v>
      </c>
      <c r="F196" s="21">
        <v>7.5</v>
      </c>
      <c r="G196" s="21">
        <v>7.5</v>
      </c>
      <c r="H196" s="21">
        <v>7.5</v>
      </c>
      <c r="I196" s="21">
        <v>2</v>
      </c>
      <c r="J196" s="21">
        <v>32</v>
      </c>
    </row>
    <row r="197" spans="1:10" x14ac:dyDescent="0.25">
      <c r="A197" s="19"/>
      <c r="B197" s="19" t="s">
        <v>41</v>
      </c>
      <c r="C197" s="19" t="s">
        <v>40</v>
      </c>
      <c r="D197" s="19" t="s">
        <v>604</v>
      </c>
      <c r="E197" s="21"/>
      <c r="F197" s="21"/>
      <c r="G197" s="21"/>
      <c r="H197" s="21"/>
      <c r="I197" s="21">
        <v>5.5</v>
      </c>
      <c r="J197" s="21">
        <v>5.5</v>
      </c>
    </row>
    <row r="198" spans="1:10" ht="30" x14ac:dyDescent="0.25">
      <c r="A198" s="19"/>
      <c r="B198" s="19" t="s">
        <v>572</v>
      </c>
      <c r="C198" s="19"/>
      <c r="D198" s="19"/>
      <c r="E198" s="21"/>
      <c r="F198" s="21"/>
      <c r="G198" s="21"/>
      <c r="H198" s="21"/>
      <c r="I198" s="21">
        <v>5.5</v>
      </c>
      <c r="J198" s="21">
        <v>5.5</v>
      </c>
    </row>
    <row r="199" spans="1:10" x14ac:dyDescent="0.25">
      <c r="A199" s="19" t="s">
        <v>608</v>
      </c>
      <c r="B199" s="19"/>
      <c r="C199" s="19"/>
      <c r="D199" s="19"/>
      <c r="E199" s="21">
        <v>7.5</v>
      </c>
      <c r="F199" s="21">
        <v>7.5</v>
      </c>
      <c r="G199" s="21">
        <v>7.5</v>
      </c>
      <c r="H199" s="21">
        <v>7.5</v>
      </c>
      <c r="I199" s="21">
        <v>7.5</v>
      </c>
      <c r="J199" s="21">
        <v>37.5</v>
      </c>
    </row>
    <row r="200" spans="1:10" x14ac:dyDescent="0.25">
      <c r="A200" s="20">
        <v>43898</v>
      </c>
      <c r="B200" s="19" t="s">
        <v>91</v>
      </c>
      <c r="C200" s="19" t="s">
        <v>90</v>
      </c>
      <c r="D200" s="19" t="s">
        <v>601</v>
      </c>
      <c r="E200" s="21">
        <v>7.5</v>
      </c>
      <c r="F200" s="21">
        <v>7.5</v>
      </c>
      <c r="G200" s="21">
        <v>7.5</v>
      </c>
      <c r="H200" s="21">
        <v>7.5</v>
      </c>
      <c r="I200" s="21">
        <v>7.5</v>
      </c>
      <c r="J200" s="21">
        <v>37.5</v>
      </c>
    </row>
    <row r="201" spans="1:10" ht="30" x14ac:dyDescent="0.25">
      <c r="A201" s="19"/>
      <c r="B201" s="19" t="s">
        <v>623</v>
      </c>
      <c r="C201" s="19"/>
      <c r="D201" s="19"/>
      <c r="E201" s="21">
        <v>7.5</v>
      </c>
      <c r="F201" s="21">
        <v>7.5</v>
      </c>
      <c r="G201" s="21">
        <v>7.5</v>
      </c>
      <c r="H201" s="21">
        <v>7.5</v>
      </c>
      <c r="I201" s="21">
        <v>7.5</v>
      </c>
      <c r="J201" s="21">
        <v>37.5</v>
      </c>
    </row>
    <row r="202" spans="1:10" x14ac:dyDescent="0.25">
      <c r="A202" s="19" t="s">
        <v>609</v>
      </c>
      <c r="B202" s="19"/>
      <c r="C202" s="19"/>
      <c r="D202" s="19"/>
      <c r="E202" s="21">
        <v>7.5</v>
      </c>
      <c r="F202" s="21">
        <v>7.5</v>
      </c>
      <c r="G202" s="21">
        <v>7.5</v>
      </c>
      <c r="H202" s="21">
        <v>7.5</v>
      </c>
      <c r="I202" s="21">
        <v>7.5</v>
      </c>
      <c r="J202" s="21">
        <v>37.5</v>
      </c>
    </row>
    <row r="203" spans="1:10" x14ac:dyDescent="0.25">
      <c r="A203" s="20">
        <v>43891</v>
      </c>
      <c r="B203" s="19" t="s">
        <v>91</v>
      </c>
      <c r="C203" s="19" t="s">
        <v>90</v>
      </c>
      <c r="D203" s="19" t="s">
        <v>600</v>
      </c>
      <c r="E203" s="21">
        <v>7.5</v>
      </c>
      <c r="F203" s="21">
        <v>7.5</v>
      </c>
      <c r="G203" s="21">
        <v>7.5</v>
      </c>
      <c r="H203" s="21">
        <v>7.5</v>
      </c>
      <c r="I203" s="21">
        <v>7.5</v>
      </c>
      <c r="J203" s="21">
        <v>37.5</v>
      </c>
    </row>
    <row r="204" spans="1:10" ht="30" x14ac:dyDescent="0.25">
      <c r="A204" s="19"/>
      <c r="B204" s="19" t="s">
        <v>623</v>
      </c>
      <c r="C204" s="19"/>
      <c r="D204" s="19"/>
      <c r="E204" s="21">
        <v>7.5</v>
      </c>
      <c r="F204" s="21">
        <v>7.5</v>
      </c>
      <c r="G204" s="21">
        <v>7.5</v>
      </c>
      <c r="H204" s="21">
        <v>7.5</v>
      </c>
      <c r="I204" s="21">
        <v>7.5</v>
      </c>
      <c r="J204" s="21">
        <v>37.5</v>
      </c>
    </row>
    <row r="205" spans="1:10" x14ac:dyDescent="0.25">
      <c r="A205" s="19" t="s">
        <v>610</v>
      </c>
      <c r="B205" s="19"/>
      <c r="C205" s="19"/>
      <c r="D205" s="19"/>
      <c r="E205" s="21">
        <v>7.5</v>
      </c>
      <c r="F205" s="21">
        <v>7.5</v>
      </c>
      <c r="G205" s="21">
        <v>7.5</v>
      </c>
      <c r="H205" s="21">
        <v>7.5</v>
      </c>
      <c r="I205" s="21">
        <v>7.5</v>
      </c>
      <c r="J205" s="21">
        <v>37.5</v>
      </c>
    </row>
    <row r="206" spans="1:10" x14ac:dyDescent="0.25">
      <c r="A206" s="20">
        <v>43884</v>
      </c>
      <c r="B206" s="19" t="s">
        <v>91</v>
      </c>
      <c r="C206" s="19" t="s">
        <v>90</v>
      </c>
      <c r="D206" s="19" t="s">
        <v>105</v>
      </c>
      <c r="E206" s="21">
        <v>2.5</v>
      </c>
      <c r="F206" s="21">
        <v>7.5</v>
      </c>
      <c r="G206" s="21">
        <v>7.5</v>
      </c>
      <c r="H206" s="21">
        <v>5</v>
      </c>
      <c r="I206" s="21">
        <v>7.5</v>
      </c>
      <c r="J206" s="21">
        <v>30</v>
      </c>
    </row>
    <row r="207" spans="1:10" ht="30" x14ac:dyDescent="0.25">
      <c r="A207" s="19"/>
      <c r="B207" s="19" t="s">
        <v>623</v>
      </c>
      <c r="C207" s="19"/>
      <c r="D207" s="19"/>
      <c r="E207" s="21">
        <v>2.5</v>
      </c>
      <c r="F207" s="21">
        <v>7.5</v>
      </c>
      <c r="G207" s="21">
        <v>7.5</v>
      </c>
      <c r="H207" s="21">
        <v>5</v>
      </c>
      <c r="I207" s="21">
        <v>7.5</v>
      </c>
      <c r="J207" s="21">
        <v>30</v>
      </c>
    </row>
    <row r="208" spans="1:10" x14ac:dyDescent="0.25">
      <c r="A208" s="19"/>
      <c r="B208" s="19" t="s">
        <v>41</v>
      </c>
      <c r="C208" s="19" t="s">
        <v>40</v>
      </c>
      <c r="D208" s="19" t="s">
        <v>599</v>
      </c>
      <c r="E208" s="21">
        <v>5</v>
      </c>
      <c r="F208" s="21"/>
      <c r="G208" s="21"/>
      <c r="H208" s="21">
        <v>2.5</v>
      </c>
      <c r="I208" s="21"/>
      <c r="J208" s="21">
        <v>7.5</v>
      </c>
    </row>
    <row r="209" spans="1:10" ht="30" x14ac:dyDescent="0.25">
      <c r="A209" s="19"/>
      <c r="B209" s="19" t="s">
        <v>572</v>
      </c>
      <c r="C209" s="19"/>
      <c r="D209" s="19"/>
      <c r="E209" s="21">
        <v>5</v>
      </c>
      <c r="F209" s="21"/>
      <c r="G209" s="21"/>
      <c r="H209" s="21">
        <v>2.5</v>
      </c>
      <c r="I209" s="21"/>
      <c r="J209" s="21">
        <v>7.5</v>
      </c>
    </row>
    <row r="210" spans="1:10" x14ac:dyDescent="0.25">
      <c r="A210" s="19" t="s">
        <v>611</v>
      </c>
      <c r="B210" s="19"/>
      <c r="C210" s="19"/>
      <c r="D210" s="19"/>
      <c r="E210" s="21">
        <v>7.5</v>
      </c>
      <c r="F210" s="21">
        <v>7.5</v>
      </c>
      <c r="G210" s="21">
        <v>7.5</v>
      </c>
      <c r="H210" s="21">
        <v>7.5</v>
      </c>
      <c r="I210" s="21">
        <v>7.5</v>
      </c>
      <c r="J210" s="21">
        <v>37.5</v>
      </c>
    </row>
    <row r="211" spans="1:10" x14ac:dyDescent="0.25">
      <c r="A211" s="20">
        <v>43877</v>
      </c>
      <c r="B211" s="19" t="s">
        <v>91</v>
      </c>
      <c r="C211" s="19" t="s">
        <v>90</v>
      </c>
      <c r="D211" s="19" t="s">
        <v>107</v>
      </c>
      <c r="E211" s="21"/>
      <c r="F211" s="21"/>
      <c r="G211" s="21"/>
      <c r="H211" s="21"/>
      <c r="I211" s="21">
        <v>2.5</v>
      </c>
      <c r="J211" s="21">
        <v>2.5</v>
      </c>
    </row>
    <row r="212" spans="1:10" x14ac:dyDescent="0.25">
      <c r="A212" s="19"/>
      <c r="B212" s="19"/>
      <c r="C212" s="19"/>
      <c r="D212" s="19" t="s">
        <v>103</v>
      </c>
      <c r="E212" s="21">
        <v>5</v>
      </c>
      <c r="F212" s="21"/>
      <c r="G212" s="21"/>
      <c r="H212" s="21"/>
      <c r="I212" s="21"/>
      <c r="J212" s="21">
        <v>5</v>
      </c>
    </row>
    <row r="213" spans="1:10" x14ac:dyDescent="0.25">
      <c r="A213" s="19"/>
      <c r="B213" s="19"/>
      <c r="C213" s="19"/>
      <c r="D213" s="19" t="s">
        <v>105</v>
      </c>
      <c r="E213" s="21"/>
      <c r="F213" s="21">
        <v>7.5</v>
      </c>
      <c r="G213" s="21"/>
      <c r="H213" s="21">
        <v>7.5</v>
      </c>
      <c r="I213" s="21"/>
      <c r="J213" s="21">
        <v>15</v>
      </c>
    </row>
    <row r="214" spans="1:10" x14ac:dyDescent="0.25">
      <c r="A214" s="19"/>
      <c r="B214" s="19"/>
      <c r="C214" s="19"/>
      <c r="D214" s="19" t="s">
        <v>106</v>
      </c>
      <c r="E214" s="21"/>
      <c r="F214" s="21"/>
      <c r="G214" s="21">
        <v>7.5</v>
      </c>
      <c r="H214" s="21"/>
      <c r="I214" s="21"/>
      <c r="J214" s="21">
        <v>7.5</v>
      </c>
    </row>
    <row r="215" spans="1:10" ht="30" x14ac:dyDescent="0.25">
      <c r="A215" s="19"/>
      <c r="B215" s="19" t="s">
        <v>623</v>
      </c>
      <c r="C215" s="19"/>
      <c r="D215" s="19"/>
      <c r="E215" s="21">
        <v>5</v>
      </c>
      <c r="F215" s="21">
        <v>7.5</v>
      </c>
      <c r="G215" s="21">
        <v>7.5</v>
      </c>
      <c r="H215" s="21">
        <v>7.5</v>
      </c>
      <c r="I215" s="21">
        <v>2.5</v>
      </c>
      <c r="J215" s="21">
        <v>30</v>
      </c>
    </row>
    <row r="216" spans="1:10" x14ac:dyDescent="0.25">
      <c r="A216" s="19"/>
      <c r="B216" s="19" t="s">
        <v>41</v>
      </c>
      <c r="C216" s="19" t="s">
        <v>40</v>
      </c>
      <c r="D216" s="19" t="s">
        <v>104</v>
      </c>
      <c r="E216" s="21">
        <v>2.5</v>
      </c>
      <c r="F216" s="21"/>
      <c r="G216" s="21"/>
      <c r="H216" s="21"/>
      <c r="I216" s="21"/>
      <c r="J216" s="21">
        <v>2.5</v>
      </c>
    </row>
    <row r="217" spans="1:10" x14ac:dyDescent="0.25">
      <c r="A217" s="19"/>
      <c r="B217" s="19"/>
      <c r="C217" s="19"/>
      <c r="D217" s="19" t="s">
        <v>108</v>
      </c>
      <c r="E217" s="21"/>
      <c r="F217" s="21"/>
      <c r="G217" s="21"/>
      <c r="H217" s="21"/>
      <c r="I217" s="21">
        <v>5</v>
      </c>
      <c r="J217" s="21">
        <v>5</v>
      </c>
    </row>
    <row r="218" spans="1:10" ht="30" x14ac:dyDescent="0.25">
      <c r="A218" s="19"/>
      <c r="B218" s="19" t="s">
        <v>572</v>
      </c>
      <c r="C218" s="19"/>
      <c r="D218" s="19"/>
      <c r="E218" s="21">
        <v>2.5</v>
      </c>
      <c r="F218" s="21"/>
      <c r="G218" s="21"/>
      <c r="H218" s="21"/>
      <c r="I218" s="21">
        <v>5</v>
      </c>
      <c r="J218" s="21">
        <v>7.5</v>
      </c>
    </row>
    <row r="219" spans="1:10" x14ac:dyDescent="0.25">
      <c r="A219" s="19" t="s">
        <v>612</v>
      </c>
      <c r="B219" s="19"/>
      <c r="C219" s="19"/>
      <c r="D219" s="19"/>
      <c r="E219" s="21">
        <v>7.5</v>
      </c>
      <c r="F219" s="21">
        <v>7.5</v>
      </c>
      <c r="G219" s="21">
        <v>7.5</v>
      </c>
      <c r="H219" s="21">
        <v>7.5</v>
      </c>
      <c r="I219" s="21">
        <v>7.5</v>
      </c>
      <c r="J219" s="21">
        <v>37.5</v>
      </c>
    </row>
    <row r="220" spans="1:10" x14ac:dyDescent="0.25">
      <c r="A220" s="20">
        <v>43870</v>
      </c>
      <c r="B220" s="19" t="s">
        <v>91</v>
      </c>
      <c r="C220" s="19" t="s">
        <v>90</v>
      </c>
      <c r="D220" s="19" t="s">
        <v>109</v>
      </c>
      <c r="E220" s="21">
        <v>7.5</v>
      </c>
      <c r="F220" s="21"/>
      <c r="G220" s="21"/>
      <c r="H220" s="21"/>
      <c r="I220" s="21"/>
      <c r="J220" s="21">
        <v>7.5</v>
      </c>
    </row>
    <row r="221" spans="1:10" ht="30" x14ac:dyDescent="0.25">
      <c r="A221" s="19"/>
      <c r="B221" s="19"/>
      <c r="C221" s="19"/>
      <c r="D221" s="19" t="s">
        <v>112</v>
      </c>
      <c r="E221" s="21"/>
      <c r="F221" s="21"/>
      <c r="G221" s="21">
        <v>7.5</v>
      </c>
      <c r="H221" s="21">
        <v>7.5</v>
      </c>
      <c r="I221" s="21">
        <v>5.5</v>
      </c>
      <c r="J221" s="21">
        <v>20.5</v>
      </c>
    </row>
    <row r="222" spans="1:10" ht="30" x14ac:dyDescent="0.25">
      <c r="A222" s="19"/>
      <c r="B222" s="19" t="s">
        <v>623</v>
      </c>
      <c r="C222" s="19"/>
      <c r="D222" s="19"/>
      <c r="E222" s="21">
        <v>7.5</v>
      </c>
      <c r="F222" s="21"/>
      <c r="G222" s="21">
        <v>7.5</v>
      </c>
      <c r="H222" s="21">
        <v>7.5</v>
      </c>
      <c r="I222" s="21">
        <v>5.5</v>
      </c>
      <c r="J222" s="21">
        <v>28</v>
      </c>
    </row>
    <row r="223" spans="1:10" x14ac:dyDescent="0.25">
      <c r="A223" s="19"/>
      <c r="B223" s="19" t="s">
        <v>62</v>
      </c>
      <c r="C223" s="19" t="s">
        <v>61</v>
      </c>
      <c r="D223" s="19" t="s">
        <v>110</v>
      </c>
      <c r="E223" s="21"/>
      <c r="F223" s="21">
        <v>4</v>
      </c>
      <c r="G223" s="21"/>
      <c r="H223" s="21"/>
      <c r="I223" s="21"/>
      <c r="J223" s="21">
        <v>4</v>
      </c>
    </row>
    <row r="224" spans="1:10" ht="30" x14ac:dyDescent="0.25">
      <c r="A224" s="19"/>
      <c r="B224" s="19" t="s">
        <v>580</v>
      </c>
      <c r="C224" s="19"/>
      <c r="D224" s="19"/>
      <c r="E224" s="21"/>
      <c r="F224" s="21">
        <v>4</v>
      </c>
      <c r="G224" s="21"/>
      <c r="H224" s="21"/>
      <c r="I224" s="21"/>
      <c r="J224" s="21">
        <v>4</v>
      </c>
    </row>
    <row r="225" spans="1:10" x14ac:dyDescent="0.25">
      <c r="A225" s="19"/>
      <c r="B225" s="19" t="s">
        <v>41</v>
      </c>
      <c r="C225" s="19" t="s">
        <v>40</v>
      </c>
      <c r="D225" s="19" t="s">
        <v>111</v>
      </c>
      <c r="E225" s="21"/>
      <c r="F225" s="21">
        <v>3.5</v>
      </c>
      <c r="G225" s="21"/>
      <c r="H225" s="21"/>
      <c r="I225" s="21"/>
      <c r="J225" s="21">
        <v>3.5</v>
      </c>
    </row>
    <row r="226" spans="1:10" x14ac:dyDescent="0.25">
      <c r="A226" s="19"/>
      <c r="B226" s="19"/>
      <c r="C226" s="19"/>
      <c r="D226" s="19" t="s">
        <v>113</v>
      </c>
      <c r="E226" s="21"/>
      <c r="F226" s="21"/>
      <c r="G226" s="21"/>
      <c r="H226" s="21"/>
      <c r="I226" s="21">
        <v>2</v>
      </c>
      <c r="J226" s="21">
        <v>2</v>
      </c>
    </row>
    <row r="227" spans="1:10" ht="30" x14ac:dyDescent="0.25">
      <c r="A227" s="19"/>
      <c r="B227" s="19" t="s">
        <v>572</v>
      </c>
      <c r="C227" s="19"/>
      <c r="D227" s="19"/>
      <c r="E227" s="21"/>
      <c r="F227" s="21">
        <v>3.5</v>
      </c>
      <c r="G227" s="21"/>
      <c r="H227" s="21"/>
      <c r="I227" s="21">
        <v>2</v>
      </c>
      <c r="J227" s="21">
        <v>5.5</v>
      </c>
    </row>
    <row r="228" spans="1:10" x14ac:dyDescent="0.25">
      <c r="A228" s="19" t="s">
        <v>613</v>
      </c>
      <c r="B228" s="19"/>
      <c r="C228" s="19"/>
      <c r="D228" s="19"/>
      <c r="E228" s="21">
        <v>7.5</v>
      </c>
      <c r="F228" s="21">
        <v>7.5</v>
      </c>
      <c r="G228" s="21">
        <v>7.5</v>
      </c>
      <c r="H228" s="21">
        <v>7.5</v>
      </c>
      <c r="I228" s="21">
        <v>7.5</v>
      </c>
      <c r="J228" s="21">
        <v>37.5</v>
      </c>
    </row>
    <row r="229" spans="1:10" x14ac:dyDescent="0.25">
      <c r="A229" s="20">
        <v>43863</v>
      </c>
      <c r="B229" s="19" t="s">
        <v>91</v>
      </c>
      <c r="C229" s="19" t="s">
        <v>90</v>
      </c>
      <c r="D229" s="19" t="s">
        <v>115</v>
      </c>
      <c r="E229" s="21"/>
      <c r="F229" s="21">
        <v>7.5</v>
      </c>
      <c r="G229" s="21"/>
      <c r="H229" s="21"/>
      <c r="I229" s="21"/>
      <c r="J229" s="21">
        <v>7.5</v>
      </c>
    </row>
    <row r="230" spans="1:10" x14ac:dyDescent="0.25">
      <c r="A230" s="19"/>
      <c r="B230" s="19"/>
      <c r="C230" s="19"/>
      <c r="D230" s="19" t="s">
        <v>117</v>
      </c>
      <c r="E230" s="21"/>
      <c r="F230" s="21"/>
      <c r="G230" s="21"/>
      <c r="H230" s="21">
        <v>7.5</v>
      </c>
      <c r="I230" s="21"/>
      <c r="J230" s="21">
        <v>7.5</v>
      </c>
    </row>
    <row r="231" spans="1:10" ht="30" x14ac:dyDescent="0.25">
      <c r="A231" s="19"/>
      <c r="B231" s="19" t="s">
        <v>623</v>
      </c>
      <c r="C231" s="19"/>
      <c r="D231" s="19"/>
      <c r="E231" s="21"/>
      <c r="F231" s="21">
        <v>7.5</v>
      </c>
      <c r="G231" s="21"/>
      <c r="H231" s="21">
        <v>7.5</v>
      </c>
      <c r="I231" s="21"/>
      <c r="J231" s="21">
        <v>15</v>
      </c>
    </row>
    <row r="232" spans="1:10" x14ac:dyDescent="0.25">
      <c r="A232" s="19"/>
      <c r="B232" s="19" t="s">
        <v>41</v>
      </c>
      <c r="C232" s="19" t="s">
        <v>40</v>
      </c>
      <c r="D232" s="19" t="s">
        <v>116</v>
      </c>
      <c r="E232" s="21"/>
      <c r="F232" s="21"/>
      <c r="G232" s="21">
        <v>2.5</v>
      </c>
      <c r="H232" s="21"/>
      <c r="I232" s="21"/>
      <c r="J232" s="21">
        <v>2.5</v>
      </c>
    </row>
    <row r="233" spans="1:10" ht="30" x14ac:dyDescent="0.25">
      <c r="A233" s="19"/>
      <c r="B233" s="19" t="s">
        <v>572</v>
      </c>
      <c r="C233" s="19"/>
      <c r="D233" s="19"/>
      <c r="E233" s="21"/>
      <c r="F233" s="21"/>
      <c r="G233" s="21">
        <v>2.5</v>
      </c>
      <c r="H233" s="21"/>
      <c r="I233" s="21"/>
      <c r="J233" s="21">
        <v>2.5</v>
      </c>
    </row>
    <row r="234" spans="1:10" x14ac:dyDescent="0.25">
      <c r="A234" s="19"/>
      <c r="B234" s="19" t="s">
        <v>66</v>
      </c>
      <c r="C234" s="19" t="s">
        <v>65</v>
      </c>
      <c r="D234" s="19" t="s">
        <v>118</v>
      </c>
      <c r="E234" s="21"/>
      <c r="F234" s="21"/>
      <c r="G234" s="21"/>
      <c r="H234" s="21"/>
      <c r="I234" s="21">
        <v>7.5</v>
      </c>
      <c r="J234" s="21">
        <v>7.5</v>
      </c>
    </row>
    <row r="235" spans="1:10" x14ac:dyDescent="0.25">
      <c r="A235" s="19"/>
      <c r="B235" s="19"/>
      <c r="C235" s="19"/>
      <c r="D235" s="19" t="s">
        <v>114</v>
      </c>
      <c r="E235" s="21">
        <v>7.5</v>
      </c>
      <c r="F235" s="21"/>
      <c r="G235" s="21">
        <v>5</v>
      </c>
      <c r="H235" s="21"/>
      <c r="I235" s="21"/>
      <c r="J235" s="21">
        <v>12.5</v>
      </c>
    </row>
    <row r="236" spans="1:10" ht="30" x14ac:dyDescent="0.25">
      <c r="A236" s="19"/>
      <c r="B236" s="19" t="s">
        <v>683</v>
      </c>
      <c r="C236" s="19"/>
      <c r="D236" s="19"/>
      <c r="E236" s="21">
        <v>7.5</v>
      </c>
      <c r="F236" s="21"/>
      <c r="G236" s="21">
        <v>5</v>
      </c>
      <c r="H236" s="21"/>
      <c r="I236" s="21">
        <v>7.5</v>
      </c>
      <c r="J236" s="21">
        <v>20</v>
      </c>
    </row>
    <row r="237" spans="1:10" x14ac:dyDescent="0.25">
      <c r="A237" s="19" t="s">
        <v>614</v>
      </c>
      <c r="B237" s="19"/>
      <c r="C237" s="19"/>
      <c r="D237" s="19"/>
      <c r="E237" s="21">
        <v>7.5</v>
      </c>
      <c r="F237" s="21">
        <v>7.5</v>
      </c>
      <c r="G237" s="21">
        <v>7.5</v>
      </c>
      <c r="H237" s="21">
        <v>7.5</v>
      </c>
      <c r="I237" s="21">
        <v>7.5</v>
      </c>
      <c r="J237" s="21">
        <v>37.5</v>
      </c>
    </row>
    <row r="238" spans="1:10" x14ac:dyDescent="0.25">
      <c r="A238" s="20">
        <v>43856</v>
      </c>
      <c r="B238" s="19" t="s">
        <v>91</v>
      </c>
      <c r="C238" s="19" t="s">
        <v>90</v>
      </c>
      <c r="D238" s="19" t="s">
        <v>119</v>
      </c>
      <c r="E238" s="21"/>
      <c r="F238" s="21"/>
      <c r="G238" s="21">
        <v>7.5</v>
      </c>
      <c r="H238" s="21"/>
      <c r="I238" s="21"/>
      <c r="J238" s="21">
        <v>7.5</v>
      </c>
    </row>
    <row r="239" spans="1:10" x14ac:dyDescent="0.25">
      <c r="A239" s="19"/>
      <c r="B239" s="19"/>
      <c r="C239" s="19"/>
      <c r="D239" s="19" t="s">
        <v>115</v>
      </c>
      <c r="E239" s="21"/>
      <c r="F239" s="21"/>
      <c r="G239" s="21"/>
      <c r="H239" s="21">
        <v>7.5</v>
      </c>
      <c r="I239" s="21"/>
      <c r="J239" s="21">
        <v>7.5</v>
      </c>
    </row>
    <row r="240" spans="1:10" ht="30" x14ac:dyDescent="0.25">
      <c r="A240" s="19"/>
      <c r="B240" s="19" t="s">
        <v>623</v>
      </c>
      <c r="C240" s="19"/>
      <c r="D240" s="19"/>
      <c r="E240" s="21"/>
      <c r="F240" s="21"/>
      <c r="G240" s="21">
        <v>7.5</v>
      </c>
      <c r="H240" s="21">
        <v>7.5</v>
      </c>
      <c r="I240" s="21"/>
      <c r="J240" s="21">
        <v>15</v>
      </c>
    </row>
    <row r="241" spans="1:10" x14ac:dyDescent="0.25">
      <c r="A241" s="19"/>
      <c r="B241" s="19" t="s">
        <v>66</v>
      </c>
      <c r="C241" s="19" t="s">
        <v>65</v>
      </c>
      <c r="D241" s="19" t="s">
        <v>114</v>
      </c>
      <c r="E241" s="21">
        <v>7.5</v>
      </c>
      <c r="F241" s="21">
        <v>7.5</v>
      </c>
      <c r="G241" s="21"/>
      <c r="H241" s="21"/>
      <c r="I241" s="21">
        <v>7.5</v>
      </c>
      <c r="J241" s="21">
        <v>22.5</v>
      </c>
    </row>
    <row r="242" spans="1:10" ht="30" x14ac:dyDescent="0.25">
      <c r="A242" s="19"/>
      <c r="B242" s="19" t="s">
        <v>683</v>
      </c>
      <c r="C242" s="19"/>
      <c r="D242" s="19"/>
      <c r="E242" s="21">
        <v>7.5</v>
      </c>
      <c r="F242" s="21">
        <v>7.5</v>
      </c>
      <c r="G242" s="21"/>
      <c r="H242" s="21"/>
      <c r="I242" s="21">
        <v>7.5</v>
      </c>
      <c r="J242" s="21">
        <v>22.5</v>
      </c>
    </row>
    <row r="243" spans="1:10" x14ac:dyDescent="0.25">
      <c r="A243" s="19" t="s">
        <v>615</v>
      </c>
      <c r="B243" s="19"/>
      <c r="C243" s="19"/>
      <c r="D243" s="19"/>
      <c r="E243" s="21">
        <v>7.5</v>
      </c>
      <c r="F243" s="21">
        <v>7.5</v>
      </c>
      <c r="G243" s="21">
        <v>7.5</v>
      </c>
      <c r="H243" s="21">
        <v>7.5</v>
      </c>
      <c r="I243" s="21">
        <v>7.5</v>
      </c>
      <c r="J243" s="21">
        <v>37.5</v>
      </c>
    </row>
    <row r="244" spans="1:10" x14ac:dyDescent="0.25">
      <c r="A244" s="20">
        <v>43849</v>
      </c>
      <c r="B244" s="19" t="s">
        <v>91</v>
      </c>
      <c r="C244" s="19" t="s">
        <v>90</v>
      </c>
      <c r="D244" s="19" t="s">
        <v>121</v>
      </c>
      <c r="E244" s="21"/>
      <c r="F244" s="21"/>
      <c r="G244" s="21">
        <v>7.5</v>
      </c>
      <c r="H244" s="21"/>
      <c r="I244" s="21"/>
      <c r="J244" s="21">
        <v>7.5</v>
      </c>
    </row>
    <row r="245" spans="1:10" ht="30" x14ac:dyDescent="0.25">
      <c r="A245" s="19"/>
      <c r="B245" s="19" t="s">
        <v>623</v>
      </c>
      <c r="C245" s="19"/>
      <c r="D245" s="19"/>
      <c r="E245" s="21"/>
      <c r="F245" s="21"/>
      <c r="G245" s="21">
        <v>7.5</v>
      </c>
      <c r="H245" s="21"/>
      <c r="I245" s="21"/>
      <c r="J245" s="21">
        <v>7.5</v>
      </c>
    </row>
    <row r="246" spans="1:10" x14ac:dyDescent="0.25">
      <c r="A246" s="19"/>
      <c r="B246" s="19" t="s">
        <v>66</v>
      </c>
      <c r="C246" s="19" t="s">
        <v>65</v>
      </c>
      <c r="D246" s="19" t="s">
        <v>120</v>
      </c>
      <c r="E246" s="21">
        <v>7.5</v>
      </c>
      <c r="F246" s="21">
        <v>7.5</v>
      </c>
      <c r="G246" s="21"/>
      <c r="H246" s="21">
        <v>7.5</v>
      </c>
      <c r="I246" s="21">
        <v>7.5</v>
      </c>
      <c r="J246" s="21">
        <v>30</v>
      </c>
    </row>
    <row r="247" spans="1:10" ht="30" x14ac:dyDescent="0.25">
      <c r="A247" s="19"/>
      <c r="B247" s="19" t="s">
        <v>683</v>
      </c>
      <c r="C247" s="19"/>
      <c r="D247" s="19"/>
      <c r="E247" s="21">
        <v>7.5</v>
      </c>
      <c r="F247" s="21">
        <v>7.5</v>
      </c>
      <c r="G247" s="21"/>
      <c r="H247" s="21">
        <v>7.5</v>
      </c>
      <c r="I247" s="21">
        <v>7.5</v>
      </c>
      <c r="J247" s="21">
        <v>30</v>
      </c>
    </row>
    <row r="248" spans="1:10" x14ac:dyDescent="0.25">
      <c r="A248" s="19" t="s">
        <v>616</v>
      </c>
      <c r="B248" s="19"/>
      <c r="C248" s="19"/>
      <c r="D248" s="19"/>
      <c r="E248" s="21">
        <v>7.5</v>
      </c>
      <c r="F248" s="21">
        <v>7.5</v>
      </c>
      <c r="G248" s="21">
        <v>7.5</v>
      </c>
      <c r="H248" s="21">
        <v>7.5</v>
      </c>
      <c r="I248" s="21">
        <v>7.5</v>
      </c>
      <c r="J248" s="21">
        <v>37.5</v>
      </c>
    </row>
    <row r="249" spans="1:10" x14ac:dyDescent="0.25">
      <c r="A249" s="20">
        <v>43842</v>
      </c>
      <c r="B249" s="19" t="s">
        <v>89</v>
      </c>
      <c r="C249" s="19" t="s">
        <v>88</v>
      </c>
      <c r="D249" s="19" t="s">
        <v>121</v>
      </c>
      <c r="E249" s="21"/>
      <c r="F249" s="21">
        <v>3.5</v>
      </c>
      <c r="G249" s="21"/>
      <c r="H249" s="21"/>
      <c r="I249" s="21"/>
      <c r="J249" s="21">
        <v>3.5</v>
      </c>
    </row>
    <row r="250" spans="1:10" x14ac:dyDescent="0.25">
      <c r="A250" s="19"/>
      <c r="B250" s="19"/>
      <c r="C250" s="19"/>
      <c r="D250" s="19" t="s">
        <v>122</v>
      </c>
      <c r="E250" s="21"/>
      <c r="F250" s="21"/>
      <c r="G250" s="21"/>
      <c r="H250" s="21">
        <v>3.75</v>
      </c>
      <c r="I250" s="21"/>
      <c r="J250" s="21">
        <v>3.75</v>
      </c>
    </row>
    <row r="251" spans="1:10" x14ac:dyDescent="0.25">
      <c r="A251" s="19"/>
      <c r="B251" s="19"/>
      <c r="C251" s="19"/>
      <c r="D251" s="19" t="s">
        <v>682</v>
      </c>
      <c r="E251" s="21"/>
      <c r="F251" s="21"/>
      <c r="G251" s="21">
        <v>7.5</v>
      </c>
      <c r="H251" s="21"/>
      <c r="I251" s="21"/>
      <c r="J251" s="21">
        <v>7.5</v>
      </c>
    </row>
    <row r="252" spans="1:10" ht="30" x14ac:dyDescent="0.25">
      <c r="A252" s="19"/>
      <c r="B252" s="19" t="s">
        <v>594</v>
      </c>
      <c r="C252" s="19"/>
      <c r="D252" s="19"/>
      <c r="E252" s="21"/>
      <c r="F252" s="21">
        <v>3.5</v>
      </c>
      <c r="G252" s="21">
        <v>7.5</v>
      </c>
      <c r="H252" s="21">
        <v>3.75</v>
      </c>
      <c r="I252" s="21"/>
      <c r="J252" s="21">
        <v>14.75</v>
      </c>
    </row>
    <row r="253" spans="1:10" x14ac:dyDescent="0.25">
      <c r="A253" s="19"/>
      <c r="B253" s="19" t="s">
        <v>66</v>
      </c>
      <c r="C253" s="19" t="s">
        <v>65</v>
      </c>
      <c r="D253" s="19" t="s">
        <v>120</v>
      </c>
      <c r="E253" s="21">
        <v>7.5</v>
      </c>
      <c r="F253" s="21">
        <v>4</v>
      </c>
      <c r="G253" s="21"/>
      <c r="H253" s="21">
        <v>3.75</v>
      </c>
      <c r="I253" s="21">
        <v>7.5</v>
      </c>
      <c r="J253" s="21">
        <v>22.75</v>
      </c>
    </row>
    <row r="254" spans="1:10" ht="30" x14ac:dyDescent="0.25">
      <c r="A254" s="19"/>
      <c r="B254" s="19" t="s">
        <v>683</v>
      </c>
      <c r="C254" s="19"/>
      <c r="D254" s="19"/>
      <c r="E254" s="21">
        <v>7.5</v>
      </c>
      <c r="F254" s="21">
        <v>4</v>
      </c>
      <c r="G254" s="21"/>
      <c r="H254" s="21">
        <v>3.75</v>
      </c>
      <c r="I254" s="21">
        <v>7.5</v>
      </c>
      <c r="J254" s="21">
        <v>22.75</v>
      </c>
    </row>
    <row r="255" spans="1:10" x14ac:dyDescent="0.25">
      <c r="A255" s="19" t="s">
        <v>617</v>
      </c>
      <c r="B255" s="19"/>
      <c r="C255" s="19"/>
      <c r="D255" s="19"/>
      <c r="E255" s="21">
        <v>7.5</v>
      </c>
      <c r="F255" s="21">
        <v>7.5</v>
      </c>
      <c r="G255" s="21">
        <v>7.5</v>
      </c>
      <c r="H255" s="21">
        <v>7.5</v>
      </c>
      <c r="I255" s="21">
        <v>7.5</v>
      </c>
      <c r="J255" s="21">
        <v>37.5</v>
      </c>
    </row>
    <row r="256" spans="1:10" ht="30" x14ac:dyDescent="0.25">
      <c r="A256" s="20">
        <v>43835</v>
      </c>
      <c r="B256" s="19" t="s">
        <v>13</v>
      </c>
      <c r="C256" s="19" t="s">
        <v>12</v>
      </c>
      <c r="D256" s="19" t="s">
        <v>439</v>
      </c>
      <c r="E256" s="21"/>
      <c r="F256" s="21"/>
      <c r="G256" s="21">
        <v>7.5</v>
      </c>
      <c r="H256" s="21"/>
      <c r="I256" s="21"/>
      <c r="J256" s="21">
        <v>7.5</v>
      </c>
    </row>
    <row r="257" spans="1:10" ht="30" x14ac:dyDescent="0.25">
      <c r="A257" s="19"/>
      <c r="B257" s="19" t="s">
        <v>556</v>
      </c>
      <c r="C257" s="19"/>
      <c r="D257" s="19"/>
      <c r="E257" s="21"/>
      <c r="F257" s="21"/>
      <c r="G257" s="21">
        <v>7.5</v>
      </c>
      <c r="H257" s="21"/>
      <c r="I257" s="21"/>
      <c r="J257" s="21">
        <v>7.5</v>
      </c>
    </row>
    <row r="258" spans="1:10" x14ac:dyDescent="0.25">
      <c r="A258" s="19"/>
      <c r="B258" s="19" t="s">
        <v>69</v>
      </c>
      <c r="C258" s="19" t="s">
        <v>68</v>
      </c>
      <c r="D258" s="19" t="s">
        <v>439</v>
      </c>
      <c r="E258" s="21">
        <v>7.5</v>
      </c>
      <c r="F258" s="21">
        <v>7.5</v>
      </c>
      <c r="G258" s="21"/>
      <c r="H258" s="21">
        <v>7.5</v>
      </c>
      <c r="I258" s="21">
        <v>7.5</v>
      </c>
      <c r="J258" s="21">
        <v>30</v>
      </c>
    </row>
    <row r="259" spans="1:10" x14ac:dyDescent="0.25">
      <c r="A259" s="19"/>
      <c r="B259" s="19" t="s">
        <v>584</v>
      </c>
      <c r="C259" s="19"/>
      <c r="D259" s="19"/>
      <c r="E259" s="21">
        <v>7.5</v>
      </c>
      <c r="F259" s="21">
        <v>7.5</v>
      </c>
      <c r="G259" s="21"/>
      <c r="H259" s="21">
        <v>7.5</v>
      </c>
      <c r="I259" s="21">
        <v>7.5</v>
      </c>
      <c r="J259" s="21">
        <v>30</v>
      </c>
    </row>
    <row r="260" spans="1:10" x14ac:dyDescent="0.25">
      <c r="A260" s="19" t="s">
        <v>618</v>
      </c>
      <c r="B260" s="19"/>
      <c r="C260" s="19"/>
      <c r="D260" s="19"/>
      <c r="E260" s="21">
        <v>7.5</v>
      </c>
      <c r="F260" s="21">
        <v>7.5</v>
      </c>
      <c r="G260" s="21">
        <v>7.5</v>
      </c>
      <c r="H260" s="21">
        <v>7.5</v>
      </c>
      <c r="I260" s="21">
        <v>7.5</v>
      </c>
      <c r="J260" s="21">
        <v>37.5</v>
      </c>
    </row>
    <row r="261" spans="1:10" x14ac:dyDescent="0.25">
      <c r="A261" s="20">
        <v>43828</v>
      </c>
      <c r="B261" s="19" t="s">
        <v>66</v>
      </c>
      <c r="C261" s="19" t="s">
        <v>65</v>
      </c>
      <c r="D261" s="19" t="s">
        <v>123</v>
      </c>
      <c r="E261" s="21">
        <v>7.5</v>
      </c>
      <c r="F261" s="21">
        <v>7.5</v>
      </c>
      <c r="G261" s="21"/>
      <c r="H261" s="21"/>
      <c r="I261" s="21"/>
      <c r="J261" s="21">
        <v>15</v>
      </c>
    </row>
    <row r="262" spans="1:10" ht="30" x14ac:dyDescent="0.25">
      <c r="A262" s="19"/>
      <c r="B262" s="19" t="s">
        <v>683</v>
      </c>
      <c r="C262" s="19"/>
      <c r="D262" s="19"/>
      <c r="E262" s="21">
        <v>7.5</v>
      </c>
      <c r="F262" s="21">
        <v>7.5</v>
      </c>
      <c r="G262" s="21"/>
      <c r="H262" s="21"/>
      <c r="I262" s="21"/>
      <c r="J262" s="21">
        <v>15</v>
      </c>
    </row>
    <row r="263" spans="1:10" ht="30" x14ac:dyDescent="0.25">
      <c r="A263" s="19"/>
      <c r="B263" s="19" t="s">
        <v>13</v>
      </c>
      <c r="C263" s="19" t="s">
        <v>12</v>
      </c>
      <c r="D263" s="19" t="s">
        <v>439</v>
      </c>
      <c r="E263" s="21"/>
      <c r="F263" s="21"/>
      <c r="G263" s="21">
        <v>7.5</v>
      </c>
      <c r="H263" s="21">
        <v>7.5</v>
      </c>
      <c r="I263" s="21"/>
      <c r="J263" s="21">
        <v>15</v>
      </c>
    </row>
    <row r="264" spans="1:10" ht="30" x14ac:dyDescent="0.25">
      <c r="A264" s="19"/>
      <c r="B264" s="19" t="s">
        <v>556</v>
      </c>
      <c r="C264" s="19"/>
      <c r="D264" s="19"/>
      <c r="E264" s="21"/>
      <c r="F264" s="21"/>
      <c r="G264" s="21">
        <v>7.5</v>
      </c>
      <c r="H264" s="21">
        <v>7.5</v>
      </c>
      <c r="I264" s="21"/>
      <c r="J264" s="21">
        <v>15</v>
      </c>
    </row>
    <row r="265" spans="1:10" x14ac:dyDescent="0.25">
      <c r="A265" s="19"/>
      <c r="B265" s="19" t="s">
        <v>69</v>
      </c>
      <c r="C265" s="19" t="s">
        <v>68</v>
      </c>
      <c r="D265" s="19" t="s">
        <v>439</v>
      </c>
      <c r="E265" s="21"/>
      <c r="F265" s="21"/>
      <c r="G265" s="21"/>
      <c r="H265" s="21"/>
      <c r="I265" s="21">
        <v>7.5</v>
      </c>
      <c r="J265" s="21">
        <v>7.5</v>
      </c>
    </row>
    <row r="266" spans="1:10" x14ac:dyDescent="0.25">
      <c r="A266" s="19"/>
      <c r="B266" s="19" t="s">
        <v>584</v>
      </c>
      <c r="C266" s="19"/>
      <c r="D266" s="19"/>
      <c r="E266" s="21"/>
      <c r="F266" s="21"/>
      <c r="G266" s="21"/>
      <c r="H266" s="21"/>
      <c r="I266" s="21">
        <v>7.5</v>
      </c>
      <c r="J266" s="21">
        <v>7.5</v>
      </c>
    </row>
    <row r="267" spans="1:10" x14ac:dyDescent="0.25">
      <c r="A267" s="19" t="s">
        <v>619</v>
      </c>
      <c r="B267" s="19"/>
      <c r="C267" s="19"/>
      <c r="D267" s="19"/>
      <c r="E267" s="21">
        <v>7.5</v>
      </c>
      <c r="F267" s="21">
        <v>7.5</v>
      </c>
      <c r="G267" s="21">
        <v>7.5</v>
      </c>
      <c r="H267" s="21">
        <v>7.5</v>
      </c>
      <c r="I267" s="21">
        <v>7.5</v>
      </c>
      <c r="J267" s="21">
        <v>37.5</v>
      </c>
    </row>
    <row r="268" spans="1:10" x14ac:dyDescent="0.25">
      <c r="A268" s="20">
        <v>43821</v>
      </c>
      <c r="B268" s="19" t="s">
        <v>89</v>
      </c>
      <c r="C268" s="19" t="s">
        <v>88</v>
      </c>
      <c r="D268" s="19" t="s">
        <v>126</v>
      </c>
      <c r="E268" s="21"/>
      <c r="F268" s="21"/>
      <c r="G268" s="21">
        <v>7.5</v>
      </c>
      <c r="H268" s="21"/>
      <c r="I268" s="21"/>
      <c r="J268" s="21">
        <v>7.5</v>
      </c>
    </row>
    <row r="269" spans="1:10" ht="30" x14ac:dyDescent="0.25">
      <c r="A269" s="19"/>
      <c r="B269" s="19" t="s">
        <v>594</v>
      </c>
      <c r="C269" s="19"/>
      <c r="D269" s="19"/>
      <c r="E269" s="21"/>
      <c r="F269" s="21"/>
      <c r="G269" s="21">
        <v>7.5</v>
      </c>
      <c r="H269" s="21"/>
      <c r="I269" s="21"/>
      <c r="J269" s="21">
        <v>7.5</v>
      </c>
    </row>
    <row r="270" spans="1:10" x14ac:dyDescent="0.25">
      <c r="A270" s="19"/>
      <c r="B270" s="19" t="s">
        <v>71</v>
      </c>
      <c r="C270" s="19" t="s">
        <v>70</v>
      </c>
      <c r="D270" s="19" t="s">
        <v>128</v>
      </c>
      <c r="E270" s="21"/>
      <c r="F270" s="21"/>
      <c r="G270" s="21"/>
      <c r="H270" s="21"/>
      <c r="I270" s="21">
        <v>4</v>
      </c>
      <c r="J270" s="21">
        <v>4</v>
      </c>
    </row>
    <row r="271" spans="1:10" ht="30" x14ac:dyDescent="0.25">
      <c r="A271" s="19"/>
      <c r="B271" s="19" t="s">
        <v>585</v>
      </c>
      <c r="C271" s="19"/>
      <c r="D271" s="19"/>
      <c r="E271" s="21"/>
      <c r="F271" s="21"/>
      <c r="G271" s="21"/>
      <c r="H271" s="21"/>
      <c r="I271" s="21">
        <v>4</v>
      </c>
      <c r="J271" s="21">
        <v>4</v>
      </c>
    </row>
    <row r="272" spans="1:10" x14ac:dyDescent="0.25">
      <c r="A272" s="19"/>
      <c r="B272" s="19" t="s">
        <v>66</v>
      </c>
      <c r="C272" s="19" t="s">
        <v>65</v>
      </c>
      <c r="D272" s="19" t="s">
        <v>124</v>
      </c>
      <c r="E272" s="21">
        <v>5.5</v>
      </c>
      <c r="F272" s="21">
        <v>7.5</v>
      </c>
      <c r="G272" s="21"/>
      <c r="H272" s="21"/>
      <c r="I272" s="21"/>
      <c r="J272" s="21">
        <v>13</v>
      </c>
    </row>
    <row r="273" spans="1:10" x14ac:dyDescent="0.25">
      <c r="A273" s="19"/>
      <c r="B273" s="19"/>
      <c r="C273" s="19"/>
      <c r="D273" s="19" t="s">
        <v>127</v>
      </c>
      <c r="E273" s="21"/>
      <c r="F273" s="21"/>
      <c r="G273" s="21"/>
      <c r="H273" s="21">
        <v>7.5</v>
      </c>
      <c r="I273" s="21"/>
      <c r="J273" s="21">
        <v>7.5</v>
      </c>
    </row>
    <row r="274" spans="1:10" x14ac:dyDescent="0.25">
      <c r="A274" s="19"/>
      <c r="B274" s="19"/>
      <c r="C274" s="19"/>
      <c r="D274" s="19" t="s">
        <v>125</v>
      </c>
      <c r="E274" s="21">
        <v>2</v>
      </c>
      <c r="F274" s="21"/>
      <c r="G274" s="21"/>
      <c r="H274" s="21"/>
      <c r="I274" s="21"/>
      <c r="J274" s="21">
        <v>2</v>
      </c>
    </row>
    <row r="275" spans="1:10" x14ac:dyDescent="0.25">
      <c r="A275" s="19"/>
      <c r="B275" s="19"/>
      <c r="C275" s="19"/>
      <c r="D275" s="19" t="s">
        <v>129</v>
      </c>
      <c r="E275" s="21"/>
      <c r="F275" s="21"/>
      <c r="G275" s="21"/>
      <c r="H275" s="21"/>
      <c r="I275" s="21">
        <v>3.5</v>
      </c>
      <c r="J275" s="21">
        <v>3.5</v>
      </c>
    </row>
    <row r="276" spans="1:10" ht="30" x14ac:dyDescent="0.25">
      <c r="A276" s="19"/>
      <c r="B276" s="19" t="s">
        <v>683</v>
      </c>
      <c r="C276" s="19"/>
      <c r="D276" s="19"/>
      <c r="E276" s="21">
        <v>7.5</v>
      </c>
      <c r="F276" s="21">
        <v>7.5</v>
      </c>
      <c r="G276" s="21"/>
      <c r="H276" s="21">
        <v>7.5</v>
      </c>
      <c r="I276" s="21">
        <v>3.5</v>
      </c>
      <c r="J276" s="21">
        <v>26</v>
      </c>
    </row>
    <row r="277" spans="1:10" x14ac:dyDescent="0.25">
      <c r="A277" s="19" t="s">
        <v>620</v>
      </c>
      <c r="B277" s="19"/>
      <c r="C277" s="19"/>
      <c r="D277" s="19"/>
      <c r="E277" s="21">
        <v>7.5</v>
      </c>
      <c r="F277" s="21">
        <v>7.5</v>
      </c>
      <c r="G277" s="21">
        <v>7.5</v>
      </c>
      <c r="H277" s="21">
        <v>7.5</v>
      </c>
      <c r="I277" s="21">
        <v>7.5</v>
      </c>
      <c r="J277" s="21">
        <v>37.5</v>
      </c>
    </row>
    <row r="278" spans="1:10" x14ac:dyDescent="0.25">
      <c r="A278" s="20">
        <v>43814</v>
      </c>
      <c r="B278" s="19" t="s">
        <v>89</v>
      </c>
      <c r="C278" s="19" t="s">
        <v>88</v>
      </c>
      <c r="D278" s="19" t="s">
        <v>126</v>
      </c>
      <c r="E278" s="21"/>
      <c r="F278" s="21"/>
      <c r="G278" s="21">
        <v>7.5</v>
      </c>
      <c r="H278" s="21"/>
      <c r="I278" s="21"/>
      <c r="J278" s="21">
        <v>7.5</v>
      </c>
    </row>
    <row r="279" spans="1:10" ht="30" x14ac:dyDescent="0.25">
      <c r="A279" s="19"/>
      <c r="B279" s="19" t="s">
        <v>594</v>
      </c>
      <c r="C279" s="19"/>
      <c r="D279" s="19"/>
      <c r="E279" s="21"/>
      <c r="F279" s="21"/>
      <c r="G279" s="21">
        <v>7.5</v>
      </c>
      <c r="H279" s="21"/>
      <c r="I279" s="21"/>
      <c r="J279" s="21">
        <v>7.5</v>
      </c>
    </row>
    <row r="280" spans="1:10" x14ac:dyDescent="0.25">
      <c r="A280" s="19"/>
      <c r="B280" s="19" t="s">
        <v>71</v>
      </c>
      <c r="C280" s="19" t="s">
        <v>70</v>
      </c>
      <c r="D280" s="19" t="s">
        <v>128</v>
      </c>
      <c r="E280" s="21"/>
      <c r="F280" s="21"/>
      <c r="G280" s="21"/>
      <c r="H280" s="21">
        <v>7.5</v>
      </c>
      <c r="I280" s="21"/>
      <c r="J280" s="21">
        <v>7.5</v>
      </c>
    </row>
    <row r="281" spans="1:10" ht="30" x14ac:dyDescent="0.25">
      <c r="A281" s="19"/>
      <c r="B281" s="19" t="s">
        <v>585</v>
      </c>
      <c r="C281" s="19"/>
      <c r="D281" s="19"/>
      <c r="E281" s="21"/>
      <c r="F281" s="21"/>
      <c r="G281" s="21"/>
      <c r="H281" s="21">
        <v>7.5</v>
      </c>
      <c r="I281" s="21"/>
      <c r="J281" s="21">
        <v>7.5</v>
      </c>
    </row>
    <row r="282" spans="1:10" x14ac:dyDescent="0.25">
      <c r="A282" s="19"/>
      <c r="B282" s="19" t="s">
        <v>66</v>
      </c>
      <c r="C282" s="19" t="s">
        <v>65</v>
      </c>
      <c r="D282" s="19" t="s">
        <v>124</v>
      </c>
      <c r="E282" s="21"/>
      <c r="F282" s="21"/>
      <c r="G282" s="21"/>
      <c r="H282" s="21"/>
      <c r="I282" s="21">
        <v>7.5</v>
      </c>
      <c r="J282" s="21">
        <v>7.5</v>
      </c>
    </row>
    <row r="283" spans="1:10" x14ac:dyDescent="0.25">
      <c r="A283" s="19"/>
      <c r="B283" s="19"/>
      <c r="C283" s="19"/>
      <c r="D283" s="19" t="s">
        <v>130</v>
      </c>
      <c r="E283" s="21">
        <v>7.5</v>
      </c>
      <c r="F283" s="21">
        <v>7.5</v>
      </c>
      <c r="G283" s="21"/>
      <c r="H283" s="21"/>
      <c r="I283" s="21"/>
      <c r="J283" s="21">
        <v>15</v>
      </c>
    </row>
    <row r="284" spans="1:10" ht="30" x14ac:dyDescent="0.25">
      <c r="A284" s="19"/>
      <c r="B284" s="19" t="s">
        <v>683</v>
      </c>
      <c r="C284" s="19"/>
      <c r="D284" s="19"/>
      <c r="E284" s="21">
        <v>7.5</v>
      </c>
      <c r="F284" s="21">
        <v>7.5</v>
      </c>
      <c r="G284" s="21"/>
      <c r="H284" s="21"/>
      <c r="I284" s="21">
        <v>7.5</v>
      </c>
      <c r="J284" s="21">
        <v>22.5</v>
      </c>
    </row>
    <row r="285" spans="1:10" x14ac:dyDescent="0.25">
      <c r="A285" s="19" t="s">
        <v>621</v>
      </c>
      <c r="B285" s="19"/>
      <c r="C285" s="19"/>
      <c r="D285" s="19"/>
      <c r="E285" s="21">
        <v>7.5</v>
      </c>
      <c r="F285" s="21">
        <v>7.5</v>
      </c>
      <c r="G285" s="21">
        <v>7.5</v>
      </c>
      <c r="H285" s="21">
        <v>7.5</v>
      </c>
      <c r="I285" s="21">
        <v>7.5</v>
      </c>
      <c r="J285" s="21">
        <v>37.5</v>
      </c>
    </row>
    <row r="286" spans="1:10" x14ac:dyDescent="0.25">
      <c r="A286" s="20">
        <v>43807</v>
      </c>
      <c r="B286" s="19" t="s">
        <v>89</v>
      </c>
      <c r="C286" s="19" t="s">
        <v>88</v>
      </c>
      <c r="D286" s="19" t="s">
        <v>134</v>
      </c>
      <c r="E286" s="21"/>
      <c r="F286" s="21">
        <v>2</v>
      </c>
      <c r="G286" s="21"/>
      <c r="H286" s="21"/>
      <c r="I286" s="21"/>
      <c r="J286" s="21">
        <v>2</v>
      </c>
    </row>
    <row r="287" spans="1:10" x14ac:dyDescent="0.25">
      <c r="A287" s="19"/>
      <c r="B287" s="19"/>
      <c r="C287" s="19"/>
      <c r="D287" s="19" t="s">
        <v>133</v>
      </c>
      <c r="E287" s="21"/>
      <c r="F287" s="21">
        <v>2.5</v>
      </c>
      <c r="G287" s="21">
        <v>5.5</v>
      </c>
      <c r="H287" s="21">
        <v>2.5</v>
      </c>
      <c r="I287" s="21">
        <v>3</v>
      </c>
      <c r="J287" s="21">
        <v>13.5</v>
      </c>
    </row>
    <row r="288" spans="1:10" x14ac:dyDescent="0.25">
      <c r="A288" s="19"/>
      <c r="B288" s="19"/>
      <c r="C288" s="19"/>
      <c r="D288" s="19" t="s">
        <v>136</v>
      </c>
      <c r="E288" s="21"/>
      <c r="F288" s="21"/>
      <c r="G288" s="21"/>
      <c r="H288" s="21">
        <v>2</v>
      </c>
      <c r="I288" s="21"/>
      <c r="J288" s="21">
        <v>2</v>
      </c>
    </row>
    <row r="289" spans="1:10" ht="30" x14ac:dyDescent="0.25">
      <c r="A289" s="19"/>
      <c r="B289" s="19" t="s">
        <v>594</v>
      </c>
      <c r="C289" s="19"/>
      <c r="D289" s="19"/>
      <c r="E289" s="21"/>
      <c r="F289" s="21">
        <v>4.5</v>
      </c>
      <c r="G289" s="21">
        <v>5.5</v>
      </c>
      <c r="H289" s="21">
        <v>4.5</v>
      </c>
      <c r="I289" s="21">
        <v>3</v>
      </c>
      <c r="J289" s="21">
        <v>17.5</v>
      </c>
    </row>
    <row r="290" spans="1:10" x14ac:dyDescent="0.25">
      <c r="A290" s="19"/>
      <c r="B290" s="19" t="s">
        <v>66</v>
      </c>
      <c r="C290" s="19" t="s">
        <v>65</v>
      </c>
      <c r="D290" s="19" t="s">
        <v>132</v>
      </c>
      <c r="E290" s="21">
        <v>5.5</v>
      </c>
      <c r="F290" s="21"/>
      <c r="G290" s="21">
        <v>2</v>
      </c>
      <c r="H290" s="21"/>
      <c r="I290" s="21"/>
      <c r="J290" s="21">
        <v>7.5</v>
      </c>
    </row>
    <row r="291" spans="1:10" x14ac:dyDescent="0.25">
      <c r="A291" s="19"/>
      <c r="B291" s="19"/>
      <c r="C291" s="19"/>
      <c r="D291" s="19" t="s">
        <v>137</v>
      </c>
      <c r="E291" s="21"/>
      <c r="F291" s="21"/>
      <c r="G291" s="21"/>
      <c r="H291" s="21">
        <v>3</v>
      </c>
      <c r="I291" s="21">
        <v>4.5</v>
      </c>
      <c r="J291" s="21">
        <v>7.5</v>
      </c>
    </row>
    <row r="292" spans="1:10" x14ac:dyDescent="0.25">
      <c r="A292" s="19"/>
      <c r="B292" s="19"/>
      <c r="C292" s="19"/>
      <c r="D292" s="19" t="s">
        <v>125</v>
      </c>
      <c r="E292" s="21">
        <v>2</v>
      </c>
      <c r="F292" s="21"/>
      <c r="G292" s="21"/>
      <c r="H292" s="21"/>
      <c r="I292" s="21"/>
      <c r="J292" s="21">
        <v>2</v>
      </c>
    </row>
    <row r="293" spans="1:10" x14ac:dyDescent="0.25">
      <c r="A293" s="19"/>
      <c r="B293" s="19"/>
      <c r="C293" s="19"/>
      <c r="D293" s="19" t="s">
        <v>135</v>
      </c>
      <c r="E293" s="21"/>
      <c r="F293" s="21">
        <v>3</v>
      </c>
      <c r="G293" s="21"/>
      <c r="H293" s="21"/>
      <c r="I293" s="21"/>
      <c r="J293" s="21">
        <v>3</v>
      </c>
    </row>
    <row r="294" spans="1:10" ht="30" x14ac:dyDescent="0.25">
      <c r="A294" s="19"/>
      <c r="B294" s="19" t="s">
        <v>683</v>
      </c>
      <c r="C294" s="19"/>
      <c r="D294" s="19"/>
      <c r="E294" s="21">
        <v>7.5</v>
      </c>
      <c r="F294" s="21">
        <v>3</v>
      </c>
      <c r="G294" s="21">
        <v>2</v>
      </c>
      <c r="H294" s="21">
        <v>3</v>
      </c>
      <c r="I294" s="21">
        <v>4.5</v>
      </c>
      <c r="J294" s="21">
        <v>20</v>
      </c>
    </row>
    <row r="295" spans="1:10" x14ac:dyDescent="0.25">
      <c r="A295" s="19" t="s">
        <v>435</v>
      </c>
      <c r="B295" s="19"/>
      <c r="C295" s="19"/>
      <c r="D295" s="19"/>
      <c r="E295" s="21">
        <v>7.5</v>
      </c>
      <c r="F295" s="21">
        <v>7.5</v>
      </c>
      <c r="G295" s="21">
        <v>7.5</v>
      </c>
      <c r="H295" s="21">
        <v>7.5</v>
      </c>
      <c r="I295" s="21">
        <v>7.5</v>
      </c>
      <c r="J295" s="21">
        <v>37.5</v>
      </c>
    </row>
    <row r="296" spans="1:10" x14ac:dyDescent="0.25">
      <c r="A296" s="20">
        <v>43800</v>
      </c>
      <c r="B296" s="19" t="s">
        <v>11</v>
      </c>
      <c r="C296" s="19" t="s">
        <v>10</v>
      </c>
      <c r="D296" s="19" t="s">
        <v>139</v>
      </c>
      <c r="E296" s="21"/>
      <c r="F296" s="21">
        <v>2</v>
      </c>
      <c r="G296" s="21"/>
      <c r="H296" s="21"/>
      <c r="I296" s="21"/>
      <c r="J296" s="21">
        <v>2</v>
      </c>
    </row>
    <row r="297" spans="1:10" ht="30" x14ac:dyDescent="0.25">
      <c r="A297" s="19"/>
      <c r="B297" s="19" t="s">
        <v>553</v>
      </c>
      <c r="C297" s="19"/>
      <c r="D297" s="19"/>
      <c r="E297" s="21"/>
      <c r="F297" s="21">
        <v>2</v>
      </c>
      <c r="G297" s="21"/>
      <c r="H297" s="21"/>
      <c r="I297" s="21"/>
      <c r="J297" s="21">
        <v>2</v>
      </c>
    </row>
    <row r="298" spans="1:10" x14ac:dyDescent="0.25">
      <c r="A298" s="19"/>
      <c r="B298" s="19" t="s">
        <v>89</v>
      </c>
      <c r="C298" s="19" t="s">
        <v>88</v>
      </c>
      <c r="D298" s="19" t="s">
        <v>138</v>
      </c>
      <c r="E298" s="21"/>
      <c r="F298" s="21">
        <v>5.5</v>
      </c>
      <c r="G298" s="21"/>
      <c r="H298" s="21"/>
      <c r="I298" s="21">
        <v>7.5</v>
      </c>
      <c r="J298" s="21">
        <v>13</v>
      </c>
    </row>
    <row r="299" spans="1:10" x14ac:dyDescent="0.25">
      <c r="A299" s="19"/>
      <c r="B299" s="19"/>
      <c r="C299" s="19"/>
      <c r="D299" s="19" t="s">
        <v>141</v>
      </c>
      <c r="E299" s="21"/>
      <c r="F299" s="21"/>
      <c r="G299" s="21">
        <v>2.5</v>
      </c>
      <c r="H299" s="21"/>
      <c r="I299" s="21"/>
      <c r="J299" s="21">
        <v>2.5</v>
      </c>
    </row>
    <row r="300" spans="1:10" ht="30" x14ac:dyDescent="0.25">
      <c r="A300" s="19"/>
      <c r="B300" s="19" t="s">
        <v>594</v>
      </c>
      <c r="C300" s="19"/>
      <c r="D300" s="19"/>
      <c r="E300" s="21"/>
      <c r="F300" s="21">
        <v>5.5</v>
      </c>
      <c r="G300" s="21">
        <v>2.5</v>
      </c>
      <c r="H300" s="21"/>
      <c r="I300" s="21">
        <v>7.5</v>
      </c>
      <c r="J300" s="21">
        <v>15.5</v>
      </c>
    </row>
    <row r="301" spans="1:10" x14ac:dyDescent="0.25">
      <c r="A301" s="19"/>
      <c r="B301" s="19" t="s">
        <v>66</v>
      </c>
      <c r="C301" s="19" t="s">
        <v>65</v>
      </c>
      <c r="D301" s="19" t="s">
        <v>132</v>
      </c>
      <c r="E301" s="21">
        <v>5.5</v>
      </c>
      <c r="F301" s="21"/>
      <c r="G301" s="21">
        <v>4</v>
      </c>
      <c r="H301" s="21">
        <v>7.5</v>
      </c>
      <c r="I301" s="21"/>
      <c r="J301" s="21">
        <v>17</v>
      </c>
    </row>
    <row r="302" spans="1:10" x14ac:dyDescent="0.25">
      <c r="A302" s="19"/>
      <c r="B302" s="19"/>
      <c r="C302" s="19"/>
      <c r="D302" s="19" t="s">
        <v>140</v>
      </c>
      <c r="E302" s="21"/>
      <c r="F302" s="21"/>
      <c r="G302" s="21">
        <v>1</v>
      </c>
      <c r="H302" s="21"/>
      <c r="I302" s="21"/>
      <c r="J302" s="21">
        <v>1</v>
      </c>
    </row>
    <row r="303" spans="1:10" x14ac:dyDescent="0.25">
      <c r="A303" s="19"/>
      <c r="B303" s="19"/>
      <c r="C303" s="19"/>
      <c r="D303" s="19" t="s">
        <v>125</v>
      </c>
      <c r="E303" s="21">
        <v>2</v>
      </c>
      <c r="F303" s="21"/>
      <c r="G303" s="21"/>
      <c r="H303" s="21"/>
      <c r="I303" s="21"/>
      <c r="J303" s="21">
        <v>2</v>
      </c>
    </row>
    <row r="304" spans="1:10" ht="30" x14ac:dyDescent="0.25">
      <c r="A304" s="19"/>
      <c r="B304" s="19" t="s">
        <v>683</v>
      </c>
      <c r="C304" s="19"/>
      <c r="D304" s="19"/>
      <c r="E304" s="21">
        <v>7.5</v>
      </c>
      <c r="F304" s="21"/>
      <c r="G304" s="21">
        <v>5</v>
      </c>
      <c r="H304" s="21">
        <v>7.5</v>
      </c>
      <c r="I304" s="21"/>
      <c r="J304" s="21">
        <v>20</v>
      </c>
    </row>
    <row r="305" spans="1:10" x14ac:dyDescent="0.25">
      <c r="A305" s="19" t="s">
        <v>438</v>
      </c>
      <c r="B305" s="19"/>
      <c r="C305" s="19"/>
      <c r="D305" s="19"/>
      <c r="E305" s="21">
        <v>7.5</v>
      </c>
      <c r="F305" s="21">
        <v>7.5</v>
      </c>
      <c r="G305" s="21">
        <v>7.5</v>
      </c>
      <c r="H305" s="21">
        <v>7.5</v>
      </c>
      <c r="I305" s="21">
        <v>7.5</v>
      </c>
      <c r="J305" s="21">
        <v>37.5</v>
      </c>
    </row>
    <row r="306" spans="1:10" x14ac:dyDescent="0.25">
      <c r="A306" s="20">
        <v>43793</v>
      </c>
      <c r="B306" s="19" t="s">
        <v>11</v>
      </c>
      <c r="C306" s="19" t="s">
        <v>10</v>
      </c>
      <c r="D306" s="19" t="s">
        <v>439</v>
      </c>
      <c r="E306" s="21"/>
      <c r="F306" s="21"/>
      <c r="G306" s="21"/>
      <c r="H306" s="21"/>
      <c r="I306" s="21">
        <v>2</v>
      </c>
      <c r="J306" s="21">
        <v>2</v>
      </c>
    </row>
    <row r="307" spans="1:10" ht="30" x14ac:dyDescent="0.25">
      <c r="A307" s="19"/>
      <c r="B307" s="19" t="s">
        <v>553</v>
      </c>
      <c r="C307" s="19"/>
      <c r="D307" s="19"/>
      <c r="E307" s="21"/>
      <c r="F307" s="21"/>
      <c r="G307" s="21"/>
      <c r="H307" s="21"/>
      <c r="I307" s="21">
        <v>2</v>
      </c>
      <c r="J307" s="21">
        <v>2</v>
      </c>
    </row>
    <row r="308" spans="1:10" x14ac:dyDescent="0.25">
      <c r="A308" s="19"/>
      <c r="B308" s="19" t="s">
        <v>89</v>
      </c>
      <c r="C308" s="19" t="s">
        <v>88</v>
      </c>
      <c r="D308" s="19" t="s">
        <v>144</v>
      </c>
      <c r="E308" s="21"/>
      <c r="F308" s="21">
        <v>5.5</v>
      </c>
      <c r="G308" s="21"/>
      <c r="H308" s="21"/>
      <c r="I308" s="21"/>
      <c r="J308" s="21">
        <v>5.5</v>
      </c>
    </row>
    <row r="309" spans="1:10" x14ac:dyDescent="0.25">
      <c r="A309" s="19"/>
      <c r="B309" s="19"/>
      <c r="C309" s="19"/>
      <c r="D309" s="19" t="s">
        <v>146</v>
      </c>
      <c r="E309" s="21"/>
      <c r="F309" s="21"/>
      <c r="G309" s="21">
        <v>3.75</v>
      </c>
      <c r="H309" s="21"/>
      <c r="I309" s="21"/>
      <c r="J309" s="21">
        <v>3.75</v>
      </c>
    </row>
    <row r="310" spans="1:10" x14ac:dyDescent="0.25">
      <c r="A310" s="19"/>
      <c r="B310" s="19"/>
      <c r="C310" s="19"/>
      <c r="D310" s="19" t="s">
        <v>148</v>
      </c>
      <c r="E310" s="21"/>
      <c r="F310" s="21"/>
      <c r="G310" s="21"/>
      <c r="H310" s="21">
        <v>3.75</v>
      </c>
      <c r="I310" s="21"/>
      <c r="J310" s="21">
        <v>3.75</v>
      </c>
    </row>
    <row r="311" spans="1:10" ht="30" x14ac:dyDescent="0.25">
      <c r="A311" s="19"/>
      <c r="B311" s="19" t="s">
        <v>594</v>
      </c>
      <c r="C311" s="19"/>
      <c r="D311" s="19"/>
      <c r="E311" s="21"/>
      <c r="F311" s="21">
        <v>5.5</v>
      </c>
      <c r="G311" s="21">
        <v>3.75</v>
      </c>
      <c r="H311" s="21">
        <v>3.75</v>
      </c>
      <c r="I311" s="21"/>
      <c r="J311" s="21">
        <v>13</v>
      </c>
    </row>
    <row r="312" spans="1:10" ht="30" x14ac:dyDescent="0.25">
      <c r="A312" s="19"/>
      <c r="B312" s="19" t="s">
        <v>100</v>
      </c>
      <c r="C312" s="19" t="s">
        <v>99</v>
      </c>
      <c r="D312" s="19" t="s">
        <v>145</v>
      </c>
      <c r="E312" s="21"/>
      <c r="F312" s="21"/>
      <c r="G312" s="21">
        <v>3.75</v>
      </c>
      <c r="H312" s="21"/>
      <c r="I312" s="21"/>
      <c r="J312" s="21">
        <v>3.75</v>
      </c>
    </row>
    <row r="313" spans="1:10" x14ac:dyDescent="0.25">
      <c r="A313" s="19"/>
      <c r="B313" s="19"/>
      <c r="C313" s="19"/>
      <c r="D313" s="19" t="s">
        <v>143</v>
      </c>
      <c r="E313" s="21"/>
      <c r="F313" s="21">
        <v>2</v>
      </c>
      <c r="G313" s="21"/>
      <c r="H313" s="21"/>
      <c r="I313" s="21"/>
      <c r="J313" s="21">
        <v>2</v>
      </c>
    </row>
    <row r="314" spans="1:10" ht="30" x14ac:dyDescent="0.25">
      <c r="A314" s="19"/>
      <c r="B314" s="19" t="s">
        <v>686</v>
      </c>
      <c r="C314" s="19"/>
      <c r="D314" s="19"/>
      <c r="E314" s="21"/>
      <c r="F314" s="21">
        <v>2</v>
      </c>
      <c r="G314" s="21">
        <v>3.75</v>
      </c>
      <c r="H314" s="21"/>
      <c r="I314" s="21"/>
      <c r="J314" s="21">
        <v>5.75</v>
      </c>
    </row>
    <row r="315" spans="1:10" x14ac:dyDescent="0.25">
      <c r="A315" s="19"/>
      <c r="B315" s="19" t="s">
        <v>66</v>
      </c>
      <c r="C315" s="19" t="s">
        <v>65</v>
      </c>
      <c r="D315" s="19" t="s">
        <v>142</v>
      </c>
      <c r="E315" s="21">
        <v>5.5</v>
      </c>
      <c r="F315" s="21"/>
      <c r="G315" s="21"/>
      <c r="H315" s="21"/>
      <c r="I315" s="21"/>
      <c r="J315" s="21">
        <v>5.5</v>
      </c>
    </row>
    <row r="316" spans="1:10" x14ac:dyDescent="0.25">
      <c r="A316" s="19"/>
      <c r="B316" s="19"/>
      <c r="C316" s="19"/>
      <c r="D316" s="19" t="s">
        <v>149</v>
      </c>
      <c r="E316" s="21"/>
      <c r="F316" s="21"/>
      <c r="G316" s="21"/>
      <c r="H316" s="21"/>
      <c r="I316" s="21">
        <v>5.5</v>
      </c>
      <c r="J316" s="21">
        <v>5.5</v>
      </c>
    </row>
    <row r="317" spans="1:10" x14ac:dyDescent="0.25">
      <c r="A317" s="19"/>
      <c r="B317" s="19"/>
      <c r="C317" s="19"/>
      <c r="D317" s="19" t="s">
        <v>125</v>
      </c>
      <c r="E317" s="21">
        <v>2</v>
      </c>
      <c r="F317" s="21"/>
      <c r="G317" s="21"/>
      <c r="H317" s="21"/>
      <c r="I317" s="21"/>
      <c r="J317" s="21">
        <v>2</v>
      </c>
    </row>
    <row r="318" spans="1:10" x14ac:dyDescent="0.25">
      <c r="A318" s="19"/>
      <c r="B318" s="19"/>
      <c r="C318" s="19"/>
      <c r="D318" s="19" t="s">
        <v>147</v>
      </c>
      <c r="E318" s="21"/>
      <c r="F318" s="21"/>
      <c r="G318" s="21"/>
      <c r="H318" s="21">
        <v>3.75</v>
      </c>
      <c r="I318" s="21"/>
      <c r="J318" s="21">
        <v>3.75</v>
      </c>
    </row>
    <row r="319" spans="1:10" ht="30" x14ac:dyDescent="0.25">
      <c r="A319" s="19"/>
      <c r="B319" s="19" t="s">
        <v>683</v>
      </c>
      <c r="C319" s="19"/>
      <c r="D319" s="19"/>
      <c r="E319" s="21">
        <v>7.5</v>
      </c>
      <c r="F319" s="21"/>
      <c r="G319" s="21"/>
      <c r="H319" s="21">
        <v>3.75</v>
      </c>
      <c r="I319" s="21">
        <v>5.5</v>
      </c>
      <c r="J319" s="21">
        <v>16.75</v>
      </c>
    </row>
    <row r="320" spans="1:10" x14ac:dyDescent="0.25">
      <c r="A320" s="19" t="s">
        <v>442</v>
      </c>
      <c r="B320" s="19"/>
      <c r="C320" s="19"/>
      <c r="D320" s="19"/>
      <c r="E320" s="21">
        <v>7.5</v>
      </c>
      <c r="F320" s="21">
        <v>7.5</v>
      </c>
      <c r="G320" s="21">
        <v>7.5</v>
      </c>
      <c r="H320" s="21">
        <v>7.5</v>
      </c>
      <c r="I320" s="21">
        <v>7.5</v>
      </c>
      <c r="J320" s="21">
        <v>37.5</v>
      </c>
    </row>
    <row r="321" spans="1:10" x14ac:dyDescent="0.25">
      <c r="A321" s="20">
        <v>43786</v>
      </c>
      <c r="B321" s="19" t="s">
        <v>89</v>
      </c>
      <c r="C321" s="19" t="s">
        <v>88</v>
      </c>
      <c r="D321" s="19" t="s">
        <v>150</v>
      </c>
      <c r="E321" s="21">
        <v>2.5</v>
      </c>
      <c r="F321" s="21"/>
      <c r="G321" s="21"/>
      <c r="H321" s="21"/>
      <c r="I321" s="21"/>
      <c r="J321" s="21">
        <v>2.5</v>
      </c>
    </row>
    <row r="322" spans="1:10" x14ac:dyDescent="0.25">
      <c r="A322" s="19"/>
      <c r="B322" s="19"/>
      <c r="C322" s="19"/>
      <c r="D322" s="19" t="s">
        <v>153</v>
      </c>
      <c r="E322" s="21"/>
      <c r="F322" s="21"/>
      <c r="G322" s="21">
        <v>7.5</v>
      </c>
      <c r="H322" s="21"/>
      <c r="I322" s="21"/>
      <c r="J322" s="21">
        <v>7.5</v>
      </c>
    </row>
    <row r="323" spans="1:10" ht="30" x14ac:dyDescent="0.25">
      <c r="A323" s="19"/>
      <c r="B323" s="19" t="s">
        <v>594</v>
      </c>
      <c r="C323" s="19"/>
      <c r="D323" s="19"/>
      <c r="E323" s="21">
        <v>2.5</v>
      </c>
      <c r="F323" s="21"/>
      <c r="G323" s="21">
        <v>7.5</v>
      </c>
      <c r="H323" s="21"/>
      <c r="I323" s="21"/>
      <c r="J323" s="21">
        <v>10</v>
      </c>
    </row>
    <row r="324" spans="1:10" x14ac:dyDescent="0.25">
      <c r="A324" s="19"/>
      <c r="B324" s="19" t="s">
        <v>66</v>
      </c>
      <c r="C324" s="19" t="s">
        <v>65</v>
      </c>
      <c r="D324" s="19" t="s">
        <v>151</v>
      </c>
      <c r="E324" s="21"/>
      <c r="F324" s="21">
        <v>5</v>
      </c>
      <c r="G324" s="21"/>
      <c r="H324" s="21"/>
      <c r="I324" s="21"/>
      <c r="J324" s="21">
        <v>5</v>
      </c>
    </row>
    <row r="325" spans="1:10" x14ac:dyDescent="0.25">
      <c r="A325" s="19"/>
      <c r="B325" s="19"/>
      <c r="C325" s="19"/>
      <c r="D325" s="19" t="s">
        <v>152</v>
      </c>
      <c r="E325" s="21"/>
      <c r="F325" s="21">
        <v>7.5</v>
      </c>
      <c r="G325" s="21"/>
      <c r="H325" s="21"/>
      <c r="I325" s="21"/>
      <c r="J325" s="21">
        <v>7.5</v>
      </c>
    </row>
    <row r="326" spans="1:10" x14ac:dyDescent="0.25">
      <c r="A326" s="19"/>
      <c r="B326" s="19"/>
      <c r="C326" s="19"/>
      <c r="D326" s="19" t="s">
        <v>154</v>
      </c>
      <c r="E326" s="21"/>
      <c r="F326" s="21"/>
      <c r="G326" s="21"/>
      <c r="H326" s="21">
        <v>7.5</v>
      </c>
      <c r="I326" s="21">
        <v>7.5</v>
      </c>
      <c r="J326" s="21">
        <v>15</v>
      </c>
    </row>
    <row r="327" spans="1:10" ht="30" x14ac:dyDescent="0.25">
      <c r="A327" s="19"/>
      <c r="B327" s="19" t="s">
        <v>683</v>
      </c>
      <c r="C327" s="19"/>
      <c r="D327" s="19"/>
      <c r="E327" s="21"/>
      <c r="F327" s="21">
        <v>12.5</v>
      </c>
      <c r="G327" s="21"/>
      <c r="H327" s="21">
        <v>7.5</v>
      </c>
      <c r="I327" s="21">
        <v>7.5</v>
      </c>
      <c r="J327" s="21">
        <v>27.5</v>
      </c>
    </row>
    <row r="328" spans="1:10" x14ac:dyDescent="0.25">
      <c r="A328" s="19" t="s">
        <v>443</v>
      </c>
      <c r="B328" s="19"/>
      <c r="C328" s="19"/>
      <c r="D328" s="19"/>
      <c r="E328" s="21">
        <v>2.5</v>
      </c>
      <c r="F328" s="21">
        <v>12.5</v>
      </c>
      <c r="G328" s="21">
        <v>7.5</v>
      </c>
      <c r="H328" s="21">
        <v>7.5</v>
      </c>
      <c r="I328" s="21">
        <v>7.5</v>
      </c>
      <c r="J328" s="21">
        <v>37.5</v>
      </c>
    </row>
    <row r="329" spans="1:10" x14ac:dyDescent="0.25">
      <c r="A329" s="20">
        <v>43779</v>
      </c>
      <c r="B329" s="19" t="s">
        <v>89</v>
      </c>
      <c r="C329" s="19" t="s">
        <v>88</v>
      </c>
      <c r="D329" s="19" t="s">
        <v>160</v>
      </c>
      <c r="E329" s="21"/>
      <c r="F329" s="21"/>
      <c r="G329" s="21"/>
      <c r="H329" s="21">
        <v>3.75</v>
      </c>
      <c r="I329" s="21"/>
      <c r="J329" s="21">
        <v>3.75</v>
      </c>
    </row>
    <row r="330" spans="1:10" x14ac:dyDescent="0.25">
      <c r="A330" s="19"/>
      <c r="B330" s="19"/>
      <c r="C330" s="19"/>
      <c r="D330" s="19" t="s">
        <v>161</v>
      </c>
      <c r="E330" s="21"/>
      <c r="F330" s="21"/>
      <c r="G330" s="21"/>
      <c r="H330" s="21"/>
      <c r="I330" s="21">
        <v>3.75</v>
      </c>
      <c r="J330" s="21">
        <v>3.75</v>
      </c>
    </row>
    <row r="331" spans="1:10" x14ac:dyDescent="0.25">
      <c r="A331" s="19"/>
      <c r="B331" s="19"/>
      <c r="C331" s="19"/>
      <c r="D331" s="19" t="s">
        <v>158</v>
      </c>
      <c r="E331" s="21"/>
      <c r="F331" s="21"/>
      <c r="G331" s="21">
        <v>3.75</v>
      </c>
      <c r="H331" s="21"/>
      <c r="I331" s="21"/>
      <c r="J331" s="21">
        <v>3.75</v>
      </c>
    </row>
    <row r="332" spans="1:10" ht="30" x14ac:dyDescent="0.25">
      <c r="A332" s="19"/>
      <c r="B332" s="19" t="s">
        <v>594</v>
      </c>
      <c r="C332" s="19"/>
      <c r="D332" s="19"/>
      <c r="E332" s="21"/>
      <c r="F332" s="21"/>
      <c r="G332" s="21">
        <v>3.75</v>
      </c>
      <c r="H332" s="21">
        <v>3.75</v>
      </c>
      <c r="I332" s="21">
        <v>3.75</v>
      </c>
      <c r="J332" s="21">
        <v>11.25</v>
      </c>
    </row>
    <row r="333" spans="1:10" x14ac:dyDescent="0.25">
      <c r="A333" s="19"/>
      <c r="B333" s="19" t="s">
        <v>66</v>
      </c>
      <c r="C333" s="19" t="s">
        <v>65</v>
      </c>
      <c r="D333" s="19" t="s">
        <v>155</v>
      </c>
      <c r="E333" s="21">
        <v>5.5</v>
      </c>
      <c r="F333" s="21"/>
      <c r="G333" s="21"/>
      <c r="H333" s="21"/>
      <c r="I333" s="21"/>
      <c r="J333" s="21">
        <v>5.5</v>
      </c>
    </row>
    <row r="334" spans="1:10" x14ac:dyDescent="0.25">
      <c r="A334" s="19"/>
      <c r="B334" s="19"/>
      <c r="C334" s="19"/>
      <c r="D334" s="19" t="s">
        <v>157</v>
      </c>
      <c r="E334" s="21"/>
      <c r="F334" s="21">
        <v>5.5</v>
      </c>
      <c r="G334" s="21">
        <v>3.75</v>
      </c>
      <c r="H334" s="21"/>
      <c r="I334" s="21"/>
      <c r="J334" s="21">
        <v>9.25</v>
      </c>
    </row>
    <row r="335" spans="1:10" x14ac:dyDescent="0.25">
      <c r="A335" s="19"/>
      <c r="B335" s="19"/>
      <c r="C335" s="19"/>
      <c r="D335" s="19" t="s">
        <v>142</v>
      </c>
      <c r="E335" s="21"/>
      <c r="F335" s="21"/>
      <c r="G335" s="21"/>
      <c r="H335" s="21"/>
      <c r="I335" s="21">
        <v>3.75</v>
      </c>
      <c r="J335" s="21">
        <v>3.75</v>
      </c>
    </row>
    <row r="336" spans="1:10" x14ac:dyDescent="0.25">
      <c r="A336" s="19"/>
      <c r="B336" s="19"/>
      <c r="C336" s="19"/>
      <c r="D336" s="19" t="s">
        <v>125</v>
      </c>
      <c r="E336" s="21">
        <v>2</v>
      </c>
      <c r="F336" s="21"/>
      <c r="G336" s="21"/>
      <c r="H336" s="21"/>
      <c r="I336" s="21"/>
      <c r="J336" s="21">
        <v>2</v>
      </c>
    </row>
    <row r="337" spans="1:10" x14ac:dyDescent="0.25">
      <c r="A337" s="19"/>
      <c r="B337" s="19"/>
      <c r="C337" s="19"/>
      <c r="D337" s="19" t="s">
        <v>159</v>
      </c>
      <c r="E337" s="21"/>
      <c r="F337" s="21"/>
      <c r="G337" s="21"/>
      <c r="H337" s="21">
        <v>3.75</v>
      </c>
      <c r="I337" s="21"/>
      <c r="J337" s="21">
        <v>3.75</v>
      </c>
    </row>
    <row r="338" spans="1:10" ht="30" x14ac:dyDescent="0.25">
      <c r="A338" s="19"/>
      <c r="B338" s="19" t="s">
        <v>683</v>
      </c>
      <c r="C338" s="19"/>
      <c r="D338" s="19"/>
      <c r="E338" s="21">
        <v>7.5</v>
      </c>
      <c r="F338" s="21">
        <v>5.5</v>
      </c>
      <c r="G338" s="21">
        <v>3.75</v>
      </c>
      <c r="H338" s="21">
        <v>3.75</v>
      </c>
      <c r="I338" s="21">
        <v>3.75</v>
      </c>
      <c r="J338" s="21">
        <v>24.25</v>
      </c>
    </row>
    <row r="339" spans="1:10" ht="30" x14ac:dyDescent="0.25">
      <c r="A339" s="19"/>
      <c r="B339" s="19" t="s">
        <v>81</v>
      </c>
      <c r="C339" s="19" t="s">
        <v>80</v>
      </c>
      <c r="D339" s="19" t="s">
        <v>156</v>
      </c>
      <c r="E339" s="21"/>
      <c r="F339" s="21">
        <v>2</v>
      </c>
      <c r="G339" s="21"/>
      <c r="H339" s="21"/>
      <c r="I339" s="21"/>
      <c r="J339" s="21">
        <v>2</v>
      </c>
    </row>
    <row r="340" spans="1:10" ht="30" x14ac:dyDescent="0.25">
      <c r="A340" s="19"/>
      <c r="B340" s="19" t="s">
        <v>590</v>
      </c>
      <c r="C340" s="19"/>
      <c r="D340" s="19"/>
      <c r="E340" s="21"/>
      <c r="F340" s="21">
        <v>2</v>
      </c>
      <c r="G340" s="21"/>
      <c r="H340" s="21"/>
      <c r="I340" s="21"/>
      <c r="J340" s="21">
        <v>2</v>
      </c>
    </row>
    <row r="341" spans="1:10" x14ac:dyDescent="0.25">
      <c r="A341" s="19" t="s">
        <v>445</v>
      </c>
      <c r="B341" s="19"/>
      <c r="C341" s="19"/>
      <c r="D341" s="19"/>
      <c r="E341" s="21">
        <v>7.5</v>
      </c>
      <c r="F341" s="21">
        <v>7.5</v>
      </c>
      <c r="G341" s="21">
        <v>7.5</v>
      </c>
      <c r="H341" s="21">
        <v>7.5</v>
      </c>
      <c r="I341" s="21">
        <v>7.5</v>
      </c>
      <c r="J341" s="21">
        <v>37.5</v>
      </c>
    </row>
    <row r="342" spans="1:10" x14ac:dyDescent="0.25">
      <c r="A342" s="20">
        <v>43772</v>
      </c>
      <c r="B342" s="19" t="s">
        <v>89</v>
      </c>
      <c r="C342" s="19" t="s">
        <v>88</v>
      </c>
      <c r="D342" s="19" t="s">
        <v>163</v>
      </c>
      <c r="E342" s="21"/>
      <c r="F342" s="21"/>
      <c r="G342" s="21"/>
      <c r="H342" s="21">
        <v>2</v>
      </c>
      <c r="I342" s="21"/>
      <c r="J342" s="21">
        <v>2</v>
      </c>
    </row>
    <row r="343" spans="1:10" x14ac:dyDescent="0.25">
      <c r="A343" s="19"/>
      <c r="B343" s="19"/>
      <c r="C343" s="19"/>
      <c r="D343" s="19" t="s">
        <v>146</v>
      </c>
      <c r="E343" s="21"/>
      <c r="F343" s="21"/>
      <c r="G343" s="21"/>
      <c r="H343" s="21">
        <v>5.5</v>
      </c>
      <c r="I343" s="21"/>
      <c r="J343" s="21">
        <v>5.5</v>
      </c>
    </row>
    <row r="344" spans="1:10" ht="30" x14ac:dyDescent="0.25">
      <c r="A344" s="19"/>
      <c r="B344" s="19" t="s">
        <v>594</v>
      </c>
      <c r="C344" s="19"/>
      <c r="D344" s="19"/>
      <c r="E344" s="21"/>
      <c r="F344" s="21"/>
      <c r="G344" s="21"/>
      <c r="H344" s="21">
        <v>7.5</v>
      </c>
      <c r="I344" s="21"/>
      <c r="J344" s="21">
        <v>7.5</v>
      </c>
    </row>
    <row r="345" spans="1:10" x14ac:dyDescent="0.25">
      <c r="A345" s="19"/>
      <c r="B345" s="19" t="s">
        <v>66</v>
      </c>
      <c r="C345" s="19" t="s">
        <v>65</v>
      </c>
      <c r="D345" s="19" t="s">
        <v>155</v>
      </c>
      <c r="E345" s="21"/>
      <c r="F345" s="21">
        <v>7.5</v>
      </c>
      <c r="G345" s="21"/>
      <c r="H345" s="21"/>
      <c r="I345" s="21">
        <v>7.5</v>
      </c>
      <c r="J345" s="21">
        <v>15</v>
      </c>
    </row>
    <row r="346" spans="1:10" x14ac:dyDescent="0.25">
      <c r="A346" s="19"/>
      <c r="B346" s="19"/>
      <c r="C346" s="19"/>
      <c r="D346" s="19" t="s">
        <v>162</v>
      </c>
      <c r="E346" s="21">
        <v>5</v>
      </c>
      <c r="F346" s="21"/>
      <c r="G346" s="21">
        <v>7.5</v>
      </c>
      <c r="H346" s="21"/>
      <c r="I346" s="21"/>
      <c r="J346" s="21">
        <v>12.5</v>
      </c>
    </row>
    <row r="347" spans="1:10" x14ac:dyDescent="0.25">
      <c r="A347" s="19"/>
      <c r="B347" s="19"/>
      <c r="C347" s="19"/>
      <c r="D347" s="19" t="s">
        <v>125</v>
      </c>
      <c r="E347" s="21">
        <v>2.5</v>
      </c>
      <c r="F347" s="21"/>
      <c r="G347" s="21"/>
      <c r="H347" s="21"/>
      <c r="I347" s="21"/>
      <c r="J347" s="21">
        <v>2.5</v>
      </c>
    </row>
    <row r="348" spans="1:10" ht="30" x14ac:dyDescent="0.25">
      <c r="A348" s="19"/>
      <c r="B348" s="19" t="s">
        <v>683</v>
      </c>
      <c r="C348" s="19"/>
      <c r="D348" s="19"/>
      <c r="E348" s="21">
        <v>7.5</v>
      </c>
      <c r="F348" s="21">
        <v>7.5</v>
      </c>
      <c r="G348" s="21">
        <v>7.5</v>
      </c>
      <c r="H348" s="21"/>
      <c r="I348" s="21">
        <v>7.5</v>
      </c>
      <c r="J348" s="21">
        <v>30</v>
      </c>
    </row>
    <row r="349" spans="1:10" x14ac:dyDescent="0.25">
      <c r="A349" s="19" t="s">
        <v>446</v>
      </c>
      <c r="B349" s="19"/>
      <c r="C349" s="19"/>
      <c r="D349" s="19"/>
      <c r="E349" s="21">
        <v>7.5</v>
      </c>
      <c r="F349" s="21">
        <v>7.5</v>
      </c>
      <c r="G349" s="21">
        <v>7.5</v>
      </c>
      <c r="H349" s="21">
        <v>7.5</v>
      </c>
      <c r="I349" s="21">
        <v>7.5</v>
      </c>
      <c r="J349" s="21">
        <v>37.5</v>
      </c>
    </row>
    <row r="350" spans="1:10" x14ac:dyDescent="0.25">
      <c r="A350" s="20">
        <v>43765</v>
      </c>
      <c r="B350" s="19" t="s">
        <v>89</v>
      </c>
      <c r="C350" s="19" t="s">
        <v>88</v>
      </c>
      <c r="D350" s="19" t="s">
        <v>163</v>
      </c>
      <c r="E350" s="21"/>
      <c r="F350" s="21"/>
      <c r="G350" s="21"/>
      <c r="H350" s="21">
        <v>7.5</v>
      </c>
      <c r="I350" s="21"/>
      <c r="J350" s="21">
        <v>7.5</v>
      </c>
    </row>
    <row r="351" spans="1:10" ht="30" x14ac:dyDescent="0.25">
      <c r="A351" s="19"/>
      <c r="B351" s="19" t="s">
        <v>594</v>
      </c>
      <c r="C351" s="19"/>
      <c r="D351" s="19"/>
      <c r="E351" s="21"/>
      <c r="F351" s="21"/>
      <c r="G351" s="21"/>
      <c r="H351" s="21">
        <v>7.5</v>
      </c>
      <c r="I351" s="21"/>
      <c r="J351" s="21">
        <v>7.5</v>
      </c>
    </row>
    <row r="352" spans="1:10" x14ac:dyDescent="0.25">
      <c r="A352" s="19"/>
      <c r="B352" s="19" t="s">
        <v>85</v>
      </c>
      <c r="C352" s="19" t="s">
        <v>84</v>
      </c>
      <c r="D352" s="19" t="s">
        <v>165</v>
      </c>
      <c r="E352" s="21"/>
      <c r="F352" s="21"/>
      <c r="G352" s="21">
        <v>7.5</v>
      </c>
      <c r="H352" s="21"/>
      <c r="I352" s="21"/>
      <c r="J352" s="21">
        <v>7.5</v>
      </c>
    </row>
    <row r="353" spans="1:10" ht="30" x14ac:dyDescent="0.25">
      <c r="A353" s="19"/>
      <c r="B353" s="19" t="s">
        <v>592</v>
      </c>
      <c r="C353" s="19"/>
      <c r="D353" s="19"/>
      <c r="E353" s="21"/>
      <c r="F353" s="21"/>
      <c r="G353" s="21">
        <v>7.5</v>
      </c>
      <c r="H353" s="21"/>
      <c r="I353" s="21"/>
      <c r="J353" s="21">
        <v>7.5</v>
      </c>
    </row>
    <row r="354" spans="1:10" x14ac:dyDescent="0.25">
      <c r="A354" s="19"/>
      <c r="B354" s="19" t="s">
        <v>64</v>
      </c>
      <c r="C354" s="19" t="s">
        <v>63</v>
      </c>
      <c r="D354" s="19" t="s">
        <v>164</v>
      </c>
      <c r="E354" s="21"/>
      <c r="F354" s="21">
        <v>2.5</v>
      </c>
      <c r="G354" s="21"/>
      <c r="H354" s="21"/>
      <c r="I354" s="21"/>
      <c r="J354" s="21">
        <v>2.5</v>
      </c>
    </row>
    <row r="355" spans="1:10" ht="30" x14ac:dyDescent="0.25">
      <c r="A355" s="19"/>
      <c r="B355" s="19" t="s">
        <v>581</v>
      </c>
      <c r="C355" s="19"/>
      <c r="D355" s="19"/>
      <c r="E355" s="21"/>
      <c r="F355" s="21">
        <v>2.5</v>
      </c>
      <c r="G355" s="21"/>
      <c r="H355" s="21"/>
      <c r="I355" s="21"/>
      <c r="J355" s="21">
        <v>2.5</v>
      </c>
    </row>
    <row r="356" spans="1:10" x14ac:dyDescent="0.25">
      <c r="A356" s="19"/>
      <c r="B356" s="19" t="s">
        <v>66</v>
      </c>
      <c r="C356" s="19" t="s">
        <v>65</v>
      </c>
      <c r="D356" s="19" t="s">
        <v>162</v>
      </c>
      <c r="E356" s="21">
        <v>5</v>
      </c>
      <c r="F356" s="21">
        <v>7.5</v>
      </c>
      <c r="G356" s="21"/>
      <c r="H356" s="21"/>
      <c r="I356" s="21">
        <v>7.5</v>
      </c>
      <c r="J356" s="21">
        <v>20</v>
      </c>
    </row>
    <row r="357" spans="1:10" ht="30" x14ac:dyDescent="0.25">
      <c r="A357" s="19"/>
      <c r="B357" s="19" t="s">
        <v>683</v>
      </c>
      <c r="C357" s="19"/>
      <c r="D357" s="19"/>
      <c r="E357" s="21">
        <v>5</v>
      </c>
      <c r="F357" s="21">
        <v>7.5</v>
      </c>
      <c r="G357" s="21"/>
      <c r="H357" s="21"/>
      <c r="I357" s="21">
        <v>7.5</v>
      </c>
      <c r="J357" s="21">
        <v>20</v>
      </c>
    </row>
    <row r="358" spans="1:10" x14ac:dyDescent="0.25">
      <c r="A358" s="19" t="s">
        <v>449</v>
      </c>
      <c r="B358" s="19"/>
      <c r="C358" s="19"/>
      <c r="D358" s="19"/>
      <c r="E358" s="21">
        <v>5</v>
      </c>
      <c r="F358" s="21">
        <v>10</v>
      </c>
      <c r="G358" s="21">
        <v>7.5</v>
      </c>
      <c r="H358" s="21">
        <v>7.5</v>
      </c>
      <c r="I358" s="21">
        <v>7.5</v>
      </c>
      <c r="J358" s="21">
        <v>37.5</v>
      </c>
    </row>
    <row r="359" spans="1:10" x14ac:dyDescent="0.25">
      <c r="A359" s="20">
        <v>43758</v>
      </c>
      <c r="B359" s="19" t="s">
        <v>89</v>
      </c>
      <c r="C359" s="19" t="s">
        <v>88</v>
      </c>
      <c r="D359" s="19" t="s">
        <v>168</v>
      </c>
      <c r="E359" s="21"/>
      <c r="F359" s="21"/>
      <c r="G359" s="21"/>
      <c r="H359" s="21">
        <v>3.75</v>
      </c>
      <c r="I359" s="21"/>
      <c r="J359" s="21">
        <v>3.75</v>
      </c>
    </row>
    <row r="360" spans="1:10" x14ac:dyDescent="0.25">
      <c r="A360" s="19"/>
      <c r="B360" s="19"/>
      <c r="C360" s="19"/>
      <c r="D360" s="19" t="s">
        <v>169</v>
      </c>
      <c r="E360" s="21"/>
      <c r="F360" s="21"/>
      <c r="G360" s="21"/>
      <c r="H360" s="21">
        <v>3.75</v>
      </c>
      <c r="I360" s="21"/>
      <c r="J360" s="21">
        <v>3.75</v>
      </c>
    </row>
    <row r="361" spans="1:10" ht="30" x14ac:dyDescent="0.25">
      <c r="A361" s="19"/>
      <c r="B361" s="19" t="s">
        <v>594</v>
      </c>
      <c r="C361" s="19"/>
      <c r="D361" s="19"/>
      <c r="E361" s="21"/>
      <c r="F361" s="21"/>
      <c r="G361" s="21"/>
      <c r="H361" s="21">
        <v>7.5</v>
      </c>
      <c r="I361" s="21"/>
      <c r="J361" s="21">
        <v>7.5</v>
      </c>
    </row>
    <row r="362" spans="1:10" ht="30" x14ac:dyDescent="0.25">
      <c r="A362" s="19"/>
      <c r="B362" s="19" t="s">
        <v>44</v>
      </c>
      <c r="C362" s="19" t="s">
        <v>43</v>
      </c>
      <c r="D362" s="19" t="s">
        <v>167</v>
      </c>
      <c r="E362" s="21"/>
      <c r="F362" s="21"/>
      <c r="G362" s="21">
        <v>7.5</v>
      </c>
      <c r="H362" s="21"/>
      <c r="I362" s="21">
        <v>2</v>
      </c>
      <c r="J362" s="21">
        <v>9.5</v>
      </c>
    </row>
    <row r="363" spans="1:10" ht="30" x14ac:dyDescent="0.25">
      <c r="A363" s="19"/>
      <c r="B363" s="19" t="s">
        <v>573</v>
      </c>
      <c r="C363" s="19"/>
      <c r="D363" s="19"/>
      <c r="E363" s="21"/>
      <c r="F363" s="21"/>
      <c r="G363" s="21">
        <v>7.5</v>
      </c>
      <c r="H363" s="21"/>
      <c r="I363" s="21">
        <v>2</v>
      </c>
      <c r="J363" s="21">
        <v>9.5</v>
      </c>
    </row>
    <row r="364" spans="1:10" x14ac:dyDescent="0.25">
      <c r="A364" s="19"/>
      <c r="B364" s="19" t="s">
        <v>64</v>
      </c>
      <c r="C364" s="19" t="s">
        <v>63</v>
      </c>
      <c r="D364" s="19" t="s">
        <v>166</v>
      </c>
      <c r="E364" s="21">
        <v>3.75</v>
      </c>
      <c r="F364" s="21">
        <v>7.5</v>
      </c>
      <c r="G364" s="21"/>
      <c r="H364" s="21"/>
      <c r="I364" s="21"/>
      <c r="J364" s="21">
        <v>11.25</v>
      </c>
    </row>
    <row r="365" spans="1:10" ht="30" x14ac:dyDescent="0.25">
      <c r="A365" s="19"/>
      <c r="B365" s="19" t="s">
        <v>581</v>
      </c>
      <c r="C365" s="19"/>
      <c r="D365" s="19"/>
      <c r="E365" s="21">
        <v>3.75</v>
      </c>
      <c r="F365" s="21">
        <v>7.5</v>
      </c>
      <c r="G365" s="21"/>
      <c r="H365" s="21"/>
      <c r="I365" s="21"/>
      <c r="J365" s="21">
        <v>11.25</v>
      </c>
    </row>
    <row r="366" spans="1:10" x14ac:dyDescent="0.25">
      <c r="A366" s="19"/>
      <c r="B366" s="19" t="s">
        <v>66</v>
      </c>
      <c r="C366" s="19" t="s">
        <v>65</v>
      </c>
      <c r="D366" s="19" t="s">
        <v>142</v>
      </c>
      <c r="E366" s="21"/>
      <c r="F366" s="21"/>
      <c r="G366" s="21"/>
      <c r="H366" s="21"/>
      <c r="I366" s="21">
        <v>5.5</v>
      </c>
      <c r="J366" s="21">
        <v>5.5</v>
      </c>
    </row>
    <row r="367" spans="1:10" x14ac:dyDescent="0.25">
      <c r="A367" s="19"/>
      <c r="B367" s="19"/>
      <c r="C367" s="19"/>
      <c r="D367" s="19" t="s">
        <v>125</v>
      </c>
      <c r="E367" s="21">
        <v>3.75</v>
      </c>
      <c r="F367" s="21"/>
      <c r="G367" s="21"/>
      <c r="H367" s="21"/>
      <c r="I367" s="21"/>
      <c r="J367" s="21">
        <v>3.75</v>
      </c>
    </row>
    <row r="368" spans="1:10" ht="30" x14ac:dyDescent="0.25">
      <c r="A368" s="19"/>
      <c r="B368" s="19" t="s">
        <v>683</v>
      </c>
      <c r="C368" s="19"/>
      <c r="D368" s="19"/>
      <c r="E368" s="21">
        <v>3.75</v>
      </c>
      <c r="F368" s="21"/>
      <c r="G368" s="21"/>
      <c r="H368" s="21"/>
      <c r="I368" s="21">
        <v>5.5</v>
      </c>
      <c r="J368" s="21">
        <v>9.25</v>
      </c>
    </row>
    <row r="369" spans="1:10" x14ac:dyDescent="0.25">
      <c r="A369" s="19" t="s">
        <v>451</v>
      </c>
      <c r="B369" s="19"/>
      <c r="C369" s="19"/>
      <c r="D369" s="19"/>
      <c r="E369" s="21">
        <v>7.5</v>
      </c>
      <c r="F369" s="21">
        <v>7.5</v>
      </c>
      <c r="G369" s="21">
        <v>7.5</v>
      </c>
      <c r="H369" s="21">
        <v>7.5</v>
      </c>
      <c r="I369" s="21">
        <v>7.5</v>
      </c>
      <c r="J369" s="21">
        <v>37.5</v>
      </c>
    </row>
    <row r="370" spans="1:10" x14ac:dyDescent="0.25">
      <c r="A370" s="20">
        <v>43751</v>
      </c>
      <c r="B370" s="19" t="s">
        <v>89</v>
      </c>
      <c r="C370" s="19" t="s">
        <v>88</v>
      </c>
      <c r="D370" s="19" t="s">
        <v>174</v>
      </c>
      <c r="E370" s="21"/>
      <c r="F370" s="21"/>
      <c r="G370" s="21"/>
      <c r="H370" s="21">
        <v>3</v>
      </c>
      <c r="I370" s="21"/>
      <c r="J370" s="21">
        <v>3</v>
      </c>
    </row>
    <row r="371" spans="1:10" x14ac:dyDescent="0.25">
      <c r="A371" s="19"/>
      <c r="B371" s="19"/>
      <c r="C371" s="19"/>
      <c r="D371" s="19" t="s">
        <v>175</v>
      </c>
      <c r="E371" s="21"/>
      <c r="F371" s="21"/>
      <c r="G371" s="21"/>
      <c r="H371" s="21">
        <v>4.5</v>
      </c>
      <c r="I371" s="21"/>
      <c r="J371" s="21">
        <v>4.5</v>
      </c>
    </row>
    <row r="372" spans="1:10" x14ac:dyDescent="0.25">
      <c r="A372" s="19"/>
      <c r="B372" s="19"/>
      <c r="C372" s="19"/>
      <c r="D372" s="19" t="s">
        <v>172</v>
      </c>
      <c r="E372" s="21"/>
      <c r="F372" s="21">
        <v>4</v>
      </c>
      <c r="G372" s="21"/>
      <c r="H372" s="21"/>
      <c r="I372" s="21"/>
      <c r="J372" s="21">
        <v>4</v>
      </c>
    </row>
    <row r="373" spans="1:10" ht="30" x14ac:dyDescent="0.25">
      <c r="A373" s="19"/>
      <c r="B373" s="19" t="s">
        <v>594</v>
      </c>
      <c r="C373" s="19"/>
      <c r="D373" s="19"/>
      <c r="E373" s="21"/>
      <c r="F373" s="21">
        <v>4</v>
      </c>
      <c r="G373" s="21"/>
      <c r="H373" s="21">
        <v>7.5</v>
      </c>
      <c r="I373" s="21"/>
      <c r="J373" s="21">
        <v>11.5</v>
      </c>
    </row>
    <row r="374" spans="1:10" x14ac:dyDescent="0.25">
      <c r="A374" s="19"/>
      <c r="B374" s="19" t="s">
        <v>64</v>
      </c>
      <c r="C374" s="19" t="s">
        <v>63</v>
      </c>
      <c r="D374" s="19" t="s">
        <v>177</v>
      </c>
      <c r="E374" s="21"/>
      <c r="F374" s="21"/>
      <c r="G374" s="21"/>
      <c r="H374" s="21"/>
      <c r="I374" s="21">
        <v>4.5</v>
      </c>
      <c r="J374" s="21">
        <v>4.5</v>
      </c>
    </row>
    <row r="375" spans="1:10" x14ac:dyDescent="0.25">
      <c r="A375" s="19"/>
      <c r="B375" s="19"/>
      <c r="C375" s="19"/>
      <c r="D375" s="19" t="s">
        <v>173</v>
      </c>
      <c r="E375" s="21"/>
      <c r="F375" s="21"/>
      <c r="G375" s="21">
        <v>7.5</v>
      </c>
      <c r="H375" s="21"/>
      <c r="I375" s="21"/>
      <c r="J375" s="21">
        <v>7.5</v>
      </c>
    </row>
    <row r="376" spans="1:10" x14ac:dyDescent="0.25">
      <c r="A376" s="19"/>
      <c r="B376" s="19"/>
      <c r="C376" s="19"/>
      <c r="D376" s="19" t="s">
        <v>171</v>
      </c>
      <c r="E376" s="21"/>
      <c r="F376" s="21">
        <v>3.5</v>
      </c>
      <c r="G376" s="21"/>
      <c r="H376" s="21"/>
      <c r="I376" s="21"/>
      <c r="J376" s="21">
        <v>3.5</v>
      </c>
    </row>
    <row r="377" spans="1:10" x14ac:dyDescent="0.25">
      <c r="A377" s="19"/>
      <c r="B377" s="19"/>
      <c r="C377" s="19"/>
      <c r="D377" s="19" t="s">
        <v>176</v>
      </c>
      <c r="E377" s="21"/>
      <c r="F377" s="21"/>
      <c r="G377" s="21"/>
      <c r="H377" s="21"/>
      <c r="I377" s="21">
        <v>3</v>
      </c>
      <c r="J377" s="21">
        <v>3</v>
      </c>
    </row>
    <row r="378" spans="1:10" ht="30" x14ac:dyDescent="0.25">
      <c r="A378" s="19"/>
      <c r="B378" s="19" t="s">
        <v>581</v>
      </c>
      <c r="C378" s="19"/>
      <c r="D378" s="19"/>
      <c r="E378" s="21"/>
      <c r="F378" s="21">
        <v>3.5</v>
      </c>
      <c r="G378" s="21">
        <v>7.5</v>
      </c>
      <c r="H378" s="21"/>
      <c r="I378" s="21">
        <v>7.5</v>
      </c>
      <c r="J378" s="21">
        <v>18.5</v>
      </c>
    </row>
    <row r="379" spans="1:10" x14ac:dyDescent="0.25">
      <c r="A379" s="19"/>
      <c r="B379" s="19" t="s">
        <v>66</v>
      </c>
      <c r="C379" s="19" t="s">
        <v>65</v>
      </c>
      <c r="D379" s="19" t="s">
        <v>142</v>
      </c>
      <c r="E379" s="21">
        <v>5.5</v>
      </c>
      <c r="F379" s="21"/>
      <c r="G379" s="21"/>
      <c r="H379" s="21"/>
      <c r="I379" s="21"/>
      <c r="J379" s="21">
        <v>5.5</v>
      </c>
    </row>
    <row r="380" spans="1:10" x14ac:dyDescent="0.25">
      <c r="A380" s="19"/>
      <c r="B380" s="19"/>
      <c r="C380" s="19"/>
      <c r="D380" s="19" t="s">
        <v>125</v>
      </c>
      <c r="E380" s="21">
        <v>2</v>
      </c>
      <c r="F380" s="21"/>
      <c r="G380" s="21"/>
      <c r="H380" s="21"/>
      <c r="I380" s="21"/>
      <c r="J380" s="21">
        <v>2</v>
      </c>
    </row>
    <row r="381" spans="1:10" ht="30" x14ac:dyDescent="0.25">
      <c r="A381" s="19"/>
      <c r="B381" s="19" t="s">
        <v>683</v>
      </c>
      <c r="C381" s="19"/>
      <c r="D381" s="19"/>
      <c r="E381" s="21">
        <v>7.5</v>
      </c>
      <c r="F381" s="21"/>
      <c r="G381" s="21"/>
      <c r="H381" s="21"/>
      <c r="I381" s="21"/>
      <c r="J381" s="21">
        <v>7.5</v>
      </c>
    </row>
    <row r="382" spans="1:10" x14ac:dyDescent="0.25">
      <c r="A382" s="19" t="s">
        <v>452</v>
      </c>
      <c r="B382" s="19"/>
      <c r="C382" s="19"/>
      <c r="D382" s="19"/>
      <c r="E382" s="21">
        <v>7.5</v>
      </c>
      <c r="F382" s="21">
        <v>7.5</v>
      </c>
      <c r="G382" s="21">
        <v>7.5</v>
      </c>
      <c r="H382" s="21">
        <v>7.5</v>
      </c>
      <c r="I382" s="21">
        <v>7.5</v>
      </c>
      <c r="J382" s="21">
        <v>37.5</v>
      </c>
    </row>
    <row r="383" spans="1:10" x14ac:dyDescent="0.25">
      <c r="A383" s="20">
        <v>43744</v>
      </c>
      <c r="B383" s="19" t="s">
        <v>89</v>
      </c>
      <c r="C383" s="19" t="s">
        <v>88</v>
      </c>
      <c r="D383" s="19" t="s">
        <v>180</v>
      </c>
      <c r="E383" s="21"/>
      <c r="F383" s="21">
        <v>3.75</v>
      </c>
      <c r="G383" s="21"/>
      <c r="H383" s="21"/>
      <c r="I383" s="21"/>
      <c r="J383" s="21">
        <v>3.75</v>
      </c>
    </row>
    <row r="384" spans="1:10" x14ac:dyDescent="0.25">
      <c r="A384" s="19"/>
      <c r="B384" s="19"/>
      <c r="C384" s="19"/>
      <c r="D384" s="19" t="s">
        <v>183</v>
      </c>
      <c r="E384" s="21"/>
      <c r="F384" s="21"/>
      <c r="G384" s="21"/>
      <c r="H384" s="21">
        <v>3.75</v>
      </c>
      <c r="I384" s="21"/>
      <c r="J384" s="21">
        <v>3.75</v>
      </c>
    </row>
    <row r="385" spans="1:10" x14ac:dyDescent="0.25">
      <c r="A385" s="19"/>
      <c r="B385" s="19"/>
      <c r="C385" s="19"/>
      <c r="D385" s="19" t="s">
        <v>179</v>
      </c>
      <c r="E385" s="21"/>
      <c r="F385" s="21">
        <v>3.75</v>
      </c>
      <c r="G385" s="21"/>
      <c r="H385" s="21"/>
      <c r="I385" s="21"/>
      <c r="J385" s="21">
        <v>3.75</v>
      </c>
    </row>
    <row r="386" spans="1:10" x14ac:dyDescent="0.25">
      <c r="A386" s="19"/>
      <c r="B386" s="19"/>
      <c r="C386" s="19"/>
      <c r="D386" s="19" t="s">
        <v>184</v>
      </c>
      <c r="E386" s="21"/>
      <c r="F386" s="21"/>
      <c r="G386" s="21"/>
      <c r="H386" s="21"/>
      <c r="I386" s="21">
        <v>3.75</v>
      </c>
      <c r="J386" s="21">
        <v>3.75</v>
      </c>
    </row>
    <row r="387" spans="1:10" x14ac:dyDescent="0.25">
      <c r="A387" s="19"/>
      <c r="B387" s="19"/>
      <c r="C387" s="19"/>
      <c r="D387" s="19" t="s">
        <v>182</v>
      </c>
      <c r="E387" s="21"/>
      <c r="F387" s="21"/>
      <c r="G387" s="21">
        <v>3.75</v>
      </c>
      <c r="H387" s="21"/>
      <c r="I387" s="21"/>
      <c r="J387" s="21">
        <v>3.75</v>
      </c>
    </row>
    <row r="388" spans="1:10" ht="30" x14ac:dyDescent="0.25">
      <c r="A388" s="19"/>
      <c r="B388" s="19" t="s">
        <v>594</v>
      </c>
      <c r="C388" s="19"/>
      <c r="D388" s="19"/>
      <c r="E388" s="21"/>
      <c r="F388" s="21">
        <v>7.5</v>
      </c>
      <c r="G388" s="21">
        <v>3.75</v>
      </c>
      <c r="H388" s="21">
        <v>3.75</v>
      </c>
      <c r="I388" s="21">
        <v>3.75</v>
      </c>
      <c r="J388" s="21">
        <v>18.75</v>
      </c>
    </row>
    <row r="389" spans="1:10" x14ac:dyDescent="0.25">
      <c r="A389" s="19"/>
      <c r="B389" s="19" t="s">
        <v>66</v>
      </c>
      <c r="C389" s="19" t="s">
        <v>65</v>
      </c>
      <c r="D389" s="19" t="s">
        <v>142</v>
      </c>
      <c r="E389" s="21">
        <v>5.5</v>
      </c>
      <c r="F389" s="21"/>
      <c r="G389" s="21"/>
      <c r="H389" s="21">
        <v>3.75</v>
      </c>
      <c r="I389" s="21">
        <v>3.75</v>
      </c>
      <c r="J389" s="21">
        <v>13</v>
      </c>
    </row>
    <row r="390" spans="1:10" x14ac:dyDescent="0.25">
      <c r="A390" s="19"/>
      <c r="B390" s="19"/>
      <c r="C390" s="19"/>
      <c r="D390" s="19" t="s">
        <v>178</v>
      </c>
      <c r="E390" s="21">
        <v>2</v>
      </c>
      <c r="F390" s="21"/>
      <c r="G390" s="21"/>
      <c r="H390" s="21"/>
      <c r="I390" s="21"/>
      <c r="J390" s="21">
        <v>2</v>
      </c>
    </row>
    <row r="391" spans="1:10" x14ac:dyDescent="0.25">
      <c r="A391" s="19"/>
      <c r="B391" s="19"/>
      <c r="C391" s="19"/>
      <c r="D391" s="19" t="s">
        <v>181</v>
      </c>
      <c r="E391" s="21"/>
      <c r="F391" s="21"/>
      <c r="G391" s="21">
        <v>3.75</v>
      </c>
      <c r="H391" s="21"/>
      <c r="I391" s="21"/>
      <c r="J391" s="21">
        <v>3.75</v>
      </c>
    </row>
    <row r="392" spans="1:10" ht="30" x14ac:dyDescent="0.25">
      <c r="A392" s="19"/>
      <c r="B392" s="19" t="s">
        <v>683</v>
      </c>
      <c r="C392" s="19"/>
      <c r="D392" s="19"/>
      <c r="E392" s="21">
        <v>7.5</v>
      </c>
      <c r="F392" s="21"/>
      <c r="G392" s="21">
        <v>3.75</v>
      </c>
      <c r="H392" s="21">
        <v>3.75</v>
      </c>
      <c r="I392" s="21">
        <v>3.75</v>
      </c>
      <c r="J392" s="21">
        <v>18.75</v>
      </c>
    </row>
    <row r="393" spans="1:10" x14ac:dyDescent="0.25">
      <c r="A393" s="19" t="s">
        <v>453</v>
      </c>
      <c r="B393" s="19"/>
      <c r="C393" s="19"/>
      <c r="D393" s="19"/>
      <c r="E393" s="21">
        <v>7.5</v>
      </c>
      <c r="F393" s="21">
        <v>7.5</v>
      </c>
      <c r="G393" s="21">
        <v>7.5</v>
      </c>
      <c r="H393" s="21">
        <v>7.5</v>
      </c>
      <c r="I393" s="21">
        <v>7.5</v>
      </c>
      <c r="J393" s="21">
        <v>37.5</v>
      </c>
    </row>
    <row r="394" spans="1:10" x14ac:dyDescent="0.25">
      <c r="A394" s="20">
        <v>43737</v>
      </c>
      <c r="B394" s="19" t="s">
        <v>89</v>
      </c>
      <c r="C394" s="19" t="s">
        <v>88</v>
      </c>
      <c r="D394" s="19" t="s">
        <v>190</v>
      </c>
      <c r="E394" s="21"/>
      <c r="F394" s="21"/>
      <c r="G394" s="21"/>
      <c r="H394" s="21"/>
      <c r="I394" s="21">
        <v>2.5</v>
      </c>
      <c r="J394" s="21">
        <v>2.5</v>
      </c>
    </row>
    <row r="395" spans="1:10" x14ac:dyDescent="0.25">
      <c r="A395" s="19"/>
      <c r="B395" s="19"/>
      <c r="C395" s="19"/>
      <c r="D395" s="19" t="s">
        <v>189</v>
      </c>
      <c r="E395" s="21"/>
      <c r="F395" s="21"/>
      <c r="G395" s="21"/>
      <c r="H395" s="21"/>
      <c r="I395" s="21">
        <v>3</v>
      </c>
      <c r="J395" s="21">
        <v>3</v>
      </c>
    </row>
    <row r="396" spans="1:10" x14ac:dyDescent="0.25">
      <c r="A396" s="19"/>
      <c r="B396" s="19"/>
      <c r="C396" s="19"/>
      <c r="D396" s="19" t="s">
        <v>186</v>
      </c>
      <c r="E396" s="21"/>
      <c r="F396" s="21">
        <v>3.75</v>
      </c>
      <c r="G396" s="21"/>
      <c r="H396" s="21">
        <v>5.5</v>
      </c>
      <c r="I396" s="21"/>
      <c r="J396" s="21">
        <v>9.25</v>
      </c>
    </row>
    <row r="397" spans="1:10" x14ac:dyDescent="0.25">
      <c r="A397" s="19"/>
      <c r="B397" s="19"/>
      <c r="C397" s="19"/>
      <c r="D397" s="19" t="s">
        <v>188</v>
      </c>
      <c r="E397" s="21"/>
      <c r="F397" s="21"/>
      <c r="G397" s="21"/>
      <c r="H397" s="21">
        <v>2</v>
      </c>
      <c r="I397" s="21"/>
      <c r="J397" s="21">
        <v>2</v>
      </c>
    </row>
    <row r="398" spans="1:10" ht="30" x14ac:dyDescent="0.25">
      <c r="A398" s="19"/>
      <c r="B398" s="19" t="s">
        <v>594</v>
      </c>
      <c r="C398" s="19"/>
      <c r="D398" s="19"/>
      <c r="E398" s="21"/>
      <c r="F398" s="21">
        <v>3.75</v>
      </c>
      <c r="G398" s="21"/>
      <c r="H398" s="21">
        <v>7.5</v>
      </c>
      <c r="I398" s="21">
        <v>5.5</v>
      </c>
      <c r="J398" s="21">
        <v>16.75</v>
      </c>
    </row>
    <row r="399" spans="1:10" x14ac:dyDescent="0.25">
      <c r="A399" s="19"/>
      <c r="B399" s="19" t="s">
        <v>85</v>
      </c>
      <c r="C399" s="19" t="s">
        <v>84</v>
      </c>
      <c r="D399" s="19" t="s">
        <v>187</v>
      </c>
      <c r="E399" s="21"/>
      <c r="F399" s="21"/>
      <c r="G399" s="21">
        <v>7.5</v>
      </c>
      <c r="H399" s="21"/>
      <c r="I399" s="21"/>
      <c r="J399" s="21">
        <v>7.5</v>
      </c>
    </row>
    <row r="400" spans="1:10" ht="30" x14ac:dyDescent="0.25">
      <c r="A400" s="19"/>
      <c r="B400" s="19" t="s">
        <v>592</v>
      </c>
      <c r="C400" s="19"/>
      <c r="D400" s="19"/>
      <c r="E400" s="21"/>
      <c r="F400" s="21"/>
      <c r="G400" s="21">
        <v>7.5</v>
      </c>
      <c r="H400" s="21"/>
      <c r="I400" s="21"/>
      <c r="J400" s="21">
        <v>7.5</v>
      </c>
    </row>
    <row r="401" spans="1:10" x14ac:dyDescent="0.25">
      <c r="A401" s="19"/>
      <c r="B401" s="19" t="s">
        <v>66</v>
      </c>
      <c r="C401" s="19" t="s">
        <v>65</v>
      </c>
      <c r="D401" s="19" t="s">
        <v>168</v>
      </c>
      <c r="E401" s="21"/>
      <c r="F401" s="21"/>
      <c r="G401" s="21"/>
      <c r="H401" s="21"/>
      <c r="I401" s="21">
        <v>2</v>
      </c>
      <c r="J401" s="21">
        <v>2</v>
      </c>
    </row>
    <row r="402" spans="1:10" x14ac:dyDescent="0.25">
      <c r="A402" s="19"/>
      <c r="B402" s="19"/>
      <c r="C402" s="19"/>
      <c r="D402" s="19" t="s">
        <v>185</v>
      </c>
      <c r="E402" s="21">
        <v>7.5</v>
      </c>
      <c r="F402" s="21">
        <v>3.75</v>
      </c>
      <c r="G402" s="21"/>
      <c r="H402" s="21"/>
      <c r="I402" s="21"/>
      <c r="J402" s="21">
        <v>11.25</v>
      </c>
    </row>
    <row r="403" spans="1:10" ht="30" x14ac:dyDescent="0.25">
      <c r="A403" s="19"/>
      <c r="B403" s="19" t="s">
        <v>683</v>
      </c>
      <c r="C403" s="19"/>
      <c r="D403" s="19"/>
      <c r="E403" s="21">
        <v>7.5</v>
      </c>
      <c r="F403" s="21">
        <v>3.75</v>
      </c>
      <c r="G403" s="21"/>
      <c r="H403" s="21"/>
      <c r="I403" s="21">
        <v>2</v>
      </c>
      <c r="J403" s="21">
        <v>13.25</v>
      </c>
    </row>
    <row r="404" spans="1:10" x14ac:dyDescent="0.25">
      <c r="A404" s="19" t="s">
        <v>454</v>
      </c>
      <c r="B404" s="19"/>
      <c r="C404" s="19"/>
      <c r="D404" s="19"/>
      <c r="E404" s="21">
        <v>7.5</v>
      </c>
      <c r="F404" s="21">
        <v>7.5</v>
      </c>
      <c r="G404" s="21">
        <v>7.5</v>
      </c>
      <c r="H404" s="21">
        <v>7.5</v>
      </c>
      <c r="I404" s="21">
        <v>7.5</v>
      </c>
      <c r="J404" s="21">
        <v>37.5</v>
      </c>
    </row>
    <row r="405" spans="1:10" x14ac:dyDescent="0.25">
      <c r="A405" s="20">
        <v>43730</v>
      </c>
      <c r="B405" s="19" t="s">
        <v>66</v>
      </c>
      <c r="C405" s="19" t="s">
        <v>65</v>
      </c>
      <c r="D405" s="19" t="s">
        <v>191</v>
      </c>
      <c r="E405" s="21">
        <v>7.5</v>
      </c>
      <c r="F405" s="21">
        <v>7.5</v>
      </c>
      <c r="G405" s="21"/>
      <c r="H405" s="21"/>
      <c r="I405" s="21"/>
      <c r="J405" s="21">
        <v>15</v>
      </c>
    </row>
    <row r="406" spans="1:10" x14ac:dyDescent="0.25">
      <c r="A406" s="19"/>
      <c r="B406" s="19"/>
      <c r="C406" s="19"/>
      <c r="D406" s="19" t="s">
        <v>192</v>
      </c>
      <c r="E406" s="21"/>
      <c r="F406" s="21"/>
      <c r="G406" s="21">
        <v>7.5</v>
      </c>
      <c r="H406" s="21">
        <v>7.5</v>
      </c>
      <c r="I406" s="21">
        <v>7.5</v>
      </c>
      <c r="J406" s="21">
        <v>22.5</v>
      </c>
    </row>
    <row r="407" spans="1:10" ht="30" x14ac:dyDescent="0.25">
      <c r="A407" s="19"/>
      <c r="B407" s="19" t="s">
        <v>683</v>
      </c>
      <c r="C407" s="19"/>
      <c r="D407" s="19"/>
      <c r="E407" s="21">
        <v>7.5</v>
      </c>
      <c r="F407" s="21">
        <v>7.5</v>
      </c>
      <c r="G407" s="21">
        <v>7.5</v>
      </c>
      <c r="H407" s="21">
        <v>7.5</v>
      </c>
      <c r="I407" s="21">
        <v>7.5</v>
      </c>
      <c r="J407" s="21">
        <v>37.5</v>
      </c>
    </row>
    <row r="408" spans="1:10" x14ac:dyDescent="0.25">
      <c r="A408" s="19" t="s">
        <v>455</v>
      </c>
      <c r="B408" s="19"/>
      <c r="C408" s="19"/>
      <c r="D408" s="19"/>
      <c r="E408" s="21">
        <v>7.5</v>
      </c>
      <c r="F408" s="21">
        <v>7.5</v>
      </c>
      <c r="G408" s="21">
        <v>7.5</v>
      </c>
      <c r="H408" s="21">
        <v>7.5</v>
      </c>
      <c r="I408" s="21">
        <v>7.5</v>
      </c>
      <c r="J408" s="21">
        <v>37.5</v>
      </c>
    </row>
    <row r="409" spans="1:10" x14ac:dyDescent="0.25">
      <c r="A409" s="20">
        <v>43723</v>
      </c>
      <c r="B409" s="19" t="s">
        <v>89</v>
      </c>
      <c r="C409" s="19" t="s">
        <v>88</v>
      </c>
      <c r="D409" s="19" t="s">
        <v>195</v>
      </c>
      <c r="E409" s="21"/>
      <c r="F409" s="21"/>
      <c r="G409" s="21">
        <v>7.5</v>
      </c>
      <c r="H409" s="21">
        <v>7.5</v>
      </c>
      <c r="I409" s="21"/>
      <c r="J409" s="21">
        <v>15</v>
      </c>
    </row>
    <row r="410" spans="1:10" ht="30" x14ac:dyDescent="0.25">
      <c r="A410" s="19"/>
      <c r="B410" s="19" t="s">
        <v>594</v>
      </c>
      <c r="C410" s="19"/>
      <c r="D410" s="19"/>
      <c r="E410" s="21"/>
      <c r="F410" s="21"/>
      <c r="G410" s="21">
        <v>7.5</v>
      </c>
      <c r="H410" s="21">
        <v>7.5</v>
      </c>
      <c r="I410" s="21"/>
      <c r="J410" s="21">
        <v>15</v>
      </c>
    </row>
    <row r="411" spans="1:10" x14ac:dyDescent="0.25">
      <c r="A411" s="19"/>
      <c r="B411" s="19" t="s">
        <v>85</v>
      </c>
      <c r="C411" s="19" t="s">
        <v>84</v>
      </c>
      <c r="D411" s="19" t="s">
        <v>194</v>
      </c>
      <c r="E411" s="21"/>
      <c r="F411" s="21">
        <v>7.5</v>
      </c>
      <c r="G411" s="21"/>
      <c r="H411" s="21"/>
      <c r="I411" s="21">
        <v>7.5</v>
      </c>
      <c r="J411" s="21">
        <v>15</v>
      </c>
    </row>
    <row r="412" spans="1:10" ht="30" x14ac:dyDescent="0.25">
      <c r="A412" s="19"/>
      <c r="B412" s="19" t="s">
        <v>592</v>
      </c>
      <c r="C412" s="19"/>
      <c r="D412" s="19"/>
      <c r="E412" s="21"/>
      <c r="F412" s="21">
        <v>7.5</v>
      </c>
      <c r="G412" s="21"/>
      <c r="H412" s="21"/>
      <c r="I412" s="21">
        <v>7.5</v>
      </c>
      <c r="J412" s="21">
        <v>15</v>
      </c>
    </row>
    <row r="413" spans="1:10" x14ac:dyDescent="0.25">
      <c r="A413" s="19"/>
      <c r="B413" s="19" t="s">
        <v>66</v>
      </c>
      <c r="C413" s="19" t="s">
        <v>65</v>
      </c>
      <c r="D413" s="19" t="s">
        <v>193</v>
      </c>
      <c r="E413" s="21">
        <v>7.5</v>
      </c>
      <c r="F413" s="21"/>
      <c r="G413" s="21"/>
      <c r="H413" s="21"/>
      <c r="I413" s="21"/>
      <c r="J413" s="21">
        <v>7.5</v>
      </c>
    </row>
    <row r="414" spans="1:10" ht="30" x14ac:dyDescent="0.25">
      <c r="A414" s="19"/>
      <c r="B414" s="19" t="s">
        <v>683</v>
      </c>
      <c r="C414" s="19"/>
      <c r="D414" s="19"/>
      <c r="E414" s="21">
        <v>7.5</v>
      </c>
      <c r="F414" s="21"/>
      <c r="G414" s="21"/>
      <c r="H414" s="21"/>
      <c r="I414" s="21"/>
      <c r="J414" s="21">
        <v>7.5</v>
      </c>
    </row>
    <row r="415" spans="1:10" x14ac:dyDescent="0.25">
      <c r="A415" s="19" t="s">
        <v>456</v>
      </c>
      <c r="B415" s="19"/>
      <c r="C415" s="19"/>
      <c r="D415" s="19"/>
      <c r="E415" s="21">
        <v>7.5</v>
      </c>
      <c r="F415" s="21">
        <v>7.5</v>
      </c>
      <c r="G415" s="21">
        <v>7.5</v>
      </c>
      <c r="H415" s="21">
        <v>7.5</v>
      </c>
      <c r="I415" s="21">
        <v>7.5</v>
      </c>
      <c r="J415" s="21">
        <v>37.5</v>
      </c>
    </row>
    <row r="416" spans="1:10" x14ac:dyDescent="0.25">
      <c r="A416" s="20">
        <v>43716</v>
      </c>
      <c r="B416" s="19" t="s">
        <v>69</v>
      </c>
      <c r="C416" s="19" t="s">
        <v>68</v>
      </c>
      <c r="D416" s="19" t="s">
        <v>439</v>
      </c>
      <c r="E416" s="21">
        <v>7.5</v>
      </c>
      <c r="F416" s="21">
        <v>7.5</v>
      </c>
      <c r="G416" s="21">
        <v>7.5</v>
      </c>
      <c r="H416" s="21">
        <v>7.5</v>
      </c>
      <c r="I416" s="21">
        <v>7.5</v>
      </c>
      <c r="J416" s="21">
        <v>37.5</v>
      </c>
    </row>
    <row r="417" spans="1:10" x14ac:dyDescent="0.25">
      <c r="A417" s="19"/>
      <c r="B417" s="19" t="s">
        <v>584</v>
      </c>
      <c r="C417" s="19"/>
      <c r="D417" s="19"/>
      <c r="E417" s="21">
        <v>7.5</v>
      </c>
      <c r="F417" s="21">
        <v>7.5</v>
      </c>
      <c r="G417" s="21">
        <v>7.5</v>
      </c>
      <c r="H417" s="21">
        <v>7.5</v>
      </c>
      <c r="I417" s="21">
        <v>7.5</v>
      </c>
      <c r="J417" s="21">
        <v>37.5</v>
      </c>
    </row>
    <row r="418" spans="1:10" x14ac:dyDescent="0.25">
      <c r="A418" s="19" t="s">
        <v>458</v>
      </c>
      <c r="B418" s="19"/>
      <c r="C418" s="19"/>
      <c r="D418" s="19"/>
      <c r="E418" s="21">
        <v>7.5</v>
      </c>
      <c r="F418" s="21">
        <v>7.5</v>
      </c>
      <c r="G418" s="21">
        <v>7.5</v>
      </c>
      <c r="H418" s="21">
        <v>7.5</v>
      </c>
      <c r="I418" s="21">
        <v>7.5</v>
      </c>
      <c r="J418" s="21">
        <v>37.5</v>
      </c>
    </row>
    <row r="419" spans="1:10" ht="30" x14ac:dyDescent="0.25">
      <c r="A419" s="20">
        <v>43709</v>
      </c>
      <c r="B419" s="19" t="s">
        <v>13</v>
      </c>
      <c r="C419" s="19" t="s">
        <v>12</v>
      </c>
      <c r="D419" s="19" t="s">
        <v>439</v>
      </c>
      <c r="E419" s="21">
        <v>7.5</v>
      </c>
      <c r="F419" s="21"/>
      <c r="G419" s="21"/>
      <c r="H419" s="21"/>
      <c r="I419" s="21"/>
      <c r="J419" s="21">
        <v>7.5</v>
      </c>
    </row>
    <row r="420" spans="1:10" ht="30" x14ac:dyDescent="0.25">
      <c r="A420" s="19"/>
      <c r="B420" s="19" t="s">
        <v>556</v>
      </c>
      <c r="C420" s="19"/>
      <c r="D420" s="19"/>
      <c r="E420" s="21">
        <v>7.5</v>
      </c>
      <c r="F420" s="21"/>
      <c r="G420" s="21"/>
      <c r="H420" s="21"/>
      <c r="I420" s="21"/>
      <c r="J420" s="21">
        <v>7.5</v>
      </c>
    </row>
    <row r="421" spans="1:10" x14ac:dyDescent="0.25">
      <c r="A421" s="19"/>
      <c r="B421" s="19" t="s">
        <v>69</v>
      </c>
      <c r="C421" s="19" t="s">
        <v>68</v>
      </c>
      <c r="D421" s="19" t="s">
        <v>439</v>
      </c>
      <c r="E421" s="21"/>
      <c r="F421" s="21">
        <v>7.5</v>
      </c>
      <c r="G421" s="21">
        <v>7.5</v>
      </c>
      <c r="H421" s="21">
        <v>7.5</v>
      </c>
      <c r="I421" s="21">
        <v>7.5</v>
      </c>
      <c r="J421" s="21">
        <v>30</v>
      </c>
    </row>
    <row r="422" spans="1:10" x14ac:dyDescent="0.25">
      <c r="A422" s="19"/>
      <c r="B422" s="19" t="s">
        <v>584</v>
      </c>
      <c r="C422" s="19"/>
      <c r="D422" s="19"/>
      <c r="E422" s="21"/>
      <c r="F422" s="21">
        <v>7.5</v>
      </c>
      <c r="G422" s="21">
        <v>7.5</v>
      </c>
      <c r="H422" s="21">
        <v>7.5</v>
      </c>
      <c r="I422" s="21">
        <v>7.5</v>
      </c>
      <c r="J422" s="21">
        <v>30</v>
      </c>
    </row>
    <row r="423" spans="1:10" x14ac:dyDescent="0.25">
      <c r="A423" s="19" t="s">
        <v>460</v>
      </c>
      <c r="B423" s="19"/>
      <c r="C423" s="19"/>
      <c r="D423" s="19"/>
      <c r="E423" s="21">
        <v>7.5</v>
      </c>
      <c r="F423" s="21">
        <v>7.5</v>
      </c>
      <c r="G423" s="21">
        <v>7.5</v>
      </c>
      <c r="H423" s="21">
        <v>7.5</v>
      </c>
      <c r="I423" s="21">
        <v>7.5</v>
      </c>
      <c r="J423" s="21">
        <v>37.5</v>
      </c>
    </row>
    <row r="424" spans="1:10" x14ac:dyDescent="0.25">
      <c r="A424" s="20">
        <v>43702</v>
      </c>
      <c r="B424" s="19" t="s">
        <v>89</v>
      </c>
      <c r="C424" s="19" t="s">
        <v>88</v>
      </c>
      <c r="D424" s="19" t="s">
        <v>196</v>
      </c>
      <c r="E424" s="21">
        <v>7.5</v>
      </c>
      <c r="F424" s="21"/>
      <c r="G424" s="21"/>
      <c r="H424" s="21"/>
      <c r="I424" s="21"/>
      <c r="J424" s="21">
        <v>7.5</v>
      </c>
    </row>
    <row r="425" spans="1:10" x14ac:dyDescent="0.25">
      <c r="A425" s="19"/>
      <c r="B425" s="19"/>
      <c r="C425" s="19"/>
      <c r="D425" s="19" t="s">
        <v>200</v>
      </c>
      <c r="E425" s="21"/>
      <c r="F425" s="21"/>
      <c r="G425" s="21"/>
      <c r="H425" s="21">
        <v>5.5</v>
      </c>
      <c r="I425" s="21"/>
      <c r="J425" s="21">
        <v>5.5</v>
      </c>
    </row>
    <row r="426" spans="1:10" ht="30" x14ac:dyDescent="0.25">
      <c r="A426" s="19"/>
      <c r="B426" s="19"/>
      <c r="C426" s="19"/>
      <c r="D426" s="19" t="s">
        <v>199</v>
      </c>
      <c r="E426" s="21"/>
      <c r="F426" s="21"/>
      <c r="G426" s="21">
        <v>5.5</v>
      </c>
      <c r="H426" s="21"/>
      <c r="I426" s="21"/>
      <c r="J426" s="21">
        <v>5.5</v>
      </c>
    </row>
    <row r="427" spans="1:10" ht="30" x14ac:dyDescent="0.25">
      <c r="A427" s="19"/>
      <c r="B427" s="19" t="s">
        <v>594</v>
      </c>
      <c r="C427" s="19"/>
      <c r="D427" s="19"/>
      <c r="E427" s="21">
        <v>7.5</v>
      </c>
      <c r="F427" s="21"/>
      <c r="G427" s="21">
        <v>5.5</v>
      </c>
      <c r="H427" s="21">
        <v>5.5</v>
      </c>
      <c r="I427" s="21"/>
      <c r="J427" s="21">
        <v>18.5</v>
      </c>
    </row>
    <row r="428" spans="1:10" x14ac:dyDescent="0.25">
      <c r="A428" s="19"/>
      <c r="B428" s="19" t="s">
        <v>85</v>
      </c>
      <c r="C428" s="19" t="s">
        <v>84</v>
      </c>
      <c r="D428" s="19" t="s">
        <v>201</v>
      </c>
      <c r="E428" s="21"/>
      <c r="F428" s="21"/>
      <c r="G428" s="21"/>
      <c r="H428" s="21"/>
      <c r="I428" s="21">
        <v>7.5</v>
      </c>
      <c r="J428" s="21">
        <v>7.5</v>
      </c>
    </row>
    <row r="429" spans="1:10" x14ac:dyDescent="0.25">
      <c r="A429" s="19"/>
      <c r="B429" s="19"/>
      <c r="C429" s="19"/>
      <c r="D429" s="19" t="s">
        <v>198</v>
      </c>
      <c r="E429" s="21"/>
      <c r="F429" s="21"/>
      <c r="G429" s="21">
        <v>2</v>
      </c>
      <c r="H429" s="21">
        <v>2</v>
      </c>
      <c r="I429" s="21"/>
      <c r="J429" s="21">
        <v>4</v>
      </c>
    </row>
    <row r="430" spans="1:10" x14ac:dyDescent="0.25">
      <c r="A430" s="19"/>
      <c r="B430" s="19"/>
      <c r="C430" s="19"/>
      <c r="D430" s="19" t="s">
        <v>197</v>
      </c>
      <c r="E430" s="21"/>
      <c r="F430" s="21">
        <v>7.5</v>
      </c>
      <c r="G430" s="21"/>
      <c r="H430" s="21"/>
      <c r="I430" s="21"/>
      <c r="J430" s="21">
        <v>7.5</v>
      </c>
    </row>
    <row r="431" spans="1:10" ht="30" x14ac:dyDescent="0.25">
      <c r="A431" s="19"/>
      <c r="B431" s="19" t="s">
        <v>592</v>
      </c>
      <c r="C431" s="19"/>
      <c r="D431" s="19"/>
      <c r="E431" s="21"/>
      <c r="F431" s="21">
        <v>7.5</v>
      </c>
      <c r="G431" s="21">
        <v>2</v>
      </c>
      <c r="H431" s="21">
        <v>2</v>
      </c>
      <c r="I431" s="21">
        <v>7.5</v>
      </c>
      <c r="J431" s="21">
        <v>19</v>
      </c>
    </row>
    <row r="432" spans="1:10" x14ac:dyDescent="0.25">
      <c r="A432" s="19" t="s">
        <v>461</v>
      </c>
      <c r="B432" s="19"/>
      <c r="C432" s="19"/>
      <c r="D432" s="19"/>
      <c r="E432" s="21">
        <v>7.5</v>
      </c>
      <c r="F432" s="21">
        <v>7.5</v>
      </c>
      <c r="G432" s="21">
        <v>7.5</v>
      </c>
      <c r="H432" s="21">
        <v>7.5</v>
      </c>
      <c r="I432" s="21">
        <v>7.5</v>
      </c>
      <c r="J432" s="21">
        <v>37.5</v>
      </c>
    </row>
    <row r="433" spans="1:10" x14ac:dyDescent="0.25">
      <c r="A433" s="20">
        <v>43695</v>
      </c>
      <c r="B433" s="19" t="s">
        <v>89</v>
      </c>
      <c r="C433" s="19" t="s">
        <v>88</v>
      </c>
      <c r="D433" s="19" t="s">
        <v>203</v>
      </c>
      <c r="E433" s="21"/>
      <c r="F433" s="21"/>
      <c r="G433" s="21">
        <v>2</v>
      </c>
      <c r="H433" s="21"/>
      <c r="I433" s="21"/>
      <c r="J433" s="21">
        <v>2</v>
      </c>
    </row>
    <row r="434" spans="1:10" x14ac:dyDescent="0.25">
      <c r="A434" s="19"/>
      <c r="B434" s="19"/>
      <c r="C434" s="19"/>
      <c r="D434" s="19" t="s">
        <v>202</v>
      </c>
      <c r="E434" s="21">
        <v>7.5</v>
      </c>
      <c r="F434" s="21">
        <v>3.75</v>
      </c>
      <c r="G434" s="21">
        <v>5.5</v>
      </c>
      <c r="H434" s="21"/>
      <c r="I434" s="21"/>
      <c r="J434" s="21">
        <v>16.75</v>
      </c>
    </row>
    <row r="435" spans="1:10" ht="30" x14ac:dyDescent="0.25">
      <c r="A435" s="19"/>
      <c r="B435" s="19" t="s">
        <v>594</v>
      </c>
      <c r="C435" s="19"/>
      <c r="D435" s="19"/>
      <c r="E435" s="21">
        <v>7.5</v>
      </c>
      <c r="F435" s="21">
        <v>3.75</v>
      </c>
      <c r="G435" s="21">
        <v>7.5</v>
      </c>
      <c r="H435" s="21"/>
      <c r="I435" s="21"/>
      <c r="J435" s="21">
        <v>18.75</v>
      </c>
    </row>
    <row r="436" spans="1:10" x14ac:dyDescent="0.25">
      <c r="A436" s="19"/>
      <c r="B436" s="19" t="s">
        <v>85</v>
      </c>
      <c r="C436" s="19" t="s">
        <v>84</v>
      </c>
      <c r="D436" s="19" t="s">
        <v>204</v>
      </c>
      <c r="E436" s="21"/>
      <c r="F436" s="21"/>
      <c r="G436" s="21"/>
      <c r="H436" s="21">
        <v>7.5</v>
      </c>
      <c r="I436" s="21">
        <v>3.75</v>
      </c>
      <c r="J436" s="21">
        <v>11.25</v>
      </c>
    </row>
    <row r="437" spans="1:10" ht="30" x14ac:dyDescent="0.25">
      <c r="A437" s="19"/>
      <c r="B437" s="19" t="s">
        <v>592</v>
      </c>
      <c r="C437" s="19"/>
      <c r="D437" s="19"/>
      <c r="E437" s="21"/>
      <c r="F437" s="21"/>
      <c r="G437" s="21"/>
      <c r="H437" s="21">
        <v>7.5</v>
      </c>
      <c r="I437" s="21">
        <v>3.75</v>
      </c>
      <c r="J437" s="21">
        <v>11.25</v>
      </c>
    </row>
    <row r="438" spans="1:10" x14ac:dyDescent="0.25">
      <c r="A438" s="19"/>
      <c r="B438" s="19" t="s">
        <v>69</v>
      </c>
      <c r="C438" s="19" t="s">
        <v>68</v>
      </c>
      <c r="D438" s="19" t="s">
        <v>439</v>
      </c>
      <c r="E438" s="21"/>
      <c r="F438" s="21">
        <v>3.75</v>
      </c>
      <c r="G438" s="21"/>
      <c r="H438" s="21"/>
      <c r="I438" s="21">
        <v>3.75</v>
      </c>
      <c r="J438" s="21">
        <v>7.5</v>
      </c>
    </row>
    <row r="439" spans="1:10" x14ac:dyDescent="0.25">
      <c r="A439" s="19"/>
      <c r="B439" s="19" t="s">
        <v>584</v>
      </c>
      <c r="C439" s="19"/>
      <c r="D439" s="19"/>
      <c r="E439" s="21"/>
      <c r="F439" s="21">
        <v>3.75</v>
      </c>
      <c r="G439" s="21"/>
      <c r="H439" s="21"/>
      <c r="I439" s="21">
        <v>3.75</v>
      </c>
      <c r="J439" s="21">
        <v>7.5</v>
      </c>
    </row>
    <row r="440" spans="1:10" x14ac:dyDescent="0.25">
      <c r="A440" s="19" t="s">
        <v>462</v>
      </c>
      <c r="B440" s="19"/>
      <c r="C440" s="19"/>
      <c r="D440" s="19"/>
      <c r="E440" s="21">
        <v>7.5</v>
      </c>
      <c r="F440" s="21">
        <v>7.5</v>
      </c>
      <c r="G440" s="21">
        <v>7.5</v>
      </c>
      <c r="H440" s="21">
        <v>7.5</v>
      </c>
      <c r="I440" s="21">
        <v>7.5</v>
      </c>
      <c r="J440" s="21">
        <v>37.5</v>
      </c>
    </row>
    <row r="441" spans="1:10" x14ac:dyDescent="0.25">
      <c r="A441" s="20">
        <v>43688</v>
      </c>
      <c r="B441" s="19" t="s">
        <v>89</v>
      </c>
      <c r="C441" s="19" t="s">
        <v>88</v>
      </c>
      <c r="D441" s="19" t="s">
        <v>206</v>
      </c>
      <c r="E441" s="21"/>
      <c r="F441" s="21"/>
      <c r="G441" s="21"/>
      <c r="H441" s="21"/>
      <c r="I441" s="21"/>
      <c r="J441" s="21"/>
    </row>
    <row r="442" spans="1:10" x14ac:dyDescent="0.25">
      <c r="A442" s="19"/>
      <c r="B442" s="19"/>
      <c r="C442" s="19"/>
      <c r="D442" s="19" t="s">
        <v>208</v>
      </c>
      <c r="E442" s="21"/>
      <c r="F442" s="21"/>
      <c r="G442" s="21"/>
      <c r="H442" s="21"/>
      <c r="I442" s="21"/>
      <c r="J442" s="21"/>
    </row>
    <row r="443" spans="1:10" x14ac:dyDescent="0.25">
      <c r="A443" s="19"/>
      <c r="B443" s="19"/>
      <c r="C443" s="19"/>
      <c r="D443" s="19" t="s">
        <v>207</v>
      </c>
      <c r="E443" s="21"/>
      <c r="F443" s="21"/>
      <c r="G443" s="21"/>
      <c r="H443" s="21"/>
      <c r="I443" s="21"/>
      <c r="J443" s="21"/>
    </row>
    <row r="444" spans="1:10" ht="30" x14ac:dyDescent="0.25">
      <c r="A444" s="19"/>
      <c r="B444" s="19" t="s">
        <v>594</v>
      </c>
      <c r="C444" s="19"/>
      <c r="D444" s="19"/>
      <c r="E444" s="21"/>
      <c r="F444" s="21"/>
      <c r="G444" s="21"/>
      <c r="H444" s="21"/>
      <c r="I444" s="21"/>
      <c r="J444" s="21"/>
    </row>
    <row r="445" spans="1:10" x14ac:dyDescent="0.25">
      <c r="A445" s="19"/>
      <c r="B445" s="19" t="s">
        <v>85</v>
      </c>
      <c r="C445" s="19" t="s">
        <v>84</v>
      </c>
      <c r="D445" s="19" t="s">
        <v>209</v>
      </c>
      <c r="E445" s="21"/>
      <c r="F445" s="21"/>
      <c r="G445" s="21"/>
      <c r="H445" s="21"/>
      <c r="I445" s="21"/>
      <c r="J445" s="21"/>
    </row>
    <row r="446" spans="1:10" x14ac:dyDescent="0.25">
      <c r="A446" s="19"/>
      <c r="B446" s="19"/>
      <c r="C446" s="19"/>
      <c r="D446" s="19" t="s">
        <v>205</v>
      </c>
      <c r="E446" s="21"/>
      <c r="F446" s="21"/>
      <c r="G446" s="21"/>
      <c r="H446" s="21"/>
      <c r="I446" s="21"/>
      <c r="J446" s="21"/>
    </row>
    <row r="447" spans="1:10" ht="30" x14ac:dyDescent="0.25">
      <c r="A447" s="19"/>
      <c r="B447" s="19" t="s">
        <v>592</v>
      </c>
      <c r="C447" s="19"/>
      <c r="D447" s="19"/>
      <c r="E447" s="21"/>
      <c r="F447" s="21"/>
      <c r="G447" s="21"/>
      <c r="H447" s="21"/>
      <c r="I447" s="21"/>
      <c r="J447" s="21"/>
    </row>
    <row r="448" spans="1:10" x14ac:dyDescent="0.25">
      <c r="A448" s="19" t="s">
        <v>687</v>
      </c>
      <c r="B448" s="19"/>
      <c r="C448" s="19"/>
      <c r="D448" s="19"/>
      <c r="E448" s="21"/>
      <c r="F448" s="21"/>
      <c r="G448" s="21"/>
      <c r="H448" s="21"/>
      <c r="I448" s="21"/>
      <c r="J448" s="21"/>
    </row>
    <row r="449" spans="1:10" x14ac:dyDescent="0.25">
      <c r="A449" s="20">
        <v>43681</v>
      </c>
      <c r="B449" s="19" t="s">
        <v>89</v>
      </c>
      <c r="C449" s="19" t="s">
        <v>88</v>
      </c>
      <c r="D449" s="19" t="s">
        <v>212</v>
      </c>
      <c r="E449" s="21"/>
      <c r="F449" s="21"/>
      <c r="G449" s="21"/>
      <c r="H449" s="21">
        <v>7.5</v>
      </c>
      <c r="I449" s="21"/>
      <c r="J449" s="21">
        <v>7.5</v>
      </c>
    </row>
    <row r="450" spans="1:10" x14ac:dyDescent="0.25">
      <c r="A450" s="19"/>
      <c r="B450" s="19"/>
      <c r="C450" s="19"/>
      <c r="D450" s="19" t="s">
        <v>210</v>
      </c>
      <c r="E450" s="21">
        <v>7.5</v>
      </c>
      <c r="F450" s="21"/>
      <c r="G450" s="21"/>
      <c r="H450" s="21"/>
      <c r="I450" s="21"/>
      <c r="J450" s="21">
        <v>7.5</v>
      </c>
    </row>
    <row r="451" spans="1:10" ht="30" x14ac:dyDescent="0.25">
      <c r="A451" s="19"/>
      <c r="B451" s="19" t="s">
        <v>594</v>
      </c>
      <c r="C451" s="19"/>
      <c r="D451" s="19"/>
      <c r="E451" s="21">
        <v>7.5</v>
      </c>
      <c r="F451" s="21"/>
      <c r="G451" s="21"/>
      <c r="H451" s="21">
        <v>7.5</v>
      </c>
      <c r="I451" s="21"/>
      <c r="J451" s="21">
        <v>15</v>
      </c>
    </row>
    <row r="452" spans="1:10" ht="30" x14ac:dyDescent="0.25">
      <c r="A452" s="19"/>
      <c r="B452" s="19" t="s">
        <v>85</v>
      </c>
      <c r="C452" s="19" t="s">
        <v>84</v>
      </c>
      <c r="D452" s="19" t="s">
        <v>211</v>
      </c>
      <c r="E452" s="21"/>
      <c r="F452" s="21">
        <v>7.5</v>
      </c>
      <c r="G452" s="21">
        <v>7.5</v>
      </c>
      <c r="H452" s="21"/>
      <c r="I452" s="21"/>
      <c r="J452" s="21">
        <v>15</v>
      </c>
    </row>
    <row r="453" spans="1:10" ht="30" x14ac:dyDescent="0.25">
      <c r="A453" s="19"/>
      <c r="B453" s="19" t="s">
        <v>592</v>
      </c>
      <c r="C453" s="19"/>
      <c r="D453" s="19"/>
      <c r="E453" s="21"/>
      <c r="F453" s="21">
        <v>7.5</v>
      </c>
      <c r="G453" s="21">
        <v>7.5</v>
      </c>
      <c r="H453" s="21"/>
      <c r="I453" s="21"/>
      <c r="J453" s="21">
        <v>15</v>
      </c>
    </row>
    <row r="454" spans="1:10" x14ac:dyDescent="0.25">
      <c r="A454" s="19"/>
      <c r="B454" s="19" t="s">
        <v>69</v>
      </c>
      <c r="C454" s="19" t="s">
        <v>68</v>
      </c>
      <c r="D454" s="19" t="s">
        <v>439</v>
      </c>
      <c r="E454" s="21"/>
      <c r="F454" s="21"/>
      <c r="G454" s="21"/>
      <c r="H454" s="21"/>
      <c r="I454" s="21">
        <v>7.5</v>
      </c>
      <c r="J454" s="21">
        <v>7.5</v>
      </c>
    </row>
    <row r="455" spans="1:10" x14ac:dyDescent="0.25">
      <c r="A455" s="19"/>
      <c r="B455" s="19" t="s">
        <v>584</v>
      </c>
      <c r="C455" s="19"/>
      <c r="D455" s="19"/>
      <c r="E455" s="21"/>
      <c r="F455" s="21"/>
      <c r="G455" s="21"/>
      <c r="H455" s="21"/>
      <c r="I455" s="21">
        <v>7.5</v>
      </c>
      <c r="J455" s="21">
        <v>7.5</v>
      </c>
    </row>
    <row r="456" spans="1:10" x14ac:dyDescent="0.25">
      <c r="A456" s="19" t="s">
        <v>463</v>
      </c>
      <c r="B456" s="19"/>
      <c r="C456" s="19"/>
      <c r="D456" s="19"/>
      <c r="E456" s="21">
        <v>7.5</v>
      </c>
      <c r="F456" s="21">
        <v>7.5</v>
      </c>
      <c r="G456" s="21">
        <v>7.5</v>
      </c>
      <c r="H456" s="21">
        <v>7.5</v>
      </c>
      <c r="I456" s="21">
        <v>7.5</v>
      </c>
      <c r="J456" s="21">
        <v>37.5</v>
      </c>
    </row>
    <row r="457" spans="1:10" x14ac:dyDescent="0.25">
      <c r="A457" s="20">
        <v>43674</v>
      </c>
      <c r="B457" s="19" t="s">
        <v>17</v>
      </c>
      <c r="C457" s="19" t="s">
        <v>16</v>
      </c>
      <c r="D457" s="19" t="s">
        <v>213</v>
      </c>
      <c r="E457" s="21">
        <v>2.5</v>
      </c>
      <c r="F457" s="21"/>
      <c r="G457" s="21"/>
      <c r="H457" s="21"/>
      <c r="I457" s="21"/>
      <c r="J457" s="21">
        <v>2.5</v>
      </c>
    </row>
    <row r="458" spans="1:10" ht="30" x14ac:dyDescent="0.25">
      <c r="A458" s="19"/>
      <c r="B458" s="19" t="s">
        <v>560</v>
      </c>
      <c r="C458" s="19"/>
      <c r="D458" s="19"/>
      <c r="E458" s="21">
        <v>2.5</v>
      </c>
      <c r="F458" s="21"/>
      <c r="G458" s="21"/>
      <c r="H458" s="21"/>
      <c r="I458" s="21"/>
      <c r="J458" s="21">
        <v>2.5</v>
      </c>
    </row>
    <row r="459" spans="1:10" x14ac:dyDescent="0.25">
      <c r="A459" s="19"/>
      <c r="B459" s="19" t="s">
        <v>89</v>
      </c>
      <c r="C459" s="19" t="s">
        <v>88</v>
      </c>
      <c r="D459" s="19" t="s">
        <v>142</v>
      </c>
      <c r="E459" s="21"/>
      <c r="F459" s="21">
        <v>7.5</v>
      </c>
      <c r="G459" s="21"/>
      <c r="H459" s="21"/>
      <c r="I459" s="21"/>
      <c r="J459" s="21">
        <v>7.5</v>
      </c>
    </row>
    <row r="460" spans="1:10" ht="30" x14ac:dyDescent="0.25">
      <c r="A460" s="19"/>
      <c r="B460" s="19" t="s">
        <v>594</v>
      </c>
      <c r="C460" s="19"/>
      <c r="D460" s="19"/>
      <c r="E460" s="21"/>
      <c r="F460" s="21">
        <v>7.5</v>
      </c>
      <c r="G460" s="21"/>
      <c r="H460" s="21"/>
      <c r="I460" s="21"/>
      <c r="J460" s="21">
        <v>7.5</v>
      </c>
    </row>
    <row r="461" spans="1:10" x14ac:dyDescent="0.25">
      <c r="A461" s="19"/>
      <c r="B461" s="19" t="s">
        <v>85</v>
      </c>
      <c r="C461" s="19" t="s">
        <v>84</v>
      </c>
      <c r="D461" s="19" t="s">
        <v>214</v>
      </c>
      <c r="E461" s="21">
        <v>5</v>
      </c>
      <c r="F461" s="21"/>
      <c r="G461" s="21"/>
      <c r="H461" s="21"/>
      <c r="I461" s="21"/>
      <c r="J461" s="21">
        <v>5</v>
      </c>
    </row>
    <row r="462" spans="1:10" ht="30" x14ac:dyDescent="0.25">
      <c r="A462" s="19"/>
      <c r="B462" s="19" t="s">
        <v>592</v>
      </c>
      <c r="C462" s="19"/>
      <c r="D462" s="19"/>
      <c r="E462" s="21">
        <v>5</v>
      </c>
      <c r="F462" s="21"/>
      <c r="G462" s="21"/>
      <c r="H462" s="21"/>
      <c r="I462" s="21"/>
      <c r="J462" s="21">
        <v>5</v>
      </c>
    </row>
    <row r="463" spans="1:10" x14ac:dyDescent="0.25">
      <c r="A463" s="19"/>
      <c r="B463" s="19" t="s">
        <v>19</v>
      </c>
      <c r="C463" s="19" t="s">
        <v>18</v>
      </c>
      <c r="D463" s="19" t="s">
        <v>215</v>
      </c>
      <c r="E463" s="21"/>
      <c r="F463" s="21"/>
      <c r="G463" s="21">
        <v>7.5</v>
      </c>
      <c r="H463" s="21">
        <v>7.5</v>
      </c>
      <c r="I463" s="21">
        <v>7.5</v>
      </c>
      <c r="J463" s="21">
        <v>22.5</v>
      </c>
    </row>
    <row r="464" spans="1:10" ht="30" x14ac:dyDescent="0.25">
      <c r="A464" s="19"/>
      <c r="B464" s="19" t="s">
        <v>561</v>
      </c>
      <c r="C464" s="19"/>
      <c r="D464" s="19"/>
      <c r="E464" s="21"/>
      <c r="F464" s="21"/>
      <c r="G464" s="21">
        <v>7.5</v>
      </c>
      <c r="H464" s="21">
        <v>7.5</v>
      </c>
      <c r="I464" s="21">
        <v>7.5</v>
      </c>
      <c r="J464" s="21">
        <v>22.5</v>
      </c>
    </row>
    <row r="465" spans="1:10" x14ac:dyDescent="0.25">
      <c r="A465" s="19" t="s">
        <v>466</v>
      </c>
      <c r="B465" s="19"/>
      <c r="C465" s="19"/>
      <c r="D465" s="19"/>
      <c r="E465" s="21">
        <v>7.5</v>
      </c>
      <c r="F465" s="21">
        <v>7.5</v>
      </c>
      <c r="G465" s="21">
        <v>7.5</v>
      </c>
      <c r="H465" s="21">
        <v>7.5</v>
      </c>
      <c r="I465" s="21">
        <v>7.5</v>
      </c>
      <c r="J465" s="21">
        <v>37.5</v>
      </c>
    </row>
    <row r="466" spans="1:10" x14ac:dyDescent="0.25">
      <c r="A466" s="20">
        <v>43667</v>
      </c>
      <c r="B466" s="19" t="s">
        <v>15</v>
      </c>
      <c r="C466" s="19" t="s">
        <v>14</v>
      </c>
      <c r="D466" s="19" t="s">
        <v>219</v>
      </c>
      <c r="E466" s="21"/>
      <c r="F466" s="21"/>
      <c r="G466" s="21">
        <v>2.5</v>
      </c>
      <c r="H466" s="21"/>
      <c r="I466" s="21"/>
      <c r="J466" s="21">
        <v>2.5</v>
      </c>
    </row>
    <row r="467" spans="1:10" ht="30" x14ac:dyDescent="0.25">
      <c r="A467" s="19"/>
      <c r="B467" s="19" t="s">
        <v>559</v>
      </c>
      <c r="C467" s="19"/>
      <c r="D467" s="19"/>
      <c r="E467" s="21"/>
      <c r="F467" s="21"/>
      <c r="G467" s="21">
        <v>2.5</v>
      </c>
      <c r="H467" s="21"/>
      <c r="I467" s="21"/>
      <c r="J467" s="21">
        <v>2.5</v>
      </c>
    </row>
    <row r="468" spans="1:10" x14ac:dyDescent="0.25">
      <c r="A468" s="19"/>
      <c r="B468" s="19" t="s">
        <v>17</v>
      </c>
      <c r="C468" s="19" t="s">
        <v>16</v>
      </c>
      <c r="D468" s="19" t="s">
        <v>213</v>
      </c>
      <c r="E468" s="21">
        <v>2.5</v>
      </c>
      <c r="F468" s="21"/>
      <c r="G468" s="21"/>
      <c r="H468" s="21"/>
      <c r="I468" s="21"/>
      <c r="J468" s="21">
        <v>2.5</v>
      </c>
    </row>
    <row r="469" spans="1:10" ht="30" x14ac:dyDescent="0.25">
      <c r="A469" s="19"/>
      <c r="B469" s="19" t="s">
        <v>560</v>
      </c>
      <c r="C469" s="19"/>
      <c r="D469" s="19"/>
      <c r="E469" s="21">
        <v>2.5</v>
      </c>
      <c r="F469" s="21"/>
      <c r="G469" s="21"/>
      <c r="H469" s="21"/>
      <c r="I469" s="21"/>
      <c r="J469" s="21">
        <v>2.5</v>
      </c>
    </row>
    <row r="470" spans="1:10" x14ac:dyDescent="0.25">
      <c r="A470" s="19"/>
      <c r="B470" s="19" t="s">
        <v>89</v>
      </c>
      <c r="C470" s="19" t="s">
        <v>88</v>
      </c>
      <c r="D470" s="19" t="s">
        <v>221</v>
      </c>
      <c r="E470" s="21"/>
      <c r="F470" s="21"/>
      <c r="G470" s="21">
        <v>1</v>
      </c>
      <c r="H470" s="21"/>
      <c r="I470" s="21"/>
      <c r="J470" s="21">
        <v>1</v>
      </c>
    </row>
    <row r="471" spans="1:10" x14ac:dyDescent="0.25">
      <c r="A471" s="19"/>
      <c r="B471" s="19"/>
      <c r="C471" s="19"/>
      <c r="D471" s="19" t="s">
        <v>220</v>
      </c>
      <c r="E471" s="21"/>
      <c r="F471" s="21"/>
      <c r="G471" s="21">
        <v>2.5</v>
      </c>
      <c r="H471" s="21"/>
      <c r="I471" s="21"/>
      <c r="J471" s="21">
        <v>2.5</v>
      </c>
    </row>
    <row r="472" spans="1:10" x14ac:dyDescent="0.25">
      <c r="A472" s="19"/>
      <c r="B472" s="19"/>
      <c r="C472" s="19"/>
      <c r="D472" s="19" t="s">
        <v>218</v>
      </c>
      <c r="E472" s="21"/>
      <c r="F472" s="21">
        <v>2.5</v>
      </c>
      <c r="G472" s="21"/>
      <c r="H472" s="21"/>
      <c r="I472" s="21"/>
      <c r="J472" s="21">
        <v>2.5</v>
      </c>
    </row>
    <row r="473" spans="1:10" x14ac:dyDescent="0.25">
      <c r="A473" s="19"/>
      <c r="B473" s="19"/>
      <c r="C473" s="19"/>
      <c r="D473" s="19" t="s">
        <v>216</v>
      </c>
      <c r="E473" s="21">
        <v>5</v>
      </c>
      <c r="F473" s="21"/>
      <c r="G473" s="21"/>
      <c r="H473" s="21"/>
      <c r="I473" s="21"/>
      <c r="J473" s="21">
        <v>5</v>
      </c>
    </row>
    <row r="474" spans="1:10" ht="30" x14ac:dyDescent="0.25">
      <c r="A474" s="19"/>
      <c r="B474" s="19" t="s">
        <v>594</v>
      </c>
      <c r="C474" s="19"/>
      <c r="D474" s="19"/>
      <c r="E474" s="21">
        <v>5</v>
      </c>
      <c r="F474" s="21">
        <v>2.5</v>
      </c>
      <c r="G474" s="21">
        <v>3.5</v>
      </c>
      <c r="H474" s="21"/>
      <c r="I474" s="21"/>
      <c r="J474" s="21">
        <v>11</v>
      </c>
    </row>
    <row r="475" spans="1:10" x14ac:dyDescent="0.25">
      <c r="A475" s="19"/>
      <c r="B475" s="19" t="s">
        <v>85</v>
      </c>
      <c r="C475" s="19" t="s">
        <v>84</v>
      </c>
      <c r="D475" s="19" t="s">
        <v>217</v>
      </c>
      <c r="E475" s="21"/>
      <c r="F475" s="21">
        <v>5</v>
      </c>
      <c r="G475" s="21"/>
      <c r="H475" s="21"/>
      <c r="I475" s="21"/>
      <c r="J475" s="21">
        <v>5</v>
      </c>
    </row>
    <row r="476" spans="1:10" x14ac:dyDescent="0.25">
      <c r="A476" s="19"/>
      <c r="B476" s="19"/>
      <c r="C476" s="19"/>
      <c r="D476" s="19" t="s">
        <v>222</v>
      </c>
      <c r="E476" s="21"/>
      <c r="F476" s="21"/>
      <c r="G476" s="21">
        <v>1.5</v>
      </c>
      <c r="H476" s="21"/>
      <c r="I476" s="21"/>
      <c r="J476" s="21">
        <v>1.5</v>
      </c>
    </row>
    <row r="477" spans="1:10" x14ac:dyDescent="0.25">
      <c r="A477" s="19"/>
      <c r="B477" s="19"/>
      <c r="C477" s="19"/>
      <c r="D477" s="19" t="s">
        <v>223</v>
      </c>
      <c r="E477" s="21"/>
      <c r="F477" s="21"/>
      <c r="G477" s="21"/>
      <c r="H477" s="21">
        <v>7.5</v>
      </c>
      <c r="I477" s="21"/>
      <c r="J477" s="21">
        <v>7.5</v>
      </c>
    </row>
    <row r="478" spans="1:10" ht="30" x14ac:dyDescent="0.25">
      <c r="A478" s="19"/>
      <c r="B478" s="19" t="s">
        <v>592</v>
      </c>
      <c r="C478" s="19"/>
      <c r="D478" s="19"/>
      <c r="E478" s="21"/>
      <c r="F478" s="21">
        <v>5</v>
      </c>
      <c r="G478" s="21">
        <v>1.5</v>
      </c>
      <c r="H478" s="21">
        <v>7.5</v>
      </c>
      <c r="I478" s="21"/>
      <c r="J478" s="21">
        <v>14</v>
      </c>
    </row>
    <row r="479" spans="1:10" x14ac:dyDescent="0.25">
      <c r="A479" s="19"/>
      <c r="B479" s="19" t="s">
        <v>69</v>
      </c>
      <c r="C479" s="19" t="s">
        <v>68</v>
      </c>
      <c r="D479" s="19" t="s">
        <v>439</v>
      </c>
      <c r="E479" s="21"/>
      <c r="F479" s="21"/>
      <c r="G479" s="21"/>
      <c r="H479" s="21"/>
      <c r="I479" s="21">
        <v>7.5</v>
      </c>
      <c r="J479" s="21">
        <v>7.5</v>
      </c>
    </row>
    <row r="480" spans="1:10" x14ac:dyDescent="0.25">
      <c r="A480" s="19"/>
      <c r="B480" s="19" t="s">
        <v>584</v>
      </c>
      <c r="C480" s="19"/>
      <c r="D480" s="19"/>
      <c r="E480" s="21"/>
      <c r="F480" s="21"/>
      <c r="G480" s="21"/>
      <c r="H480" s="21"/>
      <c r="I480" s="21">
        <v>7.5</v>
      </c>
      <c r="J480" s="21">
        <v>7.5</v>
      </c>
    </row>
    <row r="481" spans="1:10" x14ac:dyDescent="0.25">
      <c r="A481" s="19" t="s">
        <v>468</v>
      </c>
      <c r="B481" s="19"/>
      <c r="C481" s="19"/>
      <c r="D481" s="19"/>
      <c r="E481" s="21">
        <v>7.5</v>
      </c>
      <c r="F481" s="21">
        <v>7.5</v>
      </c>
      <c r="G481" s="21">
        <v>7.5</v>
      </c>
      <c r="H481" s="21">
        <v>7.5</v>
      </c>
      <c r="I481" s="21">
        <v>7.5</v>
      </c>
      <c r="J481" s="21">
        <v>37.5</v>
      </c>
    </row>
    <row r="482" spans="1:10" x14ac:dyDescent="0.25">
      <c r="A482" s="20">
        <v>43660</v>
      </c>
      <c r="B482" s="19" t="s">
        <v>89</v>
      </c>
      <c r="C482" s="19" t="s">
        <v>88</v>
      </c>
      <c r="D482" s="19" t="s">
        <v>227</v>
      </c>
      <c r="E482" s="21"/>
      <c r="F482" s="21"/>
      <c r="G482" s="21"/>
      <c r="H482" s="21">
        <v>3.75</v>
      </c>
      <c r="I482" s="21"/>
      <c r="J482" s="21">
        <v>3.75</v>
      </c>
    </row>
    <row r="483" spans="1:10" ht="30" x14ac:dyDescent="0.25">
      <c r="A483" s="19"/>
      <c r="B483" s="19"/>
      <c r="C483" s="19"/>
      <c r="D483" s="19" t="s">
        <v>229</v>
      </c>
      <c r="E483" s="21"/>
      <c r="F483" s="21"/>
      <c r="G483" s="21"/>
      <c r="H483" s="21"/>
      <c r="I483" s="21">
        <v>3.75</v>
      </c>
      <c r="J483" s="21">
        <v>3.75</v>
      </c>
    </row>
    <row r="484" spans="1:10" x14ac:dyDescent="0.25">
      <c r="A484" s="19"/>
      <c r="B484" s="19"/>
      <c r="C484" s="19"/>
      <c r="D484" s="19" t="s">
        <v>224</v>
      </c>
      <c r="E484" s="21"/>
      <c r="F484" s="21"/>
      <c r="G484" s="21">
        <v>2</v>
      </c>
      <c r="H484" s="21"/>
      <c r="I484" s="21"/>
      <c r="J484" s="21">
        <v>2</v>
      </c>
    </row>
    <row r="485" spans="1:10" ht="30" x14ac:dyDescent="0.25">
      <c r="A485" s="19"/>
      <c r="B485" s="19" t="s">
        <v>594</v>
      </c>
      <c r="C485" s="19"/>
      <c r="D485" s="19"/>
      <c r="E485" s="21"/>
      <c r="F485" s="21"/>
      <c r="G485" s="21">
        <v>2</v>
      </c>
      <c r="H485" s="21">
        <v>3.75</v>
      </c>
      <c r="I485" s="21">
        <v>3.75</v>
      </c>
      <c r="J485" s="21">
        <v>9.5</v>
      </c>
    </row>
    <row r="486" spans="1:10" x14ac:dyDescent="0.25">
      <c r="A486" s="19"/>
      <c r="B486" s="19" t="s">
        <v>41</v>
      </c>
      <c r="C486" s="19" t="s">
        <v>40</v>
      </c>
      <c r="D486" s="19" t="s">
        <v>225</v>
      </c>
      <c r="E486" s="21"/>
      <c r="F486" s="21"/>
      <c r="G486" s="21">
        <v>1</v>
      </c>
      <c r="H486" s="21"/>
      <c r="I486" s="21"/>
      <c r="J486" s="21">
        <v>1</v>
      </c>
    </row>
    <row r="487" spans="1:10" ht="30" x14ac:dyDescent="0.25">
      <c r="A487" s="19"/>
      <c r="B487" s="19" t="s">
        <v>572</v>
      </c>
      <c r="C487" s="19"/>
      <c r="D487" s="19"/>
      <c r="E487" s="21"/>
      <c r="F487" s="21"/>
      <c r="G487" s="21">
        <v>1</v>
      </c>
      <c r="H487" s="21"/>
      <c r="I487" s="21"/>
      <c r="J487" s="21">
        <v>1</v>
      </c>
    </row>
    <row r="488" spans="1:10" x14ac:dyDescent="0.25">
      <c r="A488" s="19"/>
      <c r="B488" s="19" t="s">
        <v>85</v>
      </c>
      <c r="C488" s="19" t="s">
        <v>84</v>
      </c>
      <c r="D488" s="19" t="s">
        <v>222</v>
      </c>
      <c r="E488" s="21"/>
      <c r="F488" s="21">
        <v>7.5</v>
      </c>
      <c r="G488" s="21"/>
      <c r="H488" s="21"/>
      <c r="I488" s="21"/>
      <c r="J488" s="21">
        <v>7.5</v>
      </c>
    </row>
    <row r="489" spans="1:10" x14ac:dyDescent="0.25">
      <c r="A489" s="19"/>
      <c r="B489" s="19"/>
      <c r="C489" s="19"/>
      <c r="D489" s="19" t="s">
        <v>226</v>
      </c>
      <c r="E489" s="21"/>
      <c r="F489" s="21"/>
      <c r="G489" s="21">
        <v>4.5</v>
      </c>
      <c r="H489" s="21"/>
      <c r="I489" s="21"/>
      <c r="J489" s="21">
        <v>4.5</v>
      </c>
    </row>
    <row r="490" spans="1:10" x14ac:dyDescent="0.25">
      <c r="A490" s="19"/>
      <c r="B490" s="19"/>
      <c r="C490" s="19"/>
      <c r="D490" s="19" t="s">
        <v>230</v>
      </c>
      <c r="E490" s="21"/>
      <c r="F490" s="21"/>
      <c r="G490" s="21"/>
      <c r="H490" s="21"/>
      <c r="I490" s="21">
        <v>3.75</v>
      </c>
      <c r="J490" s="21">
        <v>3.75</v>
      </c>
    </row>
    <row r="491" spans="1:10" ht="30" x14ac:dyDescent="0.25">
      <c r="A491" s="19"/>
      <c r="B491" s="19"/>
      <c r="C491" s="19"/>
      <c r="D491" s="19" t="s">
        <v>228</v>
      </c>
      <c r="E491" s="21"/>
      <c r="F491" s="21"/>
      <c r="G491" s="21"/>
      <c r="H491" s="21">
        <v>3.75</v>
      </c>
      <c r="I491" s="21"/>
      <c r="J491" s="21">
        <v>3.75</v>
      </c>
    </row>
    <row r="492" spans="1:10" ht="30" x14ac:dyDescent="0.25">
      <c r="A492" s="19"/>
      <c r="B492" s="19" t="s">
        <v>592</v>
      </c>
      <c r="C492" s="19"/>
      <c r="D492" s="19"/>
      <c r="E492" s="21"/>
      <c r="F492" s="21">
        <v>7.5</v>
      </c>
      <c r="G492" s="21">
        <v>4.5</v>
      </c>
      <c r="H492" s="21">
        <v>3.75</v>
      </c>
      <c r="I492" s="21">
        <v>3.75</v>
      </c>
      <c r="J492" s="21">
        <v>19.5</v>
      </c>
    </row>
    <row r="493" spans="1:10" x14ac:dyDescent="0.25">
      <c r="A493" s="19"/>
      <c r="B493" s="19" t="s">
        <v>69</v>
      </c>
      <c r="C493" s="19" t="s">
        <v>68</v>
      </c>
      <c r="D493" s="19" t="s">
        <v>439</v>
      </c>
      <c r="E493" s="21">
        <v>7.5</v>
      </c>
      <c r="F493" s="21"/>
      <c r="G493" s="21"/>
      <c r="H493" s="21"/>
      <c r="I493" s="21"/>
      <c r="J493" s="21">
        <v>7.5</v>
      </c>
    </row>
    <row r="494" spans="1:10" x14ac:dyDescent="0.25">
      <c r="A494" s="19"/>
      <c r="B494" s="19" t="s">
        <v>584</v>
      </c>
      <c r="C494" s="19"/>
      <c r="D494" s="19"/>
      <c r="E494" s="21">
        <v>7.5</v>
      </c>
      <c r="F494" s="21"/>
      <c r="G494" s="21"/>
      <c r="H494" s="21"/>
      <c r="I494" s="21"/>
      <c r="J494" s="21">
        <v>7.5</v>
      </c>
    </row>
    <row r="495" spans="1:10" x14ac:dyDescent="0.25">
      <c r="A495" s="19" t="s">
        <v>470</v>
      </c>
      <c r="B495" s="19"/>
      <c r="C495" s="19"/>
      <c r="D495" s="19"/>
      <c r="E495" s="21">
        <v>7.5</v>
      </c>
      <c r="F495" s="21">
        <v>7.5</v>
      </c>
      <c r="G495" s="21">
        <v>7.5</v>
      </c>
      <c r="H495" s="21">
        <v>7.5</v>
      </c>
      <c r="I495" s="21">
        <v>7.5</v>
      </c>
      <c r="J495" s="21">
        <v>37.5</v>
      </c>
    </row>
    <row r="496" spans="1:10" x14ac:dyDescent="0.25">
      <c r="A496" s="20">
        <v>43653</v>
      </c>
      <c r="B496" s="19" t="s">
        <v>15</v>
      </c>
      <c r="C496" s="19" t="s">
        <v>14</v>
      </c>
      <c r="D496" s="19" t="s">
        <v>234</v>
      </c>
      <c r="E496" s="21"/>
      <c r="F496" s="21">
        <v>3.75</v>
      </c>
      <c r="G496" s="21"/>
      <c r="H496" s="21"/>
      <c r="I496" s="21"/>
      <c r="J496" s="21">
        <v>3.75</v>
      </c>
    </row>
    <row r="497" spans="1:10" ht="30" x14ac:dyDescent="0.25">
      <c r="A497" s="19"/>
      <c r="B497" s="19" t="s">
        <v>559</v>
      </c>
      <c r="C497" s="19"/>
      <c r="D497" s="19"/>
      <c r="E497" s="21"/>
      <c r="F497" s="21">
        <v>3.75</v>
      </c>
      <c r="G497" s="21"/>
      <c r="H497" s="21"/>
      <c r="I497" s="21"/>
      <c r="J497" s="21">
        <v>3.75</v>
      </c>
    </row>
    <row r="498" spans="1:10" x14ac:dyDescent="0.25">
      <c r="A498" s="19"/>
      <c r="B498" s="19" t="s">
        <v>89</v>
      </c>
      <c r="C498" s="19" t="s">
        <v>88</v>
      </c>
      <c r="D498" s="19" t="s">
        <v>238</v>
      </c>
      <c r="E498" s="21"/>
      <c r="F498" s="21"/>
      <c r="G498" s="21"/>
      <c r="H498" s="21"/>
      <c r="I498" s="21">
        <v>5.5</v>
      </c>
      <c r="J498" s="21">
        <v>5.5</v>
      </c>
    </row>
    <row r="499" spans="1:10" ht="30" x14ac:dyDescent="0.25">
      <c r="A499" s="19"/>
      <c r="B499" s="19" t="s">
        <v>594</v>
      </c>
      <c r="C499" s="19"/>
      <c r="D499" s="19"/>
      <c r="E499" s="21"/>
      <c r="F499" s="21"/>
      <c r="G499" s="21"/>
      <c r="H499" s="21"/>
      <c r="I499" s="21">
        <v>5.5</v>
      </c>
      <c r="J499" s="21">
        <v>5.5</v>
      </c>
    </row>
    <row r="500" spans="1:10" x14ac:dyDescent="0.25">
      <c r="A500" s="19"/>
      <c r="B500" s="19" t="s">
        <v>41</v>
      </c>
      <c r="C500" s="19" t="s">
        <v>40</v>
      </c>
      <c r="D500" s="19" t="s">
        <v>232</v>
      </c>
      <c r="E500" s="21">
        <v>4</v>
      </c>
      <c r="F500" s="21"/>
      <c r="G500" s="21"/>
      <c r="H500" s="21"/>
      <c r="I500" s="21"/>
      <c r="J500" s="21">
        <v>4</v>
      </c>
    </row>
    <row r="501" spans="1:10" ht="30" x14ac:dyDescent="0.25">
      <c r="A501" s="19"/>
      <c r="B501" s="19" t="s">
        <v>572</v>
      </c>
      <c r="C501" s="19"/>
      <c r="D501" s="19"/>
      <c r="E501" s="21">
        <v>4</v>
      </c>
      <c r="F501" s="21"/>
      <c r="G501" s="21"/>
      <c r="H501" s="21"/>
      <c r="I501" s="21"/>
      <c r="J501" s="21">
        <v>4</v>
      </c>
    </row>
    <row r="502" spans="1:10" x14ac:dyDescent="0.25">
      <c r="A502" s="19"/>
      <c r="B502" s="19" t="s">
        <v>85</v>
      </c>
      <c r="C502" s="19" t="s">
        <v>84</v>
      </c>
      <c r="D502" s="19" t="s">
        <v>237</v>
      </c>
      <c r="E502" s="21"/>
      <c r="F502" s="21"/>
      <c r="G502" s="21"/>
      <c r="H502" s="21">
        <v>1.5</v>
      </c>
      <c r="I502" s="21"/>
      <c r="J502" s="21">
        <v>1.5</v>
      </c>
    </row>
    <row r="503" spans="1:10" x14ac:dyDescent="0.25">
      <c r="A503" s="19"/>
      <c r="B503" s="19"/>
      <c r="C503" s="19"/>
      <c r="D503" s="19" t="s">
        <v>222</v>
      </c>
      <c r="E503" s="21"/>
      <c r="F503" s="21"/>
      <c r="G503" s="21"/>
      <c r="H503" s="21">
        <v>2.25</v>
      </c>
      <c r="I503" s="21"/>
      <c r="J503" s="21">
        <v>2.25</v>
      </c>
    </row>
    <row r="504" spans="1:10" x14ac:dyDescent="0.25">
      <c r="A504" s="19"/>
      <c r="B504" s="19"/>
      <c r="C504" s="19"/>
      <c r="D504" s="19" t="s">
        <v>236</v>
      </c>
      <c r="E504" s="21"/>
      <c r="F504" s="21"/>
      <c r="G504" s="21"/>
      <c r="H504" s="21">
        <v>3.75</v>
      </c>
      <c r="I504" s="21"/>
      <c r="J504" s="21">
        <v>3.75</v>
      </c>
    </row>
    <row r="505" spans="1:10" ht="30" x14ac:dyDescent="0.25">
      <c r="A505" s="19"/>
      <c r="B505" s="19"/>
      <c r="C505" s="19"/>
      <c r="D505" s="19" t="s">
        <v>239</v>
      </c>
      <c r="E505" s="21"/>
      <c r="F505" s="21"/>
      <c r="G505" s="21"/>
      <c r="H505" s="21"/>
      <c r="I505" s="21">
        <v>2</v>
      </c>
      <c r="J505" s="21">
        <v>2</v>
      </c>
    </row>
    <row r="506" spans="1:10" x14ac:dyDescent="0.25">
      <c r="A506" s="19"/>
      <c r="B506" s="19"/>
      <c r="C506" s="19"/>
      <c r="D506" s="19" t="s">
        <v>233</v>
      </c>
      <c r="E506" s="21"/>
      <c r="F506" s="21">
        <v>3.75</v>
      </c>
      <c r="G506" s="21"/>
      <c r="H506" s="21"/>
      <c r="I506" s="21"/>
      <c r="J506" s="21">
        <v>3.75</v>
      </c>
    </row>
    <row r="507" spans="1:10" x14ac:dyDescent="0.25">
      <c r="A507" s="19"/>
      <c r="B507" s="19"/>
      <c r="C507" s="19"/>
      <c r="D507" s="19" t="s">
        <v>235</v>
      </c>
      <c r="E507" s="21"/>
      <c r="F507" s="21"/>
      <c r="G507" s="21">
        <v>7.5</v>
      </c>
      <c r="H507" s="21"/>
      <c r="I507" s="21"/>
      <c r="J507" s="21">
        <v>7.5</v>
      </c>
    </row>
    <row r="508" spans="1:10" ht="30" x14ac:dyDescent="0.25">
      <c r="A508" s="19"/>
      <c r="B508" s="19" t="s">
        <v>592</v>
      </c>
      <c r="C508" s="19"/>
      <c r="D508" s="19"/>
      <c r="E508" s="21"/>
      <c r="F508" s="21">
        <v>3.75</v>
      </c>
      <c r="G508" s="21">
        <v>7.5</v>
      </c>
      <c r="H508" s="21">
        <v>7.5</v>
      </c>
      <c r="I508" s="21">
        <v>2</v>
      </c>
      <c r="J508" s="21">
        <v>20.75</v>
      </c>
    </row>
    <row r="509" spans="1:10" x14ac:dyDescent="0.25">
      <c r="A509" s="19"/>
      <c r="B509" s="19" t="s">
        <v>500</v>
      </c>
      <c r="C509" s="19" t="s">
        <v>23</v>
      </c>
      <c r="D509" s="19" t="s">
        <v>231</v>
      </c>
      <c r="E509" s="21">
        <v>3.5</v>
      </c>
      <c r="F509" s="21"/>
      <c r="G509" s="21"/>
      <c r="H509" s="21"/>
      <c r="I509" s="21"/>
      <c r="J509" s="21">
        <v>3.5</v>
      </c>
    </row>
    <row r="510" spans="1:10" x14ac:dyDescent="0.25">
      <c r="A510" s="19"/>
      <c r="B510" s="19" t="s">
        <v>551</v>
      </c>
      <c r="C510" s="19"/>
      <c r="D510" s="19"/>
      <c r="E510" s="21">
        <v>3.5</v>
      </c>
      <c r="F510" s="21"/>
      <c r="G510" s="21"/>
      <c r="H510" s="21"/>
      <c r="I510" s="21"/>
      <c r="J510" s="21">
        <v>3.5</v>
      </c>
    </row>
    <row r="511" spans="1:10" x14ac:dyDescent="0.25">
      <c r="A511" s="19" t="s">
        <v>472</v>
      </c>
      <c r="B511" s="19"/>
      <c r="C511" s="19"/>
      <c r="D511" s="19"/>
      <c r="E511" s="21">
        <v>7.5</v>
      </c>
      <c r="F511" s="21">
        <v>7.5</v>
      </c>
      <c r="G511" s="21">
        <v>7.5</v>
      </c>
      <c r="H511" s="21">
        <v>7.5</v>
      </c>
      <c r="I511" s="21">
        <v>7.5</v>
      </c>
      <c r="J511" s="21">
        <v>37.5</v>
      </c>
    </row>
    <row r="512" spans="1:10" x14ac:dyDescent="0.25">
      <c r="A512" s="20">
        <v>43646</v>
      </c>
      <c r="B512" s="19" t="s">
        <v>87</v>
      </c>
      <c r="C512" s="19" t="s">
        <v>86</v>
      </c>
      <c r="D512" s="19" t="s">
        <v>240</v>
      </c>
      <c r="E512" s="21">
        <v>7.5</v>
      </c>
      <c r="F512" s="21">
        <v>7.5</v>
      </c>
      <c r="G512" s="21">
        <v>3.75</v>
      </c>
      <c r="H512" s="21">
        <v>7.5</v>
      </c>
      <c r="I512" s="21">
        <v>3.75</v>
      </c>
      <c r="J512" s="21">
        <v>30</v>
      </c>
    </row>
    <row r="513" spans="1:10" ht="30" x14ac:dyDescent="0.25">
      <c r="A513" s="19"/>
      <c r="B513" s="19" t="s">
        <v>593</v>
      </c>
      <c r="C513" s="19"/>
      <c r="D513" s="19"/>
      <c r="E513" s="21">
        <v>7.5</v>
      </c>
      <c r="F513" s="21">
        <v>7.5</v>
      </c>
      <c r="G513" s="21">
        <v>3.75</v>
      </c>
      <c r="H513" s="21">
        <v>7.5</v>
      </c>
      <c r="I513" s="21">
        <v>3.75</v>
      </c>
      <c r="J513" s="21">
        <v>30</v>
      </c>
    </row>
    <row r="514" spans="1:10" x14ac:dyDescent="0.25">
      <c r="A514" s="19"/>
      <c r="B514" s="19" t="s">
        <v>69</v>
      </c>
      <c r="C514" s="19" t="s">
        <v>68</v>
      </c>
      <c r="D514" s="19" t="s">
        <v>439</v>
      </c>
      <c r="E514" s="21"/>
      <c r="F514" s="21"/>
      <c r="G514" s="21">
        <v>3.75</v>
      </c>
      <c r="H514" s="21"/>
      <c r="I514" s="21">
        <v>3.75</v>
      </c>
      <c r="J514" s="21">
        <v>7.5</v>
      </c>
    </row>
    <row r="515" spans="1:10" x14ac:dyDescent="0.25">
      <c r="A515" s="19"/>
      <c r="B515" s="19" t="s">
        <v>584</v>
      </c>
      <c r="C515" s="19"/>
      <c r="D515" s="19"/>
      <c r="E515" s="21"/>
      <c r="F515" s="21"/>
      <c r="G515" s="21">
        <v>3.75</v>
      </c>
      <c r="H515" s="21"/>
      <c r="I515" s="21">
        <v>3.75</v>
      </c>
      <c r="J515" s="21">
        <v>7.5</v>
      </c>
    </row>
    <row r="516" spans="1:10" x14ac:dyDescent="0.25">
      <c r="A516" s="19" t="s">
        <v>474</v>
      </c>
      <c r="B516" s="19"/>
      <c r="C516" s="19"/>
      <c r="D516" s="19"/>
      <c r="E516" s="21">
        <v>7.5</v>
      </c>
      <c r="F516" s="21">
        <v>7.5</v>
      </c>
      <c r="G516" s="21">
        <v>7.5</v>
      </c>
      <c r="H516" s="21">
        <v>7.5</v>
      </c>
      <c r="I516" s="21">
        <v>7.5</v>
      </c>
      <c r="J516" s="21">
        <v>37.5</v>
      </c>
    </row>
    <row r="517" spans="1:10" x14ac:dyDescent="0.25">
      <c r="A517" s="20">
        <v>43639</v>
      </c>
      <c r="B517" s="19" t="s">
        <v>41</v>
      </c>
      <c r="C517" s="19" t="s">
        <v>40</v>
      </c>
      <c r="D517" s="19" t="s">
        <v>113</v>
      </c>
      <c r="E517" s="21"/>
      <c r="F517" s="21">
        <v>2</v>
      </c>
      <c r="G517" s="21"/>
      <c r="H517" s="21"/>
      <c r="I517" s="21"/>
      <c r="J517" s="21">
        <v>2</v>
      </c>
    </row>
    <row r="518" spans="1:10" ht="30" x14ac:dyDescent="0.25">
      <c r="A518" s="19"/>
      <c r="B518" s="19" t="s">
        <v>572</v>
      </c>
      <c r="C518" s="19"/>
      <c r="D518" s="19"/>
      <c r="E518" s="21"/>
      <c r="F518" s="21">
        <v>2</v>
      </c>
      <c r="G518" s="21"/>
      <c r="H518" s="21"/>
      <c r="I518" s="21"/>
      <c r="J518" s="21">
        <v>2</v>
      </c>
    </row>
    <row r="519" spans="1:10" x14ac:dyDescent="0.25">
      <c r="A519" s="19"/>
      <c r="B519" s="19" t="s">
        <v>87</v>
      </c>
      <c r="C519" s="19" t="s">
        <v>86</v>
      </c>
      <c r="D519" s="19" t="s">
        <v>244</v>
      </c>
      <c r="E519" s="21"/>
      <c r="F519" s="21">
        <v>2</v>
      </c>
      <c r="G519" s="21"/>
      <c r="H519" s="21"/>
      <c r="I519" s="21"/>
      <c r="J519" s="21">
        <v>2</v>
      </c>
    </row>
    <row r="520" spans="1:10" ht="30" x14ac:dyDescent="0.25">
      <c r="A520" s="19"/>
      <c r="B520" s="19" t="s">
        <v>593</v>
      </c>
      <c r="C520" s="19"/>
      <c r="D520" s="19"/>
      <c r="E520" s="21"/>
      <c r="F520" s="21">
        <v>2</v>
      </c>
      <c r="G520" s="21"/>
      <c r="H520" s="21"/>
      <c r="I520" s="21"/>
      <c r="J520" s="21">
        <v>2</v>
      </c>
    </row>
    <row r="521" spans="1:10" x14ac:dyDescent="0.25">
      <c r="A521" s="19"/>
      <c r="B521" s="19" t="s">
        <v>85</v>
      </c>
      <c r="C521" s="19" t="s">
        <v>84</v>
      </c>
      <c r="D521" s="19" t="s">
        <v>241</v>
      </c>
      <c r="E521" s="21">
        <v>7.5</v>
      </c>
      <c r="F521" s="21"/>
      <c r="G521" s="21"/>
      <c r="H521" s="21"/>
      <c r="I521" s="21"/>
      <c r="J521" s="21">
        <v>7.5</v>
      </c>
    </row>
    <row r="522" spans="1:10" ht="30" x14ac:dyDescent="0.25">
      <c r="A522" s="19"/>
      <c r="B522" s="19" t="s">
        <v>592</v>
      </c>
      <c r="C522" s="19"/>
      <c r="D522" s="19"/>
      <c r="E522" s="21">
        <v>7.5</v>
      </c>
      <c r="F522" s="21"/>
      <c r="G522" s="21"/>
      <c r="H522" s="21"/>
      <c r="I522" s="21"/>
      <c r="J522" s="21">
        <v>7.5</v>
      </c>
    </row>
    <row r="523" spans="1:10" x14ac:dyDescent="0.25">
      <c r="A523" s="19"/>
      <c r="B523" s="19" t="s">
        <v>19</v>
      </c>
      <c r="C523" s="19" t="s">
        <v>18</v>
      </c>
      <c r="D523" s="19" t="s">
        <v>245</v>
      </c>
      <c r="E523" s="21"/>
      <c r="F523" s="21">
        <v>2.5</v>
      </c>
      <c r="G523" s="21">
        <v>7.5</v>
      </c>
      <c r="H523" s="21"/>
      <c r="I523" s="21"/>
      <c r="J523" s="21">
        <v>10</v>
      </c>
    </row>
    <row r="524" spans="1:10" ht="30" x14ac:dyDescent="0.25">
      <c r="A524" s="19"/>
      <c r="B524" s="19" t="s">
        <v>561</v>
      </c>
      <c r="C524" s="19"/>
      <c r="D524" s="19"/>
      <c r="E524" s="21"/>
      <c r="F524" s="21">
        <v>2.5</v>
      </c>
      <c r="G524" s="21">
        <v>7.5</v>
      </c>
      <c r="H524" s="21"/>
      <c r="I524" s="21"/>
      <c r="J524" s="21">
        <v>10</v>
      </c>
    </row>
    <row r="525" spans="1:10" x14ac:dyDescent="0.25">
      <c r="A525" s="19"/>
      <c r="B525" s="19" t="s">
        <v>69</v>
      </c>
      <c r="C525" s="19" t="s">
        <v>68</v>
      </c>
      <c r="D525" s="19" t="s">
        <v>439</v>
      </c>
      <c r="E525" s="21"/>
      <c r="F525" s="21"/>
      <c r="G525" s="21"/>
      <c r="H525" s="21">
        <v>7.5</v>
      </c>
      <c r="I525" s="21">
        <v>7.5</v>
      </c>
      <c r="J525" s="21">
        <v>15</v>
      </c>
    </row>
    <row r="526" spans="1:10" x14ac:dyDescent="0.25">
      <c r="A526" s="19"/>
      <c r="B526" s="19" t="s">
        <v>584</v>
      </c>
      <c r="C526" s="19"/>
      <c r="D526" s="19"/>
      <c r="E526" s="21"/>
      <c r="F526" s="21"/>
      <c r="G526" s="21"/>
      <c r="H526" s="21">
        <v>7.5</v>
      </c>
      <c r="I526" s="21">
        <v>7.5</v>
      </c>
      <c r="J526" s="21">
        <v>15</v>
      </c>
    </row>
    <row r="527" spans="1:10" x14ac:dyDescent="0.25">
      <c r="A527" s="19"/>
      <c r="B527" s="19" t="s">
        <v>500</v>
      </c>
      <c r="C527" s="19" t="s">
        <v>23</v>
      </c>
      <c r="D527" s="19" t="s">
        <v>243</v>
      </c>
      <c r="E527" s="21"/>
      <c r="F527" s="21">
        <v>1</v>
      </c>
      <c r="G527" s="21"/>
      <c r="H527" s="21"/>
      <c r="I527" s="21"/>
      <c r="J527" s="21">
        <v>1</v>
      </c>
    </row>
    <row r="528" spans="1:10" x14ac:dyDescent="0.25">
      <c r="A528" s="19"/>
      <c r="B528" s="19" t="s">
        <v>551</v>
      </c>
      <c r="C528" s="19"/>
      <c r="D528" s="19"/>
      <c r="E528" s="21"/>
      <c r="F528" s="21">
        <v>1</v>
      </c>
      <c r="G528" s="21"/>
      <c r="H528" s="21"/>
      <c r="I528" s="21"/>
      <c r="J528" s="21">
        <v>1</v>
      </c>
    </row>
    <row r="529" spans="1:10" x14ac:dyDescent="0.25">
      <c r="A529" s="19" t="s">
        <v>475</v>
      </c>
      <c r="B529" s="19"/>
      <c r="C529" s="19"/>
      <c r="D529" s="19"/>
      <c r="E529" s="21">
        <v>7.5</v>
      </c>
      <c r="F529" s="21">
        <v>7.5</v>
      </c>
      <c r="G529" s="21">
        <v>7.5</v>
      </c>
      <c r="H529" s="21">
        <v>7.5</v>
      </c>
      <c r="I529" s="21">
        <v>7.5</v>
      </c>
      <c r="J529" s="21">
        <v>37.5</v>
      </c>
    </row>
    <row r="530" spans="1:10" x14ac:dyDescent="0.25">
      <c r="A530" s="20">
        <v>43632</v>
      </c>
      <c r="B530" s="19" t="s">
        <v>15</v>
      </c>
      <c r="C530" s="19" t="s">
        <v>14</v>
      </c>
      <c r="D530" s="19" t="s">
        <v>247</v>
      </c>
      <c r="E530" s="21">
        <v>7.5</v>
      </c>
      <c r="F530" s="21">
        <v>7.5</v>
      </c>
      <c r="G530" s="21"/>
      <c r="H530" s="21"/>
      <c r="I530" s="21"/>
      <c r="J530" s="21">
        <v>15</v>
      </c>
    </row>
    <row r="531" spans="1:10" ht="30" x14ac:dyDescent="0.25">
      <c r="A531" s="19"/>
      <c r="B531" s="19" t="s">
        <v>559</v>
      </c>
      <c r="C531" s="19"/>
      <c r="D531" s="19"/>
      <c r="E531" s="21">
        <v>7.5</v>
      </c>
      <c r="F531" s="21">
        <v>7.5</v>
      </c>
      <c r="G531" s="21"/>
      <c r="H531" s="21"/>
      <c r="I531" s="21"/>
      <c r="J531" s="21">
        <v>15</v>
      </c>
    </row>
    <row r="532" spans="1:10" x14ac:dyDescent="0.25">
      <c r="A532" s="19"/>
      <c r="B532" s="19" t="s">
        <v>87</v>
      </c>
      <c r="C532" s="19" t="s">
        <v>86</v>
      </c>
      <c r="D532" s="19" t="s">
        <v>249</v>
      </c>
      <c r="E532" s="21"/>
      <c r="F532" s="21"/>
      <c r="G532" s="21"/>
      <c r="H532" s="21">
        <v>7.5</v>
      </c>
      <c r="I532" s="21"/>
      <c r="J532" s="21">
        <v>7.5</v>
      </c>
    </row>
    <row r="533" spans="1:10" x14ac:dyDescent="0.25">
      <c r="A533" s="19"/>
      <c r="B533" s="19"/>
      <c r="C533" s="19"/>
      <c r="D533" s="19" t="s">
        <v>248</v>
      </c>
      <c r="E533" s="21"/>
      <c r="F533" s="21"/>
      <c r="G533" s="21">
        <v>7.5</v>
      </c>
      <c r="H533" s="21"/>
      <c r="I533" s="21"/>
      <c r="J533" s="21">
        <v>7.5</v>
      </c>
    </row>
    <row r="534" spans="1:10" ht="30" x14ac:dyDescent="0.25">
      <c r="A534" s="19"/>
      <c r="B534" s="19" t="s">
        <v>593</v>
      </c>
      <c r="C534" s="19"/>
      <c r="D534" s="19"/>
      <c r="E534" s="21"/>
      <c r="F534" s="21"/>
      <c r="G534" s="21">
        <v>7.5</v>
      </c>
      <c r="H534" s="21">
        <v>7.5</v>
      </c>
      <c r="I534" s="21"/>
      <c r="J534" s="21">
        <v>15</v>
      </c>
    </row>
    <row r="535" spans="1:10" x14ac:dyDescent="0.25">
      <c r="A535" s="19"/>
      <c r="B535" s="19" t="s">
        <v>85</v>
      </c>
      <c r="C535" s="19" t="s">
        <v>84</v>
      </c>
      <c r="D535" s="19" t="s">
        <v>236</v>
      </c>
      <c r="E535" s="21"/>
      <c r="F535" s="21"/>
      <c r="G535" s="21"/>
      <c r="H535" s="21"/>
      <c r="I535" s="21">
        <v>7.5</v>
      </c>
      <c r="J535" s="21">
        <v>7.5</v>
      </c>
    </row>
    <row r="536" spans="1:10" ht="30" x14ac:dyDescent="0.25">
      <c r="A536" s="19"/>
      <c r="B536" s="19" t="s">
        <v>592</v>
      </c>
      <c r="C536" s="19"/>
      <c r="D536" s="19"/>
      <c r="E536" s="21"/>
      <c r="F536" s="21"/>
      <c r="G536" s="21"/>
      <c r="H536" s="21"/>
      <c r="I536" s="21">
        <v>7.5</v>
      </c>
      <c r="J536" s="21">
        <v>7.5</v>
      </c>
    </row>
    <row r="537" spans="1:10" x14ac:dyDescent="0.25">
      <c r="A537" s="19" t="s">
        <v>476</v>
      </c>
      <c r="B537" s="19"/>
      <c r="C537" s="19"/>
      <c r="D537" s="19"/>
      <c r="E537" s="21">
        <v>7.5</v>
      </c>
      <c r="F537" s="21">
        <v>7.5</v>
      </c>
      <c r="G537" s="21">
        <v>7.5</v>
      </c>
      <c r="H537" s="21">
        <v>7.5</v>
      </c>
      <c r="I537" s="21">
        <v>7.5</v>
      </c>
      <c r="J537" s="21">
        <v>37.5</v>
      </c>
    </row>
    <row r="538" spans="1:10" x14ac:dyDescent="0.25">
      <c r="A538" s="20">
        <v>43625</v>
      </c>
      <c r="B538" s="19" t="s">
        <v>15</v>
      </c>
      <c r="C538" s="19" t="s">
        <v>14</v>
      </c>
      <c r="D538" s="19" t="s">
        <v>252</v>
      </c>
      <c r="E538" s="21"/>
      <c r="F538" s="21"/>
      <c r="G538" s="21"/>
      <c r="H538" s="21">
        <v>3.75</v>
      </c>
      <c r="I538" s="21">
        <v>3.75</v>
      </c>
      <c r="J538" s="21">
        <v>7.5</v>
      </c>
    </row>
    <row r="539" spans="1:10" ht="30" x14ac:dyDescent="0.25">
      <c r="A539" s="19"/>
      <c r="B539" s="19" t="s">
        <v>559</v>
      </c>
      <c r="C539" s="19"/>
      <c r="D539" s="19"/>
      <c r="E539" s="21"/>
      <c r="F539" s="21"/>
      <c r="G539" s="21"/>
      <c r="H539" s="21">
        <v>3.75</v>
      </c>
      <c r="I539" s="21">
        <v>3.75</v>
      </c>
      <c r="J539" s="21">
        <v>7.5</v>
      </c>
    </row>
    <row r="540" spans="1:10" x14ac:dyDescent="0.25">
      <c r="A540" s="19"/>
      <c r="B540" s="19" t="s">
        <v>87</v>
      </c>
      <c r="C540" s="19" t="s">
        <v>86</v>
      </c>
      <c r="D540" s="19" t="s">
        <v>250</v>
      </c>
      <c r="E540" s="21">
        <v>7.5</v>
      </c>
      <c r="F540" s="21">
        <v>7.5</v>
      </c>
      <c r="G540" s="21">
        <v>7.5</v>
      </c>
      <c r="H540" s="21"/>
      <c r="I540" s="21"/>
      <c r="J540" s="21">
        <v>22.5</v>
      </c>
    </row>
    <row r="541" spans="1:10" ht="30" x14ac:dyDescent="0.25">
      <c r="A541" s="19"/>
      <c r="B541" s="19" t="s">
        <v>593</v>
      </c>
      <c r="C541" s="19"/>
      <c r="D541" s="19"/>
      <c r="E541" s="21">
        <v>7.5</v>
      </c>
      <c r="F541" s="21">
        <v>7.5</v>
      </c>
      <c r="G541" s="21">
        <v>7.5</v>
      </c>
      <c r="H541" s="21"/>
      <c r="I541" s="21"/>
      <c r="J541" s="21">
        <v>22.5</v>
      </c>
    </row>
    <row r="542" spans="1:10" x14ac:dyDescent="0.25">
      <c r="A542" s="19"/>
      <c r="B542" s="19" t="s">
        <v>69</v>
      </c>
      <c r="C542" s="19" t="s">
        <v>68</v>
      </c>
      <c r="D542" s="19" t="s">
        <v>439</v>
      </c>
      <c r="E542" s="21"/>
      <c r="F542" s="21"/>
      <c r="G542" s="21"/>
      <c r="H542" s="21"/>
      <c r="I542" s="21">
        <v>3.75</v>
      </c>
      <c r="J542" s="21">
        <v>3.75</v>
      </c>
    </row>
    <row r="543" spans="1:10" x14ac:dyDescent="0.25">
      <c r="A543" s="19"/>
      <c r="B543" s="19" t="s">
        <v>584</v>
      </c>
      <c r="C543" s="19"/>
      <c r="D543" s="19"/>
      <c r="E543" s="21"/>
      <c r="F543" s="21"/>
      <c r="G543" s="21"/>
      <c r="H543" s="21"/>
      <c r="I543" s="21">
        <v>3.75</v>
      </c>
      <c r="J543" s="21">
        <v>3.75</v>
      </c>
    </row>
    <row r="544" spans="1:10" x14ac:dyDescent="0.25">
      <c r="A544" s="19"/>
      <c r="B544" s="19" t="s">
        <v>500</v>
      </c>
      <c r="C544" s="19" t="s">
        <v>23</v>
      </c>
      <c r="D544" s="19" t="s">
        <v>251</v>
      </c>
      <c r="E544" s="21"/>
      <c r="F544" s="21"/>
      <c r="G544" s="21"/>
      <c r="H544" s="21">
        <v>3.75</v>
      </c>
      <c r="I544" s="21"/>
      <c r="J544" s="21">
        <v>3.75</v>
      </c>
    </row>
    <row r="545" spans="1:10" x14ac:dyDescent="0.25">
      <c r="A545" s="19"/>
      <c r="B545" s="19" t="s">
        <v>551</v>
      </c>
      <c r="C545" s="19"/>
      <c r="D545" s="19"/>
      <c r="E545" s="21"/>
      <c r="F545" s="21"/>
      <c r="G545" s="21"/>
      <c r="H545" s="21">
        <v>3.75</v>
      </c>
      <c r="I545" s="21"/>
      <c r="J545" s="21">
        <v>3.75</v>
      </c>
    </row>
    <row r="546" spans="1:10" x14ac:dyDescent="0.25">
      <c r="A546" s="19" t="s">
        <v>477</v>
      </c>
      <c r="B546" s="19"/>
      <c r="C546" s="19"/>
      <c r="D546" s="19"/>
      <c r="E546" s="21">
        <v>7.5</v>
      </c>
      <c r="F546" s="21">
        <v>7.5</v>
      </c>
      <c r="G546" s="21">
        <v>7.5</v>
      </c>
      <c r="H546" s="21">
        <v>7.5</v>
      </c>
      <c r="I546" s="21">
        <v>7.5</v>
      </c>
      <c r="J546" s="21">
        <v>37.5</v>
      </c>
    </row>
    <row r="547" spans="1:10" x14ac:dyDescent="0.25">
      <c r="A547" s="20">
        <v>43618</v>
      </c>
      <c r="B547" s="19" t="s">
        <v>21</v>
      </c>
      <c r="C547" s="19" t="s">
        <v>20</v>
      </c>
      <c r="D547" s="19" t="s">
        <v>22</v>
      </c>
      <c r="E547" s="21"/>
      <c r="F547" s="21"/>
      <c r="G547" s="21">
        <v>3.5</v>
      </c>
      <c r="H547" s="21"/>
      <c r="I547" s="21"/>
      <c r="J547" s="21">
        <v>3.5</v>
      </c>
    </row>
    <row r="548" spans="1:10" ht="30" x14ac:dyDescent="0.25">
      <c r="A548" s="19"/>
      <c r="B548" s="19" t="s">
        <v>563</v>
      </c>
      <c r="C548" s="19"/>
      <c r="D548" s="19"/>
      <c r="E548" s="21"/>
      <c r="F548" s="21"/>
      <c r="G548" s="21">
        <v>3.5</v>
      </c>
      <c r="H548" s="21"/>
      <c r="I548" s="21"/>
      <c r="J548" s="21">
        <v>3.5</v>
      </c>
    </row>
    <row r="549" spans="1:10" x14ac:dyDescent="0.25">
      <c r="A549" s="19"/>
      <c r="B549" s="19" t="s">
        <v>87</v>
      </c>
      <c r="C549" s="19" t="s">
        <v>86</v>
      </c>
      <c r="D549" s="19" t="s">
        <v>145</v>
      </c>
      <c r="E549" s="21"/>
      <c r="F549" s="21">
        <v>7.5</v>
      </c>
      <c r="G549" s="21"/>
      <c r="H549" s="21"/>
      <c r="I549" s="21"/>
      <c r="J549" s="21">
        <v>7.5</v>
      </c>
    </row>
    <row r="550" spans="1:10" x14ac:dyDescent="0.25">
      <c r="A550" s="19"/>
      <c r="B550" s="19"/>
      <c r="C550" s="19"/>
      <c r="D550" s="19" t="s">
        <v>250</v>
      </c>
      <c r="E550" s="21"/>
      <c r="F550" s="21"/>
      <c r="G550" s="21">
        <v>7.5</v>
      </c>
      <c r="H550" s="21"/>
      <c r="I550" s="21"/>
      <c r="J550" s="21">
        <v>7.5</v>
      </c>
    </row>
    <row r="551" spans="1:10" x14ac:dyDescent="0.25">
      <c r="A551" s="19"/>
      <c r="B551" s="19"/>
      <c r="C551" s="19"/>
      <c r="D551" s="19" t="s">
        <v>253</v>
      </c>
      <c r="E551" s="21"/>
      <c r="F551" s="21"/>
      <c r="G551" s="21"/>
      <c r="H551" s="21"/>
      <c r="I551" s="21">
        <v>7.5</v>
      </c>
      <c r="J551" s="21">
        <v>7.5</v>
      </c>
    </row>
    <row r="552" spans="1:10" ht="30" x14ac:dyDescent="0.25">
      <c r="A552" s="19"/>
      <c r="B552" s="19" t="s">
        <v>593</v>
      </c>
      <c r="C552" s="19"/>
      <c r="D552" s="19"/>
      <c r="E552" s="21"/>
      <c r="F552" s="21">
        <v>7.5</v>
      </c>
      <c r="G552" s="21">
        <v>7.5</v>
      </c>
      <c r="H552" s="21"/>
      <c r="I552" s="21">
        <v>7.5</v>
      </c>
      <c r="J552" s="21">
        <v>22.5</v>
      </c>
    </row>
    <row r="553" spans="1:10" x14ac:dyDescent="0.25">
      <c r="A553" s="19"/>
      <c r="B553" s="19" t="s">
        <v>8</v>
      </c>
      <c r="C553" s="19" t="s">
        <v>7</v>
      </c>
      <c r="D553" s="19" t="s">
        <v>253</v>
      </c>
      <c r="E553" s="21"/>
      <c r="F553" s="21"/>
      <c r="G553" s="21"/>
      <c r="H553" s="21">
        <v>4</v>
      </c>
      <c r="I553" s="21"/>
      <c r="J553" s="21">
        <v>4</v>
      </c>
    </row>
    <row r="554" spans="1:10" ht="30" x14ac:dyDescent="0.25">
      <c r="A554" s="19"/>
      <c r="B554" s="19" t="s">
        <v>548</v>
      </c>
      <c r="C554" s="19"/>
      <c r="D554" s="19"/>
      <c r="E554" s="21"/>
      <c r="F554" s="21"/>
      <c r="G554" s="21"/>
      <c r="H554" s="21">
        <v>4</v>
      </c>
      <c r="I554" s="21"/>
      <c r="J554" s="21">
        <v>4</v>
      </c>
    </row>
    <row r="555" spans="1:10" ht="30" x14ac:dyDescent="0.25">
      <c r="A555" s="19"/>
      <c r="B555" s="19" t="s">
        <v>13</v>
      </c>
      <c r="C555" s="19" t="s">
        <v>12</v>
      </c>
      <c r="D555" s="19" t="s">
        <v>439</v>
      </c>
      <c r="E555" s="21">
        <v>7.5</v>
      </c>
      <c r="F555" s="21"/>
      <c r="G555" s="21"/>
      <c r="H555" s="21"/>
      <c r="I555" s="21"/>
      <c r="J555" s="21">
        <v>7.5</v>
      </c>
    </row>
    <row r="556" spans="1:10" ht="30" x14ac:dyDescent="0.25">
      <c r="A556" s="19"/>
      <c r="B556" s="19" t="s">
        <v>556</v>
      </c>
      <c r="C556" s="19"/>
      <c r="D556" s="19"/>
      <c r="E556" s="21">
        <v>7.5</v>
      </c>
      <c r="F556" s="21"/>
      <c r="G556" s="21"/>
      <c r="H556" s="21"/>
      <c r="I556" s="21"/>
      <c r="J556" s="21">
        <v>7.5</v>
      </c>
    </row>
    <row r="557" spans="1:10" x14ac:dyDescent="0.25">
      <c r="A557" s="19" t="s">
        <v>480</v>
      </c>
      <c r="B557" s="19"/>
      <c r="C557" s="19"/>
      <c r="D557" s="19"/>
      <c r="E557" s="21">
        <v>7.5</v>
      </c>
      <c r="F557" s="21">
        <v>7.5</v>
      </c>
      <c r="G557" s="21">
        <v>11</v>
      </c>
      <c r="H557" s="21">
        <v>4</v>
      </c>
      <c r="I557" s="21">
        <v>7.5</v>
      </c>
      <c r="J557" s="21">
        <v>37.5</v>
      </c>
    </row>
    <row r="558" spans="1:10" x14ac:dyDescent="0.25">
      <c r="A558" s="20">
        <v>43611</v>
      </c>
      <c r="B558" s="19" t="s">
        <v>85</v>
      </c>
      <c r="C558" s="19" t="s">
        <v>84</v>
      </c>
      <c r="D558" s="19" t="s">
        <v>255</v>
      </c>
      <c r="E558" s="21"/>
      <c r="F558" s="21">
        <v>7.5</v>
      </c>
      <c r="G558" s="21">
        <v>7.5</v>
      </c>
      <c r="H558" s="21">
        <v>7.5</v>
      </c>
      <c r="I558" s="21">
        <v>3.75</v>
      </c>
      <c r="J558" s="21">
        <v>26.25</v>
      </c>
    </row>
    <row r="559" spans="1:10" ht="30" x14ac:dyDescent="0.25">
      <c r="A559" s="19"/>
      <c r="B559" s="19" t="s">
        <v>592</v>
      </c>
      <c r="C559" s="19"/>
      <c r="D559" s="19"/>
      <c r="E559" s="21"/>
      <c r="F559" s="21">
        <v>7.5</v>
      </c>
      <c r="G559" s="21">
        <v>7.5</v>
      </c>
      <c r="H559" s="21">
        <v>7.5</v>
      </c>
      <c r="I559" s="21">
        <v>3.75</v>
      </c>
      <c r="J559" s="21">
        <v>26.25</v>
      </c>
    </row>
    <row r="560" spans="1:10" x14ac:dyDescent="0.25">
      <c r="A560" s="19"/>
      <c r="B560" s="19" t="s">
        <v>19</v>
      </c>
      <c r="C560" s="19" t="s">
        <v>18</v>
      </c>
      <c r="D560" s="19" t="s">
        <v>254</v>
      </c>
      <c r="E560" s="21">
        <v>7.5</v>
      </c>
      <c r="F560" s="21"/>
      <c r="G560" s="21"/>
      <c r="H560" s="21"/>
      <c r="I560" s="21"/>
      <c r="J560" s="21">
        <v>7.5</v>
      </c>
    </row>
    <row r="561" spans="1:10" ht="30" x14ac:dyDescent="0.25">
      <c r="A561" s="19"/>
      <c r="B561" s="19" t="s">
        <v>561</v>
      </c>
      <c r="C561" s="19"/>
      <c r="D561" s="19"/>
      <c r="E561" s="21">
        <v>7.5</v>
      </c>
      <c r="F561" s="21"/>
      <c r="G561" s="21"/>
      <c r="H561" s="21"/>
      <c r="I561" s="21"/>
      <c r="J561" s="21">
        <v>7.5</v>
      </c>
    </row>
    <row r="562" spans="1:10" x14ac:dyDescent="0.25">
      <c r="A562" s="19"/>
      <c r="B562" s="19" t="s">
        <v>69</v>
      </c>
      <c r="C562" s="19" t="s">
        <v>68</v>
      </c>
      <c r="D562" s="19" t="s">
        <v>439</v>
      </c>
      <c r="E562" s="21"/>
      <c r="F562" s="21"/>
      <c r="G562" s="21"/>
      <c r="H562" s="21"/>
      <c r="I562" s="21">
        <v>3.75</v>
      </c>
      <c r="J562" s="21">
        <v>3.75</v>
      </c>
    </row>
    <row r="563" spans="1:10" x14ac:dyDescent="0.25">
      <c r="A563" s="19"/>
      <c r="B563" s="19" t="s">
        <v>584</v>
      </c>
      <c r="C563" s="19"/>
      <c r="D563" s="19"/>
      <c r="E563" s="21"/>
      <c r="F563" s="21"/>
      <c r="G563" s="21"/>
      <c r="H563" s="21"/>
      <c r="I563" s="21">
        <v>3.75</v>
      </c>
      <c r="J563" s="21">
        <v>3.75</v>
      </c>
    </row>
    <row r="564" spans="1:10" x14ac:dyDescent="0.25">
      <c r="A564" s="19" t="s">
        <v>481</v>
      </c>
      <c r="B564" s="19"/>
      <c r="C564" s="19"/>
      <c r="D564" s="19"/>
      <c r="E564" s="21">
        <v>7.5</v>
      </c>
      <c r="F564" s="21">
        <v>7.5</v>
      </c>
      <c r="G564" s="21">
        <v>7.5</v>
      </c>
      <c r="H564" s="21">
        <v>7.5</v>
      </c>
      <c r="I564" s="21">
        <v>7.5</v>
      </c>
      <c r="J564" s="21">
        <v>37.5</v>
      </c>
    </row>
    <row r="565" spans="1:10" ht="30" x14ac:dyDescent="0.25">
      <c r="A565" s="20">
        <v>43604</v>
      </c>
      <c r="B565" s="19" t="s">
        <v>83</v>
      </c>
      <c r="C565" s="19" t="s">
        <v>82</v>
      </c>
      <c r="D565" s="19" t="s">
        <v>259</v>
      </c>
      <c r="E565" s="21"/>
      <c r="F565" s="21"/>
      <c r="G565" s="21"/>
      <c r="H565" s="21"/>
      <c r="I565" s="21">
        <v>3.75</v>
      </c>
      <c r="J565" s="21">
        <v>3.75</v>
      </c>
    </row>
    <row r="566" spans="1:10" ht="30" x14ac:dyDescent="0.25">
      <c r="A566" s="19"/>
      <c r="B566" s="19" t="s">
        <v>591</v>
      </c>
      <c r="C566" s="19"/>
      <c r="D566" s="19"/>
      <c r="E566" s="21"/>
      <c r="F566" s="21"/>
      <c r="G566" s="21"/>
      <c r="H566" s="21"/>
      <c r="I566" s="21">
        <v>3.75</v>
      </c>
      <c r="J566" s="21">
        <v>3.75</v>
      </c>
    </row>
    <row r="567" spans="1:10" x14ac:dyDescent="0.25">
      <c r="A567" s="19"/>
      <c r="B567" s="19" t="s">
        <v>85</v>
      </c>
      <c r="C567" s="19" t="s">
        <v>84</v>
      </c>
      <c r="D567" s="19" t="s">
        <v>258</v>
      </c>
      <c r="E567" s="21"/>
      <c r="F567" s="21"/>
      <c r="G567" s="21"/>
      <c r="H567" s="21">
        <v>7.5</v>
      </c>
      <c r="I567" s="21"/>
      <c r="J567" s="21">
        <v>7.5</v>
      </c>
    </row>
    <row r="568" spans="1:10" x14ac:dyDescent="0.25">
      <c r="A568" s="19"/>
      <c r="B568" s="19"/>
      <c r="C568" s="19"/>
      <c r="D568" s="19" t="s">
        <v>260</v>
      </c>
      <c r="E568" s="21"/>
      <c r="F568" s="21"/>
      <c r="G568" s="21"/>
      <c r="H568" s="21"/>
      <c r="I568" s="21">
        <v>2.75</v>
      </c>
      <c r="J568" s="21">
        <v>2.75</v>
      </c>
    </row>
    <row r="569" spans="1:10" x14ac:dyDescent="0.25">
      <c r="A569" s="19"/>
      <c r="B569" s="19"/>
      <c r="C569" s="19"/>
      <c r="D569" s="19" t="s">
        <v>257</v>
      </c>
      <c r="E569" s="21"/>
      <c r="F569" s="21">
        <v>2</v>
      </c>
      <c r="G569" s="21">
        <v>7.5</v>
      </c>
      <c r="H569" s="21"/>
      <c r="I569" s="21"/>
      <c r="J569" s="21">
        <v>9.5</v>
      </c>
    </row>
    <row r="570" spans="1:10" ht="30" x14ac:dyDescent="0.25">
      <c r="A570" s="19"/>
      <c r="B570" s="19" t="s">
        <v>592</v>
      </c>
      <c r="C570" s="19"/>
      <c r="D570" s="19"/>
      <c r="E570" s="21"/>
      <c r="F570" s="21">
        <v>2</v>
      </c>
      <c r="G570" s="21">
        <v>7.5</v>
      </c>
      <c r="H570" s="21">
        <v>7.5</v>
      </c>
      <c r="I570" s="21">
        <v>2.75</v>
      </c>
      <c r="J570" s="21">
        <v>19.75</v>
      </c>
    </row>
    <row r="571" spans="1:10" x14ac:dyDescent="0.25">
      <c r="A571" s="19"/>
      <c r="B571" s="19" t="s">
        <v>98</v>
      </c>
      <c r="C571" s="19" t="s">
        <v>97</v>
      </c>
      <c r="D571" s="19" t="s">
        <v>256</v>
      </c>
      <c r="E571" s="21">
        <v>7.5</v>
      </c>
      <c r="F571" s="21">
        <v>5.5</v>
      </c>
      <c r="G571" s="21"/>
      <c r="H571" s="21"/>
      <c r="I571" s="21"/>
      <c r="J571" s="21">
        <v>13</v>
      </c>
    </row>
    <row r="572" spans="1:10" ht="30" x14ac:dyDescent="0.25">
      <c r="A572" s="19"/>
      <c r="B572" s="19" t="s">
        <v>598</v>
      </c>
      <c r="C572" s="19"/>
      <c r="D572" s="19"/>
      <c r="E572" s="21">
        <v>7.5</v>
      </c>
      <c r="F572" s="21">
        <v>5.5</v>
      </c>
      <c r="G572" s="21"/>
      <c r="H572" s="21"/>
      <c r="I572" s="21"/>
      <c r="J572" s="21">
        <v>13</v>
      </c>
    </row>
    <row r="573" spans="1:10" x14ac:dyDescent="0.25">
      <c r="A573" s="19"/>
      <c r="B573" s="19" t="s">
        <v>81</v>
      </c>
      <c r="C573" s="19" t="s">
        <v>80</v>
      </c>
      <c r="D573" s="19" t="s">
        <v>261</v>
      </c>
      <c r="E573" s="21"/>
      <c r="F573" s="21"/>
      <c r="G573" s="21"/>
      <c r="H573" s="21"/>
      <c r="I573" s="21">
        <v>1</v>
      </c>
      <c r="J573" s="21">
        <v>1</v>
      </c>
    </row>
    <row r="574" spans="1:10" ht="30" x14ac:dyDescent="0.25">
      <c r="A574" s="19"/>
      <c r="B574" s="19" t="s">
        <v>590</v>
      </c>
      <c r="C574" s="19"/>
      <c r="D574" s="19"/>
      <c r="E574" s="21"/>
      <c r="F574" s="21"/>
      <c r="G574" s="21"/>
      <c r="H574" s="21"/>
      <c r="I574" s="21">
        <v>1</v>
      </c>
      <c r="J574" s="21">
        <v>1</v>
      </c>
    </row>
    <row r="575" spans="1:10" x14ac:dyDescent="0.25">
      <c r="A575" s="19" t="s">
        <v>484</v>
      </c>
      <c r="B575" s="19"/>
      <c r="C575" s="19"/>
      <c r="D575" s="19"/>
      <c r="E575" s="21">
        <v>7.5</v>
      </c>
      <c r="F575" s="21">
        <v>7.5</v>
      </c>
      <c r="G575" s="21">
        <v>7.5</v>
      </c>
      <c r="H575" s="21">
        <v>7.5</v>
      </c>
      <c r="I575" s="21">
        <v>7.5</v>
      </c>
      <c r="J575" s="21">
        <v>37.5</v>
      </c>
    </row>
    <row r="576" spans="1:10" x14ac:dyDescent="0.25">
      <c r="A576" s="20">
        <v>43597</v>
      </c>
      <c r="B576" s="19" t="s">
        <v>71</v>
      </c>
      <c r="C576" s="19" t="s">
        <v>70</v>
      </c>
      <c r="D576" s="19" t="s">
        <v>263</v>
      </c>
      <c r="E576" s="21"/>
      <c r="F576" s="21"/>
      <c r="G576" s="21"/>
      <c r="H576" s="21"/>
      <c r="I576" s="21">
        <v>7.5</v>
      </c>
      <c r="J576" s="21">
        <v>7.5</v>
      </c>
    </row>
    <row r="577" spans="1:10" ht="30" x14ac:dyDescent="0.25">
      <c r="A577" s="19"/>
      <c r="B577" s="19" t="s">
        <v>585</v>
      </c>
      <c r="C577" s="19"/>
      <c r="D577" s="19"/>
      <c r="E577" s="21"/>
      <c r="F577" s="21"/>
      <c r="G577" s="21"/>
      <c r="H577" s="21"/>
      <c r="I577" s="21">
        <v>7.5</v>
      </c>
      <c r="J577" s="21">
        <v>7.5</v>
      </c>
    </row>
    <row r="578" spans="1:10" x14ac:dyDescent="0.25">
      <c r="A578" s="19"/>
      <c r="B578" s="19" t="s">
        <v>85</v>
      </c>
      <c r="C578" s="19" t="s">
        <v>84</v>
      </c>
      <c r="D578" s="19" t="s">
        <v>169</v>
      </c>
      <c r="E578" s="21"/>
      <c r="F578" s="21">
        <v>7.5</v>
      </c>
      <c r="G578" s="21"/>
      <c r="H578" s="21"/>
      <c r="I578" s="21"/>
      <c r="J578" s="21">
        <v>7.5</v>
      </c>
    </row>
    <row r="579" spans="1:10" x14ac:dyDescent="0.25">
      <c r="A579" s="19"/>
      <c r="B579" s="19"/>
      <c r="C579" s="19"/>
      <c r="D579" s="19" t="s">
        <v>262</v>
      </c>
      <c r="E579" s="21"/>
      <c r="F579" s="21"/>
      <c r="G579" s="21">
        <v>7.5</v>
      </c>
      <c r="H579" s="21">
        <v>7.5</v>
      </c>
      <c r="I579" s="21"/>
      <c r="J579" s="21">
        <v>15</v>
      </c>
    </row>
    <row r="580" spans="1:10" ht="30" x14ac:dyDescent="0.25">
      <c r="A580" s="19"/>
      <c r="B580" s="19" t="s">
        <v>592</v>
      </c>
      <c r="C580" s="19"/>
      <c r="D580" s="19"/>
      <c r="E580" s="21"/>
      <c r="F580" s="21">
        <v>7.5</v>
      </c>
      <c r="G580" s="21">
        <v>7.5</v>
      </c>
      <c r="H580" s="21">
        <v>7.5</v>
      </c>
      <c r="I580" s="21"/>
      <c r="J580" s="21">
        <v>22.5</v>
      </c>
    </row>
    <row r="581" spans="1:10" ht="30" x14ac:dyDescent="0.25">
      <c r="A581" s="19"/>
      <c r="B581" s="19" t="s">
        <v>13</v>
      </c>
      <c r="C581" s="19" t="s">
        <v>12</v>
      </c>
      <c r="D581" s="19" t="s">
        <v>439</v>
      </c>
      <c r="E581" s="21">
        <v>7.5</v>
      </c>
      <c r="F581" s="21"/>
      <c r="G581" s="21"/>
      <c r="H581" s="21"/>
      <c r="I581" s="21"/>
      <c r="J581" s="21">
        <v>7.5</v>
      </c>
    </row>
    <row r="582" spans="1:10" ht="30" x14ac:dyDescent="0.25">
      <c r="A582" s="19"/>
      <c r="B582" s="19" t="s">
        <v>556</v>
      </c>
      <c r="C582" s="19"/>
      <c r="D582" s="19"/>
      <c r="E582" s="21">
        <v>7.5</v>
      </c>
      <c r="F582" s="21"/>
      <c r="G582" s="21"/>
      <c r="H582" s="21"/>
      <c r="I582" s="21"/>
      <c r="J582" s="21">
        <v>7.5</v>
      </c>
    </row>
    <row r="583" spans="1:10" x14ac:dyDescent="0.25">
      <c r="A583" s="19" t="s">
        <v>486</v>
      </c>
      <c r="B583" s="19"/>
      <c r="C583" s="19"/>
      <c r="D583" s="19"/>
      <c r="E583" s="21">
        <v>7.5</v>
      </c>
      <c r="F583" s="21">
        <v>7.5</v>
      </c>
      <c r="G583" s="21">
        <v>7.5</v>
      </c>
      <c r="H583" s="21">
        <v>7.5</v>
      </c>
      <c r="I583" s="21">
        <v>7.5</v>
      </c>
      <c r="J583" s="21">
        <v>37.5</v>
      </c>
    </row>
    <row r="584" spans="1:10" x14ac:dyDescent="0.25">
      <c r="A584" s="20">
        <v>43590</v>
      </c>
      <c r="B584" s="19" t="s">
        <v>87</v>
      </c>
      <c r="C584" s="19" t="s">
        <v>86</v>
      </c>
      <c r="D584" s="19" t="s">
        <v>265</v>
      </c>
      <c r="E584" s="21"/>
      <c r="F584" s="21"/>
      <c r="G584" s="21">
        <v>7.5</v>
      </c>
      <c r="H584" s="21"/>
      <c r="I584" s="21"/>
      <c r="J584" s="21">
        <v>7.5</v>
      </c>
    </row>
    <row r="585" spans="1:10" x14ac:dyDescent="0.25">
      <c r="A585" s="19"/>
      <c r="B585" s="19"/>
      <c r="C585" s="19"/>
      <c r="D585" s="19" t="s">
        <v>264</v>
      </c>
      <c r="E585" s="21">
        <v>7.5</v>
      </c>
      <c r="F585" s="21">
        <v>7.5</v>
      </c>
      <c r="G585" s="21"/>
      <c r="H585" s="21"/>
      <c r="I585" s="21"/>
      <c r="J585" s="21">
        <v>15</v>
      </c>
    </row>
    <row r="586" spans="1:10" x14ac:dyDescent="0.25">
      <c r="A586" s="19"/>
      <c r="B586" s="19"/>
      <c r="C586" s="19"/>
      <c r="D586" s="19" t="s">
        <v>266</v>
      </c>
      <c r="E586" s="21"/>
      <c r="F586" s="21"/>
      <c r="G586" s="21"/>
      <c r="H586" s="21">
        <v>3.75</v>
      </c>
      <c r="I586" s="21">
        <v>3.75</v>
      </c>
      <c r="J586" s="21">
        <v>7.5</v>
      </c>
    </row>
    <row r="587" spans="1:10" ht="30" x14ac:dyDescent="0.25">
      <c r="A587" s="19"/>
      <c r="B587" s="19" t="s">
        <v>593</v>
      </c>
      <c r="C587" s="19"/>
      <c r="D587" s="19"/>
      <c r="E587" s="21">
        <v>7.5</v>
      </c>
      <c r="F587" s="21">
        <v>7.5</v>
      </c>
      <c r="G587" s="21">
        <v>7.5</v>
      </c>
      <c r="H587" s="21">
        <v>3.75</v>
      </c>
      <c r="I587" s="21">
        <v>3.75</v>
      </c>
      <c r="J587" s="21">
        <v>30</v>
      </c>
    </row>
    <row r="588" spans="1:10" x14ac:dyDescent="0.25">
      <c r="A588" s="19"/>
      <c r="B588" s="19" t="s">
        <v>85</v>
      </c>
      <c r="C588" s="19" t="s">
        <v>84</v>
      </c>
      <c r="D588" s="19" t="s">
        <v>169</v>
      </c>
      <c r="E588" s="21"/>
      <c r="F588" s="21"/>
      <c r="G588" s="21"/>
      <c r="H588" s="21">
        <v>3.75</v>
      </c>
      <c r="I588" s="21"/>
      <c r="J588" s="21">
        <v>3.75</v>
      </c>
    </row>
    <row r="589" spans="1:10" ht="30" x14ac:dyDescent="0.25">
      <c r="A589" s="19"/>
      <c r="B589" s="19" t="s">
        <v>592</v>
      </c>
      <c r="C589" s="19"/>
      <c r="D589" s="19"/>
      <c r="E589" s="21"/>
      <c r="F589" s="21"/>
      <c r="G589" s="21"/>
      <c r="H589" s="21">
        <v>3.75</v>
      </c>
      <c r="I589" s="21"/>
      <c r="J589" s="21">
        <v>3.75</v>
      </c>
    </row>
    <row r="590" spans="1:10" x14ac:dyDescent="0.25">
      <c r="A590" s="19"/>
      <c r="B590" s="19" t="s">
        <v>69</v>
      </c>
      <c r="C590" s="19" t="s">
        <v>68</v>
      </c>
      <c r="D590" s="19" t="s">
        <v>439</v>
      </c>
      <c r="E590" s="21"/>
      <c r="F590" s="21"/>
      <c r="G590" s="21"/>
      <c r="H590" s="21"/>
      <c r="I590" s="21">
        <v>3.75</v>
      </c>
      <c r="J590" s="21">
        <v>3.75</v>
      </c>
    </row>
    <row r="591" spans="1:10" x14ac:dyDescent="0.25">
      <c r="A591" s="19"/>
      <c r="B591" s="19" t="s">
        <v>584</v>
      </c>
      <c r="C591" s="19"/>
      <c r="D591" s="19"/>
      <c r="E591" s="21"/>
      <c r="F591" s="21"/>
      <c r="G591" s="21"/>
      <c r="H591" s="21"/>
      <c r="I591" s="21">
        <v>3.75</v>
      </c>
      <c r="J591" s="21">
        <v>3.75</v>
      </c>
    </row>
    <row r="592" spans="1:10" x14ac:dyDescent="0.25">
      <c r="A592" s="19" t="s">
        <v>487</v>
      </c>
      <c r="B592" s="19"/>
      <c r="C592" s="19"/>
      <c r="D592" s="19"/>
      <c r="E592" s="21">
        <v>7.5</v>
      </c>
      <c r="F592" s="21">
        <v>7.5</v>
      </c>
      <c r="G592" s="21">
        <v>7.5</v>
      </c>
      <c r="H592" s="21">
        <v>7.5</v>
      </c>
      <c r="I592" s="21">
        <v>7.5</v>
      </c>
      <c r="J592" s="21">
        <v>37.5</v>
      </c>
    </row>
    <row r="593" spans="1:10" x14ac:dyDescent="0.25">
      <c r="A593" s="20">
        <v>43583</v>
      </c>
      <c r="B593" s="19" t="s">
        <v>87</v>
      </c>
      <c r="C593" s="19" t="s">
        <v>86</v>
      </c>
      <c r="D593" s="19" t="s">
        <v>267</v>
      </c>
      <c r="E593" s="21"/>
      <c r="F593" s="21">
        <v>7.5</v>
      </c>
      <c r="G593" s="21"/>
      <c r="H593" s="21">
        <v>3.75</v>
      </c>
      <c r="I593" s="21"/>
      <c r="J593" s="21">
        <v>11.25</v>
      </c>
    </row>
    <row r="594" spans="1:10" x14ac:dyDescent="0.25">
      <c r="A594" s="19"/>
      <c r="B594" s="19"/>
      <c r="C594" s="19"/>
      <c r="D594" s="19" t="s">
        <v>236</v>
      </c>
      <c r="E594" s="21"/>
      <c r="F594" s="21"/>
      <c r="G594" s="21">
        <v>7.5</v>
      </c>
      <c r="H594" s="21"/>
      <c r="I594" s="21"/>
      <c r="J594" s="21">
        <v>7.5</v>
      </c>
    </row>
    <row r="595" spans="1:10" ht="30" x14ac:dyDescent="0.25">
      <c r="A595" s="19"/>
      <c r="B595" s="19" t="s">
        <v>593</v>
      </c>
      <c r="C595" s="19"/>
      <c r="D595" s="19"/>
      <c r="E595" s="21"/>
      <c r="F595" s="21">
        <v>7.5</v>
      </c>
      <c r="G595" s="21">
        <v>7.5</v>
      </c>
      <c r="H595" s="21">
        <v>3.75</v>
      </c>
      <c r="I595" s="21"/>
      <c r="J595" s="21">
        <v>18.75</v>
      </c>
    </row>
    <row r="596" spans="1:10" x14ac:dyDescent="0.25">
      <c r="A596" s="19"/>
      <c r="B596" s="19" t="s">
        <v>85</v>
      </c>
      <c r="C596" s="19" t="s">
        <v>84</v>
      </c>
      <c r="D596" s="19" t="s">
        <v>268</v>
      </c>
      <c r="E596" s="21"/>
      <c r="F596" s="21"/>
      <c r="G596" s="21"/>
      <c r="H596" s="21">
        <v>3.75</v>
      </c>
      <c r="I596" s="21">
        <v>3.75</v>
      </c>
      <c r="J596" s="21">
        <v>7.5</v>
      </c>
    </row>
    <row r="597" spans="1:10" x14ac:dyDescent="0.25">
      <c r="A597" s="19"/>
      <c r="B597" s="19"/>
      <c r="C597" s="19"/>
      <c r="D597" s="19" t="s">
        <v>269</v>
      </c>
      <c r="E597" s="21"/>
      <c r="F597" s="21"/>
      <c r="G597" s="21"/>
      <c r="H597" s="21"/>
      <c r="I597" s="21">
        <v>3.75</v>
      </c>
      <c r="J597" s="21">
        <v>3.75</v>
      </c>
    </row>
    <row r="598" spans="1:10" ht="30" x14ac:dyDescent="0.25">
      <c r="A598" s="19"/>
      <c r="B598" s="19" t="s">
        <v>592</v>
      </c>
      <c r="C598" s="19"/>
      <c r="D598" s="19"/>
      <c r="E598" s="21"/>
      <c r="F598" s="21"/>
      <c r="G598" s="21"/>
      <c r="H598" s="21">
        <v>3.75</v>
      </c>
      <c r="I598" s="21">
        <v>7.5</v>
      </c>
      <c r="J598" s="21">
        <v>11.25</v>
      </c>
    </row>
    <row r="599" spans="1:10" ht="30" x14ac:dyDescent="0.25">
      <c r="A599" s="19"/>
      <c r="B599" s="19" t="s">
        <v>13</v>
      </c>
      <c r="C599" s="19" t="s">
        <v>12</v>
      </c>
      <c r="D599" s="19" t="s">
        <v>439</v>
      </c>
      <c r="E599" s="21">
        <v>7.5</v>
      </c>
      <c r="F599" s="21"/>
      <c r="G599" s="21"/>
      <c r="H599" s="21"/>
      <c r="I599" s="21"/>
      <c r="J599" s="21">
        <v>7.5</v>
      </c>
    </row>
    <row r="600" spans="1:10" ht="30" x14ac:dyDescent="0.25">
      <c r="A600" s="19"/>
      <c r="B600" s="19" t="s">
        <v>556</v>
      </c>
      <c r="C600" s="19"/>
      <c r="D600" s="19"/>
      <c r="E600" s="21">
        <v>7.5</v>
      </c>
      <c r="F600" s="21"/>
      <c r="G600" s="21"/>
      <c r="H600" s="21"/>
      <c r="I600" s="21"/>
      <c r="J600" s="21">
        <v>7.5</v>
      </c>
    </row>
    <row r="601" spans="1:10" x14ac:dyDescent="0.25">
      <c r="A601" s="19" t="s">
        <v>488</v>
      </c>
      <c r="B601" s="19"/>
      <c r="C601" s="19"/>
      <c r="D601" s="19"/>
      <c r="E601" s="21">
        <v>7.5</v>
      </c>
      <c r="F601" s="21">
        <v>7.5</v>
      </c>
      <c r="G601" s="21">
        <v>7.5</v>
      </c>
      <c r="H601" s="21">
        <v>7.5</v>
      </c>
      <c r="I601" s="21">
        <v>7.5</v>
      </c>
      <c r="J601" s="21">
        <v>37.5</v>
      </c>
    </row>
    <row r="602" spans="1:10" ht="30" x14ac:dyDescent="0.25">
      <c r="A602" s="20">
        <v>43576</v>
      </c>
      <c r="B602" s="19" t="s">
        <v>87</v>
      </c>
      <c r="C602" s="19" t="s">
        <v>86</v>
      </c>
      <c r="D602" s="19" t="s">
        <v>272</v>
      </c>
      <c r="E602" s="21"/>
      <c r="F602" s="21">
        <v>5</v>
      </c>
      <c r="G602" s="21"/>
      <c r="H602" s="21"/>
      <c r="I602" s="21"/>
      <c r="J602" s="21">
        <v>5</v>
      </c>
    </row>
    <row r="603" spans="1:10" x14ac:dyDescent="0.25">
      <c r="A603" s="19"/>
      <c r="B603" s="19"/>
      <c r="C603" s="19"/>
      <c r="D603" s="19" t="s">
        <v>275</v>
      </c>
      <c r="E603" s="21"/>
      <c r="F603" s="21"/>
      <c r="G603" s="21"/>
      <c r="H603" s="21">
        <v>3.75</v>
      </c>
      <c r="I603" s="21"/>
      <c r="J603" s="21">
        <v>3.75</v>
      </c>
    </row>
    <row r="604" spans="1:10" x14ac:dyDescent="0.25">
      <c r="A604" s="19"/>
      <c r="B604" s="19"/>
      <c r="C604" s="19"/>
      <c r="D604" s="19" t="s">
        <v>274</v>
      </c>
      <c r="E604" s="21"/>
      <c r="F604" s="21"/>
      <c r="G604" s="21">
        <v>7.5</v>
      </c>
      <c r="H604" s="21"/>
      <c r="I604" s="21"/>
      <c r="J604" s="21">
        <v>7.5</v>
      </c>
    </row>
    <row r="605" spans="1:10" ht="30" x14ac:dyDescent="0.25">
      <c r="A605" s="19"/>
      <c r="B605" s="19"/>
      <c r="C605" s="19"/>
      <c r="D605" s="19" t="s">
        <v>271</v>
      </c>
      <c r="E605" s="21">
        <v>5</v>
      </c>
      <c r="F605" s="21"/>
      <c r="G605" s="21"/>
      <c r="H605" s="21"/>
      <c r="I605" s="21"/>
      <c r="J605" s="21">
        <v>5</v>
      </c>
    </row>
    <row r="606" spans="1:10" x14ac:dyDescent="0.25">
      <c r="A606" s="19"/>
      <c r="B606" s="19"/>
      <c r="C606" s="19"/>
      <c r="D606" s="19" t="s">
        <v>273</v>
      </c>
      <c r="E606" s="21"/>
      <c r="F606" s="21">
        <v>2.5</v>
      </c>
      <c r="G606" s="21"/>
      <c r="H606" s="21"/>
      <c r="I606" s="21"/>
      <c r="J606" s="21">
        <v>2.5</v>
      </c>
    </row>
    <row r="607" spans="1:10" x14ac:dyDescent="0.25">
      <c r="A607" s="19"/>
      <c r="B607" s="19"/>
      <c r="C607" s="19"/>
      <c r="D607" s="19" t="s">
        <v>276</v>
      </c>
      <c r="E607" s="21"/>
      <c r="F607" s="21"/>
      <c r="G607" s="21"/>
      <c r="H607" s="21">
        <v>3.75</v>
      </c>
      <c r="I607" s="21"/>
      <c r="J607" s="21">
        <v>3.75</v>
      </c>
    </row>
    <row r="608" spans="1:10" x14ac:dyDescent="0.25">
      <c r="A608" s="19"/>
      <c r="B608" s="19"/>
      <c r="C608" s="19"/>
      <c r="D608" s="19" t="s">
        <v>270</v>
      </c>
      <c r="E608" s="21">
        <v>2.5</v>
      </c>
      <c r="F608" s="21"/>
      <c r="G608" s="21"/>
      <c r="H608" s="21"/>
      <c r="I608" s="21"/>
      <c r="J608" s="21">
        <v>2.5</v>
      </c>
    </row>
    <row r="609" spans="1:10" ht="30" x14ac:dyDescent="0.25">
      <c r="A609" s="19"/>
      <c r="B609" s="19" t="s">
        <v>593</v>
      </c>
      <c r="C609" s="19"/>
      <c r="D609" s="19"/>
      <c r="E609" s="21">
        <v>7.5</v>
      </c>
      <c r="F609" s="21">
        <v>7.5</v>
      </c>
      <c r="G609" s="21">
        <v>7.5</v>
      </c>
      <c r="H609" s="21">
        <v>7.5</v>
      </c>
      <c r="I609" s="21"/>
      <c r="J609" s="21">
        <v>30</v>
      </c>
    </row>
    <row r="610" spans="1:10" x14ac:dyDescent="0.25">
      <c r="A610" s="19"/>
      <c r="B610" s="19" t="s">
        <v>69</v>
      </c>
      <c r="C610" s="19" t="s">
        <v>68</v>
      </c>
      <c r="D610" s="19" t="s">
        <v>439</v>
      </c>
      <c r="E610" s="21"/>
      <c r="F610" s="21"/>
      <c r="G610" s="21"/>
      <c r="H610" s="21"/>
      <c r="I610" s="21">
        <v>7.5</v>
      </c>
      <c r="J610" s="21">
        <v>7.5</v>
      </c>
    </row>
    <row r="611" spans="1:10" x14ac:dyDescent="0.25">
      <c r="A611" s="19"/>
      <c r="B611" s="19" t="s">
        <v>584</v>
      </c>
      <c r="C611" s="19"/>
      <c r="D611" s="19"/>
      <c r="E611" s="21"/>
      <c r="F611" s="21"/>
      <c r="G611" s="21"/>
      <c r="H611" s="21"/>
      <c r="I611" s="21">
        <v>7.5</v>
      </c>
      <c r="J611" s="21">
        <v>7.5</v>
      </c>
    </row>
    <row r="612" spans="1:10" x14ac:dyDescent="0.25">
      <c r="A612" s="19" t="s">
        <v>489</v>
      </c>
      <c r="B612" s="19"/>
      <c r="C612" s="19"/>
      <c r="D612" s="19"/>
      <c r="E612" s="21">
        <v>7.5</v>
      </c>
      <c r="F612" s="21">
        <v>7.5</v>
      </c>
      <c r="G612" s="21">
        <v>7.5</v>
      </c>
      <c r="H612" s="21">
        <v>7.5</v>
      </c>
      <c r="I612" s="21">
        <v>7.5</v>
      </c>
      <c r="J612" s="21">
        <v>37.5</v>
      </c>
    </row>
    <row r="613" spans="1:10" x14ac:dyDescent="0.25">
      <c r="A613" s="20">
        <v>43569</v>
      </c>
      <c r="B613" s="19" t="s">
        <v>75</v>
      </c>
      <c r="C613" s="19" t="s">
        <v>74</v>
      </c>
      <c r="D613" s="19" t="s">
        <v>280</v>
      </c>
      <c r="E613" s="21"/>
      <c r="F613" s="21"/>
      <c r="G613" s="21"/>
      <c r="H613" s="21">
        <v>3.75</v>
      </c>
      <c r="I613" s="21"/>
      <c r="J613" s="21">
        <v>3.75</v>
      </c>
    </row>
    <row r="614" spans="1:10" x14ac:dyDescent="0.25">
      <c r="A614" s="19"/>
      <c r="B614" s="19"/>
      <c r="C614" s="19"/>
      <c r="D614" s="19" t="s">
        <v>281</v>
      </c>
      <c r="E614" s="21"/>
      <c r="F614" s="21"/>
      <c r="G614" s="21"/>
      <c r="H614" s="21"/>
      <c r="I614" s="21">
        <v>3.75</v>
      </c>
      <c r="J614" s="21">
        <v>3.75</v>
      </c>
    </row>
    <row r="615" spans="1:10" ht="30" x14ac:dyDescent="0.25">
      <c r="A615" s="19"/>
      <c r="B615" s="19" t="s">
        <v>587</v>
      </c>
      <c r="C615" s="19"/>
      <c r="D615" s="19"/>
      <c r="E615" s="21"/>
      <c r="F615" s="21"/>
      <c r="G615" s="21"/>
      <c r="H615" s="21">
        <v>3.75</v>
      </c>
      <c r="I615" s="21">
        <v>3.75</v>
      </c>
      <c r="J615" s="21">
        <v>7.5</v>
      </c>
    </row>
    <row r="616" spans="1:10" x14ac:dyDescent="0.25">
      <c r="A616" s="19"/>
      <c r="B616" s="19" t="s">
        <v>87</v>
      </c>
      <c r="C616" s="19" t="s">
        <v>86</v>
      </c>
      <c r="D616" s="19" t="s">
        <v>282</v>
      </c>
      <c r="E616" s="21"/>
      <c r="F616" s="21"/>
      <c r="G616" s="21"/>
      <c r="H616" s="21"/>
      <c r="I616" s="21">
        <v>3.75</v>
      </c>
      <c r="J616" s="21">
        <v>3.75</v>
      </c>
    </row>
    <row r="617" spans="1:10" x14ac:dyDescent="0.25">
      <c r="A617" s="19"/>
      <c r="B617" s="19"/>
      <c r="C617" s="19"/>
      <c r="D617" s="19" t="s">
        <v>279</v>
      </c>
      <c r="E617" s="21"/>
      <c r="F617" s="21"/>
      <c r="G617" s="21">
        <v>5</v>
      </c>
      <c r="H617" s="21">
        <v>3.75</v>
      </c>
      <c r="I617" s="21"/>
      <c r="J617" s="21">
        <v>8.75</v>
      </c>
    </row>
    <row r="618" spans="1:10" x14ac:dyDescent="0.25">
      <c r="A618" s="19"/>
      <c r="B618" s="19"/>
      <c r="C618" s="19"/>
      <c r="D618" s="19" t="s">
        <v>277</v>
      </c>
      <c r="E618" s="21">
        <v>7.5</v>
      </c>
      <c r="F618" s="21"/>
      <c r="G618" s="21"/>
      <c r="H618" s="21"/>
      <c r="I618" s="21"/>
      <c r="J618" s="21">
        <v>7.5</v>
      </c>
    </row>
    <row r="619" spans="1:10" x14ac:dyDescent="0.25">
      <c r="A619" s="19"/>
      <c r="B619" s="19"/>
      <c r="C619" s="19"/>
      <c r="D619" s="19" t="s">
        <v>278</v>
      </c>
      <c r="E619" s="21"/>
      <c r="F619" s="21">
        <v>7.5</v>
      </c>
      <c r="G619" s="21">
        <v>2.5</v>
      </c>
      <c r="H619" s="21"/>
      <c r="I619" s="21"/>
      <c r="J619" s="21">
        <v>10</v>
      </c>
    </row>
    <row r="620" spans="1:10" ht="30" x14ac:dyDescent="0.25">
      <c r="A620" s="19"/>
      <c r="B620" s="19" t="s">
        <v>593</v>
      </c>
      <c r="C620" s="19"/>
      <c r="D620" s="19"/>
      <c r="E620" s="21">
        <v>7.5</v>
      </c>
      <c r="F620" s="21">
        <v>7.5</v>
      </c>
      <c r="G620" s="21">
        <v>7.5</v>
      </c>
      <c r="H620" s="21">
        <v>3.75</v>
      </c>
      <c r="I620" s="21">
        <v>3.75</v>
      </c>
      <c r="J620" s="21">
        <v>30</v>
      </c>
    </row>
    <row r="621" spans="1:10" x14ac:dyDescent="0.25">
      <c r="A621" s="19" t="s">
        <v>491</v>
      </c>
      <c r="B621" s="19"/>
      <c r="C621" s="19"/>
      <c r="D621" s="19"/>
      <c r="E621" s="21">
        <v>7.5</v>
      </c>
      <c r="F621" s="21">
        <v>7.5</v>
      </c>
      <c r="G621" s="21">
        <v>7.5</v>
      </c>
      <c r="H621" s="21">
        <v>7.5</v>
      </c>
      <c r="I621" s="21">
        <v>7.5</v>
      </c>
      <c r="J621" s="21">
        <v>37.5</v>
      </c>
    </row>
    <row r="622" spans="1:10" x14ac:dyDescent="0.25">
      <c r="A622" s="20">
        <v>43562</v>
      </c>
      <c r="B622" s="19" t="s">
        <v>87</v>
      </c>
      <c r="C622" s="19" t="s">
        <v>86</v>
      </c>
      <c r="D622" s="19" t="s">
        <v>142</v>
      </c>
      <c r="E622" s="21"/>
      <c r="F622" s="21"/>
      <c r="G622" s="21"/>
      <c r="H622" s="21"/>
      <c r="I622" s="21">
        <v>7.5</v>
      </c>
      <c r="J622" s="21">
        <v>7.5</v>
      </c>
    </row>
    <row r="623" spans="1:10" x14ac:dyDescent="0.25">
      <c r="A623" s="19"/>
      <c r="B623" s="19"/>
      <c r="C623" s="19"/>
      <c r="D623" s="19" t="s">
        <v>287</v>
      </c>
      <c r="E623" s="21"/>
      <c r="F623" s="21"/>
      <c r="G623" s="21"/>
      <c r="H623" s="21">
        <v>7.5</v>
      </c>
      <c r="I623" s="21"/>
      <c r="J623" s="21">
        <v>7.5</v>
      </c>
    </row>
    <row r="624" spans="1:10" x14ac:dyDescent="0.25">
      <c r="A624" s="19"/>
      <c r="B624" s="19"/>
      <c r="C624" s="19"/>
      <c r="D624" s="19" t="s">
        <v>283</v>
      </c>
      <c r="E624" s="21">
        <v>4</v>
      </c>
      <c r="F624" s="21"/>
      <c r="G624" s="21"/>
      <c r="H624" s="21"/>
      <c r="I624" s="21"/>
      <c r="J624" s="21">
        <v>4</v>
      </c>
    </row>
    <row r="625" spans="1:10" x14ac:dyDescent="0.25">
      <c r="A625" s="19"/>
      <c r="B625" s="19"/>
      <c r="C625" s="19"/>
      <c r="D625" s="19" t="s">
        <v>284</v>
      </c>
      <c r="E625" s="21">
        <v>2</v>
      </c>
      <c r="F625" s="21"/>
      <c r="G625" s="21"/>
      <c r="H625" s="21"/>
      <c r="I625" s="21"/>
      <c r="J625" s="21">
        <v>2</v>
      </c>
    </row>
    <row r="626" spans="1:10" x14ac:dyDescent="0.25">
      <c r="A626" s="19"/>
      <c r="B626" s="19"/>
      <c r="C626" s="19"/>
      <c r="D626" s="19" t="s">
        <v>285</v>
      </c>
      <c r="E626" s="21">
        <v>1.5</v>
      </c>
      <c r="F626" s="21"/>
      <c r="G626" s="21"/>
      <c r="H626" s="21"/>
      <c r="I626" s="21"/>
      <c r="J626" s="21">
        <v>1.5</v>
      </c>
    </row>
    <row r="627" spans="1:10" x14ac:dyDescent="0.25">
      <c r="A627" s="19"/>
      <c r="B627" s="19"/>
      <c r="C627" s="19"/>
      <c r="D627" s="19" t="s">
        <v>286</v>
      </c>
      <c r="E627" s="21"/>
      <c r="F627" s="21">
        <v>7.5</v>
      </c>
      <c r="G627" s="21"/>
      <c r="H627" s="21"/>
      <c r="I627" s="21"/>
      <c r="J627" s="21">
        <v>7.5</v>
      </c>
    </row>
    <row r="628" spans="1:10" x14ac:dyDescent="0.25">
      <c r="A628" s="19"/>
      <c r="B628" s="19"/>
      <c r="C628" s="19"/>
      <c r="D628" s="19" t="s">
        <v>277</v>
      </c>
      <c r="E628" s="21"/>
      <c r="F628" s="21"/>
      <c r="G628" s="21">
        <v>7.5</v>
      </c>
      <c r="H628" s="21"/>
      <c r="I628" s="21"/>
      <c r="J628" s="21">
        <v>7.5</v>
      </c>
    </row>
    <row r="629" spans="1:10" ht="30" x14ac:dyDescent="0.25">
      <c r="A629" s="19"/>
      <c r="B629" s="19" t="s">
        <v>593</v>
      </c>
      <c r="C629" s="19"/>
      <c r="D629" s="19"/>
      <c r="E629" s="21">
        <v>7.5</v>
      </c>
      <c r="F629" s="21">
        <v>7.5</v>
      </c>
      <c r="G629" s="21">
        <v>7.5</v>
      </c>
      <c r="H629" s="21">
        <v>7.5</v>
      </c>
      <c r="I629" s="21">
        <v>7.5</v>
      </c>
      <c r="J629" s="21">
        <v>37.5</v>
      </c>
    </row>
    <row r="630" spans="1:10" x14ac:dyDescent="0.25">
      <c r="A630" s="19" t="s">
        <v>492</v>
      </c>
      <c r="B630" s="19"/>
      <c r="C630" s="19"/>
      <c r="D630" s="19"/>
      <c r="E630" s="21">
        <v>7.5</v>
      </c>
      <c r="F630" s="21">
        <v>7.5</v>
      </c>
      <c r="G630" s="21">
        <v>7.5</v>
      </c>
      <c r="H630" s="21">
        <v>7.5</v>
      </c>
      <c r="I630" s="21">
        <v>7.5</v>
      </c>
      <c r="J630" s="21">
        <v>37.5</v>
      </c>
    </row>
    <row r="631" spans="1:10" x14ac:dyDescent="0.25">
      <c r="A631" s="20">
        <v>43555</v>
      </c>
      <c r="B631" s="19" t="s">
        <v>75</v>
      </c>
      <c r="C631" s="19" t="s">
        <v>74</v>
      </c>
      <c r="D631" s="19" t="s">
        <v>289</v>
      </c>
      <c r="E631" s="21"/>
      <c r="F631" s="21">
        <v>2.5</v>
      </c>
      <c r="G631" s="21">
        <v>5</v>
      </c>
      <c r="H631" s="21">
        <v>2.5</v>
      </c>
      <c r="I631" s="21"/>
      <c r="J631" s="21">
        <v>10</v>
      </c>
    </row>
    <row r="632" spans="1:10" ht="30" x14ac:dyDescent="0.25">
      <c r="A632" s="19"/>
      <c r="B632" s="19" t="s">
        <v>587</v>
      </c>
      <c r="C632" s="19"/>
      <c r="D632" s="19"/>
      <c r="E632" s="21"/>
      <c r="F632" s="21">
        <v>2.5</v>
      </c>
      <c r="G632" s="21">
        <v>5</v>
      </c>
      <c r="H632" s="21">
        <v>2.5</v>
      </c>
      <c r="I632" s="21"/>
      <c r="J632" s="21">
        <v>10</v>
      </c>
    </row>
    <row r="633" spans="1:10" x14ac:dyDescent="0.25">
      <c r="A633" s="19"/>
      <c r="B633" s="19" t="s">
        <v>87</v>
      </c>
      <c r="C633" s="19" t="s">
        <v>86</v>
      </c>
      <c r="D633" s="19" t="s">
        <v>142</v>
      </c>
      <c r="E633" s="21">
        <v>7.5</v>
      </c>
      <c r="F633" s="21"/>
      <c r="G633" s="21"/>
      <c r="H633" s="21"/>
      <c r="I633" s="21"/>
      <c r="J633" s="21">
        <v>7.5</v>
      </c>
    </row>
    <row r="634" spans="1:10" x14ac:dyDescent="0.25">
      <c r="A634" s="19"/>
      <c r="B634" s="19"/>
      <c r="C634" s="19"/>
      <c r="D634" s="19" t="s">
        <v>290</v>
      </c>
      <c r="E634" s="21"/>
      <c r="F634" s="21"/>
      <c r="G634" s="21"/>
      <c r="H634" s="21">
        <v>5</v>
      </c>
      <c r="I634" s="21"/>
      <c r="J634" s="21">
        <v>5</v>
      </c>
    </row>
    <row r="635" spans="1:10" x14ac:dyDescent="0.25">
      <c r="A635" s="19"/>
      <c r="B635" s="19"/>
      <c r="C635" s="19"/>
      <c r="D635" s="19" t="s">
        <v>236</v>
      </c>
      <c r="E635" s="21"/>
      <c r="F635" s="21">
        <v>2</v>
      </c>
      <c r="G635" s="21"/>
      <c r="H635" s="21"/>
      <c r="I635" s="21"/>
      <c r="J635" s="21">
        <v>2</v>
      </c>
    </row>
    <row r="636" spans="1:10" x14ac:dyDescent="0.25">
      <c r="A636" s="19"/>
      <c r="B636" s="19"/>
      <c r="C636" s="19"/>
      <c r="D636" s="19" t="s">
        <v>291</v>
      </c>
      <c r="E636" s="21"/>
      <c r="F636" s="21"/>
      <c r="G636" s="21"/>
      <c r="H636" s="21"/>
      <c r="I636" s="21">
        <v>7.5</v>
      </c>
      <c r="J636" s="21">
        <v>7.5</v>
      </c>
    </row>
    <row r="637" spans="1:10" x14ac:dyDescent="0.25">
      <c r="A637" s="19"/>
      <c r="B637" s="19"/>
      <c r="C637" s="19"/>
      <c r="D637" s="19" t="s">
        <v>288</v>
      </c>
      <c r="E637" s="21"/>
      <c r="F637" s="21">
        <v>3</v>
      </c>
      <c r="G637" s="21"/>
      <c r="H637" s="21"/>
      <c r="I637" s="21"/>
      <c r="J637" s="21">
        <v>3</v>
      </c>
    </row>
    <row r="638" spans="1:10" x14ac:dyDescent="0.25">
      <c r="A638" s="19"/>
      <c r="B638" s="19"/>
      <c r="C638" s="19"/>
      <c r="D638" s="19" t="s">
        <v>278</v>
      </c>
      <c r="E638" s="21"/>
      <c r="F638" s="21"/>
      <c r="G638" s="21">
        <v>2.5</v>
      </c>
      <c r="H638" s="21"/>
      <c r="I638" s="21"/>
      <c r="J638" s="21">
        <v>2.5</v>
      </c>
    </row>
    <row r="639" spans="1:10" ht="30" x14ac:dyDescent="0.25">
      <c r="A639" s="19"/>
      <c r="B639" s="19" t="s">
        <v>593</v>
      </c>
      <c r="C639" s="19"/>
      <c r="D639" s="19"/>
      <c r="E639" s="21">
        <v>7.5</v>
      </c>
      <c r="F639" s="21">
        <v>5</v>
      </c>
      <c r="G639" s="21">
        <v>2.5</v>
      </c>
      <c r="H639" s="21">
        <v>5</v>
      </c>
      <c r="I639" s="21">
        <v>7.5</v>
      </c>
      <c r="J639" s="21">
        <v>27.5</v>
      </c>
    </row>
    <row r="640" spans="1:10" x14ac:dyDescent="0.25">
      <c r="A640" s="19" t="s">
        <v>493</v>
      </c>
      <c r="B640" s="19"/>
      <c r="C640" s="19"/>
      <c r="D640" s="19"/>
      <c r="E640" s="21">
        <v>7.5</v>
      </c>
      <c r="F640" s="21">
        <v>7.5</v>
      </c>
      <c r="G640" s="21">
        <v>7.5</v>
      </c>
      <c r="H640" s="21">
        <v>7.5</v>
      </c>
      <c r="I640" s="21">
        <v>7.5</v>
      </c>
      <c r="J640" s="21">
        <v>37.5</v>
      </c>
    </row>
    <row r="641" spans="1:10" x14ac:dyDescent="0.25">
      <c r="A641" s="20">
        <v>43548</v>
      </c>
      <c r="B641" s="19" t="s">
        <v>87</v>
      </c>
      <c r="C641" s="19" t="s">
        <v>86</v>
      </c>
      <c r="D641" s="19" t="s">
        <v>294</v>
      </c>
      <c r="E641" s="21"/>
      <c r="F641" s="21"/>
      <c r="G641" s="21">
        <v>7.5</v>
      </c>
      <c r="H641" s="21"/>
      <c r="I641" s="21"/>
      <c r="J641" s="21">
        <v>7.5</v>
      </c>
    </row>
    <row r="642" spans="1:10" ht="30" x14ac:dyDescent="0.25">
      <c r="A642" s="19"/>
      <c r="B642" s="19"/>
      <c r="C642" s="19"/>
      <c r="D642" s="19" t="s">
        <v>295</v>
      </c>
      <c r="E642" s="21"/>
      <c r="F642" s="21"/>
      <c r="G642" s="21"/>
      <c r="H642" s="21">
        <v>7.5</v>
      </c>
      <c r="I642" s="21"/>
      <c r="J642" s="21">
        <v>7.5</v>
      </c>
    </row>
    <row r="643" spans="1:10" x14ac:dyDescent="0.25">
      <c r="A643" s="19"/>
      <c r="B643" s="19"/>
      <c r="C643" s="19"/>
      <c r="D643" s="19" t="s">
        <v>293</v>
      </c>
      <c r="E643" s="21"/>
      <c r="F643" s="21">
        <v>7.5</v>
      </c>
      <c r="G643" s="21"/>
      <c r="H643" s="21"/>
      <c r="I643" s="21"/>
      <c r="J643" s="21">
        <v>7.5</v>
      </c>
    </row>
    <row r="644" spans="1:10" ht="30" x14ac:dyDescent="0.25">
      <c r="A644" s="19"/>
      <c r="B644" s="19" t="s">
        <v>593</v>
      </c>
      <c r="C644" s="19"/>
      <c r="D644" s="19"/>
      <c r="E644" s="21"/>
      <c r="F644" s="21">
        <v>7.5</v>
      </c>
      <c r="G644" s="21">
        <v>7.5</v>
      </c>
      <c r="H644" s="21">
        <v>7.5</v>
      </c>
      <c r="I644" s="21"/>
      <c r="J644" s="21">
        <v>22.5</v>
      </c>
    </row>
    <row r="645" spans="1:10" x14ac:dyDescent="0.25">
      <c r="A645" s="19"/>
      <c r="B645" s="19" t="s">
        <v>5</v>
      </c>
      <c r="C645" s="19" t="s">
        <v>4</v>
      </c>
      <c r="D645" s="19" t="s">
        <v>292</v>
      </c>
      <c r="E645" s="21">
        <v>7.5</v>
      </c>
      <c r="F645" s="21"/>
      <c r="G645" s="21"/>
      <c r="H645" s="21"/>
      <c r="I645" s="21">
        <v>7.5</v>
      </c>
      <c r="J645" s="21">
        <v>15</v>
      </c>
    </row>
    <row r="646" spans="1:10" ht="30" x14ac:dyDescent="0.25">
      <c r="A646" s="19"/>
      <c r="B646" s="19" t="s">
        <v>546</v>
      </c>
      <c r="C646" s="19"/>
      <c r="D646" s="19"/>
      <c r="E646" s="21">
        <v>7.5</v>
      </c>
      <c r="F646" s="21"/>
      <c r="G646" s="21"/>
      <c r="H646" s="21"/>
      <c r="I646" s="21">
        <v>7.5</v>
      </c>
      <c r="J646" s="21">
        <v>15</v>
      </c>
    </row>
    <row r="647" spans="1:10" x14ac:dyDescent="0.25">
      <c r="A647" s="19" t="s">
        <v>495</v>
      </c>
      <c r="B647" s="19"/>
      <c r="C647" s="19"/>
      <c r="D647" s="19"/>
      <c r="E647" s="21">
        <v>7.5</v>
      </c>
      <c r="F647" s="21">
        <v>7.5</v>
      </c>
      <c r="G647" s="21">
        <v>7.5</v>
      </c>
      <c r="H647" s="21">
        <v>7.5</v>
      </c>
      <c r="I647" s="21">
        <v>7.5</v>
      </c>
      <c r="J647" s="21">
        <v>37.5</v>
      </c>
    </row>
    <row r="648" spans="1:10" x14ac:dyDescent="0.25">
      <c r="A648" s="20">
        <v>43541</v>
      </c>
      <c r="B648" s="19" t="s">
        <v>87</v>
      </c>
      <c r="C648" s="19" t="s">
        <v>86</v>
      </c>
      <c r="D648" s="19" t="s">
        <v>300</v>
      </c>
      <c r="E648" s="21"/>
      <c r="F648" s="21"/>
      <c r="G648" s="21"/>
      <c r="H648" s="21">
        <v>7.5</v>
      </c>
      <c r="I648" s="21"/>
      <c r="J648" s="21">
        <v>7.5</v>
      </c>
    </row>
    <row r="649" spans="1:10" x14ac:dyDescent="0.25">
      <c r="A649" s="19"/>
      <c r="B649" s="19"/>
      <c r="C649" s="19"/>
      <c r="D649" s="19" t="s">
        <v>299</v>
      </c>
      <c r="E649" s="21"/>
      <c r="F649" s="21"/>
      <c r="G649" s="21">
        <v>7.5</v>
      </c>
      <c r="H649" s="21"/>
      <c r="I649" s="21"/>
      <c r="J649" s="21">
        <v>7.5</v>
      </c>
    </row>
    <row r="650" spans="1:10" ht="30" x14ac:dyDescent="0.25">
      <c r="A650" s="19"/>
      <c r="B650" s="19" t="s">
        <v>593</v>
      </c>
      <c r="C650" s="19"/>
      <c r="D650" s="19"/>
      <c r="E650" s="21"/>
      <c r="F650" s="21"/>
      <c r="G650" s="21">
        <v>7.5</v>
      </c>
      <c r="H650" s="21">
        <v>7.5</v>
      </c>
      <c r="I650" s="21"/>
      <c r="J650" s="21">
        <v>15</v>
      </c>
    </row>
    <row r="651" spans="1:10" x14ac:dyDescent="0.25">
      <c r="A651" s="19"/>
      <c r="B651" s="19" t="s">
        <v>5</v>
      </c>
      <c r="C651" s="19" t="s">
        <v>4</v>
      </c>
      <c r="D651" s="19" t="s">
        <v>296</v>
      </c>
      <c r="E651" s="21">
        <v>5</v>
      </c>
      <c r="F651" s="21"/>
      <c r="G651" s="21"/>
      <c r="H651" s="21"/>
      <c r="I651" s="21"/>
      <c r="J651" s="21">
        <v>5</v>
      </c>
    </row>
    <row r="652" spans="1:10" x14ac:dyDescent="0.25">
      <c r="A652" s="19"/>
      <c r="B652" s="19"/>
      <c r="C652" s="19"/>
      <c r="D652" s="19" t="s">
        <v>298</v>
      </c>
      <c r="E652" s="21"/>
      <c r="F652" s="21">
        <v>7.5</v>
      </c>
      <c r="G652" s="21"/>
      <c r="H652" s="21"/>
      <c r="I652" s="21"/>
      <c r="J652" s="21">
        <v>7.5</v>
      </c>
    </row>
    <row r="653" spans="1:10" x14ac:dyDescent="0.25">
      <c r="A653" s="19"/>
      <c r="B653" s="19"/>
      <c r="C653" s="19"/>
      <c r="D653" s="19" t="s">
        <v>297</v>
      </c>
      <c r="E653" s="21">
        <v>2.5</v>
      </c>
      <c r="F653" s="21"/>
      <c r="G653" s="21"/>
      <c r="H653" s="21"/>
      <c r="I653" s="21"/>
      <c r="J653" s="21">
        <v>2.5</v>
      </c>
    </row>
    <row r="654" spans="1:10" x14ac:dyDescent="0.25">
      <c r="A654" s="19"/>
      <c r="B654" s="19"/>
      <c r="C654" s="19"/>
      <c r="D654" s="19" t="s">
        <v>301</v>
      </c>
      <c r="E654" s="21"/>
      <c r="F654" s="21"/>
      <c r="G654" s="21"/>
      <c r="H654" s="21"/>
      <c r="I654" s="21">
        <v>7.5</v>
      </c>
      <c r="J654" s="21">
        <v>7.5</v>
      </c>
    </row>
    <row r="655" spans="1:10" ht="30" x14ac:dyDescent="0.25">
      <c r="A655" s="19"/>
      <c r="B655" s="19" t="s">
        <v>546</v>
      </c>
      <c r="C655" s="19"/>
      <c r="D655" s="19"/>
      <c r="E655" s="21">
        <v>7.5</v>
      </c>
      <c r="F655" s="21">
        <v>7.5</v>
      </c>
      <c r="G655" s="21"/>
      <c r="H655" s="21"/>
      <c r="I655" s="21">
        <v>7.5</v>
      </c>
      <c r="J655" s="21">
        <v>22.5</v>
      </c>
    </row>
    <row r="656" spans="1:10" x14ac:dyDescent="0.25">
      <c r="A656" s="19" t="s">
        <v>496</v>
      </c>
      <c r="B656" s="19"/>
      <c r="C656" s="19"/>
      <c r="D656" s="19"/>
      <c r="E656" s="21">
        <v>7.5</v>
      </c>
      <c r="F656" s="21">
        <v>7.5</v>
      </c>
      <c r="G656" s="21">
        <v>7.5</v>
      </c>
      <c r="H656" s="21">
        <v>7.5</v>
      </c>
      <c r="I656" s="21">
        <v>7.5</v>
      </c>
      <c r="J656" s="21">
        <v>37.5</v>
      </c>
    </row>
    <row r="657" spans="1:10" x14ac:dyDescent="0.25">
      <c r="A657" s="20">
        <v>43534</v>
      </c>
      <c r="B657" s="19" t="s">
        <v>73</v>
      </c>
      <c r="C657" s="19" t="s">
        <v>72</v>
      </c>
      <c r="D657" s="19" t="s">
        <v>306</v>
      </c>
      <c r="E657" s="21"/>
      <c r="F657" s="21"/>
      <c r="G657" s="21">
        <v>7.5</v>
      </c>
      <c r="H657" s="21"/>
      <c r="I657" s="21"/>
      <c r="J657" s="21">
        <v>7.5</v>
      </c>
    </row>
    <row r="658" spans="1:10" ht="30" x14ac:dyDescent="0.25">
      <c r="A658" s="19"/>
      <c r="B658" s="19" t="s">
        <v>586</v>
      </c>
      <c r="C658" s="19"/>
      <c r="D658" s="19"/>
      <c r="E658" s="21"/>
      <c r="F658" s="21"/>
      <c r="G658" s="21">
        <v>7.5</v>
      </c>
      <c r="H658" s="21"/>
      <c r="I658" s="21"/>
      <c r="J658" s="21">
        <v>7.5</v>
      </c>
    </row>
    <row r="659" spans="1:10" x14ac:dyDescent="0.25">
      <c r="A659" s="19"/>
      <c r="B659" s="19" t="s">
        <v>35</v>
      </c>
      <c r="C659" s="19" t="s">
        <v>34</v>
      </c>
      <c r="D659" s="19" t="s">
        <v>305</v>
      </c>
      <c r="E659" s="21"/>
      <c r="F659" s="21">
        <v>5</v>
      </c>
      <c r="G659" s="21"/>
      <c r="H659" s="21"/>
      <c r="I659" s="21"/>
      <c r="J659" s="21">
        <v>5</v>
      </c>
    </row>
    <row r="660" spans="1:10" ht="30" x14ac:dyDescent="0.25">
      <c r="A660" s="19"/>
      <c r="B660" s="19" t="s">
        <v>569</v>
      </c>
      <c r="C660" s="19"/>
      <c r="D660" s="19"/>
      <c r="E660" s="21"/>
      <c r="F660" s="21">
        <v>5</v>
      </c>
      <c r="G660" s="21"/>
      <c r="H660" s="21"/>
      <c r="I660" s="21"/>
      <c r="J660" s="21">
        <v>5</v>
      </c>
    </row>
    <row r="661" spans="1:10" x14ac:dyDescent="0.25">
      <c r="A661" s="19"/>
      <c r="B661" s="19" t="s">
        <v>87</v>
      </c>
      <c r="C661" s="19" t="s">
        <v>86</v>
      </c>
      <c r="D661" s="19" t="s">
        <v>307</v>
      </c>
      <c r="E661" s="21"/>
      <c r="F661" s="21"/>
      <c r="G661" s="21"/>
      <c r="H661" s="21">
        <v>7.5</v>
      </c>
      <c r="I661" s="21"/>
      <c r="J661" s="21">
        <v>7.5</v>
      </c>
    </row>
    <row r="662" spans="1:10" ht="30" x14ac:dyDescent="0.25">
      <c r="A662" s="19"/>
      <c r="B662" s="19" t="s">
        <v>593</v>
      </c>
      <c r="C662" s="19"/>
      <c r="D662" s="19"/>
      <c r="E662" s="21"/>
      <c r="F662" s="21"/>
      <c r="G662" s="21"/>
      <c r="H662" s="21">
        <v>7.5</v>
      </c>
      <c r="I662" s="21"/>
      <c r="J662" s="21">
        <v>7.5</v>
      </c>
    </row>
    <row r="663" spans="1:10" x14ac:dyDescent="0.25">
      <c r="A663" s="19"/>
      <c r="B663" s="19" t="s">
        <v>5</v>
      </c>
      <c r="C663" s="19" t="s">
        <v>4</v>
      </c>
      <c r="D663" s="19" t="s">
        <v>296</v>
      </c>
      <c r="E663" s="21"/>
      <c r="F663" s="21"/>
      <c r="G663" s="21"/>
      <c r="H663" s="21"/>
      <c r="I663" s="21">
        <v>5</v>
      </c>
      <c r="J663" s="21">
        <v>5</v>
      </c>
    </row>
    <row r="664" spans="1:10" x14ac:dyDescent="0.25">
      <c r="A664" s="19"/>
      <c r="B664" s="19"/>
      <c r="C664" s="19"/>
      <c r="D664" s="19" t="s">
        <v>308</v>
      </c>
      <c r="E664" s="21"/>
      <c r="F664" s="21"/>
      <c r="G664" s="21"/>
      <c r="H664" s="21"/>
      <c r="I664" s="21">
        <v>2.5</v>
      </c>
      <c r="J664" s="21">
        <v>2.5</v>
      </c>
    </row>
    <row r="665" spans="1:10" x14ac:dyDescent="0.25">
      <c r="A665" s="19"/>
      <c r="B665" s="19"/>
      <c r="C665" s="19"/>
      <c r="D665" s="19" t="s">
        <v>304</v>
      </c>
      <c r="E665" s="21"/>
      <c r="F665" s="21">
        <v>2.5</v>
      </c>
      <c r="G665" s="21"/>
      <c r="H665" s="21"/>
      <c r="I665" s="21"/>
      <c r="J665" s="21">
        <v>2.5</v>
      </c>
    </row>
    <row r="666" spans="1:10" x14ac:dyDescent="0.25">
      <c r="A666" s="19"/>
      <c r="B666" s="19"/>
      <c r="C666" s="19"/>
      <c r="D666" s="19" t="s">
        <v>302</v>
      </c>
      <c r="E666" s="21">
        <v>2</v>
      </c>
      <c r="F666" s="21"/>
      <c r="G666" s="21"/>
      <c r="H666" s="21"/>
      <c r="I666" s="21"/>
      <c r="J666" s="21">
        <v>2</v>
      </c>
    </row>
    <row r="667" spans="1:10" x14ac:dyDescent="0.25">
      <c r="A667" s="19"/>
      <c r="B667" s="19"/>
      <c r="C667" s="19"/>
      <c r="D667" s="19" t="s">
        <v>303</v>
      </c>
      <c r="E667" s="21">
        <v>5.5</v>
      </c>
      <c r="F667" s="21"/>
      <c r="G667" s="21"/>
      <c r="H667" s="21"/>
      <c r="I667" s="21"/>
      <c r="J667" s="21">
        <v>5.5</v>
      </c>
    </row>
    <row r="668" spans="1:10" ht="30" x14ac:dyDescent="0.25">
      <c r="A668" s="19"/>
      <c r="B668" s="19" t="s">
        <v>546</v>
      </c>
      <c r="C668" s="19"/>
      <c r="D668" s="19"/>
      <c r="E668" s="21">
        <v>7.5</v>
      </c>
      <c r="F668" s="21">
        <v>2.5</v>
      </c>
      <c r="G668" s="21"/>
      <c r="H668" s="21"/>
      <c r="I668" s="21">
        <v>7.5</v>
      </c>
      <c r="J668" s="21">
        <v>17.5</v>
      </c>
    </row>
    <row r="669" spans="1:10" x14ac:dyDescent="0.25">
      <c r="A669" s="19" t="s">
        <v>499</v>
      </c>
      <c r="B669" s="19"/>
      <c r="C669" s="19"/>
      <c r="D669" s="19"/>
      <c r="E669" s="21">
        <v>7.5</v>
      </c>
      <c r="F669" s="21">
        <v>7.5</v>
      </c>
      <c r="G669" s="21">
        <v>7.5</v>
      </c>
      <c r="H669" s="21">
        <v>7.5</v>
      </c>
      <c r="I669" s="21">
        <v>7.5</v>
      </c>
      <c r="J669" s="21">
        <v>37.5</v>
      </c>
    </row>
    <row r="670" spans="1:10" x14ac:dyDescent="0.25">
      <c r="A670" s="20">
        <v>43527</v>
      </c>
      <c r="B670" s="19" t="s">
        <v>73</v>
      </c>
      <c r="C670" s="19" t="s">
        <v>72</v>
      </c>
      <c r="D670" s="19" t="s">
        <v>312</v>
      </c>
      <c r="E670" s="21">
        <v>1</v>
      </c>
      <c r="F670" s="21">
        <v>2</v>
      </c>
      <c r="G670" s="21"/>
      <c r="H670" s="21"/>
      <c r="I670" s="21"/>
      <c r="J670" s="21">
        <v>3</v>
      </c>
    </row>
    <row r="671" spans="1:10" ht="30" x14ac:dyDescent="0.25">
      <c r="A671" s="19"/>
      <c r="B671" s="19" t="s">
        <v>586</v>
      </c>
      <c r="C671" s="19"/>
      <c r="D671" s="19"/>
      <c r="E671" s="21">
        <v>1</v>
      </c>
      <c r="F671" s="21">
        <v>2</v>
      </c>
      <c r="G671" s="21"/>
      <c r="H671" s="21"/>
      <c r="I671" s="21"/>
      <c r="J671" s="21">
        <v>3</v>
      </c>
    </row>
    <row r="672" spans="1:10" x14ac:dyDescent="0.25">
      <c r="A672" s="19"/>
      <c r="B672" s="19" t="s">
        <v>49</v>
      </c>
      <c r="C672" s="19" t="s">
        <v>48</v>
      </c>
      <c r="D672" s="19" t="s">
        <v>318</v>
      </c>
      <c r="E672" s="21"/>
      <c r="F672" s="21"/>
      <c r="G672" s="21"/>
      <c r="H672" s="21">
        <v>2.5</v>
      </c>
      <c r="I672" s="21"/>
      <c r="J672" s="21">
        <v>2.5</v>
      </c>
    </row>
    <row r="673" spans="1:10" x14ac:dyDescent="0.25">
      <c r="A673" s="19"/>
      <c r="B673" s="19"/>
      <c r="C673" s="19"/>
      <c r="D673" s="19" t="s">
        <v>263</v>
      </c>
      <c r="E673" s="21"/>
      <c r="F673" s="21"/>
      <c r="G673" s="21"/>
      <c r="H673" s="21">
        <v>2.5</v>
      </c>
      <c r="I673" s="21"/>
      <c r="J673" s="21">
        <v>2.5</v>
      </c>
    </row>
    <row r="674" spans="1:10" ht="30" x14ac:dyDescent="0.25">
      <c r="A674" s="19"/>
      <c r="B674" s="19" t="s">
        <v>575</v>
      </c>
      <c r="C674" s="19"/>
      <c r="D674" s="19"/>
      <c r="E674" s="21"/>
      <c r="F674" s="21"/>
      <c r="G674" s="21"/>
      <c r="H674" s="21">
        <v>5</v>
      </c>
      <c r="I674" s="21"/>
      <c r="J674" s="21">
        <v>5</v>
      </c>
    </row>
    <row r="675" spans="1:10" x14ac:dyDescent="0.25">
      <c r="A675" s="19"/>
      <c r="B675" s="19" t="s">
        <v>93</v>
      </c>
      <c r="C675" s="19" t="s">
        <v>92</v>
      </c>
      <c r="D675" s="19" t="s">
        <v>314</v>
      </c>
      <c r="E675" s="21"/>
      <c r="F675" s="21">
        <v>5.5</v>
      </c>
      <c r="G675" s="21"/>
      <c r="H675" s="21"/>
      <c r="I675" s="21"/>
      <c r="J675" s="21">
        <v>5.5</v>
      </c>
    </row>
    <row r="676" spans="1:10" ht="30" x14ac:dyDescent="0.25">
      <c r="A676" s="19"/>
      <c r="B676" s="19" t="s">
        <v>596</v>
      </c>
      <c r="C676" s="19"/>
      <c r="D676" s="19"/>
      <c r="E676" s="21"/>
      <c r="F676" s="21">
        <v>5.5</v>
      </c>
      <c r="G676" s="21"/>
      <c r="H676" s="21"/>
      <c r="I676" s="21"/>
      <c r="J676" s="21">
        <v>5.5</v>
      </c>
    </row>
    <row r="677" spans="1:10" x14ac:dyDescent="0.25">
      <c r="A677" s="19"/>
      <c r="B677" s="19" t="s">
        <v>75</v>
      </c>
      <c r="C677" s="19" t="s">
        <v>74</v>
      </c>
      <c r="D677" s="19" t="s">
        <v>317</v>
      </c>
      <c r="E677" s="21"/>
      <c r="F677" s="21"/>
      <c r="G677" s="21"/>
      <c r="H677" s="21">
        <v>2.5</v>
      </c>
      <c r="I677" s="21"/>
      <c r="J677" s="21">
        <v>2.5</v>
      </c>
    </row>
    <row r="678" spans="1:10" ht="30" x14ac:dyDescent="0.25">
      <c r="A678" s="19"/>
      <c r="B678" s="19" t="s">
        <v>587</v>
      </c>
      <c r="C678" s="19"/>
      <c r="D678" s="19"/>
      <c r="E678" s="21"/>
      <c r="F678" s="21"/>
      <c r="G678" s="21"/>
      <c r="H678" s="21">
        <v>2.5</v>
      </c>
      <c r="I678" s="21"/>
      <c r="J678" s="21">
        <v>2.5</v>
      </c>
    </row>
    <row r="679" spans="1:10" x14ac:dyDescent="0.25">
      <c r="A679" s="19"/>
      <c r="B679" s="19" t="s">
        <v>96</v>
      </c>
      <c r="C679" s="19" t="s">
        <v>95</v>
      </c>
      <c r="D679" s="19" t="s">
        <v>309</v>
      </c>
      <c r="E679" s="21">
        <v>2</v>
      </c>
      <c r="F679" s="21"/>
      <c r="G679" s="21"/>
      <c r="H679" s="21"/>
      <c r="I679" s="21"/>
      <c r="J679" s="21">
        <v>2</v>
      </c>
    </row>
    <row r="680" spans="1:10" ht="30" x14ac:dyDescent="0.25">
      <c r="A680" s="19"/>
      <c r="B680" s="19" t="s">
        <v>597</v>
      </c>
      <c r="C680" s="19"/>
      <c r="D680" s="19"/>
      <c r="E680" s="21">
        <v>2</v>
      </c>
      <c r="F680" s="21"/>
      <c r="G680" s="21"/>
      <c r="H680" s="21"/>
      <c r="I680" s="21"/>
      <c r="J680" s="21">
        <v>2</v>
      </c>
    </row>
    <row r="681" spans="1:10" x14ac:dyDescent="0.25">
      <c r="A681" s="19"/>
      <c r="B681" s="19" t="s">
        <v>5</v>
      </c>
      <c r="C681" s="19" t="s">
        <v>4</v>
      </c>
      <c r="D681" s="19" t="s">
        <v>313</v>
      </c>
      <c r="E681" s="21">
        <v>1</v>
      </c>
      <c r="F681" s="21"/>
      <c r="G681" s="21"/>
      <c r="H681" s="21"/>
      <c r="I681" s="21"/>
      <c r="J681" s="21">
        <v>1</v>
      </c>
    </row>
    <row r="682" spans="1:10" x14ac:dyDescent="0.25">
      <c r="A682" s="19"/>
      <c r="B682" s="19"/>
      <c r="C682" s="19"/>
      <c r="D682" s="19" t="s">
        <v>316</v>
      </c>
      <c r="E682" s="21"/>
      <c r="F682" s="21"/>
      <c r="G682" s="21">
        <v>3.75</v>
      </c>
      <c r="H682" s="21"/>
      <c r="I682" s="21"/>
      <c r="J682" s="21">
        <v>3.75</v>
      </c>
    </row>
    <row r="683" spans="1:10" x14ac:dyDescent="0.25">
      <c r="A683" s="19"/>
      <c r="B683" s="19"/>
      <c r="C683" s="19"/>
      <c r="D683" s="19" t="s">
        <v>315</v>
      </c>
      <c r="E683" s="21"/>
      <c r="F683" s="21"/>
      <c r="G683" s="21">
        <v>3.75</v>
      </c>
      <c r="H683" s="21"/>
      <c r="I683" s="21"/>
      <c r="J683" s="21">
        <v>3.75</v>
      </c>
    </row>
    <row r="684" spans="1:10" x14ac:dyDescent="0.25">
      <c r="A684" s="19"/>
      <c r="B684" s="19"/>
      <c r="C684" s="19"/>
      <c r="D684" s="19" t="s">
        <v>263</v>
      </c>
      <c r="E684" s="21"/>
      <c r="F684" s="21"/>
      <c r="G684" s="21"/>
      <c r="H684" s="21"/>
      <c r="I684" s="21">
        <v>7.5</v>
      </c>
      <c r="J684" s="21">
        <v>7.5</v>
      </c>
    </row>
    <row r="685" spans="1:10" ht="30" x14ac:dyDescent="0.25">
      <c r="A685" s="19"/>
      <c r="B685" s="19" t="s">
        <v>546</v>
      </c>
      <c r="C685" s="19"/>
      <c r="D685" s="19"/>
      <c r="E685" s="21">
        <v>1</v>
      </c>
      <c r="F685" s="21"/>
      <c r="G685" s="21">
        <v>7.5</v>
      </c>
      <c r="H685" s="21"/>
      <c r="I685" s="21">
        <v>7.5</v>
      </c>
      <c r="J685" s="21">
        <v>16</v>
      </c>
    </row>
    <row r="686" spans="1:10" x14ac:dyDescent="0.25">
      <c r="A686" s="19"/>
      <c r="B686" s="19" t="s">
        <v>500</v>
      </c>
      <c r="C686" s="19" t="s">
        <v>310</v>
      </c>
      <c r="D686" s="19" t="s">
        <v>59</v>
      </c>
      <c r="E686" s="21">
        <v>2.5</v>
      </c>
      <c r="F686" s="21"/>
      <c r="G686" s="21"/>
      <c r="H686" s="21"/>
      <c r="I686" s="21"/>
      <c r="J686" s="21">
        <v>2.5</v>
      </c>
    </row>
    <row r="687" spans="1:10" x14ac:dyDescent="0.25">
      <c r="A687" s="19"/>
      <c r="B687" s="19"/>
      <c r="C687" s="19"/>
      <c r="D687" s="19" t="s">
        <v>311</v>
      </c>
      <c r="E687" s="21">
        <v>1</v>
      </c>
      <c r="F687" s="21"/>
      <c r="G687" s="21"/>
      <c r="H687" s="21"/>
      <c r="I687" s="21"/>
      <c r="J687" s="21">
        <v>1</v>
      </c>
    </row>
    <row r="688" spans="1:10" x14ac:dyDescent="0.25">
      <c r="A688" s="19"/>
      <c r="B688" s="19" t="s">
        <v>551</v>
      </c>
      <c r="C688" s="19"/>
      <c r="D688" s="19"/>
      <c r="E688" s="21">
        <v>3.5</v>
      </c>
      <c r="F688" s="21"/>
      <c r="G688" s="21"/>
      <c r="H688" s="21"/>
      <c r="I688" s="21"/>
      <c r="J688" s="21">
        <v>3.5</v>
      </c>
    </row>
    <row r="689" spans="1:10" x14ac:dyDescent="0.25">
      <c r="A689" s="19" t="s">
        <v>505</v>
      </c>
      <c r="B689" s="19"/>
      <c r="C689" s="19"/>
      <c r="D689" s="19"/>
      <c r="E689" s="21">
        <v>7.5</v>
      </c>
      <c r="F689" s="21">
        <v>7.5</v>
      </c>
      <c r="G689" s="21">
        <v>7.5</v>
      </c>
      <c r="H689" s="21">
        <v>7.5</v>
      </c>
      <c r="I689" s="21">
        <v>7.5</v>
      </c>
      <c r="J689" s="21">
        <v>37.5</v>
      </c>
    </row>
    <row r="690" spans="1:10" x14ac:dyDescent="0.25">
      <c r="A690" s="20">
        <v>43520</v>
      </c>
      <c r="B690" s="19">
        <v>0</v>
      </c>
      <c r="C690" s="19" t="s">
        <v>60</v>
      </c>
      <c r="D690" s="19" t="s">
        <v>324</v>
      </c>
      <c r="E690" s="21"/>
      <c r="F690" s="21"/>
      <c r="G690" s="21"/>
      <c r="H690" s="21">
        <v>4</v>
      </c>
      <c r="I690" s="21"/>
      <c r="J690" s="21">
        <v>4</v>
      </c>
    </row>
    <row r="691" spans="1:10" x14ac:dyDescent="0.25">
      <c r="A691" s="19"/>
      <c r="B691" s="19" t="s">
        <v>579</v>
      </c>
      <c r="C691" s="19"/>
      <c r="D691" s="19"/>
      <c r="E691" s="21"/>
      <c r="F691" s="21"/>
      <c r="G691" s="21"/>
      <c r="H691" s="21">
        <v>4</v>
      </c>
      <c r="I691" s="21"/>
      <c r="J691" s="21">
        <v>4</v>
      </c>
    </row>
    <row r="692" spans="1:10" x14ac:dyDescent="0.25">
      <c r="A692" s="19"/>
      <c r="B692" s="19" t="s">
        <v>71</v>
      </c>
      <c r="C692" s="19" t="s">
        <v>70</v>
      </c>
      <c r="D692" s="19" t="s">
        <v>320</v>
      </c>
      <c r="E692" s="21"/>
      <c r="F692" s="21">
        <v>6.5</v>
      </c>
      <c r="G692" s="21"/>
      <c r="H692" s="21"/>
      <c r="I692" s="21"/>
      <c r="J692" s="21">
        <v>6.5</v>
      </c>
    </row>
    <row r="693" spans="1:10" ht="30" x14ac:dyDescent="0.25">
      <c r="A693" s="19"/>
      <c r="B693" s="19" t="s">
        <v>585</v>
      </c>
      <c r="C693" s="19"/>
      <c r="D693" s="19"/>
      <c r="E693" s="21"/>
      <c r="F693" s="21">
        <v>6.5</v>
      </c>
      <c r="G693" s="21"/>
      <c r="H693" s="21"/>
      <c r="I693" s="21"/>
      <c r="J693" s="21">
        <v>6.5</v>
      </c>
    </row>
    <row r="694" spans="1:10" x14ac:dyDescent="0.25">
      <c r="A694" s="19"/>
      <c r="B694" s="19" t="s">
        <v>41</v>
      </c>
      <c r="C694" s="19" t="s">
        <v>40</v>
      </c>
      <c r="D694" s="19" t="s">
        <v>321</v>
      </c>
      <c r="E694" s="21"/>
      <c r="F694" s="21">
        <v>1</v>
      </c>
      <c r="G694" s="21"/>
      <c r="H694" s="21"/>
      <c r="I694" s="21"/>
      <c r="J694" s="21">
        <v>1</v>
      </c>
    </row>
    <row r="695" spans="1:10" ht="30" x14ac:dyDescent="0.25">
      <c r="A695" s="19"/>
      <c r="B695" s="19" t="s">
        <v>572</v>
      </c>
      <c r="C695" s="19"/>
      <c r="D695" s="19"/>
      <c r="E695" s="21"/>
      <c r="F695" s="21">
        <v>1</v>
      </c>
      <c r="G695" s="21"/>
      <c r="H695" s="21"/>
      <c r="I695" s="21"/>
      <c r="J695" s="21">
        <v>1</v>
      </c>
    </row>
    <row r="696" spans="1:10" x14ac:dyDescent="0.25">
      <c r="A696" s="19"/>
      <c r="B696" s="19" t="s">
        <v>75</v>
      </c>
      <c r="C696" s="19" t="s">
        <v>74</v>
      </c>
      <c r="D696" s="19" t="s">
        <v>323</v>
      </c>
      <c r="E696" s="21"/>
      <c r="F696" s="21"/>
      <c r="G696" s="21">
        <v>2</v>
      </c>
      <c r="H696" s="21"/>
      <c r="I696" s="21"/>
      <c r="J696" s="21">
        <v>2</v>
      </c>
    </row>
    <row r="697" spans="1:10" ht="30" x14ac:dyDescent="0.25">
      <c r="A697" s="19"/>
      <c r="B697" s="19" t="s">
        <v>587</v>
      </c>
      <c r="C697" s="19"/>
      <c r="D697" s="19"/>
      <c r="E697" s="21"/>
      <c r="F697" s="21"/>
      <c r="G697" s="21">
        <v>2</v>
      </c>
      <c r="H697" s="21"/>
      <c r="I697" s="21"/>
      <c r="J697" s="21">
        <v>2</v>
      </c>
    </row>
    <row r="698" spans="1:10" x14ac:dyDescent="0.25">
      <c r="A698" s="19"/>
      <c r="B698" s="19" t="s">
        <v>96</v>
      </c>
      <c r="C698" s="19" t="s">
        <v>95</v>
      </c>
      <c r="D698" s="19" t="s">
        <v>322</v>
      </c>
      <c r="E698" s="21"/>
      <c r="F698" s="21"/>
      <c r="G698" s="21">
        <v>2</v>
      </c>
      <c r="H698" s="21"/>
      <c r="I698" s="21"/>
      <c r="J698" s="21">
        <v>2</v>
      </c>
    </row>
    <row r="699" spans="1:10" ht="30" x14ac:dyDescent="0.25">
      <c r="A699" s="19"/>
      <c r="B699" s="19" t="s">
        <v>597</v>
      </c>
      <c r="C699" s="19"/>
      <c r="D699" s="19"/>
      <c r="E699" s="21"/>
      <c r="F699" s="21"/>
      <c r="G699" s="21">
        <v>2</v>
      </c>
      <c r="H699" s="21"/>
      <c r="I699" s="21"/>
      <c r="J699" s="21">
        <v>2</v>
      </c>
    </row>
    <row r="700" spans="1:10" x14ac:dyDescent="0.25">
      <c r="A700" s="19"/>
      <c r="B700" s="19" t="s">
        <v>5</v>
      </c>
      <c r="C700" s="19" t="s">
        <v>4</v>
      </c>
      <c r="D700" s="19" t="s">
        <v>326</v>
      </c>
      <c r="E700" s="21"/>
      <c r="F700" s="21"/>
      <c r="G700" s="21"/>
      <c r="H700" s="21"/>
      <c r="I700" s="21">
        <v>7.5</v>
      </c>
      <c r="J700" s="21">
        <v>7.5</v>
      </c>
    </row>
    <row r="701" spans="1:10" x14ac:dyDescent="0.25">
      <c r="A701" s="19"/>
      <c r="B701" s="19"/>
      <c r="C701" s="19"/>
      <c r="D701" s="19" t="s">
        <v>325</v>
      </c>
      <c r="E701" s="21"/>
      <c r="F701" s="21"/>
      <c r="G701" s="21"/>
      <c r="H701" s="21">
        <v>3.5</v>
      </c>
      <c r="I701" s="21"/>
      <c r="J701" s="21">
        <v>3.5</v>
      </c>
    </row>
    <row r="702" spans="1:10" x14ac:dyDescent="0.25">
      <c r="A702" s="19"/>
      <c r="B702" s="19"/>
      <c r="C702" s="19"/>
      <c r="D702" s="19" t="s">
        <v>298</v>
      </c>
      <c r="E702" s="21"/>
      <c r="F702" s="21"/>
      <c r="G702" s="21">
        <v>3.5</v>
      </c>
      <c r="H702" s="21"/>
      <c r="I702" s="21"/>
      <c r="J702" s="21">
        <v>3.5</v>
      </c>
    </row>
    <row r="703" spans="1:10" x14ac:dyDescent="0.25">
      <c r="A703" s="19"/>
      <c r="B703" s="19"/>
      <c r="C703" s="19"/>
      <c r="D703" s="19" t="s">
        <v>169</v>
      </c>
      <c r="E703" s="21">
        <v>7.5</v>
      </c>
      <c r="F703" s="21"/>
      <c r="G703" s="21"/>
      <c r="H703" s="21"/>
      <c r="I703" s="21"/>
      <c r="J703" s="21">
        <v>7.5</v>
      </c>
    </row>
    <row r="704" spans="1:10" ht="30" x14ac:dyDescent="0.25">
      <c r="A704" s="19"/>
      <c r="B704" s="19" t="s">
        <v>546</v>
      </c>
      <c r="C704" s="19"/>
      <c r="D704" s="19"/>
      <c r="E704" s="21">
        <v>7.5</v>
      </c>
      <c r="F704" s="21"/>
      <c r="G704" s="21">
        <v>3.5</v>
      </c>
      <c r="H704" s="21">
        <v>3.5</v>
      </c>
      <c r="I704" s="21">
        <v>7.5</v>
      </c>
      <c r="J704" s="21">
        <v>22</v>
      </c>
    </row>
    <row r="705" spans="1:10" x14ac:dyDescent="0.25">
      <c r="A705" s="19" t="s">
        <v>508</v>
      </c>
      <c r="B705" s="19"/>
      <c r="C705" s="19"/>
      <c r="D705" s="19"/>
      <c r="E705" s="21">
        <v>7.5</v>
      </c>
      <c r="F705" s="21">
        <v>7.5</v>
      </c>
      <c r="G705" s="21">
        <v>7.5</v>
      </c>
      <c r="H705" s="21">
        <v>7.5</v>
      </c>
      <c r="I705" s="21">
        <v>7.5</v>
      </c>
      <c r="J705" s="21">
        <v>37.5</v>
      </c>
    </row>
    <row r="706" spans="1:10" x14ac:dyDescent="0.25">
      <c r="A706" s="20">
        <v>43513</v>
      </c>
      <c r="B706" s="19" t="s">
        <v>69</v>
      </c>
      <c r="C706" s="19" t="s">
        <v>68</v>
      </c>
      <c r="D706" s="19" t="s">
        <v>68</v>
      </c>
      <c r="E706" s="21">
        <v>7.5</v>
      </c>
      <c r="F706" s="21">
        <v>7.5</v>
      </c>
      <c r="G706" s="21">
        <v>7.5</v>
      </c>
      <c r="H706" s="21">
        <v>7.5</v>
      </c>
      <c r="I706" s="21">
        <v>7.5</v>
      </c>
      <c r="J706" s="21">
        <v>37.5</v>
      </c>
    </row>
    <row r="707" spans="1:10" x14ac:dyDescent="0.25">
      <c r="A707" s="19"/>
      <c r="B707" s="19" t="s">
        <v>584</v>
      </c>
      <c r="C707" s="19"/>
      <c r="D707" s="19"/>
      <c r="E707" s="21">
        <v>7.5</v>
      </c>
      <c r="F707" s="21">
        <v>7.5</v>
      </c>
      <c r="G707" s="21">
        <v>7.5</v>
      </c>
      <c r="H707" s="21">
        <v>7.5</v>
      </c>
      <c r="I707" s="21">
        <v>7.5</v>
      </c>
      <c r="J707" s="21">
        <v>37.5</v>
      </c>
    </row>
    <row r="708" spans="1:10" x14ac:dyDescent="0.25">
      <c r="A708" s="19" t="s">
        <v>509</v>
      </c>
      <c r="B708" s="19"/>
      <c r="C708" s="19"/>
      <c r="D708" s="19"/>
      <c r="E708" s="21">
        <v>7.5</v>
      </c>
      <c r="F708" s="21">
        <v>7.5</v>
      </c>
      <c r="G708" s="21">
        <v>7.5</v>
      </c>
      <c r="H708" s="21">
        <v>7.5</v>
      </c>
      <c r="I708" s="21">
        <v>7.5</v>
      </c>
      <c r="J708" s="21">
        <v>37.5</v>
      </c>
    </row>
    <row r="709" spans="1:10" x14ac:dyDescent="0.25">
      <c r="A709" s="20">
        <v>43506</v>
      </c>
      <c r="B709" s="19" t="s">
        <v>56</v>
      </c>
      <c r="C709" s="19" t="s">
        <v>55</v>
      </c>
      <c r="D709" s="19" t="s">
        <v>331</v>
      </c>
      <c r="E709" s="21"/>
      <c r="F709" s="21"/>
      <c r="G709" s="21"/>
      <c r="H709" s="21">
        <v>7.5</v>
      </c>
      <c r="I709" s="21"/>
      <c r="J709" s="21">
        <v>7.5</v>
      </c>
    </row>
    <row r="710" spans="1:10" ht="30" x14ac:dyDescent="0.25">
      <c r="A710" s="19"/>
      <c r="B710" s="19" t="s">
        <v>578</v>
      </c>
      <c r="C710" s="19"/>
      <c r="D710" s="19"/>
      <c r="E710" s="21"/>
      <c r="F710" s="21"/>
      <c r="G710" s="21"/>
      <c r="H710" s="21">
        <v>7.5</v>
      </c>
      <c r="I710" s="21"/>
      <c r="J710" s="21">
        <v>7.5</v>
      </c>
    </row>
    <row r="711" spans="1:10" x14ac:dyDescent="0.25">
      <c r="A711" s="19"/>
      <c r="B711" s="19" t="s">
        <v>49</v>
      </c>
      <c r="C711" s="19" t="s">
        <v>48</v>
      </c>
      <c r="D711" s="19" t="s">
        <v>335</v>
      </c>
      <c r="E711" s="21"/>
      <c r="F711" s="21"/>
      <c r="G711" s="21"/>
      <c r="H711" s="21"/>
      <c r="I711" s="21">
        <v>1.25</v>
      </c>
      <c r="J711" s="21">
        <v>1.25</v>
      </c>
    </row>
    <row r="712" spans="1:10" x14ac:dyDescent="0.25">
      <c r="A712" s="19"/>
      <c r="B712" s="19"/>
      <c r="C712" s="19"/>
      <c r="D712" s="19" t="s">
        <v>334</v>
      </c>
      <c r="E712" s="21"/>
      <c r="F712" s="21"/>
      <c r="G712" s="21"/>
      <c r="H712" s="21"/>
      <c r="I712" s="21">
        <v>1.5</v>
      </c>
      <c r="J712" s="21">
        <v>1.5</v>
      </c>
    </row>
    <row r="713" spans="1:10" ht="30" x14ac:dyDescent="0.25">
      <c r="A713" s="19"/>
      <c r="B713" s="19" t="s">
        <v>575</v>
      </c>
      <c r="C713" s="19"/>
      <c r="D713" s="19"/>
      <c r="E713" s="21"/>
      <c r="F713" s="21"/>
      <c r="G713" s="21"/>
      <c r="H713" s="21"/>
      <c r="I713" s="21">
        <v>2.75</v>
      </c>
      <c r="J713" s="21">
        <v>2.75</v>
      </c>
    </row>
    <row r="714" spans="1:10" x14ac:dyDescent="0.25">
      <c r="A714" s="19"/>
      <c r="B714" s="19" t="s">
        <v>71</v>
      </c>
      <c r="C714" s="19" t="s">
        <v>70</v>
      </c>
      <c r="D714" s="19" t="s">
        <v>328</v>
      </c>
      <c r="E714" s="21">
        <v>3.75</v>
      </c>
      <c r="F714" s="21"/>
      <c r="G714" s="21"/>
      <c r="H714" s="21"/>
      <c r="I714" s="21"/>
      <c r="J714" s="21">
        <v>3.75</v>
      </c>
    </row>
    <row r="715" spans="1:10" ht="30" x14ac:dyDescent="0.25">
      <c r="A715" s="19"/>
      <c r="B715" s="19" t="s">
        <v>585</v>
      </c>
      <c r="C715" s="19"/>
      <c r="D715" s="19"/>
      <c r="E715" s="21">
        <v>3.75</v>
      </c>
      <c r="F715" s="21"/>
      <c r="G715" s="21"/>
      <c r="H715" s="21"/>
      <c r="I715" s="21"/>
      <c r="J715" s="21">
        <v>3.75</v>
      </c>
    </row>
    <row r="716" spans="1:10" ht="30" x14ac:dyDescent="0.25">
      <c r="A716" s="19"/>
      <c r="B716" s="19" t="s">
        <v>33</v>
      </c>
      <c r="C716" s="19" t="s">
        <v>32</v>
      </c>
      <c r="D716" s="19" t="s">
        <v>327</v>
      </c>
      <c r="E716" s="21">
        <v>3.75</v>
      </c>
      <c r="F716" s="21"/>
      <c r="G716" s="21"/>
      <c r="H716" s="21"/>
      <c r="I716" s="21"/>
      <c r="J716" s="21">
        <v>3.75</v>
      </c>
    </row>
    <row r="717" spans="1:10" ht="30" x14ac:dyDescent="0.25">
      <c r="A717" s="19"/>
      <c r="B717" s="19"/>
      <c r="C717" s="19"/>
      <c r="D717" s="19" t="s">
        <v>333</v>
      </c>
      <c r="E717" s="21"/>
      <c r="F717" s="21"/>
      <c r="G717" s="21"/>
      <c r="H717" s="21"/>
      <c r="I717" s="21">
        <v>1</v>
      </c>
      <c r="J717" s="21">
        <v>1</v>
      </c>
    </row>
    <row r="718" spans="1:10" x14ac:dyDescent="0.25">
      <c r="A718" s="19"/>
      <c r="B718" s="19"/>
      <c r="C718" s="19"/>
      <c r="D718" s="19" t="s">
        <v>330</v>
      </c>
      <c r="E718" s="21"/>
      <c r="F718" s="21"/>
      <c r="G718" s="21">
        <v>7.5</v>
      </c>
      <c r="H718" s="21"/>
      <c r="I718" s="21"/>
      <c r="J718" s="21">
        <v>7.5</v>
      </c>
    </row>
    <row r="719" spans="1:10" ht="30" x14ac:dyDescent="0.25">
      <c r="A719" s="19"/>
      <c r="B719" s="19" t="s">
        <v>568</v>
      </c>
      <c r="C719" s="19"/>
      <c r="D719" s="19"/>
      <c r="E719" s="21">
        <v>3.75</v>
      </c>
      <c r="F719" s="21"/>
      <c r="G719" s="21">
        <v>7.5</v>
      </c>
      <c r="H719" s="21"/>
      <c r="I719" s="21">
        <v>1</v>
      </c>
      <c r="J719" s="21">
        <v>12.25</v>
      </c>
    </row>
    <row r="720" spans="1:10" x14ac:dyDescent="0.25">
      <c r="A720" s="19"/>
      <c r="B720" s="19" t="s">
        <v>5</v>
      </c>
      <c r="C720" s="19" t="s">
        <v>4</v>
      </c>
      <c r="D720" s="19" t="s">
        <v>332</v>
      </c>
      <c r="E720" s="21"/>
      <c r="F720" s="21"/>
      <c r="G720" s="21"/>
      <c r="H720" s="21"/>
      <c r="I720" s="21">
        <v>3.75</v>
      </c>
      <c r="J720" s="21">
        <v>3.75</v>
      </c>
    </row>
    <row r="721" spans="1:10" ht="30" x14ac:dyDescent="0.25">
      <c r="A721" s="19"/>
      <c r="B721" s="19"/>
      <c r="C721" s="19"/>
      <c r="D721" s="19" t="s">
        <v>329</v>
      </c>
      <c r="E721" s="21"/>
      <c r="F721" s="21">
        <v>7.5</v>
      </c>
      <c r="G721" s="21"/>
      <c r="H721" s="21"/>
      <c r="I721" s="21"/>
      <c r="J721" s="21">
        <v>7.5</v>
      </c>
    </row>
    <row r="722" spans="1:10" ht="30" x14ac:dyDescent="0.25">
      <c r="A722" s="19"/>
      <c r="B722" s="19" t="s">
        <v>546</v>
      </c>
      <c r="C722" s="19"/>
      <c r="D722" s="19"/>
      <c r="E722" s="21"/>
      <c r="F722" s="21">
        <v>7.5</v>
      </c>
      <c r="G722" s="21"/>
      <c r="H722" s="21"/>
      <c r="I722" s="21">
        <v>3.75</v>
      </c>
      <c r="J722" s="21">
        <v>11.25</v>
      </c>
    </row>
    <row r="723" spans="1:10" x14ac:dyDescent="0.25">
      <c r="A723" s="19" t="s">
        <v>512</v>
      </c>
      <c r="B723" s="19"/>
      <c r="C723" s="19"/>
      <c r="D723" s="19"/>
      <c r="E723" s="21">
        <v>7.5</v>
      </c>
      <c r="F723" s="21">
        <v>7.5</v>
      </c>
      <c r="G723" s="21">
        <v>7.5</v>
      </c>
      <c r="H723" s="21">
        <v>7.5</v>
      </c>
      <c r="I723" s="21">
        <v>7.5</v>
      </c>
      <c r="J723" s="21">
        <v>37.5</v>
      </c>
    </row>
    <row r="724" spans="1:10" x14ac:dyDescent="0.25">
      <c r="A724" s="20">
        <v>43499</v>
      </c>
      <c r="B724" s="19" t="s">
        <v>49</v>
      </c>
      <c r="C724" s="19" t="s">
        <v>48</v>
      </c>
      <c r="D724" s="19" t="s">
        <v>336</v>
      </c>
      <c r="E724" s="21">
        <v>2.5</v>
      </c>
      <c r="F724" s="21"/>
      <c r="G724" s="21"/>
      <c r="H724" s="21"/>
      <c r="I724" s="21"/>
      <c r="J724" s="21">
        <v>2.5</v>
      </c>
    </row>
    <row r="725" spans="1:10" ht="30" x14ac:dyDescent="0.25">
      <c r="A725" s="19"/>
      <c r="B725" s="19" t="s">
        <v>575</v>
      </c>
      <c r="C725" s="19"/>
      <c r="D725" s="19"/>
      <c r="E725" s="21">
        <v>2.5</v>
      </c>
      <c r="F725" s="21"/>
      <c r="G725" s="21"/>
      <c r="H725" s="21"/>
      <c r="I725" s="21"/>
      <c r="J725" s="21">
        <v>2.5</v>
      </c>
    </row>
    <row r="726" spans="1:10" x14ac:dyDescent="0.25">
      <c r="A726" s="19"/>
      <c r="B726" s="19" t="s">
        <v>71</v>
      </c>
      <c r="C726" s="19" t="s">
        <v>70</v>
      </c>
      <c r="D726" s="19" t="s">
        <v>340</v>
      </c>
      <c r="E726" s="21"/>
      <c r="F726" s="21"/>
      <c r="G726" s="21">
        <v>7.5</v>
      </c>
      <c r="H726" s="21"/>
      <c r="I726" s="21"/>
      <c r="J726" s="21">
        <v>7.5</v>
      </c>
    </row>
    <row r="727" spans="1:10" ht="30" x14ac:dyDescent="0.25">
      <c r="A727" s="19"/>
      <c r="B727" s="19" t="s">
        <v>585</v>
      </c>
      <c r="C727" s="19"/>
      <c r="D727" s="19"/>
      <c r="E727" s="21"/>
      <c r="F727" s="21"/>
      <c r="G727" s="21">
        <v>7.5</v>
      </c>
      <c r="H727" s="21"/>
      <c r="I727" s="21"/>
      <c r="J727" s="21">
        <v>7.5</v>
      </c>
    </row>
    <row r="728" spans="1:10" x14ac:dyDescent="0.25">
      <c r="A728" s="19"/>
      <c r="B728" s="19" t="s">
        <v>5</v>
      </c>
      <c r="C728" s="19" t="s">
        <v>4</v>
      </c>
      <c r="D728" s="19" t="s">
        <v>339</v>
      </c>
      <c r="E728" s="21"/>
      <c r="F728" s="21">
        <v>7.5</v>
      </c>
      <c r="G728" s="21"/>
      <c r="H728" s="21"/>
      <c r="I728" s="21"/>
      <c r="J728" s="21">
        <v>7.5</v>
      </c>
    </row>
    <row r="729" spans="1:10" x14ac:dyDescent="0.25">
      <c r="A729" s="19"/>
      <c r="B729" s="19"/>
      <c r="C729" s="19"/>
      <c r="D729" s="19" t="s">
        <v>344</v>
      </c>
      <c r="E729" s="21"/>
      <c r="F729" s="21"/>
      <c r="G729" s="21"/>
      <c r="H729" s="21"/>
      <c r="I729" s="21">
        <v>3.75</v>
      </c>
      <c r="J729" s="21">
        <v>3.75</v>
      </c>
    </row>
    <row r="730" spans="1:10" ht="30" x14ac:dyDescent="0.25">
      <c r="A730" s="19"/>
      <c r="B730" s="19"/>
      <c r="C730" s="19"/>
      <c r="D730" s="19" t="s">
        <v>343</v>
      </c>
      <c r="E730" s="21"/>
      <c r="F730" s="21"/>
      <c r="G730" s="21"/>
      <c r="H730" s="21"/>
      <c r="I730" s="21">
        <v>3.75</v>
      </c>
      <c r="J730" s="21">
        <v>3.75</v>
      </c>
    </row>
    <row r="731" spans="1:10" ht="30" x14ac:dyDescent="0.25">
      <c r="A731" s="19"/>
      <c r="B731" s="19"/>
      <c r="C731" s="19"/>
      <c r="D731" s="19" t="s">
        <v>342</v>
      </c>
      <c r="E731" s="21"/>
      <c r="F731" s="21"/>
      <c r="G731" s="21"/>
      <c r="H731" s="21">
        <v>3.75</v>
      </c>
      <c r="I731" s="21"/>
      <c r="J731" s="21">
        <v>3.75</v>
      </c>
    </row>
    <row r="732" spans="1:10" x14ac:dyDescent="0.25">
      <c r="A732" s="19"/>
      <c r="B732" s="19"/>
      <c r="C732" s="19"/>
      <c r="D732" s="19" t="s">
        <v>337</v>
      </c>
      <c r="E732" s="21">
        <v>2</v>
      </c>
      <c r="F732" s="21"/>
      <c r="G732" s="21"/>
      <c r="H732" s="21"/>
      <c r="I732" s="21"/>
      <c r="J732" s="21">
        <v>2</v>
      </c>
    </row>
    <row r="733" spans="1:10" ht="30" x14ac:dyDescent="0.25">
      <c r="A733" s="19"/>
      <c r="B733" s="19"/>
      <c r="C733" s="19"/>
      <c r="D733" s="19" t="s">
        <v>338</v>
      </c>
      <c r="E733" s="21">
        <v>3</v>
      </c>
      <c r="F733" s="21"/>
      <c r="G733" s="21"/>
      <c r="H733" s="21"/>
      <c r="I733" s="21"/>
      <c r="J733" s="21">
        <v>3</v>
      </c>
    </row>
    <row r="734" spans="1:10" ht="30" x14ac:dyDescent="0.25">
      <c r="A734" s="19"/>
      <c r="B734" s="19" t="s">
        <v>546</v>
      </c>
      <c r="C734" s="19"/>
      <c r="D734" s="19"/>
      <c r="E734" s="21">
        <v>5</v>
      </c>
      <c r="F734" s="21">
        <v>7.5</v>
      </c>
      <c r="G734" s="21"/>
      <c r="H734" s="21">
        <v>3.75</v>
      </c>
      <c r="I734" s="21">
        <v>7.5</v>
      </c>
      <c r="J734" s="21">
        <v>23.75</v>
      </c>
    </row>
    <row r="735" spans="1:10" x14ac:dyDescent="0.25">
      <c r="A735" s="19"/>
      <c r="B735" s="19" t="s">
        <v>500</v>
      </c>
      <c r="C735" s="19" t="s">
        <v>23</v>
      </c>
      <c r="D735" s="19" t="s">
        <v>341</v>
      </c>
      <c r="E735" s="21"/>
      <c r="F735" s="21"/>
      <c r="G735" s="21"/>
      <c r="H735" s="21">
        <v>3.75</v>
      </c>
      <c r="I735" s="21"/>
      <c r="J735" s="21">
        <v>3.75</v>
      </c>
    </row>
    <row r="736" spans="1:10" x14ac:dyDescent="0.25">
      <c r="A736" s="19"/>
      <c r="B736" s="19" t="s">
        <v>551</v>
      </c>
      <c r="C736" s="19"/>
      <c r="D736" s="19"/>
      <c r="E736" s="21"/>
      <c r="F736" s="21"/>
      <c r="G736" s="21"/>
      <c r="H736" s="21">
        <v>3.75</v>
      </c>
      <c r="I736" s="21"/>
      <c r="J736" s="21">
        <v>3.75</v>
      </c>
    </row>
    <row r="737" spans="1:10" x14ac:dyDescent="0.25">
      <c r="A737" s="19" t="s">
        <v>513</v>
      </c>
      <c r="B737" s="19"/>
      <c r="C737" s="19"/>
      <c r="D737" s="19"/>
      <c r="E737" s="21">
        <v>7.5</v>
      </c>
      <c r="F737" s="21">
        <v>7.5</v>
      </c>
      <c r="G737" s="21">
        <v>7.5</v>
      </c>
      <c r="H737" s="21">
        <v>7.5</v>
      </c>
      <c r="I737" s="21">
        <v>7.5</v>
      </c>
      <c r="J737" s="21">
        <v>37.5</v>
      </c>
    </row>
    <row r="738" spans="1:10" x14ac:dyDescent="0.25">
      <c r="A738" s="20">
        <v>43492</v>
      </c>
      <c r="B738" s="19" t="s">
        <v>49</v>
      </c>
      <c r="C738" s="19" t="s">
        <v>48</v>
      </c>
      <c r="D738" s="19" t="s">
        <v>348</v>
      </c>
      <c r="E738" s="21"/>
      <c r="F738" s="21"/>
      <c r="G738" s="21"/>
      <c r="H738" s="21"/>
      <c r="I738" s="21">
        <v>3.75</v>
      </c>
      <c r="J738" s="21">
        <v>3.75</v>
      </c>
    </row>
    <row r="739" spans="1:10" ht="30" x14ac:dyDescent="0.25">
      <c r="A739" s="19"/>
      <c r="B739" s="19" t="s">
        <v>575</v>
      </c>
      <c r="C739" s="19"/>
      <c r="D739" s="19"/>
      <c r="E739" s="21"/>
      <c r="F739" s="21"/>
      <c r="G739" s="21"/>
      <c r="H739" s="21"/>
      <c r="I739" s="21">
        <v>3.75</v>
      </c>
      <c r="J739" s="21">
        <v>3.75</v>
      </c>
    </row>
    <row r="740" spans="1:10" x14ac:dyDescent="0.25">
      <c r="A740" s="19"/>
      <c r="B740" s="19" t="s">
        <v>93</v>
      </c>
      <c r="C740" s="19" t="s">
        <v>92</v>
      </c>
      <c r="D740" s="19" t="s">
        <v>347</v>
      </c>
      <c r="E740" s="21"/>
      <c r="F740" s="21"/>
      <c r="G740" s="21"/>
      <c r="H740" s="21">
        <v>7.5</v>
      </c>
      <c r="I740" s="21"/>
      <c r="J740" s="21">
        <v>7.5</v>
      </c>
    </row>
    <row r="741" spans="1:10" ht="30" x14ac:dyDescent="0.25">
      <c r="A741" s="19"/>
      <c r="B741" s="19" t="s">
        <v>596</v>
      </c>
      <c r="C741" s="19"/>
      <c r="D741" s="19"/>
      <c r="E741" s="21"/>
      <c r="F741" s="21"/>
      <c r="G741" s="21"/>
      <c r="H741" s="21">
        <v>7.5</v>
      </c>
      <c r="I741" s="21"/>
      <c r="J741" s="21">
        <v>7.5</v>
      </c>
    </row>
    <row r="742" spans="1:10" x14ac:dyDescent="0.25">
      <c r="A742" s="19"/>
      <c r="B742" s="19" t="s">
        <v>26</v>
      </c>
      <c r="C742" s="19" t="s">
        <v>25</v>
      </c>
      <c r="D742" s="19" t="s">
        <v>346</v>
      </c>
      <c r="E742" s="21"/>
      <c r="F742" s="21"/>
      <c r="G742" s="21">
        <v>2</v>
      </c>
      <c r="H742" s="21"/>
      <c r="I742" s="21"/>
      <c r="J742" s="21">
        <v>2</v>
      </c>
    </row>
    <row r="743" spans="1:10" ht="30" x14ac:dyDescent="0.25">
      <c r="A743" s="19"/>
      <c r="B743" s="19" t="s">
        <v>565</v>
      </c>
      <c r="C743" s="19"/>
      <c r="D743" s="19"/>
      <c r="E743" s="21"/>
      <c r="F743" s="21"/>
      <c r="G743" s="21">
        <v>2</v>
      </c>
      <c r="H743" s="21"/>
      <c r="I743" s="21"/>
      <c r="J743" s="21">
        <v>2</v>
      </c>
    </row>
    <row r="744" spans="1:10" x14ac:dyDescent="0.25">
      <c r="A744" s="19"/>
      <c r="B744" s="19" t="s">
        <v>5</v>
      </c>
      <c r="C744" s="19" t="s">
        <v>4</v>
      </c>
      <c r="D744" s="19" t="s">
        <v>345</v>
      </c>
      <c r="E744" s="21">
        <v>7.5</v>
      </c>
      <c r="F744" s="21"/>
      <c r="G744" s="21"/>
      <c r="H744" s="21"/>
      <c r="I744" s="21"/>
      <c r="J744" s="21">
        <v>7.5</v>
      </c>
    </row>
    <row r="745" spans="1:10" x14ac:dyDescent="0.25">
      <c r="A745" s="19"/>
      <c r="B745" s="19"/>
      <c r="C745" s="19"/>
      <c r="D745" s="19" t="s">
        <v>349</v>
      </c>
      <c r="E745" s="21"/>
      <c r="F745" s="21"/>
      <c r="G745" s="21"/>
      <c r="H745" s="21"/>
      <c r="I745" s="21">
        <v>3.75</v>
      </c>
      <c r="J745" s="21">
        <v>3.75</v>
      </c>
    </row>
    <row r="746" spans="1:10" ht="30" x14ac:dyDescent="0.25">
      <c r="A746" s="19"/>
      <c r="B746" s="19" t="s">
        <v>546</v>
      </c>
      <c r="C746" s="19"/>
      <c r="D746" s="19"/>
      <c r="E746" s="21">
        <v>7.5</v>
      </c>
      <c r="F746" s="21"/>
      <c r="G746" s="21"/>
      <c r="H746" s="21"/>
      <c r="I746" s="21">
        <v>3.75</v>
      </c>
      <c r="J746" s="21">
        <v>11.25</v>
      </c>
    </row>
    <row r="747" spans="1:10" x14ac:dyDescent="0.25">
      <c r="A747" s="19"/>
      <c r="B747" s="19" t="s">
        <v>500</v>
      </c>
      <c r="C747" s="19" t="s">
        <v>310</v>
      </c>
      <c r="D747" s="19" t="s">
        <v>59</v>
      </c>
      <c r="E747" s="21"/>
      <c r="F747" s="21">
        <v>7.5</v>
      </c>
      <c r="G747" s="21">
        <v>5.5</v>
      </c>
      <c r="H747" s="21"/>
      <c r="I747" s="21"/>
      <c r="J747" s="21">
        <v>13</v>
      </c>
    </row>
    <row r="748" spans="1:10" x14ac:dyDescent="0.25">
      <c r="A748" s="19"/>
      <c r="B748" s="19" t="s">
        <v>551</v>
      </c>
      <c r="C748" s="19"/>
      <c r="D748" s="19"/>
      <c r="E748" s="21"/>
      <c r="F748" s="21">
        <v>7.5</v>
      </c>
      <c r="G748" s="21">
        <v>5.5</v>
      </c>
      <c r="H748" s="21"/>
      <c r="I748" s="21"/>
      <c r="J748" s="21">
        <v>13</v>
      </c>
    </row>
    <row r="749" spans="1:10" x14ac:dyDescent="0.25">
      <c r="A749" s="19" t="s">
        <v>515</v>
      </c>
      <c r="B749" s="19"/>
      <c r="C749" s="19"/>
      <c r="D749" s="19"/>
      <c r="E749" s="21">
        <v>7.5</v>
      </c>
      <c r="F749" s="21">
        <v>7.5</v>
      </c>
      <c r="G749" s="21">
        <v>7.5</v>
      </c>
      <c r="H749" s="21">
        <v>7.5</v>
      </c>
      <c r="I749" s="21">
        <v>7.5</v>
      </c>
      <c r="J749" s="21">
        <v>37.5</v>
      </c>
    </row>
    <row r="750" spans="1:10" x14ac:dyDescent="0.25">
      <c r="A750" s="20">
        <v>43485</v>
      </c>
      <c r="B750" s="19" t="s">
        <v>56</v>
      </c>
      <c r="C750" s="19" t="s">
        <v>55</v>
      </c>
      <c r="D750" s="19" t="s">
        <v>351</v>
      </c>
      <c r="E750" s="21"/>
      <c r="F750" s="21"/>
      <c r="G750" s="21">
        <v>7.5</v>
      </c>
      <c r="H750" s="21">
        <v>7.5</v>
      </c>
      <c r="I750" s="21">
        <v>7.5</v>
      </c>
      <c r="J750" s="21">
        <v>22.5</v>
      </c>
    </row>
    <row r="751" spans="1:10" ht="30" x14ac:dyDescent="0.25">
      <c r="A751" s="19"/>
      <c r="B751" s="19" t="s">
        <v>578</v>
      </c>
      <c r="C751" s="19"/>
      <c r="D751" s="19"/>
      <c r="E751" s="21"/>
      <c r="F751" s="21"/>
      <c r="G751" s="21">
        <v>7.5</v>
      </c>
      <c r="H751" s="21">
        <v>7.5</v>
      </c>
      <c r="I751" s="21">
        <v>7.5</v>
      </c>
      <c r="J751" s="21">
        <v>22.5</v>
      </c>
    </row>
    <row r="752" spans="1:10" ht="30" x14ac:dyDescent="0.25">
      <c r="A752" s="19"/>
      <c r="B752" s="19" t="s">
        <v>93</v>
      </c>
      <c r="C752" s="19" t="s">
        <v>92</v>
      </c>
      <c r="D752" s="19" t="s">
        <v>350</v>
      </c>
      <c r="E752" s="21">
        <v>7.5</v>
      </c>
      <c r="F752" s="21">
        <v>7.5</v>
      </c>
      <c r="G752" s="21"/>
      <c r="H752" s="21"/>
      <c r="I752" s="21"/>
      <c r="J752" s="21">
        <v>15</v>
      </c>
    </row>
    <row r="753" spans="1:10" ht="30" x14ac:dyDescent="0.25">
      <c r="A753" s="19"/>
      <c r="B753" s="19" t="s">
        <v>596</v>
      </c>
      <c r="C753" s="19"/>
      <c r="D753" s="19"/>
      <c r="E753" s="21">
        <v>7.5</v>
      </c>
      <c r="F753" s="21">
        <v>7.5</v>
      </c>
      <c r="G753" s="21"/>
      <c r="H753" s="21"/>
      <c r="I753" s="21"/>
      <c r="J753" s="21">
        <v>15</v>
      </c>
    </row>
    <row r="754" spans="1:10" x14ac:dyDescent="0.25">
      <c r="A754" s="19" t="s">
        <v>516</v>
      </c>
      <c r="B754" s="19"/>
      <c r="C754" s="19"/>
      <c r="D754" s="19"/>
      <c r="E754" s="21">
        <v>7.5</v>
      </c>
      <c r="F754" s="21">
        <v>7.5</v>
      </c>
      <c r="G754" s="21">
        <v>7.5</v>
      </c>
      <c r="H754" s="21">
        <v>7.5</v>
      </c>
      <c r="I754" s="21">
        <v>7.5</v>
      </c>
      <c r="J754" s="21">
        <v>37.5</v>
      </c>
    </row>
    <row r="755" spans="1:10" x14ac:dyDescent="0.25">
      <c r="A755" s="20">
        <v>43478</v>
      </c>
      <c r="B755" s="19" t="s">
        <v>52</v>
      </c>
      <c r="C755" s="19" t="s">
        <v>51</v>
      </c>
      <c r="D755" s="19" t="s">
        <v>356</v>
      </c>
      <c r="E755" s="21"/>
      <c r="F755" s="21"/>
      <c r="G755" s="21"/>
      <c r="H755" s="21"/>
      <c r="I755" s="21">
        <v>2.5</v>
      </c>
      <c r="J755" s="21">
        <v>2.5</v>
      </c>
    </row>
    <row r="756" spans="1:10" ht="30" x14ac:dyDescent="0.25">
      <c r="A756" s="19"/>
      <c r="B756" s="19" t="s">
        <v>576</v>
      </c>
      <c r="C756" s="19"/>
      <c r="D756" s="19"/>
      <c r="E756" s="21"/>
      <c r="F756" s="21"/>
      <c r="G756" s="21"/>
      <c r="H756" s="21"/>
      <c r="I756" s="21">
        <v>2.5</v>
      </c>
      <c r="J756" s="21">
        <v>2.5</v>
      </c>
    </row>
    <row r="757" spans="1:10" x14ac:dyDescent="0.25">
      <c r="A757" s="19"/>
      <c r="B757" s="19" t="s">
        <v>49</v>
      </c>
      <c r="C757" s="19" t="s">
        <v>48</v>
      </c>
      <c r="D757" s="19" t="s">
        <v>358</v>
      </c>
      <c r="E757" s="21"/>
      <c r="F757" s="21"/>
      <c r="G757" s="21"/>
      <c r="H757" s="21"/>
      <c r="I757" s="21">
        <v>2.5</v>
      </c>
      <c r="J757" s="21">
        <v>2.5</v>
      </c>
    </row>
    <row r="758" spans="1:10" x14ac:dyDescent="0.25">
      <c r="A758" s="19"/>
      <c r="B758" s="19"/>
      <c r="C758" s="19"/>
      <c r="D758" s="19" t="s">
        <v>355</v>
      </c>
      <c r="E758" s="21"/>
      <c r="F758" s="21"/>
      <c r="G758" s="21"/>
      <c r="H758" s="21">
        <v>5.5</v>
      </c>
      <c r="I758" s="21"/>
      <c r="J758" s="21">
        <v>5.5</v>
      </c>
    </row>
    <row r="759" spans="1:10" ht="30" x14ac:dyDescent="0.25">
      <c r="A759" s="19"/>
      <c r="B759" s="19" t="s">
        <v>575</v>
      </c>
      <c r="C759" s="19"/>
      <c r="D759" s="19"/>
      <c r="E759" s="21"/>
      <c r="F759" s="21"/>
      <c r="G759" s="21"/>
      <c r="H759" s="21">
        <v>5.5</v>
      </c>
      <c r="I759" s="21">
        <v>2.5</v>
      </c>
      <c r="J759" s="21">
        <v>8</v>
      </c>
    </row>
    <row r="760" spans="1:10" x14ac:dyDescent="0.25">
      <c r="A760" s="19"/>
      <c r="B760" s="19" t="s">
        <v>71</v>
      </c>
      <c r="C760" s="19" t="s">
        <v>70</v>
      </c>
      <c r="D760" s="19" t="s">
        <v>352</v>
      </c>
      <c r="E760" s="21">
        <v>7.5</v>
      </c>
      <c r="F760" s="21"/>
      <c r="G760" s="21"/>
      <c r="H760" s="21"/>
      <c r="I760" s="21"/>
      <c r="J760" s="21">
        <v>7.5</v>
      </c>
    </row>
    <row r="761" spans="1:10" ht="30" x14ac:dyDescent="0.25">
      <c r="A761" s="19"/>
      <c r="B761" s="19" t="s">
        <v>585</v>
      </c>
      <c r="C761" s="19"/>
      <c r="D761" s="19"/>
      <c r="E761" s="21">
        <v>7.5</v>
      </c>
      <c r="F761" s="21"/>
      <c r="G761" s="21"/>
      <c r="H761" s="21"/>
      <c r="I761" s="21"/>
      <c r="J761" s="21">
        <v>7.5</v>
      </c>
    </row>
    <row r="762" spans="1:10" x14ac:dyDescent="0.25">
      <c r="A762" s="19"/>
      <c r="B762" s="19" t="s">
        <v>41</v>
      </c>
      <c r="C762" s="19" t="s">
        <v>40</v>
      </c>
      <c r="D762" s="19" t="s">
        <v>113</v>
      </c>
      <c r="E762" s="21"/>
      <c r="F762" s="21"/>
      <c r="G762" s="21"/>
      <c r="H762" s="21">
        <v>2</v>
      </c>
      <c r="I762" s="21"/>
      <c r="J762" s="21">
        <v>2</v>
      </c>
    </row>
    <row r="763" spans="1:10" ht="30" x14ac:dyDescent="0.25">
      <c r="A763" s="19"/>
      <c r="B763" s="19" t="s">
        <v>572</v>
      </c>
      <c r="C763" s="19"/>
      <c r="D763" s="19"/>
      <c r="E763" s="21"/>
      <c r="F763" s="21"/>
      <c r="G763" s="21"/>
      <c r="H763" s="21">
        <v>2</v>
      </c>
      <c r="I763" s="21"/>
      <c r="J763" s="21">
        <v>2</v>
      </c>
    </row>
    <row r="764" spans="1:10" ht="30" x14ac:dyDescent="0.25">
      <c r="A764" s="19"/>
      <c r="B764" s="19" t="s">
        <v>93</v>
      </c>
      <c r="C764" s="19" t="s">
        <v>92</v>
      </c>
      <c r="D764" s="19" t="s">
        <v>357</v>
      </c>
      <c r="E764" s="21"/>
      <c r="F764" s="21"/>
      <c r="G764" s="21"/>
      <c r="H764" s="21"/>
      <c r="I764" s="21">
        <v>2.5</v>
      </c>
      <c r="J764" s="21">
        <v>2.5</v>
      </c>
    </row>
    <row r="765" spans="1:10" ht="30" x14ac:dyDescent="0.25">
      <c r="A765" s="19"/>
      <c r="B765" s="19" t="s">
        <v>596</v>
      </c>
      <c r="C765" s="19"/>
      <c r="D765" s="19"/>
      <c r="E765" s="21"/>
      <c r="F765" s="21"/>
      <c r="G765" s="21"/>
      <c r="H765" s="21"/>
      <c r="I765" s="21">
        <v>2.5</v>
      </c>
      <c r="J765" s="21">
        <v>2.5</v>
      </c>
    </row>
    <row r="766" spans="1:10" x14ac:dyDescent="0.25">
      <c r="A766" s="19"/>
      <c r="B766" s="19" t="s">
        <v>31</v>
      </c>
      <c r="C766" s="19" t="s">
        <v>30</v>
      </c>
      <c r="D766" s="19" t="s">
        <v>353</v>
      </c>
      <c r="E766" s="21"/>
      <c r="F766" s="21">
        <v>3</v>
      </c>
      <c r="G766" s="21"/>
      <c r="H766" s="21"/>
      <c r="I766" s="21"/>
      <c r="J766" s="21">
        <v>3</v>
      </c>
    </row>
    <row r="767" spans="1:10" ht="30" x14ac:dyDescent="0.25">
      <c r="A767" s="19"/>
      <c r="B767" s="19" t="s">
        <v>567</v>
      </c>
      <c r="C767" s="19"/>
      <c r="D767" s="19"/>
      <c r="E767" s="21"/>
      <c r="F767" s="21">
        <v>3</v>
      </c>
      <c r="G767" s="21"/>
      <c r="H767" s="21"/>
      <c r="I767" s="21"/>
      <c r="J767" s="21">
        <v>3</v>
      </c>
    </row>
    <row r="768" spans="1:10" x14ac:dyDescent="0.25">
      <c r="A768" s="19"/>
      <c r="B768" s="19" t="s">
        <v>500</v>
      </c>
      <c r="C768" s="19" t="s">
        <v>310</v>
      </c>
      <c r="D768" s="19" t="s">
        <v>59</v>
      </c>
      <c r="E768" s="21"/>
      <c r="F768" s="21">
        <v>4.5</v>
      </c>
      <c r="G768" s="21">
        <v>7.5</v>
      </c>
      <c r="H768" s="21"/>
      <c r="I768" s="21"/>
      <c r="J768" s="21">
        <v>12</v>
      </c>
    </row>
    <row r="769" spans="1:10" x14ac:dyDescent="0.25">
      <c r="A769" s="19"/>
      <c r="B769" s="19" t="s">
        <v>551</v>
      </c>
      <c r="C769" s="19"/>
      <c r="D769" s="19"/>
      <c r="E769" s="21"/>
      <c r="F769" s="21">
        <v>4.5</v>
      </c>
      <c r="G769" s="21">
        <v>7.5</v>
      </c>
      <c r="H769" s="21"/>
      <c r="I769" s="21"/>
      <c r="J769" s="21">
        <v>12</v>
      </c>
    </row>
    <row r="770" spans="1:10" x14ac:dyDescent="0.25">
      <c r="A770" s="19" t="s">
        <v>519</v>
      </c>
      <c r="B770" s="19"/>
      <c r="C770" s="19"/>
      <c r="D770" s="19"/>
      <c r="E770" s="21">
        <v>7.5</v>
      </c>
      <c r="F770" s="21">
        <v>7.5</v>
      </c>
      <c r="G770" s="21">
        <v>7.5</v>
      </c>
      <c r="H770" s="21">
        <v>7.5</v>
      </c>
      <c r="I770" s="21">
        <v>7.5</v>
      </c>
      <c r="J770" s="21">
        <v>37.5</v>
      </c>
    </row>
    <row r="771" spans="1:10" x14ac:dyDescent="0.25">
      <c r="A771" s="20">
        <v>43471</v>
      </c>
      <c r="B771" s="19" t="s">
        <v>52</v>
      </c>
      <c r="C771" s="19" t="s">
        <v>51</v>
      </c>
      <c r="D771" s="19" t="s">
        <v>362</v>
      </c>
      <c r="E771" s="21"/>
      <c r="F771" s="21"/>
      <c r="G771" s="21"/>
      <c r="H771" s="21"/>
      <c r="I771" s="21">
        <v>2</v>
      </c>
      <c r="J771" s="21">
        <v>2</v>
      </c>
    </row>
    <row r="772" spans="1:10" ht="30" x14ac:dyDescent="0.25">
      <c r="A772" s="19"/>
      <c r="B772" s="19" t="s">
        <v>576</v>
      </c>
      <c r="C772" s="19"/>
      <c r="D772" s="19"/>
      <c r="E772" s="21"/>
      <c r="F772" s="21"/>
      <c r="G772" s="21"/>
      <c r="H772" s="21"/>
      <c r="I772" s="21">
        <v>2</v>
      </c>
      <c r="J772" s="21">
        <v>2</v>
      </c>
    </row>
    <row r="773" spans="1:10" ht="30" x14ac:dyDescent="0.25">
      <c r="A773" s="19"/>
      <c r="B773" s="19" t="s">
        <v>71</v>
      </c>
      <c r="C773" s="19" t="s">
        <v>70</v>
      </c>
      <c r="D773" s="19" t="s">
        <v>361</v>
      </c>
      <c r="E773" s="21"/>
      <c r="F773" s="21"/>
      <c r="G773" s="21"/>
      <c r="H773" s="21"/>
      <c r="I773" s="21">
        <v>3</v>
      </c>
      <c r="J773" s="21">
        <v>3</v>
      </c>
    </row>
    <row r="774" spans="1:10" ht="30" x14ac:dyDescent="0.25">
      <c r="A774" s="19"/>
      <c r="B774" s="19" t="s">
        <v>585</v>
      </c>
      <c r="C774" s="19"/>
      <c r="D774" s="19"/>
      <c r="E774" s="21"/>
      <c r="F774" s="21"/>
      <c r="G774" s="21"/>
      <c r="H774" s="21"/>
      <c r="I774" s="21">
        <v>3</v>
      </c>
      <c r="J774" s="21">
        <v>3</v>
      </c>
    </row>
    <row r="775" spans="1:10" x14ac:dyDescent="0.25">
      <c r="A775" s="19"/>
      <c r="B775" s="19" t="s">
        <v>31</v>
      </c>
      <c r="C775" s="19" t="s">
        <v>30</v>
      </c>
      <c r="D775" s="19" t="s">
        <v>360</v>
      </c>
      <c r="E775" s="21"/>
      <c r="F775" s="21"/>
      <c r="G775" s="21"/>
      <c r="H775" s="21">
        <v>7.5</v>
      </c>
      <c r="I775" s="21">
        <v>2.5</v>
      </c>
      <c r="J775" s="21">
        <v>10</v>
      </c>
    </row>
    <row r="776" spans="1:10" ht="30" x14ac:dyDescent="0.25">
      <c r="A776" s="19"/>
      <c r="B776" s="19" t="s">
        <v>567</v>
      </c>
      <c r="C776" s="19"/>
      <c r="D776" s="19"/>
      <c r="E776" s="21"/>
      <c r="F776" s="21"/>
      <c r="G776" s="21"/>
      <c r="H776" s="21">
        <v>7.5</v>
      </c>
      <c r="I776" s="21">
        <v>2.5</v>
      </c>
      <c r="J776" s="21">
        <v>10</v>
      </c>
    </row>
    <row r="777" spans="1:10" ht="30" x14ac:dyDescent="0.25">
      <c r="A777" s="19"/>
      <c r="B777" s="19" t="s">
        <v>13</v>
      </c>
      <c r="C777" s="19" t="s">
        <v>12</v>
      </c>
      <c r="D777" s="19" t="s">
        <v>13</v>
      </c>
      <c r="E777" s="21"/>
      <c r="F777" s="21">
        <v>7.5</v>
      </c>
      <c r="G777" s="21"/>
      <c r="H777" s="21"/>
      <c r="I777" s="21"/>
      <c r="J777" s="21">
        <v>7.5</v>
      </c>
    </row>
    <row r="778" spans="1:10" ht="30" x14ac:dyDescent="0.25">
      <c r="A778" s="19"/>
      <c r="B778" s="19" t="s">
        <v>556</v>
      </c>
      <c r="C778" s="19"/>
      <c r="D778" s="19"/>
      <c r="E778" s="21"/>
      <c r="F778" s="21">
        <v>7.5</v>
      </c>
      <c r="G778" s="21"/>
      <c r="H778" s="21"/>
      <c r="I778" s="21"/>
      <c r="J778" s="21">
        <v>7.5</v>
      </c>
    </row>
    <row r="779" spans="1:10" x14ac:dyDescent="0.25">
      <c r="A779" s="19"/>
      <c r="B779" s="19" t="s">
        <v>69</v>
      </c>
      <c r="C779" s="19" t="s">
        <v>68</v>
      </c>
      <c r="D779" s="19" t="s">
        <v>68</v>
      </c>
      <c r="E779" s="21">
        <v>7.5</v>
      </c>
      <c r="F779" s="21"/>
      <c r="G779" s="21"/>
      <c r="H779" s="21"/>
      <c r="I779" s="21"/>
      <c r="J779" s="21">
        <v>7.5</v>
      </c>
    </row>
    <row r="780" spans="1:10" x14ac:dyDescent="0.25">
      <c r="A780" s="19"/>
      <c r="B780" s="19" t="s">
        <v>584</v>
      </c>
      <c r="C780" s="19"/>
      <c r="D780" s="19"/>
      <c r="E780" s="21">
        <v>7.5</v>
      </c>
      <c r="F780" s="21"/>
      <c r="G780" s="21"/>
      <c r="H780" s="21"/>
      <c r="I780" s="21"/>
      <c r="J780" s="21">
        <v>7.5</v>
      </c>
    </row>
    <row r="781" spans="1:10" x14ac:dyDescent="0.25">
      <c r="A781" s="19"/>
      <c r="B781" s="19" t="s">
        <v>500</v>
      </c>
      <c r="C781" s="19" t="s">
        <v>23</v>
      </c>
      <c r="D781" s="19" t="s">
        <v>359</v>
      </c>
      <c r="E781" s="21"/>
      <c r="F781" s="21"/>
      <c r="G781" s="21">
        <v>7.5</v>
      </c>
      <c r="H781" s="21"/>
      <c r="I781" s="21"/>
      <c r="J781" s="21">
        <v>7.5</v>
      </c>
    </row>
    <row r="782" spans="1:10" x14ac:dyDescent="0.25">
      <c r="A782" s="19"/>
      <c r="B782" s="19" t="s">
        <v>551</v>
      </c>
      <c r="C782" s="19"/>
      <c r="D782" s="19"/>
      <c r="E782" s="21"/>
      <c r="F782" s="21"/>
      <c r="G782" s="21">
        <v>7.5</v>
      </c>
      <c r="H782" s="21"/>
      <c r="I782" s="21"/>
      <c r="J782" s="21">
        <v>7.5</v>
      </c>
    </row>
    <row r="783" spans="1:10" x14ac:dyDescent="0.25">
      <c r="A783" s="19" t="s">
        <v>520</v>
      </c>
      <c r="B783" s="19"/>
      <c r="C783" s="19"/>
      <c r="D783" s="19"/>
      <c r="E783" s="21">
        <v>7.5</v>
      </c>
      <c r="F783" s="21">
        <v>7.5</v>
      </c>
      <c r="G783" s="21">
        <v>7.5</v>
      </c>
      <c r="H783" s="21">
        <v>7.5</v>
      </c>
      <c r="I783" s="21">
        <v>7.5</v>
      </c>
      <c r="J783" s="21">
        <v>37.5</v>
      </c>
    </row>
    <row r="784" spans="1:10" ht="30" x14ac:dyDescent="0.25">
      <c r="A784" s="20">
        <v>43464</v>
      </c>
      <c r="B784" s="19" t="s">
        <v>13</v>
      </c>
      <c r="C784" s="19" t="s">
        <v>12</v>
      </c>
      <c r="D784" s="19" t="s">
        <v>13</v>
      </c>
      <c r="E784" s="21"/>
      <c r="F784" s="21">
        <v>7.5</v>
      </c>
      <c r="G784" s="21">
        <v>7.5</v>
      </c>
      <c r="H784" s="21"/>
      <c r="I784" s="21"/>
      <c r="J784" s="21">
        <v>15</v>
      </c>
    </row>
    <row r="785" spans="1:10" ht="30" x14ac:dyDescent="0.25">
      <c r="A785" s="19"/>
      <c r="B785" s="19" t="s">
        <v>556</v>
      </c>
      <c r="C785" s="19"/>
      <c r="D785" s="19"/>
      <c r="E785" s="21"/>
      <c r="F785" s="21">
        <v>7.5</v>
      </c>
      <c r="G785" s="21">
        <v>7.5</v>
      </c>
      <c r="H785" s="21"/>
      <c r="I785" s="21"/>
      <c r="J785" s="21">
        <v>15</v>
      </c>
    </row>
    <row r="786" spans="1:10" x14ac:dyDescent="0.25">
      <c r="A786" s="19"/>
      <c r="B786" s="19" t="s">
        <v>69</v>
      </c>
      <c r="C786" s="19" t="s">
        <v>68</v>
      </c>
      <c r="D786" s="19" t="s">
        <v>68</v>
      </c>
      <c r="E786" s="21">
        <v>7.5</v>
      </c>
      <c r="F786" s="21"/>
      <c r="G786" s="21"/>
      <c r="H786" s="21">
        <v>7.5</v>
      </c>
      <c r="I786" s="21">
        <v>7.5</v>
      </c>
      <c r="J786" s="21">
        <v>22.5</v>
      </c>
    </row>
    <row r="787" spans="1:10" x14ac:dyDescent="0.25">
      <c r="A787" s="19"/>
      <c r="B787" s="19" t="s">
        <v>584</v>
      </c>
      <c r="C787" s="19"/>
      <c r="D787" s="19"/>
      <c r="E787" s="21">
        <v>7.5</v>
      </c>
      <c r="F787" s="21"/>
      <c r="G787" s="21"/>
      <c r="H787" s="21">
        <v>7.5</v>
      </c>
      <c r="I787" s="21">
        <v>7.5</v>
      </c>
      <c r="J787" s="21">
        <v>22.5</v>
      </c>
    </row>
    <row r="788" spans="1:10" x14ac:dyDescent="0.25">
      <c r="A788" s="19" t="s">
        <v>521</v>
      </c>
      <c r="B788" s="19"/>
      <c r="C788" s="19"/>
      <c r="D788" s="19"/>
      <c r="E788" s="21">
        <v>7.5</v>
      </c>
      <c r="F788" s="21">
        <v>7.5</v>
      </c>
      <c r="G788" s="21">
        <v>7.5</v>
      </c>
      <c r="H788" s="21">
        <v>7.5</v>
      </c>
      <c r="I788" s="21">
        <v>7.5</v>
      </c>
      <c r="J788" s="21">
        <v>37.5</v>
      </c>
    </row>
    <row r="789" spans="1:10" x14ac:dyDescent="0.25">
      <c r="A789" s="20">
        <v>43457</v>
      </c>
      <c r="B789" s="19" t="s">
        <v>46</v>
      </c>
      <c r="C789" s="19" t="s">
        <v>45</v>
      </c>
      <c r="D789" s="19" t="s">
        <v>365</v>
      </c>
      <c r="E789" s="21"/>
      <c r="F789" s="21"/>
      <c r="G789" s="21">
        <v>2</v>
      </c>
      <c r="H789" s="21"/>
      <c r="I789" s="21"/>
      <c r="J789" s="21">
        <v>2</v>
      </c>
    </row>
    <row r="790" spans="1:10" ht="30" x14ac:dyDescent="0.25">
      <c r="A790" s="19"/>
      <c r="B790" s="19" t="s">
        <v>574</v>
      </c>
      <c r="C790" s="19"/>
      <c r="D790" s="19"/>
      <c r="E790" s="21"/>
      <c r="F790" s="21"/>
      <c r="G790" s="21">
        <v>2</v>
      </c>
      <c r="H790" s="21"/>
      <c r="I790" s="21"/>
      <c r="J790" s="21">
        <v>2</v>
      </c>
    </row>
    <row r="791" spans="1:10" ht="30" x14ac:dyDescent="0.25">
      <c r="A791" s="19"/>
      <c r="B791" s="19" t="s">
        <v>49</v>
      </c>
      <c r="C791" s="19" t="s">
        <v>48</v>
      </c>
      <c r="D791" s="19" t="s">
        <v>366</v>
      </c>
      <c r="E791" s="21"/>
      <c r="F791" s="21"/>
      <c r="G791" s="21">
        <v>4.5</v>
      </c>
      <c r="H791" s="21"/>
      <c r="I791" s="21"/>
      <c r="J791" s="21">
        <v>4.5</v>
      </c>
    </row>
    <row r="792" spans="1:10" ht="30" x14ac:dyDescent="0.25">
      <c r="A792" s="19"/>
      <c r="B792" s="19" t="s">
        <v>575</v>
      </c>
      <c r="C792" s="19"/>
      <c r="D792" s="19"/>
      <c r="E792" s="21"/>
      <c r="F792" s="21"/>
      <c r="G792" s="21">
        <v>4.5</v>
      </c>
      <c r="H792" s="21"/>
      <c r="I792" s="21"/>
      <c r="J792" s="21">
        <v>4.5</v>
      </c>
    </row>
    <row r="793" spans="1:10" x14ac:dyDescent="0.25">
      <c r="A793" s="19"/>
      <c r="B793" s="19" t="s">
        <v>93</v>
      </c>
      <c r="C793" s="19" t="s">
        <v>92</v>
      </c>
      <c r="D793" s="19" t="s">
        <v>369</v>
      </c>
      <c r="E793" s="21"/>
      <c r="F793" s="21"/>
      <c r="G793" s="21"/>
      <c r="H793" s="21"/>
      <c r="I793" s="21">
        <v>3.75</v>
      </c>
      <c r="J793" s="21">
        <v>3.75</v>
      </c>
    </row>
    <row r="794" spans="1:10" x14ac:dyDescent="0.25">
      <c r="A794" s="19"/>
      <c r="B794" s="19"/>
      <c r="C794" s="19"/>
      <c r="D794" s="19" t="s">
        <v>363</v>
      </c>
      <c r="E794" s="21">
        <v>3.75</v>
      </c>
      <c r="F794" s="21"/>
      <c r="G794" s="21"/>
      <c r="H794" s="21"/>
      <c r="I794" s="21"/>
      <c r="J794" s="21">
        <v>3.75</v>
      </c>
    </row>
    <row r="795" spans="1:10" ht="30" x14ac:dyDescent="0.25">
      <c r="A795" s="19"/>
      <c r="B795" s="19" t="s">
        <v>596</v>
      </c>
      <c r="C795" s="19"/>
      <c r="D795" s="19"/>
      <c r="E795" s="21">
        <v>3.75</v>
      </c>
      <c r="F795" s="21"/>
      <c r="G795" s="21"/>
      <c r="H795" s="21"/>
      <c r="I795" s="21">
        <v>3.75</v>
      </c>
      <c r="J795" s="21">
        <v>7.5</v>
      </c>
    </row>
    <row r="796" spans="1:10" x14ac:dyDescent="0.25">
      <c r="A796" s="19"/>
      <c r="B796" s="19" t="s">
        <v>81</v>
      </c>
      <c r="C796" s="19" t="s">
        <v>80</v>
      </c>
      <c r="D796" s="19" t="s">
        <v>364</v>
      </c>
      <c r="E796" s="21"/>
      <c r="F796" s="21"/>
      <c r="G796" s="21">
        <v>1</v>
      </c>
      <c r="H796" s="21"/>
      <c r="I796" s="21"/>
      <c r="J796" s="21">
        <v>1</v>
      </c>
    </row>
    <row r="797" spans="1:10" ht="30" x14ac:dyDescent="0.25">
      <c r="A797" s="19"/>
      <c r="B797" s="19" t="s">
        <v>590</v>
      </c>
      <c r="C797" s="19"/>
      <c r="D797" s="19"/>
      <c r="E797" s="21"/>
      <c r="F797" s="21"/>
      <c r="G797" s="21">
        <v>1</v>
      </c>
      <c r="H797" s="21"/>
      <c r="I797" s="21"/>
      <c r="J797" s="21">
        <v>1</v>
      </c>
    </row>
    <row r="798" spans="1:10" x14ac:dyDescent="0.25">
      <c r="A798" s="19"/>
      <c r="B798" s="19" t="s">
        <v>500</v>
      </c>
      <c r="C798" s="19" t="s">
        <v>310</v>
      </c>
      <c r="D798" s="19" t="s">
        <v>59</v>
      </c>
      <c r="E798" s="21">
        <v>3.75</v>
      </c>
      <c r="F798" s="21">
        <v>7.5</v>
      </c>
      <c r="G798" s="21"/>
      <c r="H798" s="21"/>
      <c r="I798" s="21"/>
      <c r="J798" s="21">
        <v>11.25</v>
      </c>
    </row>
    <row r="799" spans="1:10" x14ac:dyDescent="0.25">
      <c r="A799" s="19"/>
      <c r="B799" s="19"/>
      <c r="C799" s="19" t="s">
        <v>23</v>
      </c>
      <c r="D799" s="19" t="s">
        <v>367</v>
      </c>
      <c r="E799" s="21"/>
      <c r="F799" s="21"/>
      <c r="G799" s="21"/>
      <c r="H799" s="21">
        <v>7.5</v>
      </c>
      <c r="I799" s="21"/>
      <c r="J799" s="21">
        <v>7.5</v>
      </c>
    </row>
    <row r="800" spans="1:10" x14ac:dyDescent="0.25">
      <c r="A800" s="19"/>
      <c r="B800" s="19"/>
      <c r="C800" s="19"/>
      <c r="D800" s="19" t="s">
        <v>368</v>
      </c>
      <c r="E800" s="21"/>
      <c r="F800" s="21"/>
      <c r="G800" s="21"/>
      <c r="H800" s="21"/>
      <c r="I800" s="21">
        <v>3.75</v>
      </c>
      <c r="J800" s="21">
        <v>3.75</v>
      </c>
    </row>
    <row r="801" spans="1:10" x14ac:dyDescent="0.25">
      <c r="A801" s="19"/>
      <c r="B801" s="19" t="s">
        <v>551</v>
      </c>
      <c r="C801" s="19"/>
      <c r="D801" s="19"/>
      <c r="E801" s="21">
        <v>3.75</v>
      </c>
      <c r="F801" s="21">
        <v>7.5</v>
      </c>
      <c r="G801" s="21"/>
      <c r="H801" s="21">
        <v>7.5</v>
      </c>
      <c r="I801" s="21">
        <v>3.75</v>
      </c>
      <c r="J801" s="21">
        <v>22.5</v>
      </c>
    </row>
    <row r="802" spans="1:10" x14ac:dyDescent="0.25">
      <c r="A802" s="19" t="s">
        <v>523</v>
      </c>
      <c r="B802" s="19"/>
      <c r="C802" s="19"/>
      <c r="D802" s="19"/>
      <c r="E802" s="21">
        <v>7.5</v>
      </c>
      <c r="F802" s="21">
        <v>7.5</v>
      </c>
      <c r="G802" s="21">
        <v>7.5</v>
      </c>
      <c r="H802" s="21">
        <v>7.5</v>
      </c>
      <c r="I802" s="21">
        <v>7.5</v>
      </c>
      <c r="J802" s="21">
        <v>37.5</v>
      </c>
    </row>
    <row r="803" spans="1:10" x14ac:dyDescent="0.25">
      <c r="A803" s="20">
        <v>43450</v>
      </c>
      <c r="B803" s="19" t="s">
        <v>93</v>
      </c>
      <c r="C803" s="19" t="s">
        <v>92</v>
      </c>
      <c r="D803" s="19" t="s">
        <v>372</v>
      </c>
      <c r="E803" s="21"/>
      <c r="F803" s="21"/>
      <c r="G803" s="21"/>
      <c r="H803" s="21"/>
      <c r="I803" s="21">
        <v>4</v>
      </c>
      <c r="J803" s="21">
        <v>4</v>
      </c>
    </row>
    <row r="804" spans="1:10" ht="30" x14ac:dyDescent="0.25">
      <c r="A804" s="19"/>
      <c r="B804" s="19" t="s">
        <v>596</v>
      </c>
      <c r="C804" s="19"/>
      <c r="D804" s="19"/>
      <c r="E804" s="21"/>
      <c r="F804" s="21"/>
      <c r="G804" s="21"/>
      <c r="H804" s="21"/>
      <c r="I804" s="21">
        <v>4</v>
      </c>
      <c r="J804" s="21">
        <v>4</v>
      </c>
    </row>
    <row r="805" spans="1:10" ht="30" x14ac:dyDescent="0.25">
      <c r="A805" s="19"/>
      <c r="B805" s="19" t="s">
        <v>79</v>
      </c>
      <c r="C805" s="19" t="s">
        <v>78</v>
      </c>
      <c r="D805" s="19" t="s">
        <v>374</v>
      </c>
      <c r="E805" s="21"/>
      <c r="F805" s="21"/>
      <c r="G805" s="21"/>
      <c r="H805" s="21"/>
      <c r="I805" s="21">
        <v>1.5</v>
      </c>
      <c r="J805" s="21">
        <v>1.5</v>
      </c>
    </row>
    <row r="806" spans="1:10" x14ac:dyDescent="0.25">
      <c r="A806" s="19"/>
      <c r="B806" s="19"/>
      <c r="C806" s="19"/>
      <c r="D806" s="19" t="s">
        <v>370</v>
      </c>
      <c r="E806" s="21">
        <v>7.5</v>
      </c>
      <c r="F806" s="21"/>
      <c r="G806" s="21"/>
      <c r="H806" s="21"/>
      <c r="I806" s="21"/>
      <c r="J806" s="21">
        <v>7.5</v>
      </c>
    </row>
    <row r="807" spans="1:10" x14ac:dyDescent="0.25">
      <c r="A807" s="19"/>
      <c r="B807" s="19"/>
      <c r="C807" s="19"/>
      <c r="D807" s="19" t="s">
        <v>371</v>
      </c>
      <c r="E807" s="21"/>
      <c r="F807" s="21"/>
      <c r="G807" s="21"/>
      <c r="H807" s="21">
        <v>7.5</v>
      </c>
      <c r="I807" s="21"/>
      <c r="J807" s="21">
        <v>7.5</v>
      </c>
    </row>
    <row r="808" spans="1:10" ht="30" x14ac:dyDescent="0.25">
      <c r="A808" s="19"/>
      <c r="B808" s="19" t="s">
        <v>589</v>
      </c>
      <c r="C808" s="19"/>
      <c r="D808" s="19"/>
      <c r="E808" s="21">
        <v>7.5</v>
      </c>
      <c r="F808" s="21"/>
      <c r="G808" s="21"/>
      <c r="H808" s="21">
        <v>7.5</v>
      </c>
      <c r="I808" s="21">
        <v>1.5</v>
      </c>
      <c r="J808" s="21">
        <v>16.5</v>
      </c>
    </row>
    <row r="809" spans="1:10" x14ac:dyDescent="0.25">
      <c r="A809" s="19"/>
      <c r="B809" s="19" t="s">
        <v>37</v>
      </c>
      <c r="C809" s="19" t="s">
        <v>36</v>
      </c>
      <c r="D809" s="19" t="s">
        <v>373</v>
      </c>
      <c r="E809" s="21"/>
      <c r="F809" s="21"/>
      <c r="G809" s="21"/>
      <c r="H809" s="21"/>
      <c r="I809" s="21">
        <v>2</v>
      </c>
      <c r="J809" s="21">
        <v>2</v>
      </c>
    </row>
    <row r="810" spans="1:10" x14ac:dyDescent="0.25">
      <c r="A810" s="19"/>
      <c r="B810" s="19" t="s">
        <v>570</v>
      </c>
      <c r="C810" s="19"/>
      <c r="D810" s="19"/>
      <c r="E810" s="21"/>
      <c r="F810" s="21"/>
      <c r="G810" s="21"/>
      <c r="H810" s="21"/>
      <c r="I810" s="21">
        <v>2</v>
      </c>
      <c r="J810" s="21">
        <v>2</v>
      </c>
    </row>
    <row r="811" spans="1:10" x14ac:dyDescent="0.25">
      <c r="A811" s="19"/>
      <c r="B811" s="19" t="s">
        <v>500</v>
      </c>
      <c r="C811" s="19" t="s">
        <v>310</v>
      </c>
      <c r="D811" s="19" t="s">
        <v>59</v>
      </c>
      <c r="E811" s="21"/>
      <c r="F811" s="21">
        <v>7.5</v>
      </c>
      <c r="G811" s="21">
        <v>7.5</v>
      </c>
      <c r="H811" s="21"/>
      <c r="I811" s="21"/>
      <c r="J811" s="21">
        <v>15</v>
      </c>
    </row>
    <row r="812" spans="1:10" x14ac:dyDescent="0.25">
      <c r="A812" s="19"/>
      <c r="B812" s="19" t="s">
        <v>551</v>
      </c>
      <c r="C812" s="19"/>
      <c r="D812" s="19"/>
      <c r="E812" s="21"/>
      <c r="F812" s="21">
        <v>7.5</v>
      </c>
      <c r="G812" s="21">
        <v>7.5</v>
      </c>
      <c r="H812" s="21"/>
      <c r="I812" s="21"/>
      <c r="J812" s="21">
        <v>15</v>
      </c>
    </row>
    <row r="813" spans="1:10" x14ac:dyDescent="0.25">
      <c r="A813" s="19" t="s">
        <v>526</v>
      </c>
      <c r="B813" s="19"/>
      <c r="C813" s="19"/>
      <c r="D813" s="19"/>
      <c r="E813" s="21">
        <v>7.5</v>
      </c>
      <c r="F813" s="21">
        <v>7.5</v>
      </c>
      <c r="G813" s="21">
        <v>7.5</v>
      </c>
      <c r="H813" s="21">
        <v>7.5</v>
      </c>
      <c r="I813" s="21">
        <v>7.5</v>
      </c>
      <c r="J813" s="21">
        <v>37.5</v>
      </c>
    </row>
    <row r="814" spans="1:10" x14ac:dyDescent="0.25">
      <c r="A814" s="20">
        <v>43443</v>
      </c>
      <c r="B814" s="19" t="s">
        <v>15</v>
      </c>
      <c r="C814" s="19" t="s">
        <v>14</v>
      </c>
      <c r="D814" s="19" t="s">
        <v>379</v>
      </c>
      <c r="E814" s="21"/>
      <c r="F814" s="21"/>
      <c r="G814" s="21"/>
      <c r="H814" s="21"/>
      <c r="I814" s="21">
        <v>2</v>
      </c>
      <c r="J814" s="21">
        <v>2</v>
      </c>
    </row>
    <row r="815" spans="1:10" ht="30" x14ac:dyDescent="0.25">
      <c r="A815" s="19"/>
      <c r="B815" s="19" t="s">
        <v>559</v>
      </c>
      <c r="C815" s="19"/>
      <c r="D815" s="19"/>
      <c r="E815" s="21"/>
      <c r="F815" s="21"/>
      <c r="G815" s="21"/>
      <c r="H815" s="21"/>
      <c r="I815" s="21">
        <v>2</v>
      </c>
      <c r="J815" s="21">
        <v>2</v>
      </c>
    </row>
    <row r="816" spans="1:10" x14ac:dyDescent="0.25">
      <c r="A816" s="19"/>
      <c r="B816" s="19" t="s">
        <v>11</v>
      </c>
      <c r="C816" s="19" t="s">
        <v>10</v>
      </c>
      <c r="D816" s="19" t="s">
        <v>375</v>
      </c>
      <c r="E816" s="21">
        <v>2</v>
      </c>
      <c r="F816" s="21"/>
      <c r="G816" s="21"/>
      <c r="H816" s="21"/>
      <c r="I816" s="21"/>
      <c r="J816" s="21">
        <v>2</v>
      </c>
    </row>
    <row r="817" spans="1:10" x14ac:dyDescent="0.25">
      <c r="A817" s="19"/>
      <c r="B817" s="19"/>
      <c r="C817" s="19"/>
      <c r="D817" s="19" t="s">
        <v>378</v>
      </c>
      <c r="E817" s="21"/>
      <c r="F817" s="21"/>
      <c r="G817" s="21"/>
      <c r="H817" s="21"/>
      <c r="I817" s="21">
        <v>2</v>
      </c>
      <c r="J817" s="21">
        <v>2</v>
      </c>
    </row>
    <row r="818" spans="1:10" ht="30" x14ac:dyDescent="0.25">
      <c r="A818" s="19"/>
      <c r="B818" s="19" t="s">
        <v>553</v>
      </c>
      <c r="C818" s="19"/>
      <c r="D818" s="19"/>
      <c r="E818" s="21">
        <v>2</v>
      </c>
      <c r="F818" s="21"/>
      <c r="G818" s="21"/>
      <c r="H818" s="21"/>
      <c r="I818" s="21">
        <v>2</v>
      </c>
      <c r="J818" s="21">
        <v>4</v>
      </c>
    </row>
    <row r="819" spans="1:10" ht="30" x14ac:dyDescent="0.25">
      <c r="A819" s="19"/>
      <c r="B819" s="19" t="s">
        <v>77</v>
      </c>
      <c r="C819" s="19" t="s">
        <v>76</v>
      </c>
      <c r="D819" s="19" t="s">
        <v>377</v>
      </c>
      <c r="E819" s="21"/>
      <c r="F819" s="21">
        <v>7.5</v>
      </c>
      <c r="G819" s="21"/>
      <c r="H819" s="21"/>
      <c r="I819" s="21"/>
      <c r="J819" s="21">
        <v>7.5</v>
      </c>
    </row>
    <row r="820" spans="1:10" ht="30" x14ac:dyDescent="0.25">
      <c r="A820" s="19"/>
      <c r="B820" s="19" t="s">
        <v>588</v>
      </c>
      <c r="C820" s="19"/>
      <c r="D820" s="19"/>
      <c r="E820" s="21"/>
      <c r="F820" s="21">
        <v>7.5</v>
      </c>
      <c r="G820" s="21"/>
      <c r="H820" s="21"/>
      <c r="I820" s="21"/>
      <c r="J820" s="21">
        <v>7.5</v>
      </c>
    </row>
    <row r="821" spans="1:10" x14ac:dyDescent="0.25">
      <c r="A821" s="19"/>
      <c r="B821" s="19" t="s">
        <v>49</v>
      </c>
      <c r="C821" s="19" t="s">
        <v>48</v>
      </c>
      <c r="D821" s="19" t="s">
        <v>376</v>
      </c>
      <c r="E821" s="21">
        <v>5.5</v>
      </c>
      <c r="F821" s="21"/>
      <c r="G821" s="21"/>
      <c r="H821" s="21"/>
      <c r="I821" s="21"/>
      <c r="J821" s="21">
        <v>5.5</v>
      </c>
    </row>
    <row r="822" spans="1:10" ht="30" x14ac:dyDescent="0.25">
      <c r="A822" s="19"/>
      <c r="B822" s="19" t="s">
        <v>575</v>
      </c>
      <c r="C822" s="19"/>
      <c r="D822" s="19"/>
      <c r="E822" s="21">
        <v>5.5</v>
      </c>
      <c r="F822" s="21"/>
      <c r="G822" s="21"/>
      <c r="H822" s="21"/>
      <c r="I822" s="21"/>
      <c r="J822" s="21">
        <v>5.5</v>
      </c>
    </row>
    <row r="823" spans="1:10" x14ac:dyDescent="0.25">
      <c r="A823" s="19"/>
      <c r="B823" s="19" t="s">
        <v>31</v>
      </c>
      <c r="C823" s="19" t="s">
        <v>30</v>
      </c>
      <c r="D823" s="19" t="s">
        <v>380</v>
      </c>
      <c r="E823" s="21"/>
      <c r="F823" s="21"/>
      <c r="G823" s="21"/>
      <c r="H823" s="21"/>
      <c r="I823" s="21">
        <v>3.5</v>
      </c>
      <c r="J823" s="21">
        <v>3.5</v>
      </c>
    </row>
    <row r="824" spans="1:10" ht="30" x14ac:dyDescent="0.25">
      <c r="A824" s="19"/>
      <c r="B824" s="19" t="s">
        <v>567</v>
      </c>
      <c r="C824" s="19"/>
      <c r="D824" s="19"/>
      <c r="E824" s="21"/>
      <c r="F824" s="21"/>
      <c r="G824" s="21"/>
      <c r="H824" s="21"/>
      <c r="I824" s="21">
        <v>3.5</v>
      </c>
      <c r="J824" s="21">
        <v>3.5</v>
      </c>
    </row>
    <row r="825" spans="1:10" x14ac:dyDescent="0.25">
      <c r="A825" s="19"/>
      <c r="B825" s="19" t="s">
        <v>500</v>
      </c>
      <c r="C825" s="19" t="s">
        <v>310</v>
      </c>
      <c r="D825" s="19" t="s">
        <v>59</v>
      </c>
      <c r="E825" s="21"/>
      <c r="F825" s="21"/>
      <c r="G825" s="21">
        <v>7.5</v>
      </c>
      <c r="H825" s="21">
        <v>7.5</v>
      </c>
      <c r="I825" s="21"/>
      <c r="J825" s="21">
        <v>15</v>
      </c>
    </row>
    <row r="826" spans="1:10" x14ac:dyDescent="0.25">
      <c r="A826" s="19"/>
      <c r="B826" s="19" t="s">
        <v>551</v>
      </c>
      <c r="C826" s="19"/>
      <c r="D826" s="19"/>
      <c r="E826" s="21"/>
      <c r="F826" s="21"/>
      <c r="G826" s="21">
        <v>7.5</v>
      </c>
      <c r="H826" s="21">
        <v>7.5</v>
      </c>
      <c r="I826" s="21"/>
      <c r="J826" s="21">
        <v>15</v>
      </c>
    </row>
    <row r="827" spans="1:10" x14ac:dyDescent="0.25">
      <c r="A827" s="19" t="s">
        <v>528</v>
      </c>
      <c r="B827" s="19"/>
      <c r="C827" s="19"/>
      <c r="D827" s="19"/>
      <c r="E827" s="21">
        <v>7.5</v>
      </c>
      <c r="F827" s="21">
        <v>7.5</v>
      </c>
      <c r="G827" s="21">
        <v>7.5</v>
      </c>
      <c r="H827" s="21">
        <v>7.5</v>
      </c>
      <c r="I827" s="21">
        <v>7.5</v>
      </c>
      <c r="J827" s="21">
        <v>37.5</v>
      </c>
    </row>
    <row r="828" spans="1:10" x14ac:dyDescent="0.25">
      <c r="A828" s="20">
        <v>43436</v>
      </c>
      <c r="B828" s="19" t="s">
        <v>11</v>
      </c>
      <c r="C828" s="19" t="s">
        <v>10</v>
      </c>
      <c r="D828" s="19" t="s">
        <v>390</v>
      </c>
      <c r="E828" s="21"/>
      <c r="F828" s="21"/>
      <c r="G828" s="21"/>
      <c r="H828" s="21"/>
      <c r="I828" s="21">
        <v>2</v>
      </c>
      <c r="J828" s="21">
        <v>2</v>
      </c>
    </row>
    <row r="829" spans="1:10" ht="30" x14ac:dyDescent="0.25">
      <c r="A829" s="19"/>
      <c r="B829" s="19" t="s">
        <v>553</v>
      </c>
      <c r="C829" s="19"/>
      <c r="D829" s="19"/>
      <c r="E829" s="21"/>
      <c r="F829" s="21"/>
      <c r="G829" s="21"/>
      <c r="H829" s="21"/>
      <c r="I829" s="21">
        <v>2</v>
      </c>
      <c r="J829" s="21">
        <v>2</v>
      </c>
    </row>
    <row r="830" spans="1:10" x14ac:dyDescent="0.25">
      <c r="A830" s="19"/>
      <c r="B830" s="19" t="s">
        <v>29</v>
      </c>
      <c r="C830" s="19" t="s">
        <v>28</v>
      </c>
      <c r="D830" s="19" t="s">
        <v>381</v>
      </c>
      <c r="E830" s="21">
        <v>3.75</v>
      </c>
      <c r="F830" s="21"/>
      <c r="G830" s="21"/>
      <c r="H830" s="21"/>
      <c r="I830" s="21"/>
      <c r="J830" s="21">
        <v>3.75</v>
      </c>
    </row>
    <row r="831" spans="1:10" ht="30" x14ac:dyDescent="0.25">
      <c r="A831" s="19"/>
      <c r="B831" s="19" t="s">
        <v>566</v>
      </c>
      <c r="C831" s="19"/>
      <c r="D831" s="19"/>
      <c r="E831" s="21">
        <v>3.75</v>
      </c>
      <c r="F831" s="21"/>
      <c r="G831" s="21"/>
      <c r="H831" s="21"/>
      <c r="I831" s="21"/>
      <c r="J831" s="21">
        <v>3.75</v>
      </c>
    </row>
    <row r="832" spans="1:10" ht="30" x14ac:dyDescent="0.25">
      <c r="A832" s="19"/>
      <c r="B832" s="19" t="s">
        <v>52</v>
      </c>
      <c r="C832" s="19" t="s">
        <v>51</v>
      </c>
      <c r="D832" s="19" t="s">
        <v>386</v>
      </c>
      <c r="E832" s="21"/>
      <c r="F832" s="21">
        <v>1</v>
      </c>
      <c r="G832" s="21"/>
      <c r="H832" s="21"/>
      <c r="I832" s="21">
        <v>2.5</v>
      </c>
      <c r="J832" s="21">
        <v>3.5</v>
      </c>
    </row>
    <row r="833" spans="1:10" ht="30" x14ac:dyDescent="0.25">
      <c r="A833" s="19"/>
      <c r="B833" s="19" t="s">
        <v>576</v>
      </c>
      <c r="C833" s="19"/>
      <c r="D833" s="19"/>
      <c r="E833" s="21"/>
      <c r="F833" s="21">
        <v>1</v>
      </c>
      <c r="G833" s="21"/>
      <c r="H833" s="21"/>
      <c r="I833" s="21">
        <v>2.5</v>
      </c>
      <c r="J833" s="21">
        <v>3.5</v>
      </c>
    </row>
    <row r="834" spans="1:10" x14ac:dyDescent="0.25">
      <c r="A834" s="19"/>
      <c r="B834" s="19" t="s">
        <v>39</v>
      </c>
      <c r="C834" s="19" t="s">
        <v>38</v>
      </c>
      <c r="D834" s="19" t="s">
        <v>384</v>
      </c>
      <c r="E834" s="21"/>
      <c r="F834" s="21">
        <v>3</v>
      </c>
      <c r="G834" s="21"/>
      <c r="H834" s="21"/>
      <c r="I834" s="21"/>
      <c r="J834" s="21">
        <v>3</v>
      </c>
    </row>
    <row r="835" spans="1:10" ht="30" x14ac:dyDescent="0.25">
      <c r="A835" s="19"/>
      <c r="B835" s="19" t="s">
        <v>571</v>
      </c>
      <c r="C835" s="19"/>
      <c r="D835" s="19"/>
      <c r="E835" s="21"/>
      <c r="F835" s="21">
        <v>3</v>
      </c>
      <c r="G835" s="21"/>
      <c r="H835" s="21"/>
      <c r="I835" s="21"/>
      <c r="J835" s="21">
        <v>3</v>
      </c>
    </row>
    <row r="836" spans="1:10" x14ac:dyDescent="0.25">
      <c r="A836" s="19"/>
      <c r="B836" s="19" t="s">
        <v>46</v>
      </c>
      <c r="C836" s="19" t="s">
        <v>45</v>
      </c>
      <c r="D836" s="19" t="s">
        <v>387</v>
      </c>
      <c r="E836" s="21"/>
      <c r="F836" s="21"/>
      <c r="G836" s="21">
        <v>7.5</v>
      </c>
      <c r="H836" s="21"/>
      <c r="I836" s="21"/>
      <c r="J836" s="21">
        <v>7.5</v>
      </c>
    </row>
    <row r="837" spans="1:10" x14ac:dyDescent="0.25">
      <c r="A837" s="19"/>
      <c r="B837" s="19"/>
      <c r="C837" s="19"/>
      <c r="D837" s="19" t="s">
        <v>383</v>
      </c>
      <c r="E837" s="21"/>
      <c r="F837" s="21">
        <v>2.5</v>
      </c>
      <c r="G837" s="21"/>
      <c r="H837" s="21"/>
      <c r="I837" s="21"/>
      <c r="J837" s="21">
        <v>2.5</v>
      </c>
    </row>
    <row r="838" spans="1:10" ht="30" x14ac:dyDescent="0.25">
      <c r="A838" s="19"/>
      <c r="B838" s="19" t="s">
        <v>574</v>
      </c>
      <c r="C838" s="19"/>
      <c r="D838" s="19"/>
      <c r="E838" s="21"/>
      <c r="F838" s="21">
        <v>2.5</v>
      </c>
      <c r="G838" s="21">
        <v>7.5</v>
      </c>
      <c r="H838" s="21"/>
      <c r="I838" s="21"/>
      <c r="J838" s="21">
        <v>10</v>
      </c>
    </row>
    <row r="839" spans="1:10" x14ac:dyDescent="0.25">
      <c r="A839" s="19"/>
      <c r="B839" s="19" t="s">
        <v>49</v>
      </c>
      <c r="C839" s="19" t="s">
        <v>48</v>
      </c>
      <c r="D839" s="19" t="s">
        <v>391</v>
      </c>
      <c r="E839" s="21"/>
      <c r="F839" s="21"/>
      <c r="G839" s="21"/>
      <c r="H839" s="21"/>
      <c r="I839" s="21">
        <v>3</v>
      </c>
      <c r="J839" s="21">
        <v>3</v>
      </c>
    </row>
    <row r="840" spans="1:10" x14ac:dyDescent="0.25">
      <c r="A840" s="19"/>
      <c r="B840" s="19"/>
      <c r="C840" s="19"/>
      <c r="D840" s="19" t="s">
        <v>385</v>
      </c>
      <c r="E840" s="21"/>
      <c r="F840" s="21">
        <v>1</v>
      </c>
      <c r="G840" s="21"/>
      <c r="H840" s="21"/>
      <c r="I840" s="21"/>
      <c r="J840" s="21">
        <v>1</v>
      </c>
    </row>
    <row r="841" spans="1:10" ht="30" x14ac:dyDescent="0.25">
      <c r="A841" s="19"/>
      <c r="B841" s="19" t="s">
        <v>575</v>
      </c>
      <c r="C841" s="19"/>
      <c r="D841" s="19"/>
      <c r="E841" s="21"/>
      <c r="F841" s="21">
        <v>1</v>
      </c>
      <c r="G841" s="21"/>
      <c r="H841" s="21"/>
      <c r="I841" s="21">
        <v>3</v>
      </c>
      <c r="J841" s="21">
        <v>4</v>
      </c>
    </row>
    <row r="842" spans="1:10" x14ac:dyDescent="0.25">
      <c r="A842" s="19"/>
      <c r="B842" s="19" t="s">
        <v>75</v>
      </c>
      <c r="C842" s="19" t="s">
        <v>74</v>
      </c>
      <c r="D842" s="19" t="s">
        <v>388</v>
      </c>
      <c r="E842" s="21"/>
      <c r="F842" s="21"/>
      <c r="G842" s="21"/>
      <c r="H842" s="21">
        <v>5</v>
      </c>
      <c r="I842" s="21"/>
      <c r="J842" s="21">
        <v>5</v>
      </c>
    </row>
    <row r="843" spans="1:10" ht="30" x14ac:dyDescent="0.25">
      <c r="A843" s="19"/>
      <c r="B843" s="19" t="s">
        <v>587</v>
      </c>
      <c r="C843" s="19"/>
      <c r="D843" s="19"/>
      <c r="E843" s="21"/>
      <c r="F843" s="21"/>
      <c r="G843" s="21"/>
      <c r="H843" s="21">
        <v>5</v>
      </c>
      <c r="I843" s="21"/>
      <c r="J843" s="21">
        <v>5</v>
      </c>
    </row>
    <row r="844" spans="1:10" x14ac:dyDescent="0.25">
      <c r="A844" s="19"/>
      <c r="B844" s="19" t="s">
        <v>500</v>
      </c>
      <c r="C844" s="19" t="s">
        <v>23</v>
      </c>
      <c r="D844" s="19" t="s">
        <v>389</v>
      </c>
      <c r="E844" s="21"/>
      <c r="F844" s="21"/>
      <c r="G844" s="21"/>
      <c r="H844" s="21">
        <v>2.5</v>
      </c>
      <c r="I844" s="21"/>
      <c r="J844" s="21">
        <v>2.5</v>
      </c>
    </row>
    <row r="845" spans="1:10" x14ac:dyDescent="0.25">
      <c r="A845" s="19"/>
      <c r="B845" s="19"/>
      <c r="C845" s="19"/>
      <c r="D845" s="19" t="s">
        <v>382</v>
      </c>
      <c r="E845" s="21">
        <v>3.75</v>
      </c>
      <c r="F845" s="21"/>
      <c r="G845" s="21"/>
      <c r="H845" s="21"/>
      <c r="I845" s="21"/>
      <c r="J845" s="21">
        <v>3.75</v>
      </c>
    </row>
    <row r="846" spans="1:10" x14ac:dyDescent="0.25">
      <c r="A846" s="19"/>
      <c r="B846" s="19" t="s">
        <v>551</v>
      </c>
      <c r="C846" s="19"/>
      <c r="D846" s="19"/>
      <c r="E846" s="21">
        <v>3.75</v>
      </c>
      <c r="F846" s="21"/>
      <c r="G846" s="21"/>
      <c r="H846" s="21">
        <v>2.5</v>
      </c>
      <c r="I846" s="21"/>
      <c r="J846" s="21">
        <v>6.25</v>
      </c>
    </row>
    <row r="847" spans="1:10" x14ac:dyDescent="0.25">
      <c r="A847" s="19" t="s">
        <v>531</v>
      </c>
      <c r="B847" s="19"/>
      <c r="C847" s="19"/>
      <c r="D847" s="19"/>
      <c r="E847" s="21">
        <v>7.5</v>
      </c>
      <c r="F847" s="21">
        <v>7.5</v>
      </c>
      <c r="G847" s="21">
        <v>7.5</v>
      </c>
      <c r="H847" s="21">
        <v>7.5</v>
      </c>
      <c r="I847" s="21">
        <v>7.5</v>
      </c>
      <c r="J847" s="21">
        <v>37.5</v>
      </c>
    </row>
    <row r="848" spans="1:10" x14ac:dyDescent="0.25">
      <c r="A848" s="20">
        <v>43429</v>
      </c>
      <c r="B848" s="19" t="s">
        <v>15</v>
      </c>
      <c r="C848" s="19" t="s">
        <v>14</v>
      </c>
      <c r="D848" s="19" t="s">
        <v>379</v>
      </c>
      <c r="E848" s="21"/>
      <c r="F848" s="21"/>
      <c r="G848" s="21"/>
      <c r="H848" s="21"/>
      <c r="I848" s="21">
        <v>2</v>
      </c>
      <c r="J848" s="21">
        <v>2</v>
      </c>
    </row>
    <row r="849" spans="1:10" x14ac:dyDescent="0.25">
      <c r="A849" s="19"/>
      <c r="B849" s="19"/>
      <c r="C849" s="19"/>
      <c r="D849" s="19" t="s">
        <v>399</v>
      </c>
      <c r="E849" s="21"/>
      <c r="F849" s="21"/>
      <c r="G849" s="21"/>
      <c r="H849" s="21"/>
      <c r="I849" s="21">
        <v>1</v>
      </c>
      <c r="J849" s="21">
        <v>1</v>
      </c>
    </row>
    <row r="850" spans="1:10" ht="30" x14ac:dyDescent="0.25">
      <c r="A850" s="19"/>
      <c r="B850" s="19" t="s">
        <v>559</v>
      </c>
      <c r="C850" s="19"/>
      <c r="D850" s="19"/>
      <c r="E850" s="21"/>
      <c r="F850" s="21"/>
      <c r="G850" s="21"/>
      <c r="H850" s="21"/>
      <c r="I850" s="21">
        <v>3</v>
      </c>
      <c r="J850" s="21">
        <v>3</v>
      </c>
    </row>
    <row r="851" spans="1:10" x14ac:dyDescent="0.25">
      <c r="A851" s="19"/>
      <c r="B851" s="19" t="s">
        <v>11</v>
      </c>
      <c r="C851" s="19" t="s">
        <v>10</v>
      </c>
      <c r="D851" s="19" t="s">
        <v>397</v>
      </c>
      <c r="E851" s="21"/>
      <c r="F851" s="21"/>
      <c r="G851" s="21"/>
      <c r="H851" s="21">
        <v>2</v>
      </c>
      <c r="I851" s="21"/>
      <c r="J851" s="21">
        <v>2</v>
      </c>
    </row>
    <row r="852" spans="1:10" ht="30" x14ac:dyDescent="0.25">
      <c r="A852" s="19"/>
      <c r="B852" s="19" t="s">
        <v>553</v>
      </c>
      <c r="C852" s="19"/>
      <c r="D852" s="19"/>
      <c r="E852" s="21"/>
      <c r="F852" s="21"/>
      <c r="G852" s="21"/>
      <c r="H852" s="21">
        <v>2</v>
      </c>
      <c r="I852" s="21"/>
      <c r="J852" s="21">
        <v>2</v>
      </c>
    </row>
    <row r="853" spans="1:10" x14ac:dyDescent="0.25">
      <c r="A853" s="19"/>
      <c r="B853" s="19" t="s">
        <v>29</v>
      </c>
      <c r="C853" s="19" t="s">
        <v>28</v>
      </c>
      <c r="D853" s="19" t="s">
        <v>233</v>
      </c>
      <c r="E853" s="21"/>
      <c r="F853" s="21">
        <v>0</v>
      </c>
      <c r="G853" s="21"/>
      <c r="H853" s="21"/>
      <c r="I853" s="21">
        <v>1</v>
      </c>
      <c r="J853" s="21">
        <v>1</v>
      </c>
    </row>
    <row r="854" spans="1:10" x14ac:dyDescent="0.25">
      <c r="A854" s="19"/>
      <c r="B854" s="19"/>
      <c r="C854" s="19"/>
      <c r="D854" s="19" t="s">
        <v>398</v>
      </c>
      <c r="E854" s="21"/>
      <c r="F854" s="21"/>
      <c r="G854" s="21"/>
      <c r="H854" s="21">
        <v>3</v>
      </c>
      <c r="I854" s="21"/>
      <c r="J854" s="21">
        <v>3</v>
      </c>
    </row>
    <row r="855" spans="1:10" ht="30" x14ac:dyDescent="0.25">
      <c r="A855" s="19"/>
      <c r="B855" s="19" t="s">
        <v>566</v>
      </c>
      <c r="C855" s="19"/>
      <c r="D855" s="19"/>
      <c r="E855" s="21"/>
      <c r="F855" s="21">
        <v>0</v>
      </c>
      <c r="G855" s="21"/>
      <c r="H855" s="21">
        <v>3</v>
      </c>
      <c r="I855" s="21">
        <v>1</v>
      </c>
      <c r="J855" s="21">
        <v>4</v>
      </c>
    </row>
    <row r="856" spans="1:10" x14ac:dyDescent="0.25">
      <c r="A856" s="19"/>
      <c r="B856" s="19" t="s">
        <v>46</v>
      </c>
      <c r="C856" s="19" t="s">
        <v>45</v>
      </c>
      <c r="D856" s="19" t="s">
        <v>396</v>
      </c>
      <c r="E856" s="21"/>
      <c r="F856" s="21"/>
      <c r="G856" s="21">
        <v>7.5</v>
      </c>
      <c r="H856" s="21">
        <v>2.5</v>
      </c>
      <c r="I856" s="21">
        <v>3.5</v>
      </c>
      <c r="J856" s="21">
        <v>13.5</v>
      </c>
    </row>
    <row r="857" spans="1:10" ht="30" x14ac:dyDescent="0.25">
      <c r="A857" s="19"/>
      <c r="B857" s="19" t="s">
        <v>574</v>
      </c>
      <c r="C857" s="19"/>
      <c r="D857" s="19"/>
      <c r="E857" s="21"/>
      <c r="F857" s="21"/>
      <c r="G857" s="21">
        <v>7.5</v>
      </c>
      <c r="H857" s="21">
        <v>2.5</v>
      </c>
      <c r="I857" s="21">
        <v>3.5</v>
      </c>
      <c r="J857" s="21">
        <v>13.5</v>
      </c>
    </row>
    <row r="858" spans="1:10" x14ac:dyDescent="0.25">
      <c r="A858" s="19"/>
      <c r="B858" s="19" t="s">
        <v>54</v>
      </c>
      <c r="C858" s="19" t="s">
        <v>53</v>
      </c>
      <c r="D858" s="19" t="s">
        <v>393</v>
      </c>
      <c r="E858" s="21">
        <v>3.75</v>
      </c>
      <c r="F858" s="21">
        <v>7.5</v>
      </c>
      <c r="G858" s="21"/>
      <c r="H858" s="21"/>
      <c r="I858" s="21"/>
      <c r="J858" s="21">
        <v>11.25</v>
      </c>
    </row>
    <row r="859" spans="1:10" ht="30" x14ac:dyDescent="0.25">
      <c r="A859" s="19"/>
      <c r="B859" s="19" t="s">
        <v>577</v>
      </c>
      <c r="C859" s="19"/>
      <c r="D859" s="19"/>
      <c r="E859" s="21">
        <v>3.75</v>
      </c>
      <c r="F859" s="21">
        <v>7.5</v>
      </c>
      <c r="G859" s="21"/>
      <c r="H859" s="21"/>
      <c r="I859" s="21"/>
      <c r="J859" s="21">
        <v>11.25</v>
      </c>
    </row>
    <row r="860" spans="1:10" x14ac:dyDescent="0.25">
      <c r="A860" s="19"/>
      <c r="B860" s="19" t="s">
        <v>75</v>
      </c>
      <c r="C860" s="19" t="s">
        <v>74</v>
      </c>
      <c r="D860" s="19" t="s">
        <v>392</v>
      </c>
      <c r="E860" s="21">
        <v>3.75</v>
      </c>
      <c r="F860" s="21"/>
      <c r="G860" s="21"/>
      <c r="H860" s="21"/>
      <c r="I860" s="21"/>
      <c r="J860" s="21">
        <v>3.75</v>
      </c>
    </row>
    <row r="861" spans="1:10" ht="30" x14ac:dyDescent="0.25">
      <c r="A861" s="19"/>
      <c r="B861" s="19" t="s">
        <v>587</v>
      </c>
      <c r="C861" s="19"/>
      <c r="D861" s="19"/>
      <c r="E861" s="21">
        <v>3.75</v>
      </c>
      <c r="F861" s="21"/>
      <c r="G861" s="21"/>
      <c r="H861" s="21"/>
      <c r="I861" s="21"/>
      <c r="J861" s="21">
        <v>3.75</v>
      </c>
    </row>
    <row r="862" spans="1:10" x14ac:dyDescent="0.25">
      <c r="A862" s="19"/>
      <c r="B862" s="19" t="s">
        <v>81</v>
      </c>
      <c r="C862" s="19" t="s">
        <v>80</v>
      </c>
      <c r="D862" s="19" t="s">
        <v>395</v>
      </c>
      <c r="E862" s="21"/>
      <c r="F862" s="21">
        <v>0</v>
      </c>
      <c r="G862" s="21"/>
      <c r="H862" s="21"/>
      <c r="I862" s="21"/>
      <c r="J862" s="21">
        <v>0</v>
      </c>
    </row>
    <row r="863" spans="1:10" ht="30" x14ac:dyDescent="0.25">
      <c r="A863" s="19"/>
      <c r="B863" s="19" t="s">
        <v>590</v>
      </c>
      <c r="C863" s="19"/>
      <c r="D863" s="19"/>
      <c r="E863" s="21"/>
      <c r="F863" s="21">
        <v>0</v>
      </c>
      <c r="G863" s="21"/>
      <c r="H863" s="21"/>
      <c r="I863" s="21"/>
      <c r="J863" s="21">
        <v>0</v>
      </c>
    </row>
    <row r="864" spans="1:10" x14ac:dyDescent="0.25">
      <c r="A864" s="19" t="s">
        <v>533</v>
      </c>
      <c r="B864" s="19"/>
      <c r="C864" s="19"/>
      <c r="D864" s="19"/>
      <c r="E864" s="21">
        <v>7.5</v>
      </c>
      <c r="F864" s="21">
        <v>7.5</v>
      </c>
      <c r="G864" s="21">
        <v>7.5</v>
      </c>
      <c r="H864" s="21">
        <v>7.5</v>
      </c>
      <c r="I864" s="21">
        <v>7.5</v>
      </c>
      <c r="J864" s="21">
        <v>37.5</v>
      </c>
    </row>
    <row r="865" spans="1:10" x14ac:dyDescent="0.25">
      <c r="A865" s="20">
        <v>43422</v>
      </c>
      <c r="B865" s="19" t="s">
        <v>15</v>
      </c>
      <c r="C865" s="19" t="s">
        <v>14</v>
      </c>
      <c r="D865" s="19" t="s">
        <v>408</v>
      </c>
      <c r="E865" s="21"/>
      <c r="F865" s="21"/>
      <c r="G865" s="21"/>
      <c r="H865" s="21"/>
      <c r="I865" s="21">
        <v>2</v>
      </c>
      <c r="J865" s="21">
        <v>2</v>
      </c>
    </row>
    <row r="866" spans="1:10" x14ac:dyDescent="0.25">
      <c r="A866" s="19"/>
      <c r="B866" s="19"/>
      <c r="C866" s="19"/>
      <c r="D866" s="19" t="s">
        <v>400</v>
      </c>
      <c r="E866" s="21">
        <v>1</v>
      </c>
      <c r="F866" s="21"/>
      <c r="G866" s="21"/>
      <c r="H866" s="21"/>
      <c r="I866" s="21"/>
      <c r="J866" s="21">
        <v>1</v>
      </c>
    </row>
    <row r="867" spans="1:10" ht="30" x14ac:dyDescent="0.25">
      <c r="A867" s="19"/>
      <c r="B867" s="19" t="s">
        <v>559</v>
      </c>
      <c r="C867" s="19"/>
      <c r="D867" s="19"/>
      <c r="E867" s="21">
        <v>1</v>
      </c>
      <c r="F867" s="21"/>
      <c r="G867" s="21"/>
      <c r="H867" s="21"/>
      <c r="I867" s="21">
        <v>2</v>
      </c>
      <c r="J867" s="21">
        <v>3</v>
      </c>
    </row>
    <row r="868" spans="1:10" x14ac:dyDescent="0.25">
      <c r="A868" s="19"/>
      <c r="B868" s="19" t="s">
        <v>29</v>
      </c>
      <c r="C868" s="19" t="s">
        <v>28</v>
      </c>
      <c r="D868" s="19" t="s">
        <v>402</v>
      </c>
      <c r="E868" s="21">
        <v>1</v>
      </c>
      <c r="F868" s="21"/>
      <c r="G868" s="21"/>
      <c r="H868" s="21"/>
      <c r="I868" s="21"/>
      <c r="J868" s="21">
        <v>1</v>
      </c>
    </row>
    <row r="869" spans="1:10" ht="30" x14ac:dyDescent="0.25">
      <c r="A869" s="19"/>
      <c r="B869" s="19" t="s">
        <v>566</v>
      </c>
      <c r="C869" s="19"/>
      <c r="D869" s="19"/>
      <c r="E869" s="21">
        <v>1</v>
      </c>
      <c r="F869" s="21"/>
      <c r="G869" s="21"/>
      <c r="H869" s="21"/>
      <c r="I869" s="21"/>
      <c r="J869" s="21">
        <v>1</v>
      </c>
    </row>
    <row r="870" spans="1:10" x14ac:dyDescent="0.25">
      <c r="A870" s="19"/>
      <c r="B870" s="19" t="s">
        <v>75</v>
      </c>
      <c r="C870" s="19" t="s">
        <v>74</v>
      </c>
      <c r="D870" s="19" t="s">
        <v>404</v>
      </c>
      <c r="E870" s="21"/>
      <c r="F870" s="21">
        <v>3.75</v>
      </c>
      <c r="G870" s="21"/>
      <c r="H870" s="21"/>
      <c r="I870" s="21"/>
      <c r="J870" s="21">
        <v>3.75</v>
      </c>
    </row>
    <row r="871" spans="1:10" ht="30" x14ac:dyDescent="0.25">
      <c r="A871" s="19"/>
      <c r="B871" s="19" t="s">
        <v>587</v>
      </c>
      <c r="C871" s="19"/>
      <c r="D871" s="19"/>
      <c r="E871" s="21"/>
      <c r="F871" s="21">
        <v>3.75</v>
      </c>
      <c r="G871" s="21"/>
      <c r="H871" s="21"/>
      <c r="I871" s="21"/>
      <c r="J871" s="21">
        <v>3.75</v>
      </c>
    </row>
    <row r="872" spans="1:10" x14ac:dyDescent="0.25">
      <c r="A872" s="19"/>
      <c r="B872" s="19" t="s">
        <v>96</v>
      </c>
      <c r="C872" s="19" t="s">
        <v>95</v>
      </c>
      <c r="D872" s="19" t="s">
        <v>403</v>
      </c>
      <c r="E872" s="21">
        <v>3.5</v>
      </c>
      <c r="F872" s="21"/>
      <c r="G872" s="21"/>
      <c r="H872" s="21"/>
      <c r="I872" s="21"/>
      <c r="J872" s="21">
        <v>3.5</v>
      </c>
    </row>
    <row r="873" spans="1:10" x14ac:dyDescent="0.25">
      <c r="A873" s="19"/>
      <c r="B873" s="19"/>
      <c r="C873" s="19"/>
      <c r="D873" s="19" t="s">
        <v>406</v>
      </c>
      <c r="E873" s="21"/>
      <c r="F873" s="21"/>
      <c r="G873" s="21">
        <v>7.5</v>
      </c>
      <c r="H873" s="21"/>
      <c r="I873" s="21"/>
      <c r="J873" s="21">
        <v>7.5</v>
      </c>
    </row>
    <row r="874" spans="1:10" x14ac:dyDescent="0.25">
      <c r="A874" s="19"/>
      <c r="B874" s="19"/>
      <c r="C874" s="19"/>
      <c r="D874" s="19" t="s">
        <v>407</v>
      </c>
      <c r="E874" s="21"/>
      <c r="F874" s="21"/>
      <c r="G874" s="21"/>
      <c r="H874" s="21">
        <v>7.5</v>
      </c>
      <c r="I874" s="21"/>
      <c r="J874" s="21">
        <v>7.5</v>
      </c>
    </row>
    <row r="875" spans="1:10" ht="30" x14ac:dyDescent="0.25">
      <c r="A875" s="19"/>
      <c r="B875" s="19" t="s">
        <v>597</v>
      </c>
      <c r="C875" s="19"/>
      <c r="D875" s="19"/>
      <c r="E875" s="21">
        <v>3.5</v>
      </c>
      <c r="F875" s="21"/>
      <c r="G875" s="21">
        <v>7.5</v>
      </c>
      <c r="H875" s="21">
        <v>7.5</v>
      </c>
      <c r="I875" s="21"/>
      <c r="J875" s="21">
        <v>18.5</v>
      </c>
    </row>
    <row r="876" spans="1:10" x14ac:dyDescent="0.25">
      <c r="A876" s="19"/>
      <c r="B876" s="19" t="s">
        <v>81</v>
      </c>
      <c r="C876" s="19" t="s">
        <v>80</v>
      </c>
      <c r="D876" s="19" t="s">
        <v>405</v>
      </c>
      <c r="E876" s="21"/>
      <c r="F876" s="21">
        <v>3.75</v>
      </c>
      <c r="G876" s="21"/>
      <c r="H876" s="21"/>
      <c r="I876" s="21"/>
      <c r="J876" s="21">
        <v>3.75</v>
      </c>
    </row>
    <row r="877" spans="1:10" ht="30" x14ac:dyDescent="0.25">
      <c r="A877" s="19"/>
      <c r="B877" s="19" t="s">
        <v>590</v>
      </c>
      <c r="C877" s="19"/>
      <c r="D877" s="19"/>
      <c r="E877" s="21"/>
      <c r="F877" s="21">
        <v>3.75</v>
      </c>
      <c r="G877" s="21"/>
      <c r="H877" s="21"/>
      <c r="I877" s="21"/>
      <c r="J877" s="21">
        <v>3.75</v>
      </c>
    </row>
    <row r="878" spans="1:10" x14ac:dyDescent="0.25">
      <c r="A878" s="19"/>
      <c r="B878" s="19" t="s">
        <v>500</v>
      </c>
      <c r="C878" s="19" t="s">
        <v>23</v>
      </c>
      <c r="D878" s="19" t="s">
        <v>401</v>
      </c>
      <c r="E878" s="21">
        <v>2</v>
      </c>
      <c r="F878" s="21"/>
      <c r="G878" s="21"/>
      <c r="H878" s="21"/>
      <c r="I878" s="21">
        <v>5.5</v>
      </c>
      <c r="J878" s="21">
        <v>7.5</v>
      </c>
    </row>
    <row r="879" spans="1:10" x14ac:dyDescent="0.25">
      <c r="A879" s="19"/>
      <c r="B879" s="19" t="s">
        <v>551</v>
      </c>
      <c r="C879" s="19"/>
      <c r="D879" s="19"/>
      <c r="E879" s="21">
        <v>2</v>
      </c>
      <c r="F879" s="21"/>
      <c r="G879" s="21"/>
      <c r="H879" s="21"/>
      <c r="I879" s="21">
        <v>5.5</v>
      </c>
      <c r="J879" s="21">
        <v>7.5</v>
      </c>
    </row>
    <row r="880" spans="1:10" x14ac:dyDescent="0.25">
      <c r="A880" s="19" t="s">
        <v>534</v>
      </c>
      <c r="B880" s="19"/>
      <c r="C880" s="19"/>
      <c r="D880" s="19"/>
      <c r="E880" s="21">
        <v>7.5</v>
      </c>
      <c r="F880" s="21">
        <v>7.5</v>
      </c>
      <c r="G880" s="21">
        <v>7.5</v>
      </c>
      <c r="H880" s="21">
        <v>7.5</v>
      </c>
      <c r="I880" s="21">
        <v>7.5</v>
      </c>
      <c r="J880" s="21">
        <v>37.5</v>
      </c>
    </row>
    <row r="881" spans="1:10" x14ac:dyDescent="0.25">
      <c r="A881" s="20">
        <v>43415</v>
      </c>
      <c r="B881" s="19" t="s">
        <v>15</v>
      </c>
      <c r="C881" s="19" t="s">
        <v>14</v>
      </c>
      <c r="D881" s="19" t="s">
        <v>417</v>
      </c>
      <c r="E881" s="21"/>
      <c r="F881" s="21"/>
      <c r="G881" s="21"/>
      <c r="H881" s="21">
        <v>2</v>
      </c>
      <c r="I881" s="21"/>
      <c r="J881" s="21">
        <v>2</v>
      </c>
    </row>
    <row r="882" spans="1:10" x14ac:dyDescent="0.25">
      <c r="A882" s="19"/>
      <c r="B882" s="19"/>
      <c r="C882" s="19"/>
      <c r="D882" s="19" t="s">
        <v>418</v>
      </c>
      <c r="E882" s="21"/>
      <c r="F882" s="21"/>
      <c r="G882" s="21"/>
      <c r="H882" s="21">
        <v>3.5</v>
      </c>
      <c r="I882" s="21"/>
      <c r="J882" s="21">
        <v>3.5</v>
      </c>
    </row>
    <row r="883" spans="1:10" x14ac:dyDescent="0.25">
      <c r="A883" s="19"/>
      <c r="B883" s="19"/>
      <c r="C883" s="19"/>
      <c r="D883" s="19" t="s">
        <v>408</v>
      </c>
      <c r="E883" s="21"/>
      <c r="F883" s="21"/>
      <c r="G883" s="21"/>
      <c r="H883" s="21"/>
      <c r="I883" s="21">
        <v>2</v>
      </c>
      <c r="J883" s="21">
        <v>2</v>
      </c>
    </row>
    <row r="884" spans="1:10" ht="30" x14ac:dyDescent="0.25">
      <c r="A884" s="19"/>
      <c r="B884" s="19" t="s">
        <v>559</v>
      </c>
      <c r="C884" s="19"/>
      <c r="D884" s="19"/>
      <c r="E884" s="21"/>
      <c r="F884" s="21"/>
      <c r="G884" s="21"/>
      <c r="H884" s="21">
        <v>5.5</v>
      </c>
      <c r="I884" s="21">
        <v>2</v>
      </c>
      <c r="J884" s="21">
        <v>7.5</v>
      </c>
    </row>
    <row r="885" spans="1:10" x14ac:dyDescent="0.25">
      <c r="A885" s="19"/>
      <c r="B885" s="19" t="s">
        <v>62</v>
      </c>
      <c r="C885" s="19" t="s">
        <v>61</v>
      </c>
      <c r="D885" s="19" t="s">
        <v>61</v>
      </c>
      <c r="E885" s="21"/>
      <c r="F885" s="21"/>
      <c r="G885" s="21"/>
      <c r="H885" s="21"/>
      <c r="I885" s="21">
        <v>2.5</v>
      </c>
      <c r="J885" s="21">
        <v>2.5</v>
      </c>
    </row>
    <row r="886" spans="1:10" ht="30" x14ac:dyDescent="0.25">
      <c r="A886" s="19"/>
      <c r="B886" s="19" t="s">
        <v>580</v>
      </c>
      <c r="C886" s="19"/>
      <c r="D886" s="19"/>
      <c r="E886" s="21"/>
      <c r="F886" s="21"/>
      <c r="G886" s="21"/>
      <c r="H886" s="21"/>
      <c r="I886" s="21">
        <v>2.5</v>
      </c>
      <c r="J886" s="21">
        <v>2.5</v>
      </c>
    </row>
    <row r="887" spans="1:10" x14ac:dyDescent="0.25">
      <c r="A887" s="19"/>
      <c r="B887" s="19" t="s">
        <v>75</v>
      </c>
      <c r="C887" s="19" t="s">
        <v>74</v>
      </c>
      <c r="D887" s="19" t="s">
        <v>409</v>
      </c>
      <c r="E887" s="21">
        <v>1.25</v>
      </c>
      <c r="F887" s="21"/>
      <c r="G887" s="21"/>
      <c r="H887" s="21"/>
      <c r="I887" s="21"/>
      <c r="J887" s="21">
        <v>1.25</v>
      </c>
    </row>
    <row r="888" spans="1:10" x14ac:dyDescent="0.25">
      <c r="A888" s="19"/>
      <c r="B888" s="19"/>
      <c r="C888" s="19"/>
      <c r="D888" s="19" t="s">
        <v>410</v>
      </c>
      <c r="E888" s="21">
        <v>2.5</v>
      </c>
      <c r="F888" s="21"/>
      <c r="G888" s="21"/>
      <c r="H888" s="21"/>
      <c r="I888" s="21"/>
      <c r="J888" s="21">
        <v>2.5</v>
      </c>
    </row>
    <row r="889" spans="1:10" x14ac:dyDescent="0.25">
      <c r="A889" s="19"/>
      <c r="B889" s="19"/>
      <c r="C889" s="19"/>
      <c r="D889" s="19" t="s">
        <v>412</v>
      </c>
      <c r="E889" s="21"/>
      <c r="F889" s="21">
        <v>7.5</v>
      </c>
      <c r="G889" s="21"/>
      <c r="H889" s="21"/>
      <c r="I889" s="21"/>
      <c r="J889" s="21">
        <v>7.5</v>
      </c>
    </row>
    <row r="890" spans="1:10" ht="30" x14ac:dyDescent="0.25">
      <c r="A890" s="19"/>
      <c r="B890" s="19" t="s">
        <v>587</v>
      </c>
      <c r="C890" s="19"/>
      <c r="D890" s="19"/>
      <c r="E890" s="21">
        <v>3.75</v>
      </c>
      <c r="F890" s="21">
        <v>7.5</v>
      </c>
      <c r="G890" s="21"/>
      <c r="H890" s="21"/>
      <c r="I890" s="21"/>
      <c r="J890" s="21">
        <v>11.25</v>
      </c>
    </row>
    <row r="891" spans="1:10" x14ac:dyDescent="0.25">
      <c r="A891" s="19"/>
      <c r="B891" s="19" t="s">
        <v>96</v>
      </c>
      <c r="C891" s="19" t="s">
        <v>95</v>
      </c>
      <c r="D891" s="19" t="s">
        <v>419</v>
      </c>
      <c r="E891" s="21"/>
      <c r="F891" s="21"/>
      <c r="G891" s="21"/>
      <c r="H891" s="21"/>
      <c r="I891" s="21">
        <v>3</v>
      </c>
      <c r="J891" s="21">
        <v>3</v>
      </c>
    </row>
    <row r="892" spans="1:10" x14ac:dyDescent="0.25">
      <c r="A892" s="19"/>
      <c r="B892" s="19"/>
      <c r="C892" s="19"/>
      <c r="D892" s="19" t="s">
        <v>413</v>
      </c>
      <c r="E892" s="21"/>
      <c r="F892" s="21"/>
      <c r="G892" s="21">
        <v>3</v>
      </c>
      <c r="H892" s="21">
        <v>2</v>
      </c>
      <c r="I892" s="21"/>
      <c r="J892" s="21">
        <v>5</v>
      </c>
    </row>
    <row r="893" spans="1:10" ht="30" x14ac:dyDescent="0.25">
      <c r="A893" s="19"/>
      <c r="B893" s="19" t="s">
        <v>597</v>
      </c>
      <c r="C893" s="19"/>
      <c r="D893" s="19"/>
      <c r="E893" s="21"/>
      <c r="F893" s="21"/>
      <c r="G893" s="21">
        <v>3</v>
      </c>
      <c r="H893" s="21">
        <v>2</v>
      </c>
      <c r="I893" s="21">
        <v>3</v>
      </c>
      <c r="J893" s="21">
        <v>8</v>
      </c>
    </row>
    <row r="894" spans="1:10" x14ac:dyDescent="0.25">
      <c r="A894" s="19"/>
      <c r="B894" s="19" t="s">
        <v>69</v>
      </c>
      <c r="C894" s="19" t="s">
        <v>68</v>
      </c>
      <c r="D894" s="19" t="s">
        <v>68</v>
      </c>
      <c r="E894" s="21">
        <v>3.75</v>
      </c>
      <c r="F894" s="21"/>
      <c r="G894" s="21"/>
      <c r="H894" s="21"/>
      <c r="I894" s="21"/>
      <c r="J894" s="21">
        <v>3.75</v>
      </c>
    </row>
    <row r="895" spans="1:10" x14ac:dyDescent="0.25">
      <c r="A895" s="19"/>
      <c r="B895" s="19" t="s">
        <v>584</v>
      </c>
      <c r="C895" s="19"/>
      <c r="D895" s="19"/>
      <c r="E895" s="21">
        <v>3.75</v>
      </c>
      <c r="F895" s="21"/>
      <c r="G895" s="21"/>
      <c r="H895" s="21"/>
      <c r="I895" s="21"/>
      <c r="J895" s="21">
        <v>3.75</v>
      </c>
    </row>
    <row r="896" spans="1:10" ht="30" x14ac:dyDescent="0.25">
      <c r="A896" s="19"/>
      <c r="B896" s="19" t="s">
        <v>500</v>
      </c>
      <c r="C896" s="19" t="s">
        <v>414</v>
      </c>
      <c r="D896" s="19" t="s">
        <v>416</v>
      </c>
      <c r="E896" s="21"/>
      <c r="F896" s="21"/>
      <c r="G896" s="21">
        <v>3.5</v>
      </c>
      <c r="H896" s="21"/>
      <c r="I896" s="21"/>
      <c r="J896" s="21">
        <v>3.5</v>
      </c>
    </row>
    <row r="897" spans="1:10" ht="30" x14ac:dyDescent="0.25">
      <c r="A897" s="19"/>
      <c r="B897" s="19"/>
      <c r="C897" s="19"/>
      <c r="D897" s="19" t="s">
        <v>415</v>
      </c>
      <c r="E897" s="21"/>
      <c r="F897" s="21"/>
      <c r="G897" s="21">
        <v>1</v>
      </c>
      <c r="H897" s="21"/>
      <c r="I897" s="21"/>
      <c r="J897" s="21">
        <v>1</v>
      </c>
    </row>
    <row r="898" spans="1:10" x14ac:dyDescent="0.25">
      <c r="A898" s="19"/>
      <c r="B898" s="19" t="s">
        <v>551</v>
      </c>
      <c r="C898" s="19"/>
      <c r="D898" s="19"/>
      <c r="E898" s="21"/>
      <c r="F898" s="21"/>
      <c r="G898" s="21">
        <v>4.5</v>
      </c>
      <c r="H898" s="21"/>
      <c r="I898" s="21"/>
      <c r="J898" s="21">
        <v>4.5</v>
      </c>
    </row>
    <row r="899" spans="1:10" x14ac:dyDescent="0.25">
      <c r="A899" s="19" t="s">
        <v>537</v>
      </c>
      <c r="B899" s="19"/>
      <c r="C899" s="19"/>
      <c r="D899" s="19"/>
      <c r="E899" s="21">
        <v>7.5</v>
      </c>
      <c r="F899" s="21">
        <v>7.5</v>
      </c>
      <c r="G899" s="21">
        <v>7.5</v>
      </c>
      <c r="H899" s="21">
        <v>7.5</v>
      </c>
      <c r="I899" s="21">
        <v>7.5</v>
      </c>
      <c r="J899" s="21">
        <v>37.5</v>
      </c>
    </row>
    <row r="900" spans="1:10" x14ac:dyDescent="0.25">
      <c r="A900" s="20">
        <v>43408</v>
      </c>
      <c r="B900" s="19" t="s">
        <v>29</v>
      </c>
      <c r="C900" s="19" t="s">
        <v>28</v>
      </c>
      <c r="D900" s="19" t="s">
        <v>425</v>
      </c>
      <c r="E900" s="21"/>
      <c r="F900" s="21"/>
      <c r="G900" s="21"/>
      <c r="H900" s="21">
        <v>3.75</v>
      </c>
      <c r="I900" s="21"/>
      <c r="J900" s="21">
        <v>3.75</v>
      </c>
    </row>
    <row r="901" spans="1:10" ht="30" x14ac:dyDescent="0.25">
      <c r="A901" s="19"/>
      <c r="B901" s="19" t="s">
        <v>566</v>
      </c>
      <c r="C901" s="19"/>
      <c r="D901" s="19"/>
      <c r="E901" s="21"/>
      <c r="F901" s="21"/>
      <c r="G901" s="21"/>
      <c r="H901" s="21">
        <v>3.75</v>
      </c>
      <c r="I901" s="21"/>
      <c r="J901" s="21">
        <v>3.75</v>
      </c>
    </row>
    <row r="902" spans="1:10" x14ac:dyDescent="0.25">
      <c r="A902" s="19"/>
      <c r="B902" s="19" t="s">
        <v>75</v>
      </c>
      <c r="C902" s="19" t="s">
        <v>74</v>
      </c>
      <c r="D902" s="19" t="s">
        <v>410</v>
      </c>
      <c r="E902" s="21"/>
      <c r="F902" s="21"/>
      <c r="G902" s="21"/>
      <c r="H902" s="21"/>
      <c r="I902" s="21">
        <v>7.5</v>
      </c>
      <c r="J902" s="21">
        <v>7.5</v>
      </c>
    </row>
    <row r="903" spans="1:10" x14ac:dyDescent="0.25">
      <c r="A903" s="19"/>
      <c r="B903" s="19"/>
      <c r="C903" s="19"/>
      <c r="D903" s="19" t="s">
        <v>423</v>
      </c>
      <c r="E903" s="21"/>
      <c r="F903" s="21"/>
      <c r="G903" s="21">
        <v>7.5</v>
      </c>
      <c r="H903" s="21"/>
      <c r="I903" s="21"/>
      <c r="J903" s="21">
        <v>7.5</v>
      </c>
    </row>
    <row r="904" spans="1:10" ht="30" x14ac:dyDescent="0.25">
      <c r="A904" s="19"/>
      <c r="B904" s="19" t="s">
        <v>587</v>
      </c>
      <c r="C904" s="19"/>
      <c r="D904" s="19"/>
      <c r="E904" s="21"/>
      <c r="F904" s="21"/>
      <c r="G904" s="21">
        <v>7.5</v>
      </c>
      <c r="H904" s="21"/>
      <c r="I904" s="21">
        <v>7.5</v>
      </c>
      <c r="J904" s="21">
        <v>15</v>
      </c>
    </row>
    <row r="905" spans="1:10" ht="30" x14ac:dyDescent="0.25">
      <c r="A905" s="19"/>
      <c r="B905" s="19" t="s">
        <v>96</v>
      </c>
      <c r="C905" s="19" t="s">
        <v>95</v>
      </c>
      <c r="D905" s="19" t="s">
        <v>424</v>
      </c>
      <c r="E905" s="21"/>
      <c r="F905" s="21"/>
      <c r="G905" s="21"/>
      <c r="H905" s="21">
        <v>3.75</v>
      </c>
      <c r="I905" s="21"/>
      <c r="J905" s="21">
        <v>3.75</v>
      </c>
    </row>
    <row r="906" spans="1:10" x14ac:dyDescent="0.25">
      <c r="A906" s="19"/>
      <c r="B906" s="19"/>
      <c r="C906" s="19"/>
      <c r="D906" s="19" t="s">
        <v>420</v>
      </c>
      <c r="E906" s="21">
        <v>3.5</v>
      </c>
      <c r="F906" s="21"/>
      <c r="G906" s="21"/>
      <c r="H906" s="21"/>
      <c r="I906" s="21"/>
      <c r="J906" s="21">
        <v>3.5</v>
      </c>
    </row>
    <row r="907" spans="1:10" ht="30" x14ac:dyDescent="0.25">
      <c r="A907" s="19"/>
      <c r="B907" s="19" t="s">
        <v>597</v>
      </c>
      <c r="C907" s="19"/>
      <c r="D907" s="19"/>
      <c r="E907" s="21">
        <v>3.5</v>
      </c>
      <c r="F907" s="21"/>
      <c r="G907" s="21"/>
      <c r="H907" s="21">
        <v>3.75</v>
      </c>
      <c r="I907" s="21"/>
      <c r="J907" s="21">
        <v>7.25</v>
      </c>
    </row>
    <row r="908" spans="1:10" ht="30" x14ac:dyDescent="0.25">
      <c r="A908" s="19"/>
      <c r="B908" s="19" t="s">
        <v>500</v>
      </c>
      <c r="C908" s="19" t="s">
        <v>414</v>
      </c>
      <c r="D908" s="19" t="s">
        <v>421</v>
      </c>
      <c r="E908" s="21">
        <v>4</v>
      </c>
      <c r="F908" s="21"/>
      <c r="G908" s="21"/>
      <c r="H908" s="21"/>
      <c r="I908" s="21"/>
      <c r="J908" s="21">
        <v>4</v>
      </c>
    </row>
    <row r="909" spans="1:10" ht="30" x14ac:dyDescent="0.25">
      <c r="A909" s="19"/>
      <c r="B909" s="19"/>
      <c r="C909" s="19"/>
      <c r="D909" s="19" t="s">
        <v>422</v>
      </c>
      <c r="E909" s="21"/>
      <c r="F909" s="21">
        <v>7.5</v>
      </c>
      <c r="G909" s="21"/>
      <c r="H909" s="21"/>
      <c r="I909" s="21"/>
      <c r="J909" s="21">
        <v>7.5</v>
      </c>
    </row>
    <row r="910" spans="1:10" x14ac:dyDescent="0.25">
      <c r="A910" s="19"/>
      <c r="B910" s="19" t="s">
        <v>551</v>
      </c>
      <c r="C910" s="19"/>
      <c r="D910" s="19"/>
      <c r="E910" s="21">
        <v>4</v>
      </c>
      <c r="F910" s="21">
        <v>7.5</v>
      </c>
      <c r="G910" s="21"/>
      <c r="H910" s="21"/>
      <c r="I910" s="21"/>
      <c r="J910" s="21">
        <v>11.5</v>
      </c>
    </row>
    <row r="911" spans="1:10" x14ac:dyDescent="0.25">
      <c r="A911" s="19" t="s">
        <v>538</v>
      </c>
      <c r="B911" s="19"/>
      <c r="C911" s="19"/>
      <c r="D911" s="19"/>
      <c r="E911" s="21">
        <v>7.5</v>
      </c>
      <c r="F911" s="21">
        <v>7.5</v>
      </c>
      <c r="G911" s="21">
        <v>7.5</v>
      </c>
      <c r="H911" s="21">
        <v>7.5</v>
      </c>
      <c r="I911" s="21">
        <v>7.5</v>
      </c>
      <c r="J911" s="21">
        <v>37.5</v>
      </c>
    </row>
    <row r="912" spans="1:10" x14ac:dyDescent="0.25">
      <c r="A912" s="19" t="s">
        <v>539</v>
      </c>
      <c r="B912" s="19"/>
      <c r="C912" s="19"/>
      <c r="D912" s="19"/>
      <c r="E912" s="21">
        <v>667.5</v>
      </c>
      <c r="F912" s="21">
        <v>682.5</v>
      </c>
      <c r="G912" s="21">
        <v>678.5</v>
      </c>
      <c r="H912" s="21">
        <v>671.5</v>
      </c>
      <c r="I912" s="21">
        <v>684.5</v>
      </c>
      <c r="J912" s="21">
        <v>3384.5</v>
      </c>
    </row>
  </sheetData>
  <pageMargins left="0.7" right="0.7" top="0.75" bottom="0.75" header="0.3" footer="0.3"/>
  <pageSetup paperSize="9" orientation="portrait" horizontalDpi="360" verticalDpi="36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3448B-C1F9-4E1B-955F-BC1C4DFF7CF4}">
  <sheetPr codeName="Sheet3"/>
  <dimension ref="A3:F1081"/>
  <sheetViews>
    <sheetView workbookViewId="0">
      <selection activeCell="E13" sqref="E13"/>
    </sheetView>
  </sheetViews>
  <sheetFormatPr defaultRowHeight="15" x14ac:dyDescent="0.25"/>
  <cols>
    <col min="1" max="1" width="15.7109375" bestFit="1" customWidth="1"/>
    <col min="2" max="2" width="14.28515625" bestFit="1" customWidth="1"/>
    <col min="3" max="3" width="30.140625" bestFit="1" customWidth="1"/>
    <col min="4" max="4" width="9.5703125" bestFit="1" customWidth="1"/>
    <col min="5" max="5" width="128.5703125" bestFit="1" customWidth="1"/>
    <col min="6" max="6" width="12" bestFit="1" customWidth="1"/>
    <col min="7" max="7" width="11" bestFit="1" customWidth="1"/>
    <col min="8" max="8" width="12" bestFit="1" customWidth="1"/>
  </cols>
  <sheetData>
    <row r="3" spans="1:6" x14ac:dyDescent="0.25">
      <c r="A3" s="1" t="s">
        <v>651</v>
      </c>
      <c r="B3" s="1" t="s">
        <v>641</v>
      </c>
      <c r="C3" s="1" t="s">
        <v>642</v>
      </c>
      <c r="D3" s="1" t="s">
        <v>645</v>
      </c>
      <c r="E3" s="1" t="s">
        <v>102</v>
      </c>
      <c r="F3" t="s">
        <v>680</v>
      </c>
    </row>
    <row r="4" spans="1:6" x14ac:dyDescent="0.25">
      <c r="A4" t="s">
        <v>439</v>
      </c>
      <c r="B4" t="s">
        <v>679</v>
      </c>
      <c r="C4" t="s">
        <v>439</v>
      </c>
      <c r="D4" t="s">
        <v>439</v>
      </c>
      <c r="E4" t="s">
        <v>439</v>
      </c>
      <c r="F4" s="2"/>
    </row>
    <row r="5" spans="1:6" x14ac:dyDescent="0.25">
      <c r="B5" t="s">
        <v>681</v>
      </c>
      <c r="F5" s="2"/>
    </row>
    <row r="6" spans="1:6" x14ac:dyDescent="0.25">
      <c r="A6" t="s">
        <v>712</v>
      </c>
      <c r="F6" s="2"/>
    </row>
    <row r="7" spans="1:6" x14ac:dyDescent="0.25">
      <c r="A7" s="3">
        <v>44052</v>
      </c>
      <c r="B7" t="s">
        <v>629</v>
      </c>
      <c r="C7" t="s">
        <v>630</v>
      </c>
      <c r="D7" t="s">
        <v>433</v>
      </c>
      <c r="E7" t="s">
        <v>810</v>
      </c>
      <c r="F7" s="2">
        <v>0.68611111111111101</v>
      </c>
    </row>
    <row r="8" spans="1:6" x14ac:dyDescent="0.25">
      <c r="E8" t="s">
        <v>809</v>
      </c>
      <c r="F8" s="2">
        <v>0.5</v>
      </c>
    </row>
    <row r="9" spans="1:6" x14ac:dyDescent="0.25">
      <c r="D9" t="s">
        <v>429</v>
      </c>
      <c r="E9" t="s">
        <v>817</v>
      </c>
      <c r="F9" s="2">
        <v>0.66666666666666663</v>
      </c>
    </row>
    <row r="10" spans="1:6" x14ac:dyDescent="0.25">
      <c r="E10" t="s">
        <v>811</v>
      </c>
      <c r="F10" s="2">
        <v>0.50138888888888888</v>
      </c>
    </row>
    <row r="11" spans="1:6" x14ac:dyDescent="0.25">
      <c r="D11" t="s">
        <v>428</v>
      </c>
      <c r="E11" t="s">
        <v>821</v>
      </c>
      <c r="F11" s="2">
        <v>0.67013888888888884</v>
      </c>
    </row>
    <row r="12" spans="1:6" x14ac:dyDescent="0.25">
      <c r="E12" t="s">
        <v>812</v>
      </c>
      <c r="F12" s="2">
        <v>0.56944444444444442</v>
      </c>
    </row>
    <row r="13" spans="1:6" x14ac:dyDescent="0.25">
      <c r="D13" t="s">
        <v>430</v>
      </c>
      <c r="E13" t="s">
        <v>815</v>
      </c>
      <c r="F13" s="2">
        <v>0.6694444444444444</v>
      </c>
    </row>
    <row r="14" spans="1:6" x14ac:dyDescent="0.25">
      <c r="E14" t="s">
        <v>814</v>
      </c>
      <c r="F14" s="2">
        <v>0.51736111111111105</v>
      </c>
    </row>
    <row r="15" spans="1:6" x14ac:dyDescent="0.25">
      <c r="D15" t="s">
        <v>437</v>
      </c>
      <c r="E15" t="s">
        <v>816</v>
      </c>
      <c r="F15" s="2">
        <v>0.5</v>
      </c>
    </row>
    <row r="16" spans="1:6" x14ac:dyDescent="0.25">
      <c r="B16" t="s">
        <v>684</v>
      </c>
      <c r="F16" s="2">
        <v>5.2805555555555541</v>
      </c>
    </row>
    <row r="17" spans="1:6" x14ac:dyDescent="0.25">
      <c r="B17" t="s">
        <v>639</v>
      </c>
      <c r="C17" t="s">
        <v>637</v>
      </c>
      <c r="D17" t="s">
        <v>429</v>
      </c>
      <c r="E17" t="s">
        <v>819</v>
      </c>
      <c r="F17" s="2">
        <v>0.66666666666666663</v>
      </c>
    </row>
    <row r="18" spans="1:6" x14ac:dyDescent="0.25">
      <c r="D18" t="s">
        <v>428</v>
      </c>
      <c r="E18" t="s">
        <v>818</v>
      </c>
      <c r="F18" s="2">
        <v>0.56944444444444442</v>
      </c>
    </row>
    <row r="19" spans="1:6" x14ac:dyDescent="0.25">
      <c r="B19" t="s">
        <v>685</v>
      </c>
      <c r="F19" s="2">
        <v>1.2361111111111112</v>
      </c>
    </row>
    <row r="20" spans="1:6" x14ac:dyDescent="0.25">
      <c r="B20" t="s">
        <v>69</v>
      </c>
      <c r="C20" t="s">
        <v>68</v>
      </c>
      <c r="D20" t="s">
        <v>437</v>
      </c>
      <c r="E20" t="s">
        <v>68</v>
      </c>
      <c r="F20" s="2">
        <v>0.5</v>
      </c>
    </row>
    <row r="21" spans="1:6" x14ac:dyDescent="0.25">
      <c r="B21" t="s">
        <v>584</v>
      </c>
      <c r="F21" s="2">
        <v>0.5</v>
      </c>
    </row>
    <row r="22" spans="1:6" x14ac:dyDescent="0.25">
      <c r="A22" t="s">
        <v>822</v>
      </c>
      <c r="F22" s="2">
        <v>7.0166666666666657</v>
      </c>
    </row>
    <row r="23" spans="1:6" x14ac:dyDescent="0.25">
      <c r="A23" s="3">
        <v>44045</v>
      </c>
      <c r="B23" t="s">
        <v>679</v>
      </c>
      <c r="C23" t="s">
        <v>439</v>
      </c>
      <c r="D23" t="s">
        <v>433</v>
      </c>
      <c r="E23" t="s">
        <v>439</v>
      </c>
      <c r="F23" s="2">
        <v>0.50486111111111109</v>
      </c>
    </row>
    <row r="24" spans="1:6" x14ac:dyDescent="0.25">
      <c r="B24" t="s">
        <v>681</v>
      </c>
      <c r="F24" s="2">
        <v>0.50486111111111109</v>
      </c>
    </row>
    <row r="25" spans="1:6" x14ac:dyDescent="0.25">
      <c r="B25" t="s">
        <v>629</v>
      </c>
      <c r="C25" t="s">
        <v>630</v>
      </c>
      <c r="D25" t="s">
        <v>433</v>
      </c>
      <c r="E25" t="s">
        <v>806</v>
      </c>
      <c r="F25" s="2">
        <v>0.50486111111111109</v>
      </c>
    </row>
    <row r="26" spans="1:6" x14ac:dyDescent="0.25">
      <c r="D26" t="s">
        <v>429</v>
      </c>
      <c r="E26" t="s">
        <v>800</v>
      </c>
      <c r="F26" s="2">
        <v>0.50277777777777777</v>
      </c>
    </row>
    <row r="27" spans="1:6" x14ac:dyDescent="0.25">
      <c r="D27" t="s">
        <v>428</v>
      </c>
      <c r="E27" t="s">
        <v>805</v>
      </c>
      <c r="F27" s="2">
        <v>0.67569444444444438</v>
      </c>
    </row>
    <row r="28" spans="1:6" x14ac:dyDescent="0.25">
      <c r="D28" t="s">
        <v>430</v>
      </c>
      <c r="E28" t="s">
        <v>803</v>
      </c>
      <c r="F28" s="2">
        <v>0.67986111111111114</v>
      </c>
    </row>
    <row r="29" spans="1:6" x14ac:dyDescent="0.25">
      <c r="B29" t="s">
        <v>684</v>
      </c>
      <c r="F29" s="2">
        <v>2.3631944444444444</v>
      </c>
    </row>
    <row r="30" spans="1:6" x14ac:dyDescent="0.25">
      <c r="B30" t="s">
        <v>639</v>
      </c>
      <c r="C30" t="s">
        <v>637</v>
      </c>
      <c r="D30" t="s">
        <v>428</v>
      </c>
      <c r="E30" t="s">
        <v>804</v>
      </c>
      <c r="F30" s="2">
        <v>0.67569444444444438</v>
      </c>
    </row>
    <row r="31" spans="1:6" x14ac:dyDescent="0.25">
      <c r="D31" t="s">
        <v>430</v>
      </c>
      <c r="E31" t="s">
        <v>802</v>
      </c>
      <c r="F31" s="2">
        <v>0.67222222222222217</v>
      </c>
    </row>
    <row r="32" spans="1:6" x14ac:dyDescent="0.25">
      <c r="B32" t="s">
        <v>685</v>
      </c>
      <c r="F32" s="2">
        <v>1.3479166666666664</v>
      </c>
    </row>
    <row r="33" spans="1:6" x14ac:dyDescent="0.25">
      <c r="B33" t="s">
        <v>69</v>
      </c>
      <c r="C33" t="s">
        <v>68</v>
      </c>
      <c r="D33" t="s">
        <v>437</v>
      </c>
      <c r="E33" t="s">
        <v>439</v>
      </c>
      <c r="F33" s="2">
        <v>0</v>
      </c>
    </row>
    <row r="34" spans="1:6" x14ac:dyDescent="0.25">
      <c r="B34" t="s">
        <v>584</v>
      </c>
      <c r="F34" s="2">
        <v>0</v>
      </c>
    </row>
    <row r="35" spans="1:6" x14ac:dyDescent="0.25">
      <c r="A35" t="s">
        <v>801</v>
      </c>
      <c r="F35" s="2">
        <v>4.2159722222222218</v>
      </c>
    </row>
    <row r="36" spans="1:6" x14ac:dyDescent="0.25">
      <c r="A36" s="3">
        <v>44038</v>
      </c>
      <c r="B36">
        <v>0</v>
      </c>
      <c r="C36" t="s">
        <v>669</v>
      </c>
      <c r="D36" t="s">
        <v>428</v>
      </c>
      <c r="E36" t="s">
        <v>439</v>
      </c>
      <c r="F36" s="2">
        <v>0.50069444444444444</v>
      </c>
    </row>
    <row r="37" spans="1:6" x14ac:dyDescent="0.25">
      <c r="D37" t="s">
        <v>437</v>
      </c>
      <c r="E37" t="s">
        <v>754</v>
      </c>
      <c r="F37" s="2">
        <v>0.66736111111111107</v>
      </c>
    </row>
    <row r="38" spans="1:6" x14ac:dyDescent="0.25">
      <c r="B38" t="s">
        <v>579</v>
      </c>
      <c r="F38" s="2">
        <v>1.1680555555555556</v>
      </c>
    </row>
    <row r="39" spans="1:6" x14ac:dyDescent="0.25">
      <c r="B39" t="s">
        <v>629</v>
      </c>
      <c r="C39" t="s">
        <v>630</v>
      </c>
      <c r="D39" t="s">
        <v>433</v>
      </c>
      <c r="E39" t="s">
        <v>792</v>
      </c>
      <c r="F39" s="2">
        <v>0.50069444444444444</v>
      </c>
    </row>
    <row r="40" spans="1:6" x14ac:dyDescent="0.25">
      <c r="D40" t="s">
        <v>429</v>
      </c>
      <c r="E40" t="s">
        <v>785</v>
      </c>
      <c r="F40" s="2">
        <v>0.5</v>
      </c>
    </row>
    <row r="41" spans="1:6" x14ac:dyDescent="0.25">
      <c r="E41" t="s">
        <v>799</v>
      </c>
      <c r="F41" s="2">
        <v>0.67847222222222225</v>
      </c>
    </row>
    <row r="42" spans="1:6" x14ac:dyDescent="0.25">
      <c r="D42" t="s">
        <v>428</v>
      </c>
      <c r="E42" t="s">
        <v>793</v>
      </c>
      <c r="F42" s="2">
        <v>0.50069444444444444</v>
      </c>
    </row>
    <row r="43" spans="1:6" x14ac:dyDescent="0.25">
      <c r="E43" t="s">
        <v>796</v>
      </c>
      <c r="F43" s="2">
        <v>0.66666666666666663</v>
      </c>
    </row>
    <row r="44" spans="1:6" x14ac:dyDescent="0.25">
      <c r="D44" t="s">
        <v>430</v>
      </c>
      <c r="E44" t="s">
        <v>795</v>
      </c>
      <c r="F44" s="2">
        <v>0.66805555555555562</v>
      </c>
    </row>
    <row r="45" spans="1:6" x14ac:dyDescent="0.25">
      <c r="E45" t="s">
        <v>789</v>
      </c>
      <c r="F45" s="2">
        <v>0.5</v>
      </c>
    </row>
    <row r="46" spans="1:6" x14ac:dyDescent="0.25">
      <c r="D46" t="s">
        <v>437</v>
      </c>
      <c r="E46" t="s">
        <v>794</v>
      </c>
      <c r="F46" s="2">
        <v>0.66736111111111107</v>
      </c>
    </row>
    <row r="47" spans="1:6" x14ac:dyDescent="0.25">
      <c r="B47" t="s">
        <v>684</v>
      </c>
      <c r="F47" s="2">
        <v>4.6819444444444445</v>
      </c>
    </row>
    <row r="48" spans="1:6" x14ac:dyDescent="0.25">
      <c r="B48" t="s">
        <v>639</v>
      </c>
      <c r="C48" t="s">
        <v>637</v>
      </c>
      <c r="D48" t="s">
        <v>433</v>
      </c>
      <c r="E48" t="s">
        <v>791</v>
      </c>
      <c r="F48" s="2">
        <v>0.50069444444444444</v>
      </c>
    </row>
    <row r="49" spans="1:6" x14ac:dyDescent="0.25">
      <c r="B49" t="s">
        <v>685</v>
      </c>
      <c r="F49" s="2">
        <v>0.50069444444444444</v>
      </c>
    </row>
    <row r="50" spans="1:6" x14ac:dyDescent="0.25">
      <c r="A50" t="s">
        <v>787</v>
      </c>
      <c r="F50" s="2">
        <v>6.3506944444444438</v>
      </c>
    </row>
    <row r="51" spans="1:6" x14ac:dyDescent="0.25">
      <c r="A51" s="3">
        <v>44031</v>
      </c>
      <c r="B51">
        <v>0</v>
      </c>
      <c r="C51" t="s">
        <v>669</v>
      </c>
      <c r="D51" t="s">
        <v>428</v>
      </c>
      <c r="E51" t="s">
        <v>439</v>
      </c>
      <c r="F51" s="2">
        <v>0.5</v>
      </c>
    </row>
    <row r="52" spans="1:6" x14ac:dyDescent="0.25">
      <c r="B52" t="s">
        <v>579</v>
      </c>
      <c r="F52" s="2">
        <v>0.5</v>
      </c>
    </row>
    <row r="53" spans="1:6" x14ac:dyDescent="0.25">
      <c r="B53" t="s">
        <v>629</v>
      </c>
      <c r="C53" t="s">
        <v>630</v>
      </c>
      <c r="D53" t="s">
        <v>433</v>
      </c>
      <c r="E53" t="s">
        <v>771</v>
      </c>
      <c r="F53" s="2">
        <v>0.66875000000000007</v>
      </c>
    </row>
    <row r="54" spans="1:6" x14ac:dyDescent="0.25">
      <c r="E54" t="s">
        <v>784</v>
      </c>
      <c r="F54" s="2">
        <v>0.5</v>
      </c>
    </row>
    <row r="55" spans="1:6" x14ac:dyDescent="0.25">
      <c r="D55" t="s">
        <v>429</v>
      </c>
      <c r="E55" t="s">
        <v>770</v>
      </c>
      <c r="F55" s="2">
        <v>0.70138888888888884</v>
      </c>
    </row>
    <row r="56" spans="1:6" x14ac:dyDescent="0.25">
      <c r="E56" t="s">
        <v>783</v>
      </c>
      <c r="F56" s="2">
        <v>0.50208333333333333</v>
      </c>
    </row>
    <row r="57" spans="1:6" x14ac:dyDescent="0.25">
      <c r="D57" t="s">
        <v>428</v>
      </c>
      <c r="E57" t="s">
        <v>782</v>
      </c>
      <c r="F57" s="2">
        <v>0.5</v>
      </c>
    </row>
    <row r="58" spans="1:6" x14ac:dyDescent="0.25">
      <c r="D58" t="s">
        <v>430</v>
      </c>
      <c r="E58" t="s">
        <v>778</v>
      </c>
      <c r="F58" s="2">
        <v>0.69027777777777777</v>
      </c>
    </row>
    <row r="59" spans="1:6" x14ac:dyDescent="0.25">
      <c r="E59" t="s">
        <v>772</v>
      </c>
      <c r="F59" s="2">
        <v>0.5</v>
      </c>
    </row>
    <row r="60" spans="1:6" x14ac:dyDescent="0.25">
      <c r="D60" t="s">
        <v>437</v>
      </c>
      <c r="E60" t="s">
        <v>780</v>
      </c>
      <c r="F60" s="2">
        <v>0.5</v>
      </c>
    </row>
    <row r="61" spans="1:6" x14ac:dyDescent="0.25">
      <c r="B61" t="s">
        <v>684</v>
      </c>
      <c r="F61" s="2">
        <v>4.5625</v>
      </c>
    </row>
    <row r="62" spans="1:6" x14ac:dyDescent="0.25">
      <c r="B62" t="s">
        <v>639</v>
      </c>
      <c r="C62" t="s">
        <v>637</v>
      </c>
      <c r="D62" t="s">
        <v>430</v>
      </c>
      <c r="E62" t="s">
        <v>777</v>
      </c>
      <c r="F62" s="2">
        <v>0.69027777777777777</v>
      </c>
    </row>
    <row r="63" spans="1:6" x14ac:dyDescent="0.25">
      <c r="B63" t="s">
        <v>685</v>
      </c>
      <c r="F63" s="2">
        <v>0.69027777777777777</v>
      </c>
    </row>
    <row r="64" spans="1:6" x14ac:dyDescent="0.25">
      <c r="B64" t="s">
        <v>69</v>
      </c>
      <c r="C64" t="s">
        <v>68</v>
      </c>
      <c r="D64" t="s">
        <v>437</v>
      </c>
      <c r="E64" t="s">
        <v>439</v>
      </c>
      <c r="F64" s="2">
        <v>0.5</v>
      </c>
    </row>
    <row r="65" spans="1:6" x14ac:dyDescent="0.25">
      <c r="B65" t="s">
        <v>584</v>
      </c>
      <c r="F65" s="2">
        <v>0.5</v>
      </c>
    </row>
    <row r="66" spans="1:6" x14ac:dyDescent="0.25">
      <c r="A66" t="s">
        <v>773</v>
      </c>
      <c r="F66" s="2">
        <v>6.2527777777777782</v>
      </c>
    </row>
    <row r="67" spans="1:6" x14ac:dyDescent="0.25">
      <c r="A67" s="3">
        <v>44024</v>
      </c>
      <c r="B67">
        <v>0</v>
      </c>
      <c r="C67" t="s">
        <v>669</v>
      </c>
      <c r="D67" t="s">
        <v>433</v>
      </c>
      <c r="E67" t="s">
        <v>439</v>
      </c>
      <c r="F67" s="2">
        <v>0.43958333333333338</v>
      </c>
    </row>
    <row r="68" spans="1:6" x14ac:dyDescent="0.25">
      <c r="D68" t="s">
        <v>437</v>
      </c>
      <c r="E68" t="s">
        <v>439</v>
      </c>
      <c r="F68" s="2">
        <v>0.50208333333333333</v>
      </c>
    </row>
    <row r="69" spans="1:6" x14ac:dyDescent="0.25">
      <c r="B69" t="s">
        <v>579</v>
      </c>
      <c r="F69" s="2">
        <v>0.94166666666666665</v>
      </c>
    </row>
    <row r="70" spans="1:6" x14ac:dyDescent="0.25">
      <c r="B70" t="s">
        <v>629</v>
      </c>
      <c r="C70" t="s">
        <v>630</v>
      </c>
      <c r="D70" t="s">
        <v>433</v>
      </c>
      <c r="E70" t="s">
        <v>760</v>
      </c>
      <c r="F70" s="2">
        <v>0.43958333333333338</v>
      </c>
    </row>
    <row r="71" spans="1:6" x14ac:dyDescent="0.25">
      <c r="D71" t="s">
        <v>429</v>
      </c>
      <c r="E71" t="s">
        <v>759</v>
      </c>
      <c r="F71" s="2">
        <v>0.6875</v>
      </c>
    </row>
    <row r="72" spans="1:6" x14ac:dyDescent="0.25">
      <c r="D72" t="s">
        <v>428</v>
      </c>
      <c r="E72" t="s">
        <v>769</v>
      </c>
      <c r="F72" s="2">
        <v>0.81111111111111101</v>
      </c>
    </row>
    <row r="73" spans="1:6" x14ac:dyDescent="0.25">
      <c r="D73" t="s">
        <v>430</v>
      </c>
      <c r="E73" t="s">
        <v>762</v>
      </c>
      <c r="F73" s="2">
        <v>0.5854166666666667</v>
      </c>
    </row>
    <row r="74" spans="1:6" x14ac:dyDescent="0.25">
      <c r="D74" t="s">
        <v>437</v>
      </c>
      <c r="E74" t="s">
        <v>752</v>
      </c>
      <c r="F74" s="2">
        <v>0.66875000000000007</v>
      </c>
    </row>
    <row r="75" spans="1:6" x14ac:dyDescent="0.25">
      <c r="E75" t="s">
        <v>755</v>
      </c>
      <c r="F75" s="2">
        <v>0.50208333333333333</v>
      </c>
    </row>
    <row r="76" spans="1:6" x14ac:dyDescent="0.25">
      <c r="B76" t="s">
        <v>684</v>
      </c>
      <c r="F76" s="2">
        <v>3.6944444444444446</v>
      </c>
    </row>
    <row r="77" spans="1:6" x14ac:dyDescent="0.25">
      <c r="B77" t="s">
        <v>639</v>
      </c>
      <c r="C77" t="s">
        <v>637</v>
      </c>
      <c r="D77" t="s">
        <v>430</v>
      </c>
      <c r="E77" t="s">
        <v>753</v>
      </c>
      <c r="F77" s="2">
        <v>0.52083333333333337</v>
      </c>
    </row>
    <row r="78" spans="1:6" x14ac:dyDescent="0.25">
      <c r="B78" t="s">
        <v>685</v>
      </c>
      <c r="F78" s="2">
        <v>0.52083333333333337</v>
      </c>
    </row>
    <row r="79" spans="1:6" x14ac:dyDescent="0.25">
      <c r="A79" t="s">
        <v>763</v>
      </c>
      <c r="F79" s="2">
        <v>5.1569444444444441</v>
      </c>
    </row>
    <row r="80" spans="1:6" x14ac:dyDescent="0.25">
      <c r="A80" s="3">
        <v>44017</v>
      </c>
      <c r="B80">
        <v>0</v>
      </c>
      <c r="C80" t="s">
        <v>669</v>
      </c>
      <c r="D80" t="s">
        <v>430</v>
      </c>
      <c r="E80" t="s">
        <v>439</v>
      </c>
      <c r="F80" s="2">
        <v>0.84791666666666676</v>
      </c>
    </row>
    <row r="81" spans="1:6" x14ac:dyDescent="0.25">
      <c r="B81" t="s">
        <v>579</v>
      </c>
      <c r="F81" s="2">
        <v>0.84791666666666676</v>
      </c>
    </row>
    <row r="82" spans="1:6" x14ac:dyDescent="0.25">
      <c r="B82" t="s">
        <v>629</v>
      </c>
      <c r="C82" t="s">
        <v>630</v>
      </c>
      <c r="D82" t="s">
        <v>433</v>
      </c>
      <c r="E82" t="s">
        <v>749</v>
      </c>
      <c r="F82" s="2"/>
    </row>
    <row r="83" spans="1:6" x14ac:dyDescent="0.25">
      <c r="D83" t="s">
        <v>429</v>
      </c>
      <c r="E83" t="s">
        <v>748</v>
      </c>
      <c r="F83" s="2"/>
    </row>
    <row r="84" spans="1:6" x14ac:dyDescent="0.25">
      <c r="D84" t="s">
        <v>428</v>
      </c>
      <c r="E84" t="s">
        <v>747</v>
      </c>
      <c r="F84" s="2"/>
    </row>
    <row r="85" spans="1:6" x14ac:dyDescent="0.25">
      <c r="D85" t="s">
        <v>430</v>
      </c>
      <c r="E85" t="s">
        <v>745</v>
      </c>
      <c r="F85" s="2">
        <v>0.6875</v>
      </c>
    </row>
    <row r="86" spans="1:6" x14ac:dyDescent="0.25">
      <c r="E86" t="s">
        <v>746</v>
      </c>
      <c r="F86" s="2">
        <v>0.56319444444444444</v>
      </c>
    </row>
    <row r="87" spans="1:6" x14ac:dyDescent="0.25">
      <c r="D87" t="s">
        <v>437</v>
      </c>
      <c r="E87" t="s">
        <v>744</v>
      </c>
      <c r="F87" s="2">
        <v>0.43888888888888888</v>
      </c>
    </row>
    <row r="88" spans="1:6" x14ac:dyDescent="0.25">
      <c r="B88" t="s">
        <v>684</v>
      </c>
      <c r="F88" s="2">
        <v>1.6895833333333334</v>
      </c>
    </row>
    <row r="89" spans="1:6" x14ac:dyDescent="0.25">
      <c r="B89" t="s">
        <v>733</v>
      </c>
      <c r="C89" t="s">
        <v>732</v>
      </c>
      <c r="D89" t="s">
        <v>433</v>
      </c>
      <c r="E89" t="s">
        <v>734</v>
      </c>
      <c r="F89" s="2"/>
    </row>
    <row r="90" spans="1:6" x14ac:dyDescent="0.25">
      <c r="B90" t="s">
        <v>767</v>
      </c>
      <c r="F90" s="2"/>
    </row>
    <row r="91" spans="1:6" x14ac:dyDescent="0.25">
      <c r="A91" t="s">
        <v>764</v>
      </c>
      <c r="F91" s="2">
        <v>2.5375000000000005</v>
      </c>
    </row>
    <row r="92" spans="1:6" x14ac:dyDescent="0.25">
      <c r="A92" s="3">
        <v>44010</v>
      </c>
      <c r="B92" t="s">
        <v>629</v>
      </c>
      <c r="C92" t="s">
        <v>630</v>
      </c>
      <c r="D92" t="s">
        <v>433</v>
      </c>
      <c r="E92" t="s">
        <v>726</v>
      </c>
      <c r="F92" s="2"/>
    </row>
    <row r="93" spans="1:6" x14ac:dyDescent="0.25">
      <c r="D93" t="s">
        <v>429</v>
      </c>
      <c r="E93" t="s">
        <v>729</v>
      </c>
      <c r="F93" s="2"/>
    </row>
    <row r="94" spans="1:6" x14ac:dyDescent="0.25">
      <c r="D94" t="s">
        <v>428</v>
      </c>
      <c r="E94" t="s">
        <v>730</v>
      </c>
      <c r="F94" s="2"/>
    </row>
    <row r="95" spans="1:6" x14ac:dyDescent="0.25">
      <c r="D95" t="s">
        <v>430</v>
      </c>
      <c r="E95" t="s">
        <v>728</v>
      </c>
      <c r="F95" s="2"/>
    </row>
    <row r="96" spans="1:6" x14ac:dyDescent="0.25">
      <c r="B96" t="s">
        <v>684</v>
      </c>
      <c r="F96" s="2"/>
    </row>
    <row r="97" spans="1:6" x14ac:dyDescent="0.25">
      <c r="B97" t="s">
        <v>69</v>
      </c>
      <c r="C97" t="s">
        <v>68</v>
      </c>
      <c r="D97" t="s">
        <v>437</v>
      </c>
      <c r="E97" t="s">
        <v>439</v>
      </c>
      <c r="F97" s="2"/>
    </row>
    <row r="98" spans="1:6" x14ac:dyDescent="0.25">
      <c r="B98" t="s">
        <v>584</v>
      </c>
      <c r="F98" s="2"/>
    </row>
    <row r="99" spans="1:6" x14ac:dyDescent="0.25">
      <c r="A99" t="s">
        <v>765</v>
      </c>
      <c r="F99" s="2"/>
    </row>
    <row r="100" spans="1:6" x14ac:dyDescent="0.25">
      <c r="A100" s="3">
        <v>44003</v>
      </c>
      <c r="B100" t="s">
        <v>629</v>
      </c>
      <c r="C100" t="s">
        <v>630</v>
      </c>
      <c r="D100" t="s">
        <v>433</v>
      </c>
      <c r="E100" t="s">
        <v>439</v>
      </c>
      <c r="F100" s="2"/>
    </row>
    <row r="101" spans="1:6" x14ac:dyDescent="0.25">
      <c r="B101" t="s">
        <v>684</v>
      </c>
      <c r="F101" s="2"/>
    </row>
    <row r="102" spans="1:6" x14ac:dyDescent="0.25">
      <c r="A102" t="s">
        <v>766</v>
      </c>
      <c r="F102" s="2"/>
    </row>
    <row r="103" spans="1:6" x14ac:dyDescent="0.25">
      <c r="A103" s="3">
        <v>43996</v>
      </c>
      <c r="B103">
        <v>0</v>
      </c>
      <c r="C103" t="s">
        <v>669</v>
      </c>
      <c r="D103" t="s">
        <v>429</v>
      </c>
      <c r="E103" t="s">
        <v>439</v>
      </c>
      <c r="F103" s="2"/>
    </row>
    <row r="104" spans="1:6" x14ac:dyDescent="0.25">
      <c r="D104" t="s">
        <v>437</v>
      </c>
      <c r="E104" t="s">
        <v>439</v>
      </c>
      <c r="F104" s="2"/>
    </row>
    <row r="105" spans="1:6" x14ac:dyDescent="0.25">
      <c r="B105" t="s">
        <v>579</v>
      </c>
      <c r="F105" s="2"/>
    </row>
    <row r="106" spans="1:6" x14ac:dyDescent="0.25">
      <c r="B106" t="s">
        <v>629</v>
      </c>
      <c r="C106" t="s">
        <v>630</v>
      </c>
      <c r="D106" t="s">
        <v>433</v>
      </c>
      <c r="E106" t="s">
        <v>718</v>
      </c>
      <c r="F106" s="2"/>
    </row>
    <row r="107" spans="1:6" x14ac:dyDescent="0.25">
      <c r="D107" t="s">
        <v>429</v>
      </c>
      <c r="E107" t="s">
        <v>724</v>
      </c>
      <c r="F107" s="2"/>
    </row>
    <row r="108" spans="1:6" x14ac:dyDescent="0.25">
      <c r="D108" t="s">
        <v>428</v>
      </c>
      <c r="E108" t="s">
        <v>719</v>
      </c>
      <c r="F108" s="2"/>
    </row>
    <row r="109" spans="1:6" x14ac:dyDescent="0.25">
      <c r="E109" t="s">
        <v>720</v>
      </c>
      <c r="F109" s="2"/>
    </row>
    <row r="110" spans="1:6" x14ac:dyDescent="0.25">
      <c r="D110" t="s">
        <v>430</v>
      </c>
      <c r="E110" t="s">
        <v>718</v>
      </c>
      <c r="F110" s="2"/>
    </row>
    <row r="111" spans="1:6" x14ac:dyDescent="0.25">
      <c r="D111" t="s">
        <v>437</v>
      </c>
      <c r="E111" t="s">
        <v>717</v>
      </c>
      <c r="F111" s="2"/>
    </row>
    <row r="112" spans="1:6" x14ac:dyDescent="0.25">
      <c r="B112" t="s">
        <v>684</v>
      </c>
      <c r="F112" s="2"/>
    </row>
    <row r="113" spans="1:6" x14ac:dyDescent="0.25">
      <c r="B113" t="s">
        <v>41</v>
      </c>
      <c r="C113" t="s">
        <v>40</v>
      </c>
      <c r="D113" t="s">
        <v>433</v>
      </c>
      <c r="E113" t="s">
        <v>723</v>
      </c>
      <c r="F113" s="2"/>
    </row>
    <row r="114" spans="1:6" x14ac:dyDescent="0.25">
      <c r="D114" t="s">
        <v>429</v>
      </c>
      <c r="E114" t="s">
        <v>722</v>
      </c>
      <c r="F114" s="2"/>
    </row>
    <row r="115" spans="1:6" x14ac:dyDescent="0.25">
      <c r="B115" t="s">
        <v>572</v>
      </c>
      <c r="F115" s="2"/>
    </row>
    <row r="116" spans="1:6" x14ac:dyDescent="0.25">
      <c r="A116" t="s">
        <v>713</v>
      </c>
      <c r="F116" s="2"/>
    </row>
    <row r="117" spans="1:6" x14ac:dyDescent="0.25">
      <c r="A117" s="3">
        <v>43989</v>
      </c>
      <c r="B117">
        <v>0</v>
      </c>
      <c r="C117" t="s">
        <v>669</v>
      </c>
      <c r="D117" t="s">
        <v>437</v>
      </c>
      <c r="E117" t="s">
        <v>439</v>
      </c>
      <c r="F117" s="2"/>
    </row>
    <row r="118" spans="1:6" x14ac:dyDescent="0.25">
      <c r="B118" t="s">
        <v>579</v>
      </c>
      <c r="F118" s="2"/>
    </row>
    <row r="119" spans="1:6" x14ac:dyDescent="0.25">
      <c r="B119" t="s">
        <v>629</v>
      </c>
      <c r="C119" t="s">
        <v>630</v>
      </c>
      <c r="D119" t="s">
        <v>429</v>
      </c>
      <c r="E119" t="s">
        <v>439</v>
      </c>
      <c r="F119" s="2"/>
    </row>
    <row r="120" spans="1:6" x14ac:dyDescent="0.25">
      <c r="D120" t="s">
        <v>428</v>
      </c>
      <c r="E120" t="s">
        <v>439</v>
      </c>
      <c r="F120" s="2"/>
    </row>
    <row r="121" spans="1:6" x14ac:dyDescent="0.25">
      <c r="D121" t="s">
        <v>430</v>
      </c>
      <c r="E121" t="s">
        <v>439</v>
      </c>
      <c r="F121" s="2"/>
    </row>
    <row r="122" spans="1:6" x14ac:dyDescent="0.25">
      <c r="D122" t="s">
        <v>437</v>
      </c>
      <c r="E122" t="s">
        <v>439</v>
      </c>
      <c r="F122" s="2"/>
    </row>
    <row r="123" spans="1:6" x14ac:dyDescent="0.25">
      <c r="B123" t="s">
        <v>684</v>
      </c>
      <c r="F123" s="2"/>
    </row>
    <row r="124" spans="1:6" x14ac:dyDescent="0.25">
      <c r="B124" t="s">
        <v>52</v>
      </c>
      <c r="C124" t="s">
        <v>51</v>
      </c>
      <c r="D124" t="s">
        <v>433</v>
      </c>
      <c r="E124" t="s">
        <v>678</v>
      </c>
      <c r="F124" s="2"/>
    </row>
    <row r="125" spans="1:6" x14ac:dyDescent="0.25">
      <c r="B125" t="s">
        <v>576</v>
      </c>
      <c r="F125" s="2"/>
    </row>
    <row r="126" spans="1:6" x14ac:dyDescent="0.25">
      <c r="B126" t="s">
        <v>41</v>
      </c>
      <c r="C126" t="s">
        <v>40</v>
      </c>
      <c r="D126" t="s">
        <v>430</v>
      </c>
      <c r="E126" t="s">
        <v>439</v>
      </c>
      <c r="F126" s="2"/>
    </row>
    <row r="127" spans="1:6" x14ac:dyDescent="0.25">
      <c r="B127" t="s">
        <v>572</v>
      </c>
      <c r="F127" s="2"/>
    </row>
    <row r="128" spans="1:6" x14ac:dyDescent="0.25">
      <c r="A128" t="s">
        <v>714</v>
      </c>
      <c r="F128" s="2"/>
    </row>
    <row r="129" spans="1:6" x14ac:dyDescent="0.25">
      <c r="A129" s="3">
        <v>43982</v>
      </c>
      <c r="B129">
        <v>0</v>
      </c>
      <c r="C129" t="s">
        <v>669</v>
      </c>
      <c r="D129" t="s">
        <v>437</v>
      </c>
      <c r="E129" t="s">
        <v>439</v>
      </c>
      <c r="F129" s="2"/>
    </row>
    <row r="130" spans="1:6" x14ac:dyDescent="0.25">
      <c r="B130" t="s">
        <v>579</v>
      </c>
      <c r="F130" s="2"/>
    </row>
    <row r="131" spans="1:6" x14ac:dyDescent="0.25">
      <c r="B131" t="s">
        <v>629</v>
      </c>
      <c r="C131" t="s">
        <v>630</v>
      </c>
      <c r="D131" t="s">
        <v>428</v>
      </c>
      <c r="E131" t="s">
        <v>675</v>
      </c>
      <c r="F131" s="2"/>
    </row>
    <row r="132" spans="1:6" x14ac:dyDescent="0.25">
      <c r="D132" t="s">
        <v>430</v>
      </c>
      <c r="E132" t="s">
        <v>661</v>
      </c>
      <c r="F132" s="2"/>
    </row>
    <row r="133" spans="1:6" x14ac:dyDescent="0.25">
      <c r="D133" t="s">
        <v>437</v>
      </c>
      <c r="E133" t="s">
        <v>661</v>
      </c>
      <c r="F133" s="2"/>
    </row>
    <row r="134" spans="1:6" x14ac:dyDescent="0.25">
      <c r="B134" t="s">
        <v>684</v>
      </c>
      <c r="F134" s="2"/>
    </row>
    <row r="135" spans="1:6" x14ac:dyDescent="0.25">
      <c r="B135" t="s">
        <v>52</v>
      </c>
      <c r="C135" t="s">
        <v>51</v>
      </c>
      <c r="D135" t="s">
        <v>437</v>
      </c>
      <c r="E135" t="s">
        <v>678</v>
      </c>
      <c r="F135" s="2"/>
    </row>
    <row r="136" spans="1:6" x14ac:dyDescent="0.25">
      <c r="B136" t="s">
        <v>576</v>
      </c>
      <c r="F136" s="2"/>
    </row>
    <row r="137" spans="1:6" x14ac:dyDescent="0.25">
      <c r="B137" t="s">
        <v>41</v>
      </c>
      <c r="C137" t="s">
        <v>40</v>
      </c>
      <c r="D137" t="s">
        <v>430</v>
      </c>
      <c r="E137" t="s">
        <v>677</v>
      </c>
      <c r="F137" s="2"/>
    </row>
    <row r="138" spans="1:6" x14ac:dyDescent="0.25">
      <c r="B138" t="s">
        <v>572</v>
      </c>
      <c r="F138" s="2"/>
    </row>
    <row r="139" spans="1:6" x14ac:dyDescent="0.25">
      <c r="B139" t="s">
        <v>639</v>
      </c>
      <c r="C139" t="s">
        <v>637</v>
      </c>
      <c r="D139" t="s">
        <v>429</v>
      </c>
      <c r="E139" t="s">
        <v>673</v>
      </c>
      <c r="F139" s="2"/>
    </row>
    <row r="140" spans="1:6" x14ac:dyDescent="0.25">
      <c r="D140" t="s">
        <v>428</v>
      </c>
      <c r="E140" t="s">
        <v>676</v>
      </c>
      <c r="F140" s="2"/>
    </row>
    <row r="141" spans="1:6" x14ac:dyDescent="0.25">
      <c r="D141" t="s">
        <v>430</v>
      </c>
      <c r="E141" t="s">
        <v>674</v>
      </c>
      <c r="F141" s="2"/>
    </row>
    <row r="142" spans="1:6" x14ac:dyDescent="0.25">
      <c r="D142" t="s">
        <v>437</v>
      </c>
      <c r="E142" t="s">
        <v>698</v>
      </c>
      <c r="F142" s="2"/>
    </row>
    <row r="143" spans="1:6" x14ac:dyDescent="0.25">
      <c r="B143" t="s">
        <v>685</v>
      </c>
      <c r="F143" s="2"/>
    </row>
    <row r="144" spans="1:6" x14ac:dyDescent="0.25">
      <c r="B144" t="s">
        <v>13</v>
      </c>
      <c r="C144" t="s">
        <v>12</v>
      </c>
      <c r="D144" t="s">
        <v>433</v>
      </c>
      <c r="E144" t="s">
        <v>439</v>
      </c>
      <c r="F144" s="2"/>
    </row>
    <row r="145" spans="1:6" x14ac:dyDescent="0.25">
      <c r="B145" t="s">
        <v>556</v>
      </c>
      <c r="F145" s="2"/>
    </row>
    <row r="146" spans="1:6" x14ac:dyDescent="0.25">
      <c r="A146" t="s">
        <v>697</v>
      </c>
      <c r="F146" s="2"/>
    </row>
    <row r="147" spans="1:6" x14ac:dyDescent="0.25">
      <c r="A147" s="3">
        <v>43975</v>
      </c>
      <c r="B147" t="s">
        <v>629</v>
      </c>
      <c r="C147" t="s">
        <v>630</v>
      </c>
      <c r="D147" t="s">
        <v>429</v>
      </c>
      <c r="E147" t="s">
        <v>661</v>
      </c>
      <c r="F147" s="2"/>
    </row>
    <row r="148" spans="1:6" x14ac:dyDescent="0.25">
      <c r="D148" t="s">
        <v>428</v>
      </c>
      <c r="E148" t="s">
        <v>661</v>
      </c>
      <c r="F148" s="2"/>
    </row>
    <row r="149" spans="1:6" x14ac:dyDescent="0.25">
      <c r="D149" t="s">
        <v>430</v>
      </c>
      <c r="E149" t="s">
        <v>662</v>
      </c>
      <c r="F149" s="2"/>
    </row>
    <row r="150" spans="1:6" x14ac:dyDescent="0.25">
      <c r="D150" t="s">
        <v>437</v>
      </c>
      <c r="E150" t="s">
        <v>659</v>
      </c>
      <c r="F150" s="2"/>
    </row>
    <row r="151" spans="1:6" x14ac:dyDescent="0.25">
      <c r="B151" t="s">
        <v>684</v>
      </c>
      <c r="F151" s="2"/>
    </row>
    <row r="152" spans="1:6" x14ac:dyDescent="0.25">
      <c r="B152" t="s">
        <v>49</v>
      </c>
      <c r="C152" t="s">
        <v>48</v>
      </c>
      <c r="D152" t="s">
        <v>430</v>
      </c>
      <c r="E152" t="s">
        <v>663</v>
      </c>
      <c r="F152" s="2"/>
    </row>
    <row r="153" spans="1:6" x14ac:dyDescent="0.25">
      <c r="B153" t="s">
        <v>575</v>
      </c>
      <c r="F153" s="2"/>
    </row>
    <row r="154" spans="1:6" x14ac:dyDescent="0.25">
      <c r="B154" t="s">
        <v>639</v>
      </c>
      <c r="C154" t="s">
        <v>637</v>
      </c>
      <c r="D154" t="s">
        <v>430</v>
      </c>
      <c r="E154" t="s">
        <v>658</v>
      </c>
      <c r="F154" s="2"/>
    </row>
    <row r="155" spans="1:6" x14ac:dyDescent="0.25">
      <c r="D155" t="s">
        <v>437</v>
      </c>
      <c r="E155" t="s">
        <v>658</v>
      </c>
      <c r="F155" s="2"/>
    </row>
    <row r="156" spans="1:6" x14ac:dyDescent="0.25">
      <c r="B156" t="s">
        <v>685</v>
      </c>
      <c r="F156" s="2"/>
    </row>
    <row r="157" spans="1:6" x14ac:dyDescent="0.25">
      <c r="B157" t="s">
        <v>69</v>
      </c>
      <c r="C157" t="s">
        <v>68</v>
      </c>
      <c r="D157" t="s">
        <v>433</v>
      </c>
      <c r="E157" t="s">
        <v>439</v>
      </c>
      <c r="F157" s="2"/>
    </row>
    <row r="158" spans="1:6" x14ac:dyDescent="0.25">
      <c r="B158" t="s">
        <v>584</v>
      </c>
      <c r="F158" s="2"/>
    </row>
    <row r="159" spans="1:6" x14ac:dyDescent="0.25">
      <c r="A159" t="s">
        <v>696</v>
      </c>
      <c r="F159" s="2"/>
    </row>
    <row r="160" spans="1:6" x14ac:dyDescent="0.25">
      <c r="A160" s="3">
        <v>43968</v>
      </c>
      <c r="B160" t="s">
        <v>629</v>
      </c>
      <c r="C160" t="s">
        <v>630</v>
      </c>
      <c r="D160" t="s">
        <v>433</v>
      </c>
      <c r="E160" t="s">
        <v>634</v>
      </c>
      <c r="F160" s="2"/>
    </row>
    <row r="161" spans="1:6" x14ac:dyDescent="0.25">
      <c r="D161" t="s">
        <v>429</v>
      </c>
      <c r="E161" t="s">
        <v>634</v>
      </c>
      <c r="F161" s="2"/>
    </row>
    <row r="162" spans="1:6" x14ac:dyDescent="0.25">
      <c r="D162" t="s">
        <v>428</v>
      </c>
      <c r="E162" t="s">
        <v>634</v>
      </c>
      <c r="F162" s="2"/>
    </row>
    <row r="163" spans="1:6" x14ac:dyDescent="0.25">
      <c r="D163" t="s">
        <v>430</v>
      </c>
      <c r="E163" t="s">
        <v>636</v>
      </c>
      <c r="F163" s="2"/>
    </row>
    <row r="164" spans="1:6" x14ac:dyDescent="0.25">
      <c r="D164" t="s">
        <v>437</v>
      </c>
      <c r="E164" t="s">
        <v>635</v>
      </c>
      <c r="F164" s="2"/>
    </row>
    <row r="165" spans="1:6" x14ac:dyDescent="0.25">
      <c r="B165" t="s">
        <v>684</v>
      </c>
      <c r="F165" s="2"/>
    </row>
    <row r="166" spans="1:6" x14ac:dyDescent="0.25">
      <c r="B166" t="s">
        <v>639</v>
      </c>
      <c r="C166" t="s">
        <v>637</v>
      </c>
      <c r="D166" t="s">
        <v>430</v>
      </c>
      <c r="E166" t="s">
        <v>638</v>
      </c>
      <c r="F166" s="2"/>
    </row>
    <row r="167" spans="1:6" x14ac:dyDescent="0.25">
      <c r="D167" t="s">
        <v>437</v>
      </c>
      <c r="E167" t="s">
        <v>638</v>
      </c>
      <c r="F167" s="2"/>
    </row>
    <row r="168" spans="1:6" x14ac:dyDescent="0.25">
      <c r="B168" t="s">
        <v>685</v>
      </c>
      <c r="F168" s="2"/>
    </row>
    <row r="169" spans="1:6" x14ac:dyDescent="0.25">
      <c r="A169" t="s">
        <v>695</v>
      </c>
      <c r="F169" s="2"/>
    </row>
    <row r="170" spans="1:6" x14ac:dyDescent="0.25">
      <c r="A170" s="3">
        <v>43961</v>
      </c>
      <c r="B170" t="s">
        <v>91</v>
      </c>
      <c r="C170" t="s">
        <v>90</v>
      </c>
      <c r="D170" t="s">
        <v>433</v>
      </c>
      <c r="E170" t="s">
        <v>633</v>
      </c>
      <c r="F170" s="2"/>
    </row>
    <row r="171" spans="1:6" x14ac:dyDescent="0.25">
      <c r="B171" t="s">
        <v>623</v>
      </c>
      <c r="F171" s="2"/>
    </row>
    <row r="172" spans="1:6" x14ac:dyDescent="0.25">
      <c r="B172" t="s">
        <v>629</v>
      </c>
      <c r="C172" t="s">
        <v>630</v>
      </c>
      <c r="D172" t="s">
        <v>429</v>
      </c>
      <c r="E172" t="s">
        <v>634</v>
      </c>
      <c r="F172" s="2"/>
    </row>
    <row r="173" spans="1:6" x14ac:dyDescent="0.25">
      <c r="D173" t="s">
        <v>428</v>
      </c>
      <c r="E173" t="s">
        <v>634</v>
      </c>
      <c r="F173" s="2"/>
    </row>
    <row r="174" spans="1:6" x14ac:dyDescent="0.25">
      <c r="D174" t="s">
        <v>430</v>
      </c>
      <c r="E174" t="s">
        <v>634</v>
      </c>
      <c r="F174" s="2"/>
    </row>
    <row r="175" spans="1:6" x14ac:dyDescent="0.25">
      <c r="B175" t="s">
        <v>684</v>
      </c>
      <c r="F175" s="2"/>
    </row>
    <row r="176" spans="1:6" x14ac:dyDescent="0.25">
      <c r="B176" t="s">
        <v>13</v>
      </c>
      <c r="C176" t="s">
        <v>12</v>
      </c>
      <c r="D176" t="s">
        <v>437</v>
      </c>
      <c r="E176" t="s">
        <v>439</v>
      </c>
      <c r="F176" s="2"/>
    </row>
    <row r="177" spans="1:6" x14ac:dyDescent="0.25">
      <c r="B177" t="s">
        <v>556</v>
      </c>
      <c r="F177" s="2"/>
    </row>
    <row r="178" spans="1:6" x14ac:dyDescent="0.25">
      <c r="A178" t="s">
        <v>694</v>
      </c>
      <c r="F178" s="2"/>
    </row>
    <row r="179" spans="1:6" x14ac:dyDescent="0.25">
      <c r="A179" s="3">
        <v>43954</v>
      </c>
      <c r="B179" t="s">
        <v>629</v>
      </c>
      <c r="C179" t="s">
        <v>630</v>
      </c>
      <c r="D179" t="s">
        <v>433</v>
      </c>
      <c r="E179" t="s">
        <v>628</v>
      </c>
      <c r="F179" s="2"/>
    </row>
    <row r="180" spans="1:6" x14ac:dyDescent="0.25">
      <c r="D180" t="s">
        <v>429</v>
      </c>
      <c r="E180" t="s">
        <v>631</v>
      </c>
      <c r="F180" s="2"/>
    </row>
    <row r="181" spans="1:6" x14ac:dyDescent="0.25">
      <c r="D181" t="s">
        <v>428</v>
      </c>
      <c r="E181" t="s">
        <v>631</v>
      </c>
      <c r="F181" s="2"/>
    </row>
    <row r="182" spans="1:6" x14ac:dyDescent="0.25">
      <c r="D182" t="s">
        <v>430</v>
      </c>
      <c r="E182" t="s">
        <v>632</v>
      </c>
      <c r="F182" s="2"/>
    </row>
    <row r="183" spans="1:6" x14ac:dyDescent="0.25">
      <c r="D183" t="s">
        <v>437</v>
      </c>
      <c r="E183" t="s">
        <v>632</v>
      </c>
      <c r="F183" s="2"/>
    </row>
    <row r="184" spans="1:6" x14ac:dyDescent="0.25">
      <c r="B184" t="s">
        <v>684</v>
      </c>
      <c r="F184" s="2"/>
    </row>
    <row r="185" spans="1:6" x14ac:dyDescent="0.25">
      <c r="A185" t="s">
        <v>693</v>
      </c>
      <c r="F185" s="2"/>
    </row>
    <row r="186" spans="1:6" x14ac:dyDescent="0.25">
      <c r="A186" s="3">
        <v>43947</v>
      </c>
      <c r="B186" t="s">
        <v>91</v>
      </c>
      <c r="C186" t="s">
        <v>90</v>
      </c>
      <c r="D186" t="s">
        <v>433</v>
      </c>
      <c r="E186" t="s">
        <v>626</v>
      </c>
      <c r="F186" s="2"/>
    </row>
    <row r="187" spans="1:6" x14ac:dyDescent="0.25">
      <c r="D187" t="s">
        <v>429</v>
      </c>
      <c r="E187" t="s">
        <v>627</v>
      </c>
      <c r="F187" s="2"/>
    </row>
    <row r="188" spans="1:6" x14ac:dyDescent="0.25">
      <c r="D188" t="s">
        <v>428</v>
      </c>
      <c r="E188" t="s">
        <v>625</v>
      </c>
      <c r="F188" s="2"/>
    </row>
    <row r="189" spans="1:6" x14ac:dyDescent="0.25">
      <c r="E189" t="s">
        <v>627</v>
      </c>
      <c r="F189" s="2"/>
    </row>
    <row r="190" spans="1:6" x14ac:dyDescent="0.25">
      <c r="D190" t="s">
        <v>430</v>
      </c>
      <c r="E190" t="s">
        <v>627</v>
      </c>
      <c r="F190" s="2"/>
    </row>
    <row r="191" spans="1:6" x14ac:dyDescent="0.25">
      <c r="D191" t="s">
        <v>437</v>
      </c>
      <c r="E191" t="s">
        <v>627</v>
      </c>
      <c r="F191" s="2"/>
    </row>
    <row r="192" spans="1:6" x14ac:dyDescent="0.25">
      <c r="B192" t="s">
        <v>623</v>
      </c>
      <c r="F192" s="2"/>
    </row>
    <row r="193" spans="1:6" x14ac:dyDescent="0.25">
      <c r="B193" t="s">
        <v>69</v>
      </c>
      <c r="C193" t="s">
        <v>68</v>
      </c>
      <c r="D193" t="s">
        <v>430</v>
      </c>
      <c r="E193" t="s">
        <v>627</v>
      </c>
      <c r="F193" s="2"/>
    </row>
    <row r="194" spans="1:6" x14ac:dyDescent="0.25">
      <c r="B194" t="s">
        <v>584</v>
      </c>
      <c r="F194" s="2"/>
    </row>
    <row r="195" spans="1:6" x14ac:dyDescent="0.25">
      <c r="A195" t="s">
        <v>692</v>
      </c>
      <c r="F195" s="2"/>
    </row>
    <row r="196" spans="1:6" x14ac:dyDescent="0.25">
      <c r="A196" s="3">
        <v>43940</v>
      </c>
      <c r="B196" t="s">
        <v>91</v>
      </c>
      <c r="C196" t="s">
        <v>90</v>
      </c>
      <c r="D196" t="s">
        <v>429</v>
      </c>
      <c r="E196" t="s">
        <v>624</v>
      </c>
      <c r="F196" s="2"/>
    </row>
    <row r="197" spans="1:6" x14ac:dyDescent="0.25">
      <c r="D197" t="s">
        <v>428</v>
      </c>
      <c r="E197" t="s">
        <v>624</v>
      </c>
      <c r="F197" s="2"/>
    </row>
    <row r="198" spans="1:6" x14ac:dyDescent="0.25">
      <c r="D198" t="s">
        <v>430</v>
      </c>
      <c r="E198" t="s">
        <v>624</v>
      </c>
      <c r="F198" s="2"/>
    </row>
    <row r="199" spans="1:6" x14ac:dyDescent="0.25">
      <c r="D199" t="s">
        <v>437</v>
      </c>
      <c r="E199" t="s">
        <v>624</v>
      </c>
      <c r="F199" s="2"/>
    </row>
    <row r="200" spans="1:6" x14ac:dyDescent="0.25">
      <c r="B200" t="s">
        <v>623</v>
      </c>
      <c r="F200" s="2"/>
    </row>
    <row r="201" spans="1:6" x14ac:dyDescent="0.25">
      <c r="B201" t="s">
        <v>13</v>
      </c>
      <c r="C201" t="s">
        <v>12</v>
      </c>
      <c r="D201" t="s">
        <v>433</v>
      </c>
      <c r="E201" t="s">
        <v>439</v>
      </c>
      <c r="F201" s="2"/>
    </row>
    <row r="202" spans="1:6" x14ac:dyDescent="0.25">
      <c r="B202" t="s">
        <v>556</v>
      </c>
      <c r="F202" s="2"/>
    </row>
    <row r="203" spans="1:6" x14ac:dyDescent="0.25">
      <c r="A203" t="s">
        <v>691</v>
      </c>
      <c r="F203" s="2"/>
    </row>
    <row r="204" spans="1:6" x14ac:dyDescent="0.25">
      <c r="A204" s="3">
        <v>43933</v>
      </c>
      <c r="B204" t="s">
        <v>91</v>
      </c>
      <c r="C204" t="s">
        <v>90</v>
      </c>
      <c r="D204" t="s">
        <v>433</v>
      </c>
      <c r="E204" t="s">
        <v>624</v>
      </c>
      <c r="F204" s="2"/>
    </row>
    <row r="205" spans="1:6" x14ac:dyDescent="0.25">
      <c r="D205" t="s">
        <v>429</v>
      </c>
      <c r="E205" t="s">
        <v>624</v>
      </c>
      <c r="F205" s="2"/>
    </row>
    <row r="206" spans="1:6" x14ac:dyDescent="0.25">
      <c r="D206" t="s">
        <v>428</v>
      </c>
      <c r="E206" t="s">
        <v>624</v>
      </c>
      <c r="F206" s="2"/>
    </row>
    <row r="207" spans="1:6" x14ac:dyDescent="0.25">
      <c r="D207" t="s">
        <v>430</v>
      </c>
      <c r="E207" t="s">
        <v>624</v>
      </c>
      <c r="F207" s="2"/>
    </row>
    <row r="208" spans="1:6" x14ac:dyDescent="0.25">
      <c r="B208" t="s">
        <v>623</v>
      </c>
      <c r="F208" s="2"/>
    </row>
    <row r="209" spans="1:6" x14ac:dyDescent="0.25">
      <c r="B209" t="s">
        <v>13</v>
      </c>
      <c r="C209" t="s">
        <v>12</v>
      </c>
      <c r="D209" t="s">
        <v>437</v>
      </c>
      <c r="E209" t="s">
        <v>439</v>
      </c>
      <c r="F209" s="2"/>
    </row>
    <row r="210" spans="1:6" x14ac:dyDescent="0.25">
      <c r="B210" t="s">
        <v>556</v>
      </c>
      <c r="F210" s="2"/>
    </row>
    <row r="211" spans="1:6" x14ac:dyDescent="0.25">
      <c r="A211" t="s">
        <v>690</v>
      </c>
      <c r="F211" s="2"/>
    </row>
    <row r="212" spans="1:6" x14ac:dyDescent="0.25">
      <c r="A212" s="3">
        <v>43926</v>
      </c>
      <c r="B212" t="s">
        <v>91</v>
      </c>
      <c r="C212" t="s">
        <v>90</v>
      </c>
      <c r="D212" t="s">
        <v>433</v>
      </c>
      <c r="E212" t="s">
        <v>605</v>
      </c>
      <c r="F212" s="2"/>
    </row>
    <row r="213" spans="1:6" x14ac:dyDescent="0.25">
      <c r="D213" t="s">
        <v>429</v>
      </c>
      <c r="E213" t="s">
        <v>605</v>
      </c>
      <c r="F213" s="2"/>
    </row>
    <row r="214" spans="1:6" x14ac:dyDescent="0.25">
      <c r="D214" t="s">
        <v>428</v>
      </c>
      <c r="E214" t="s">
        <v>605</v>
      </c>
      <c r="F214" s="2"/>
    </row>
    <row r="215" spans="1:6" x14ac:dyDescent="0.25">
      <c r="D215" t="s">
        <v>430</v>
      </c>
      <c r="E215" t="s">
        <v>605</v>
      </c>
      <c r="F215" s="2"/>
    </row>
    <row r="216" spans="1:6" x14ac:dyDescent="0.25">
      <c r="D216" t="s">
        <v>437</v>
      </c>
      <c r="E216" t="s">
        <v>605</v>
      </c>
      <c r="F216" s="2"/>
    </row>
    <row r="217" spans="1:6" x14ac:dyDescent="0.25">
      <c r="B217" t="s">
        <v>623</v>
      </c>
      <c r="F217" s="2"/>
    </row>
    <row r="218" spans="1:6" x14ac:dyDescent="0.25">
      <c r="A218" t="s">
        <v>689</v>
      </c>
      <c r="F218" s="2"/>
    </row>
    <row r="219" spans="1:6" x14ac:dyDescent="0.25">
      <c r="A219" s="3">
        <v>43919</v>
      </c>
      <c r="B219" t="s">
        <v>91</v>
      </c>
      <c r="C219" t="s">
        <v>90</v>
      </c>
      <c r="D219" t="s">
        <v>433</v>
      </c>
      <c r="E219" t="s">
        <v>605</v>
      </c>
      <c r="F219" s="2"/>
    </row>
    <row r="220" spans="1:6" x14ac:dyDescent="0.25">
      <c r="D220" t="s">
        <v>429</v>
      </c>
      <c r="E220" t="s">
        <v>605</v>
      </c>
      <c r="F220" s="2"/>
    </row>
    <row r="221" spans="1:6" x14ac:dyDescent="0.25">
      <c r="D221" t="s">
        <v>428</v>
      </c>
      <c r="E221" t="s">
        <v>605</v>
      </c>
      <c r="F221" s="2"/>
    </row>
    <row r="222" spans="1:6" x14ac:dyDescent="0.25">
      <c r="D222" t="s">
        <v>430</v>
      </c>
      <c r="E222" t="s">
        <v>605</v>
      </c>
      <c r="F222" s="2"/>
    </row>
    <row r="223" spans="1:6" x14ac:dyDescent="0.25">
      <c r="D223" t="s">
        <v>437</v>
      </c>
      <c r="E223" t="s">
        <v>605</v>
      </c>
      <c r="F223" s="2"/>
    </row>
    <row r="224" spans="1:6" x14ac:dyDescent="0.25">
      <c r="B224" t="s">
        <v>623</v>
      </c>
      <c r="F224" s="2"/>
    </row>
    <row r="225" spans="1:6" x14ac:dyDescent="0.25">
      <c r="A225" t="s">
        <v>688</v>
      </c>
      <c r="F225" s="2"/>
    </row>
    <row r="226" spans="1:6" x14ac:dyDescent="0.25">
      <c r="A226" s="3">
        <v>43912</v>
      </c>
      <c r="B226" t="s">
        <v>91</v>
      </c>
      <c r="C226" t="s">
        <v>90</v>
      </c>
      <c r="D226" t="s">
        <v>433</v>
      </c>
      <c r="E226" t="s">
        <v>605</v>
      </c>
      <c r="F226" s="2"/>
    </row>
    <row r="227" spans="1:6" x14ac:dyDescent="0.25">
      <c r="D227" t="s">
        <v>429</v>
      </c>
      <c r="E227" t="s">
        <v>605</v>
      </c>
      <c r="F227" s="2"/>
    </row>
    <row r="228" spans="1:6" x14ac:dyDescent="0.25">
      <c r="D228" t="s">
        <v>428</v>
      </c>
      <c r="E228" t="s">
        <v>605</v>
      </c>
      <c r="F228" s="2"/>
    </row>
    <row r="229" spans="1:6" x14ac:dyDescent="0.25">
      <c r="D229" t="s">
        <v>430</v>
      </c>
      <c r="E229" t="s">
        <v>605</v>
      </c>
      <c r="F229" s="2"/>
    </row>
    <row r="230" spans="1:6" x14ac:dyDescent="0.25">
      <c r="D230" t="s">
        <v>437</v>
      </c>
      <c r="E230" t="s">
        <v>605</v>
      </c>
      <c r="F230" s="2"/>
    </row>
    <row r="231" spans="1:6" x14ac:dyDescent="0.25">
      <c r="B231" t="s">
        <v>623</v>
      </c>
      <c r="F231" s="2"/>
    </row>
    <row r="232" spans="1:6" x14ac:dyDescent="0.25">
      <c r="B232" t="s">
        <v>41</v>
      </c>
      <c r="C232" t="s">
        <v>40</v>
      </c>
      <c r="D232" t="s">
        <v>429</v>
      </c>
      <c r="E232" t="s">
        <v>603</v>
      </c>
      <c r="F232" s="2"/>
    </row>
    <row r="233" spans="1:6" x14ac:dyDescent="0.25">
      <c r="D233" t="s">
        <v>437</v>
      </c>
      <c r="E233" t="s">
        <v>602</v>
      </c>
      <c r="F233" s="2"/>
    </row>
    <row r="234" spans="1:6" x14ac:dyDescent="0.25">
      <c r="B234" t="s">
        <v>572</v>
      </c>
      <c r="F234" s="2"/>
    </row>
    <row r="235" spans="1:6" x14ac:dyDescent="0.25">
      <c r="A235" t="s">
        <v>607</v>
      </c>
      <c r="F235" s="2"/>
    </row>
    <row r="236" spans="1:6" x14ac:dyDescent="0.25">
      <c r="A236" s="3">
        <v>43905</v>
      </c>
      <c r="B236" t="s">
        <v>91</v>
      </c>
      <c r="C236" t="s">
        <v>90</v>
      </c>
      <c r="D236" t="s">
        <v>433</v>
      </c>
      <c r="E236" t="s">
        <v>605</v>
      </c>
      <c r="F236" s="2"/>
    </row>
    <row r="237" spans="1:6" x14ac:dyDescent="0.25">
      <c r="D237" t="s">
        <v>429</v>
      </c>
      <c r="E237" t="s">
        <v>605</v>
      </c>
      <c r="F237" s="2"/>
    </row>
    <row r="238" spans="1:6" x14ac:dyDescent="0.25">
      <c r="D238" t="s">
        <v>428</v>
      </c>
      <c r="E238" t="s">
        <v>605</v>
      </c>
      <c r="F238" s="2"/>
    </row>
    <row r="239" spans="1:6" x14ac:dyDescent="0.25">
      <c r="D239" t="s">
        <v>430</v>
      </c>
      <c r="E239" t="s">
        <v>605</v>
      </c>
      <c r="F239" s="2"/>
    </row>
    <row r="240" spans="1:6" x14ac:dyDescent="0.25">
      <c r="D240" t="s">
        <v>437</v>
      </c>
      <c r="E240" t="s">
        <v>605</v>
      </c>
      <c r="F240" s="2"/>
    </row>
    <row r="241" spans="1:6" x14ac:dyDescent="0.25">
      <c r="B241" t="s">
        <v>623</v>
      </c>
      <c r="F241" s="2"/>
    </row>
    <row r="242" spans="1:6" x14ac:dyDescent="0.25">
      <c r="B242" t="s">
        <v>41</v>
      </c>
      <c r="C242" t="s">
        <v>40</v>
      </c>
      <c r="D242" t="s">
        <v>437</v>
      </c>
      <c r="E242" t="s">
        <v>604</v>
      </c>
      <c r="F242" s="2"/>
    </row>
    <row r="243" spans="1:6" x14ac:dyDescent="0.25">
      <c r="B243" t="s">
        <v>572</v>
      </c>
      <c r="F243" s="2"/>
    </row>
    <row r="244" spans="1:6" x14ac:dyDescent="0.25">
      <c r="A244" t="s">
        <v>608</v>
      </c>
      <c r="F244" s="2"/>
    </row>
    <row r="245" spans="1:6" x14ac:dyDescent="0.25">
      <c r="A245" s="3">
        <v>43898</v>
      </c>
      <c r="B245" t="s">
        <v>91</v>
      </c>
      <c r="C245" t="s">
        <v>90</v>
      </c>
      <c r="D245" t="s">
        <v>433</v>
      </c>
      <c r="E245" t="s">
        <v>601</v>
      </c>
      <c r="F245" s="2"/>
    </row>
    <row r="246" spans="1:6" x14ac:dyDescent="0.25">
      <c r="D246" t="s">
        <v>429</v>
      </c>
      <c r="E246" t="s">
        <v>601</v>
      </c>
      <c r="F246" s="2"/>
    </row>
    <row r="247" spans="1:6" x14ac:dyDescent="0.25">
      <c r="D247" t="s">
        <v>428</v>
      </c>
      <c r="E247" t="s">
        <v>601</v>
      </c>
      <c r="F247" s="2"/>
    </row>
    <row r="248" spans="1:6" x14ac:dyDescent="0.25">
      <c r="D248" t="s">
        <v>430</v>
      </c>
      <c r="E248" t="s">
        <v>601</v>
      </c>
      <c r="F248" s="2"/>
    </row>
    <row r="249" spans="1:6" x14ac:dyDescent="0.25">
      <c r="D249" t="s">
        <v>437</v>
      </c>
      <c r="E249" t="s">
        <v>601</v>
      </c>
      <c r="F249" s="2"/>
    </row>
    <row r="250" spans="1:6" x14ac:dyDescent="0.25">
      <c r="B250" t="s">
        <v>623</v>
      </c>
      <c r="F250" s="2"/>
    </row>
    <row r="251" spans="1:6" x14ac:dyDescent="0.25">
      <c r="A251" t="s">
        <v>609</v>
      </c>
      <c r="F251" s="2"/>
    </row>
    <row r="252" spans="1:6" x14ac:dyDescent="0.25">
      <c r="A252" s="3">
        <v>43891</v>
      </c>
      <c r="B252" t="s">
        <v>91</v>
      </c>
      <c r="C252" t="s">
        <v>90</v>
      </c>
      <c r="D252" t="s">
        <v>433</v>
      </c>
      <c r="E252" t="s">
        <v>600</v>
      </c>
      <c r="F252" s="2"/>
    </row>
    <row r="253" spans="1:6" x14ac:dyDescent="0.25">
      <c r="D253" t="s">
        <v>429</v>
      </c>
      <c r="E253" t="s">
        <v>600</v>
      </c>
      <c r="F253" s="2"/>
    </row>
    <row r="254" spans="1:6" x14ac:dyDescent="0.25">
      <c r="D254" t="s">
        <v>428</v>
      </c>
      <c r="E254" t="s">
        <v>600</v>
      </c>
      <c r="F254" s="2"/>
    </row>
    <row r="255" spans="1:6" x14ac:dyDescent="0.25">
      <c r="D255" t="s">
        <v>430</v>
      </c>
      <c r="E255" t="s">
        <v>600</v>
      </c>
      <c r="F255" s="2"/>
    </row>
    <row r="256" spans="1:6" x14ac:dyDescent="0.25">
      <c r="D256" t="s">
        <v>437</v>
      </c>
      <c r="E256" t="s">
        <v>600</v>
      </c>
      <c r="F256" s="2"/>
    </row>
    <row r="257" spans="1:6" x14ac:dyDescent="0.25">
      <c r="B257" t="s">
        <v>623</v>
      </c>
      <c r="F257" s="2"/>
    </row>
    <row r="258" spans="1:6" x14ac:dyDescent="0.25">
      <c r="A258" t="s">
        <v>610</v>
      </c>
      <c r="F258" s="2"/>
    </row>
    <row r="259" spans="1:6" x14ac:dyDescent="0.25">
      <c r="A259" s="3">
        <v>43884</v>
      </c>
      <c r="B259" t="s">
        <v>91</v>
      </c>
      <c r="C259" t="s">
        <v>90</v>
      </c>
      <c r="D259" t="s">
        <v>433</v>
      </c>
      <c r="E259" t="s">
        <v>105</v>
      </c>
      <c r="F259" s="2"/>
    </row>
    <row r="260" spans="1:6" x14ac:dyDescent="0.25">
      <c r="D260" t="s">
        <v>429</v>
      </c>
      <c r="E260" t="s">
        <v>105</v>
      </c>
      <c r="F260" s="2"/>
    </row>
    <row r="261" spans="1:6" x14ac:dyDescent="0.25">
      <c r="D261" t="s">
        <v>428</v>
      </c>
      <c r="E261" t="s">
        <v>105</v>
      </c>
      <c r="F261" s="2"/>
    </row>
    <row r="262" spans="1:6" x14ac:dyDescent="0.25">
      <c r="D262" t="s">
        <v>430</v>
      </c>
      <c r="E262" t="s">
        <v>105</v>
      </c>
      <c r="F262" s="2"/>
    </row>
    <row r="263" spans="1:6" x14ac:dyDescent="0.25">
      <c r="D263" t="s">
        <v>437</v>
      </c>
      <c r="E263" t="s">
        <v>105</v>
      </c>
      <c r="F263" s="2"/>
    </row>
    <row r="264" spans="1:6" x14ac:dyDescent="0.25">
      <c r="B264" t="s">
        <v>623</v>
      </c>
      <c r="F264" s="2"/>
    </row>
    <row r="265" spans="1:6" x14ac:dyDescent="0.25">
      <c r="B265" t="s">
        <v>41</v>
      </c>
      <c r="C265" t="s">
        <v>40</v>
      </c>
      <c r="D265" t="s">
        <v>433</v>
      </c>
      <c r="E265" t="s">
        <v>599</v>
      </c>
      <c r="F265" s="2"/>
    </row>
    <row r="266" spans="1:6" x14ac:dyDescent="0.25">
      <c r="D266" t="s">
        <v>430</v>
      </c>
      <c r="E266" t="s">
        <v>599</v>
      </c>
      <c r="F266" s="2"/>
    </row>
    <row r="267" spans="1:6" x14ac:dyDescent="0.25">
      <c r="B267" t="s">
        <v>572</v>
      </c>
      <c r="F267" s="2"/>
    </row>
    <row r="268" spans="1:6" x14ac:dyDescent="0.25">
      <c r="A268" t="s">
        <v>611</v>
      </c>
      <c r="F268" s="2"/>
    </row>
    <row r="269" spans="1:6" x14ac:dyDescent="0.25">
      <c r="A269" s="3">
        <v>43877</v>
      </c>
      <c r="B269" t="s">
        <v>91</v>
      </c>
      <c r="C269" t="s">
        <v>90</v>
      </c>
      <c r="D269" t="s">
        <v>433</v>
      </c>
      <c r="E269" t="s">
        <v>103</v>
      </c>
      <c r="F269" s="2"/>
    </row>
    <row r="270" spans="1:6" x14ac:dyDescent="0.25">
      <c r="D270" t="s">
        <v>429</v>
      </c>
      <c r="E270" t="s">
        <v>105</v>
      </c>
      <c r="F270" s="2"/>
    </row>
    <row r="271" spans="1:6" x14ac:dyDescent="0.25">
      <c r="D271" t="s">
        <v>428</v>
      </c>
      <c r="E271" t="s">
        <v>106</v>
      </c>
      <c r="F271" s="2"/>
    </row>
    <row r="272" spans="1:6" x14ac:dyDescent="0.25">
      <c r="D272" t="s">
        <v>430</v>
      </c>
      <c r="E272" t="s">
        <v>105</v>
      </c>
      <c r="F272" s="2"/>
    </row>
    <row r="273" spans="1:6" x14ac:dyDescent="0.25">
      <c r="D273" t="s">
        <v>437</v>
      </c>
      <c r="E273" t="s">
        <v>107</v>
      </c>
      <c r="F273" s="2"/>
    </row>
    <row r="274" spans="1:6" x14ac:dyDescent="0.25">
      <c r="B274" t="s">
        <v>623</v>
      </c>
      <c r="F274" s="2"/>
    </row>
    <row r="275" spans="1:6" x14ac:dyDescent="0.25">
      <c r="B275" t="s">
        <v>41</v>
      </c>
      <c r="C275" t="s">
        <v>40</v>
      </c>
      <c r="D275" t="s">
        <v>433</v>
      </c>
      <c r="E275" t="s">
        <v>104</v>
      </c>
      <c r="F275" s="2"/>
    </row>
    <row r="276" spans="1:6" x14ac:dyDescent="0.25">
      <c r="D276" t="s">
        <v>437</v>
      </c>
      <c r="E276" t="s">
        <v>108</v>
      </c>
      <c r="F276" s="2"/>
    </row>
    <row r="277" spans="1:6" x14ac:dyDescent="0.25">
      <c r="B277" t="s">
        <v>572</v>
      </c>
      <c r="F277" s="2"/>
    </row>
    <row r="278" spans="1:6" x14ac:dyDescent="0.25">
      <c r="A278" t="s">
        <v>612</v>
      </c>
      <c r="F278" s="2"/>
    </row>
    <row r="279" spans="1:6" x14ac:dyDescent="0.25">
      <c r="A279" s="3">
        <v>43870</v>
      </c>
      <c r="B279" t="s">
        <v>91</v>
      </c>
      <c r="C279" t="s">
        <v>90</v>
      </c>
      <c r="D279" t="s">
        <v>433</v>
      </c>
      <c r="E279" t="s">
        <v>109</v>
      </c>
      <c r="F279" s="2"/>
    </row>
    <row r="280" spans="1:6" x14ac:dyDescent="0.25">
      <c r="D280" t="s">
        <v>428</v>
      </c>
      <c r="E280" t="s">
        <v>112</v>
      </c>
      <c r="F280" s="2"/>
    </row>
    <row r="281" spans="1:6" x14ac:dyDescent="0.25">
      <c r="D281" t="s">
        <v>430</v>
      </c>
      <c r="E281" t="s">
        <v>112</v>
      </c>
      <c r="F281" s="2"/>
    </row>
    <row r="282" spans="1:6" x14ac:dyDescent="0.25">
      <c r="D282" t="s">
        <v>437</v>
      </c>
      <c r="E282" t="s">
        <v>112</v>
      </c>
      <c r="F282" s="2"/>
    </row>
    <row r="283" spans="1:6" x14ac:dyDescent="0.25">
      <c r="B283" t="s">
        <v>623</v>
      </c>
      <c r="F283" s="2"/>
    </row>
    <row r="284" spans="1:6" x14ac:dyDescent="0.25">
      <c r="B284" t="s">
        <v>62</v>
      </c>
      <c r="C284" t="s">
        <v>61</v>
      </c>
      <c r="D284" t="s">
        <v>429</v>
      </c>
      <c r="E284" t="s">
        <v>110</v>
      </c>
      <c r="F284" s="2"/>
    </row>
    <row r="285" spans="1:6" x14ac:dyDescent="0.25">
      <c r="B285" t="s">
        <v>580</v>
      </c>
      <c r="F285" s="2"/>
    </row>
    <row r="286" spans="1:6" x14ac:dyDescent="0.25">
      <c r="B286" t="s">
        <v>41</v>
      </c>
      <c r="C286" t="s">
        <v>40</v>
      </c>
      <c r="D286" t="s">
        <v>429</v>
      </c>
      <c r="E286" t="s">
        <v>111</v>
      </c>
      <c r="F286" s="2"/>
    </row>
    <row r="287" spans="1:6" x14ac:dyDescent="0.25">
      <c r="D287" t="s">
        <v>437</v>
      </c>
      <c r="E287" t="s">
        <v>113</v>
      </c>
      <c r="F287" s="2"/>
    </row>
    <row r="288" spans="1:6" x14ac:dyDescent="0.25">
      <c r="B288" t="s">
        <v>572</v>
      </c>
      <c r="F288" s="2"/>
    </row>
    <row r="289" spans="1:6" x14ac:dyDescent="0.25">
      <c r="A289" t="s">
        <v>613</v>
      </c>
      <c r="F289" s="2"/>
    </row>
    <row r="290" spans="1:6" x14ac:dyDescent="0.25">
      <c r="A290" s="3">
        <v>43863</v>
      </c>
      <c r="B290" t="s">
        <v>91</v>
      </c>
      <c r="C290" t="s">
        <v>90</v>
      </c>
      <c r="D290" t="s">
        <v>429</v>
      </c>
      <c r="E290" t="s">
        <v>115</v>
      </c>
      <c r="F290" s="2"/>
    </row>
    <row r="291" spans="1:6" x14ac:dyDescent="0.25">
      <c r="D291" t="s">
        <v>430</v>
      </c>
      <c r="E291" t="s">
        <v>117</v>
      </c>
      <c r="F291" s="2"/>
    </row>
    <row r="292" spans="1:6" x14ac:dyDescent="0.25">
      <c r="B292" t="s">
        <v>623</v>
      </c>
      <c r="F292" s="2"/>
    </row>
    <row r="293" spans="1:6" x14ac:dyDescent="0.25">
      <c r="B293" t="s">
        <v>41</v>
      </c>
      <c r="C293" t="s">
        <v>40</v>
      </c>
      <c r="D293" t="s">
        <v>428</v>
      </c>
      <c r="E293" t="s">
        <v>116</v>
      </c>
      <c r="F293" s="2"/>
    </row>
    <row r="294" spans="1:6" x14ac:dyDescent="0.25">
      <c r="B294" t="s">
        <v>572</v>
      </c>
      <c r="F294" s="2"/>
    </row>
    <row r="295" spans="1:6" x14ac:dyDescent="0.25">
      <c r="B295" t="s">
        <v>66</v>
      </c>
      <c r="C295" t="s">
        <v>65</v>
      </c>
      <c r="D295" t="s">
        <v>433</v>
      </c>
      <c r="E295" t="s">
        <v>114</v>
      </c>
      <c r="F295" s="2"/>
    </row>
    <row r="296" spans="1:6" x14ac:dyDescent="0.25">
      <c r="D296" t="s">
        <v>428</v>
      </c>
      <c r="E296" t="s">
        <v>114</v>
      </c>
      <c r="F296" s="2"/>
    </row>
    <row r="297" spans="1:6" x14ac:dyDescent="0.25">
      <c r="D297" t="s">
        <v>437</v>
      </c>
      <c r="E297" t="s">
        <v>118</v>
      </c>
      <c r="F297" s="2"/>
    </row>
    <row r="298" spans="1:6" x14ac:dyDescent="0.25">
      <c r="B298" t="s">
        <v>683</v>
      </c>
      <c r="F298" s="2"/>
    </row>
    <row r="299" spans="1:6" x14ac:dyDescent="0.25">
      <c r="A299" t="s">
        <v>614</v>
      </c>
      <c r="F299" s="2"/>
    </row>
    <row r="300" spans="1:6" x14ac:dyDescent="0.25">
      <c r="A300" s="3">
        <v>43856</v>
      </c>
      <c r="B300" t="s">
        <v>91</v>
      </c>
      <c r="C300" t="s">
        <v>90</v>
      </c>
      <c r="D300" t="s">
        <v>428</v>
      </c>
      <c r="E300" t="s">
        <v>119</v>
      </c>
      <c r="F300" s="2"/>
    </row>
    <row r="301" spans="1:6" x14ac:dyDescent="0.25">
      <c r="D301" t="s">
        <v>430</v>
      </c>
      <c r="E301" t="s">
        <v>115</v>
      </c>
      <c r="F301" s="2"/>
    </row>
    <row r="302" spans="1:6" x14ac:dyDescent="0.25">
      <c r="B302" t="s">
        <v>623</v>
      </c>
      <c r="F302" s="2"/>
    </row>
    <row r="303" spans="1:6" x14ac:dyDescent="0.25">
      <c r="B303" t="s">
        <v>66</v>
      </c>
      <c r="C303" t="s">
        <v>65</v>
      </c>
      <c r="D303" t="s">
        <v>433</v>
      </c>
      <c r="E303" t="s">
        <v>114</v>
      </c>
      <c r="F303" s="2"/>
    </row>
    <row r="304" spans="1:6" x14ac:dyDescent="0.25">
      <c r="D304" t="s">
        <v>429</v>
      </c>
      <c r="E304" t="s">
        <v>114</v>
      </c>
      <c r="F304" s="2"/>
    </row>
    <row r="305" spans="1:6" x14ac:dyDescent="0.25">
      <c r="D305" t="s">
        <v>437</v>
      </c>
      <c r="E305" t="s">
        <v>114</v>
      </c>
      <c r="F305" s="2"/>
    </row>
    <row r="306" spans="1:6" x14ac:dyDescent="0.25">
      <c r="B306" t="s">
        <v>683</v>
      </c>
      <c r="F306" s="2"/>
    </row>
    <row r="307" spans="1:6" x14ac:dyDescent="0.25">
      <c r="A307" t="s">
        <v>615</v>
      </c>
      <c r="F307" s="2"/>
    </row>
    <row r="308" spans="1:6" x14ac:dyDescent="0.25">
      <c r="A308" s="3">
        <v>43849</v>
      </c>
      <c r="B308" t="s">
        <v>91</v>
      </c>
      <c r="C308" t="s">
        <v>90</v>
      </c>
      <c r="D308" t="s">
        <v>428</v>
      </c>
      <c r="E308" t="s">
        <v>121</v>
      </c>
      <c r="F308" s="2"/>
    </row>
    <row r="309" spans="1:6" x14ac:dyDescent="0.25">
      <c r="B309" t="s">
        <v>623</v>
      </c>
      <c r="F309" s="2"/>
    </row>
    <row r="310" spans="1:6" x14ac:dyDescent="0.25">
      <c r="B310" t="s">
        <v>66</v>
      </c>
      <c r="C310" t="s">
        <v>65</v>
      </c>
      <c r="D310" t="s">
        <v>433</v>
      </c>
      <c r="E310" t="s">
        <v>120</v>
      </c>
      <c r="F310" s="2"/>
    </row>
    <row r="311" spans="1:6" x14ac:dyDescent="0.25">
      <c r="D311" t="s">
        <v>429</v>
      </c>
      <c r="E311" t="s">
        <v>120</v>
      </c>
      <c r="F311" s="2"/>
    </row>
    <row r="312" spans="1:6" x14ac:dyDescent="0.25">
      <c r="D312" t="s">
        <v>430</v>
      </c>
      <c r="E312" t="s">
        <v>120</v>
      </c>
      <c r="F312" s="2"/>
    </row>
    <row r="313" spans="1:6" x14ac:dyDescent="0.25">
      <c r="D313" t="s">
        <v>437</v>
      </c>
      <c r="E313" t="s">
        <v>120</v>
      </c>
      <c r="F313" s="2"/>
    </row>
    <row r="314" spans="1:6" x14ac:dyDescent="0.25">
      <c r="B314" t="s">
        <v>683</v>
      </c>
      <c r="F314" s="2"/>
    </row>
    <row r="315" spans="1:6" x14ac:dyDescent="0.25">
      <c r="A315" t="s">
        <v>616</v>
      </c>
      <c r="F315" s="2"/>
    </row>
    <row r="316" spans="1:6" x14ac:dyDescent="0.25">
      <c r="A316" s="3">
        <v>43842</v>
      </c>
      <c r="B316" t="s">
        <v>89</v>
      </c>
      <c r="C316" t="s">
        <v>88</v>
      </c>
      <c r="D316" t="s">
        <v>429</v>
      </c>
      <c r="E316" t="s">
        <v>121</v>
      </c>
      <c r="F316" s="2"/>
    </row>
    <row r="317" spans="1:6" x14ac:dyDescent="0.25">
      <c r="D317" t="s">
        <v>428</v>
      </c>
      <c r="E317" t="s">
        <v>682</v>
      </c>
      <c r="F317" s="2"/>
    </row>
    <row r="318" spans="1:6" x14ac:dyDescent="0.25">
      <c r="D318" t="s">
        <v>430</v>
      </c>
      <c r="E318" t="s">
        <v>122</v>
      </c>
      <c r="F318" s="2"/>
    </row>
    <row r="319" spans="1:6" x14ac:dyDescent="0.25">
      <c r="B319" t="s">
        <v>594</v>
      </c>
      <c r="F319" s="2"/>
    </row>
    <row r="320" spans="1:6" x14ac:dyDescent="0.25">
      <c r="B320" t="s">
        <v>66</v>
      </c>
      <c r="C320" t="s">
        <v>65</v>
      </c>
      <c r="D320" t="s">
        <v>433</v>
      </c>
      <c r="E320" t="s">
        <v>120</v>
      </c>
      <c r="F320" s="2"/>
    </row>
    <row r="321" spans="1:6" x14ac:dyDescent="0.25">
      <c r="D321" t="s">
        <v>429</v>
      </c>
      <c r="E321" t="s">
        <v>120</v>
      </c>
      <c r="F321" s="2"/>
    </row>
    <row r="322" spans="1:6" x14ac:dyDescent="0.25">
      <c r="D322" t="s">
        <v>430</v>
      </c>
      <c r="E322" t="s">
        <v>120</v>
      </c>
      <c r="F322" s="2"/>
    </row>
    <row r="323" spans="1:6" x14ac:dyDescent="0.25">
      <c r="D323" t="s">
        <v>437</v>
      </c>
      <c r="E323" t="s">
        <v>120</v>
      </c>
      <c r="F323" s="2"/>
    </row>
    <row r="324" spans="1:6" x14ac:dyDescent="0.25">
      <c r="B324" t="s">
        <v>683</v>
      </c>
      <c r="F324" s="2"/>
    </row>
    <row r="325" spans="1:6" x14ac:dyDescent="0.25">
      <c r="A325" t="s">
        <v>617</v>
      </c>
      <c r="F325" s="2"/>
    </row>
    <row r="326" spans="1:6" x14ac:dyDescent="0.25">
      <c r="A326" s="3">
        <v>43835</v>
      </c>
      <c r="B326" t="s">
        <v>13</v>
      </c>
      <c r="C326" t="s">
        <v>12</v>
      </c>
      <c r="D326" t="s">
        <v>428</v>
      </c>
      <c r="E326" t="s">
        <v>439</v>
      </c>
      <c r="F326" s="2"/>
    </row>
    <row r="327" spans="1:6" x14ac:dyDescent="0.25">
      <c r="B327" t="s">
        <v>556</v>
      </c>
      <c r="F327" s="2"/>
    </row>
    <row r="328" spans="1:6" x14ac:dyDescent="0.25">
      <c r="B328" t="s">
        <v>69</v>
      </c>
      <c r="C328" t="s">
        <v>68</v>
      </c>
      <c r="D328" t="s">
        <v>433</v>
      </c>
      <c r="E328" t="s">
        <v>439</v>
      </c>
      <c r="F328" s="2"/>
    </row>
    <row r="329" spans="1:6" x14ac:dyDescent="0.25">
      <c r="D329" t="s">
        <v>429</v>
      </c>
      <c r="E329" t="s">
        <v>439</v>
      </c>
      <c r="F329" s="2"/>
    </row>
    <row r="330" spans="1:6" x14ac:dyDescent="0.25">
      <c r="D330" t="s">
        <v>430</v>
      </c>
      <c r="E330" t="s">
        <v>439</v>
      </c>
      <c r="F330" s="2"/>
    </row>
    <row r="331" spans="1:6" x14ac:dyDescent="0.25">
      <c r="D331" t="s">
        <v>437</v>
      </c>
      <c r="E331" t="s">
        <v>439</v>
      </c>
      <c r="F331" s="2"/>
    </row>
    <row r="332" spans="1:6" x14ac:dyDescent="0.25">
      <c r="B332" t="s">
        <v>584</v>
      </c>
      <c r="F332" s="2"/>
    </row>
    <row r="333" spans="1:6" x14ac:dyDescent="0.25">
      <c r="A333" t="s">
        <v>618</v>
      </c>
      <c r="F333" s="2"/>
    </row>
    <row r="334" spans="1:6" x14ac:dyDescent="0.25">
      <c r="A334" s="3">
        <v>43828</v>
      </c>
      <c r="B334" t="s">
        <v>66</v>
      </c>
      <c r="C334" t="s">
        <v>65</v>
      </c>
      <c r="D334" t="s">
        <v>433</v>
      </c>
      <c r="E334" t="s">
        <v>123</v>
      </c>
      <c r="F334" s="2"/>
    </row>
    <row r="335" spans="1:6" x14ac:dyDescent="0.25">
      <c r="D335" t="s">
        <v>429</v>
      </c>
      <c r="E335" t="s">
        <v>123</v>
      </c>
      <c r="F335" s="2"/>
    </row>
    <row r="336" spans="1:6" x14ac:dyDescent="0.25">
      <c r="B336" t="s">
        <v>683</v>
      </c>
      <c r="F336" s="2"/>
    </row>
    <row r="337" spans="1:6" x14ac:dyDescent="0.25">
      <c r="B337" t="s">
        <v>13</v>
      </c>
      <c r="C337" t="s">
        <v>12</v>
      </c>
      <c r="D337" t="s">
        <v>428</v>
      </c>
      <c r="E337" t="s">
        <v>439</v>
      </c>
      <c r="F337" s="2"/>
    </row>
    <row r="338" spans="1:6" x14ac:dyDescent="0.25">
      <c r="D338" t="s">
        <v>430</v>
      </c>
      <c r="E338" t="s">
        <v>439</v>
      </c>
      <c r="F338" s="2"/>
    </row>
    <row r="339" spans="1:6" x14ac:dyDescent="0.25">
      <c r="B339" t="s">
        <v>556</v>
      </c>
      <c r="F339" s="2"/>
    </row>
    <row r="340" spans="1:6" x14ac:dyDescent="0.25">
      <c r="B340" t="s">
        <v>69</v>
      </c>
      <c r="C340" t="s">
        <v>68</v>
      </c>
      <c r="D340" t="s">
        <v>437</v>
      </c>
      <c r="E340" t="s">
        <v>439</v>
      </c>
      <c r="F340" s="2"/>
    </row>
    <row r="341" spans="1:6" x14ac:dyDescent="0.25">
      <c r="B341" t="s">
        <v>584</v>
      </c>
      <c r="F341" s="2"/>
    </row>
    <row r="342" spans="1:6" x14ac:dyDescent="0.25">
      <c r="A342" t="s">
        <v>619</v>
      </c>
      <c r="F342" s="2"/>
    </row>
    <row r="343" spans="1:6" x14ac:dyDescent="0.25">
      <c r="A343" s="3">
        <v>43821</v>
      </c>
      <c r="B343" t="s">
        <v>89</v>
      </c>
      <c r="C343" t="s">
        <v>88</v>
      </c>
      <c r="D343" t="s">
        <v>428</v>
      </c>
      <c r="E343" t="s">
        <v>126</v>
      </c>
      <c r="F343" s="2"/>
    </row>
    <row r="344" spans="1:6" x14ac:dyDescent="0.25">
      <c r="B344" t="s">
        <v>594</v>
      </c>
      <c r="F344" s="2"/>
    </row>
    <row r="345" spans="1:6" x14ac:dyDescent="0.25">
      <c r="B345" t="s">
        <v>71</v>
      </c>
      <c r="C345" t="s">
        <v>70</v>
      </c>
      <c r="D345" t="s">
        <v>437</v>
      </c>
      <c r="E345" t="s">
        <v>128</v>
      </c>
      <c r="F345" s="2"/>
    </row>
    <row r="346" spans="1:6" x14ac:dyDescent="0.25">
      <c r="B346" t="s">
        <v>585</v>
      </c>
      <c r="F346" s="2"/>
    </row>
    <row r="347" spans="1:6" x14ac:dyDescent="0.25">
      <c r="B347" t="s">
        <v>66</v>
      </c>
      <c r="C347" t="s">
        <v>65</v>
      </c>
      <c r="D347" t="s">
        <v>433</v>
      </c>
      <c r="E347" t="s">
        <v>124</v>
      </c>
      <c r="F347" s="2"/>
    </row>
    <row r="348" spans="1:6" x14ac:dyDescent="0.25">
      <c r="E348" t="s">
        <v>125</v>
      </c>
      <c r="F348" s="2"/>
    </row>
    <row r="349" spans="1:6" x14ac:dyDescent="0.25">
      <c r="D349" t="s">
        <v>429</v>
      </c>
      <c r="E349" t="s">
        <v>124</v>
      </c>
      <c r="F349" s="2"/>
    </row>
    <row r="350" spans="1:6" x14ac:dyDescent="0.25">
      <c r="D350" t="s">
        <v>430</v>
      </c>
      <c r="E350" t="s">
        <v>127</v>
      </c>
      <c r="F350" s="2"/>
    </row>
    <row r="351" spans="1:6" x14ac:dyDescent="0.25">
      <c r="D351" t="s">
        <v>437</v>
      </c>
      <c r="E351" t="s">
        <v>129</v>
      </c>
      <c r="F351" s="2"/>
    </row>
    <row r="352" spans="1:6" x14ac:dyDescent="0.25">
      <c r="B352" t="s">
        <v>683</v>
      </c>
      <c r="F352" s="2"/>
    </row>
    <row r="353" spans="1:6" x14ac:dyDescent="0.25">
      <c r="A353" t="s">
        <v>620</v>
      </c>
      <c r="F353" s="2"/>
    </row>
    <row r="354" spans="1:6" x14ac:dyDescent="0.25">
      <c r="A354" s="3">
        <v>43814</v>
      </c>
      <c r="B354" t="s">
        <v>89</v>
      </c>
      <c r="C354" t="s">
        <v>88</v>
      </c>
      <c r="D354" t="s">
        <v>428</v>
      </c>
      <c r="E354" t="s">
        <v>126</v>
      </c>
      <c r="F354" s="2"/>
    </row>
    <row r="355" spans="1:6" x14ac:dyDescent="0.25">
      <c r="B355" t="s">
        <v>594</v>
      </c>
      <c r="F355" s="2"/>
    </row>
    <row r="356" spans="1:6" x14ac:dyDescent="0.25">
      <c r="B356" t="s">
        <v>71</v>
      </c>
      <c r="C356" t="s">
        <v>70</v>
      </c>
      <c r="D356" t="s">
        <v>430</v>
      </c>
      <c r="E356" t="s">
        <v>128</v>
      </c>
      <c r="F356" s="2"/>
    </row>
    <row r="357" spans="1:6" x14ac:dyDescent="0.25">
      <c r="B357" t="s">
        <v>585</v>
      </c>
      <c r="F357" s="2"/>
    </row>
    <row r="358" spans="1:6" x14ac:dyDescent="0.25">
      <c r="B358" t="s">
        <v>66</v>
      </c>
      <c r="C358" t="s">
        <v>65</v>
      </c>
      <c r="D358" t="s">
        <v>433</v>
      </c>
      <c r="E358" t="s">
        <v>130</v>
      </c>
      <c r="F358" s="2"/>
    </row>
    <row r="359" spans="1:6" x14ac:dyDescent="0.25">
      <c r="D359" t="s">
        <v>429</v>
      </c>
      <c r="E359" t="s">
        <v>130</v>
      </c>
      <c r="F359" s="2"/>
    </row>
    <row r="360" spans="1:6" x14ac:dyDescent="0.25">
      <c r="D360" t="s">
        <v>437</v>
      </c>
      <c r="E360" t="s">
        <v>124</v>
      </c>
      <c r="F360" s="2"/>
    </row>
    <row r="361" spans="1:6" x14ac:dyDescent="0.25">
      <c r="B361" t="s">
        <v>683</v>
      </c>
      <c r="F361" s="2"/>
    </row>
    <row r="362" spans="1:6" x14ac:dyDescent="0.25">
      <c r="A362" t="s">
        <v>621</v>
      </c>
      <c r="F362" s="2"/>
    </row>
    <row r="363" spans="1:6" x14ac:dyDescent="0.25">
      <c r="A363" s="3">
        <v>43807</v>
      </c>
      <c r="B363" t="s">
        <v>89</v>
      </c>
      <c r="C363" t="s">
        <v>88</v>
      </c>
      <c r="D363" t="s">
        <v>429</v>
      </c>
      <c r="E363" t="s">
        <v>134</v>
      </c>
      <c r="F363" s="2"/>
    </row>
    <row r="364" spans="1:6" x14ac:dyDescent="0.25">
      <c r="E364" t="s">
        <v>133</v>
      </c>
      <c r="F364" s="2"/>
    </row>
    <row r="365" spans="1:6" x14ac:dyDescent="0.25">
      <c r="D365" t="s">
        <v>428</v>
      </c>
      <c r="E365" t="s">
        <v>133</v>
      </c>
      <c r="F365" s="2"/>
    </row>
    <row r="366" spans="1:6" x14ac:dyDescent="0.25">
      <c r="D366" t="s">
        <v>430</v>
      </c>
      <c r="E366" t="s">
        <v>133</v>
      </c>
      <c r="F366" s="2"/>
    </row>
    <row r="367" spans="1:6" x14ac:dyDescent="0.25">
      <c r="E367" t="s">
        <v>136</v>
      </c>
      <c r="F367" s="2"/>
    </row>
    <row r="368" spans="1:6" x14ac:dyDescent="0.25">
      <c r="D368" t="s">
        <v>437</v>
      </c>
      <c r="E368" t="s">
        <v>133</v>
      </c>
      <c r="F368" s="2"/>
    </row>
    <row r="369" spans="1:6" x14ac:dyDescent="0.25">
      <c r="B369" t="s">
        <v>594</v>
      </c>
      <c r="F369" s="2"/>
    </row>
    <row r="370" spans="1:6" x14ac:dyDescent="0.25">
      <c r="B370" t="s">
        <v>66</v>
      </c>
      <c r="C370" t="s">
        <v>65</v>
      </c>
      <c r="D370" t="s">
        <v>433</v>
      </c>
      <c r="E370" t="s">
        <v>132</v>
      </c>
      <c r="F370" s="2"/>
    </row>
    <row r="371" spans="1:6" x14ac:dyDescent="0.25">
      <c r="E371" t="s">
        <v>125</v>
      </c>
      <c r="F371" s="2"/>
    </row>
    <row r="372" spans="1:6" x14ac:dyDescent="0.25">
      <c r="D372" t="s">
        <v>429</v>
      </c>
      <c r="E372" t="s">
        <v>135</v>
      </c>
      <c r="F372" s="2"/>
    </row>
    <row r="373" spans="1:6" x14ac:dyDescent="0.25">
      <c r="D373" t="s">
        <v>428</v>
      </c>
      <c r="E373" t="s">
        <v>132</v>
      </c>
      <c r="F373" s="2"/>
    </row>
    <row r="374" spans="1:6" x14ac:dyDescent="0.25">
      <c r="D374" t="s">
        <v>430</v>
      </c>
      <c r="E374" t="s">
        <v>137</v>
      </c>
      <c r="F374" s="2"/>
    </row>
    <row r="375" spans="1:6" x14ac:dyDescent="0.25">
      <c r="D375" t="s">
        <v>437</v>
      </c>
      <c r="E375" t="s">
        <v>137</v>
      </c>
      <c r="F375" s="2"/>
    </row>
    <row r="376" spans="1:6" x14ac:dyDescent="0.25">
      <c r="B376" t="s">
        <v>683</v>
      </c>
      <c r="F376" s="2"/>
    </row>
    <row r="377" spans="1:6" x14ac:dyDescent="0.25">
      <c r="A377" t="s">
        <v>435</v>
      </c>
      <c r="F377" s="2"/>
    </row>
    <row r="378" spans="1:6" x14ac:dyDescent="0.25">
      <c r="A378" s="3">
        <v>43800</v>
      </c>
      <c r="B378" t="s">
        <v>11</v>
      </c>
      <c r="C378" t="s">
        <v>10</v>
      </c>
      <c r="D378" t="s">
        <v>429</v>
      </c>
      <c r="E378" t="s">
        <v>139</v>
      </c>
      <c r="F378" s="2"/>
    </row>
    <row r="379" spans="1:6" x14ac:dyDescent="0.25">
      <c r="B379" t="s">
        <v>553</v>
      </c>
      <c r="F379" s="2"/>
    </row>
    <row r="380" spans="1:6" x14ac:dyDescent="0.25">
      <c r="B380" t="s">
        <v>89</v>
      </c>
      <c r="C380" t="s">
        <v>88</v>
      </c>
      <c r="D380" t="s">
        <v>429</v>
      </c>
      <c r="E380" t="s">
        <v>138</v>
      </c>
      <c r="F380" s="2"/>
    </row>
    <row r="381" spans="1:6" x14ac:dyDescent="0.25">
      <c r="D381" t="s">
        <v>428</v>
      </c>
      <c r="E381" t="s">
        <v>141</v>
      </c>
      <c r="F381" s="2"/>
    </row>
    <row r="382" spans="1:6" x14ac:dyDescent="0.25">
      <c r="D382" t="s">
        <v>437</v>
      </c>
      <c r="E382" t="s">
        <v>138</v>
      </c>
      <c r="F382" s="2"/>
    </row>
    <row r="383" spans="1:6" x14ac:dyDescent="0.25">
      <c r="B383" t="s">
        <v>594</v>
      </c>
      <c r="F383" s="2"/>
    </row>
    <row r="384" spans="1:6" x14ac:dyDescent="0.25">
      <c r="B384" t="s">
        <v>66</v>
      </c>
      <c r="C384" t="s">
        <v>65</v>
      </c>
      <c r="D384" t="s">
        <v>433</v>
      </c>
      <c r="E384" t="s">
        <v>132</v>
      </c>
      <c r="F384" s="2"/>
    </row>
    <row r="385" spans="1:6" x14ac:dyDescent="0.25">
      <c r="E385" t="s">
        <v>125</v>
      </c>
      <c r="F385" s="2"/>
    </row>
    <row r="386" spans="1:6" x14ac:dyDescent="0.25">
      <c r="D386" t="s">
        <v>428</v>
      </c>
      <c r="E386" t="s">
        <v>132</v>
      </c>
      <c r="F386" s="2"/>
    </row>
    <row r="387" spans="1:6" x14ac:dyDescent="0.25">
      <c r="E387" t="s">
        <v>140</v>
      </c>
      <c r="F387" s="2"/>
    </row>
    <row r="388" spans="1:6" x14ac:dyDescent="0.25">
      <c r="D388" t="s">
        <v>430</v>
      </c>
      <c r="E388" t="s">
        <v>132</v>
      </c>
      <c r="F388" s="2"/>
    </row>
    <row r="389" spans="1:6" x14ac:dyDescent="0.25">
      <c r="B389" t="s">
        <v>683</v>
      </c>
      <c r="F389" s="2"/>
    </row>
    <row r="390" spans="1:6" x14ac:dyDescent="0.25">
      <c r="A390" t="s">
        <v>438</v>
      </c>
      <c r="F390" s="2"/>
    </row>
    <row r="391" spans="1:6" x14ac:dyDescent="0.25">
      <c r="A391" s="3">
        <v>43793</v>
      </c>
      <c r="B391" t="s">
        <v>11</v>
      </c>
      <c r="C391" t="s">
        <v>10</v>
      </c>
      <c r="D391" t="s">
        <v>437</v>
      </c>
      <c r="E391" t="s">
        <v>439</v>
      </c>
      <c r="F391" s="2"/>
    </row>
    <row r="392" spans="1:6" x14ac:dyDescent="0.25">
      <c r="B392" t="s">
        <v>553</v>
      </c>
      <c r="F392" s="2"/>
    </row>
    <row r="393" spans="1:6" x14ac:dyDescent="0.25">
      <c r="B393" t="s">
        <v>89</v>
      </c>
      <c r="C393" t="s">
        <v>88</v>
      </c>
      <c r="D393" t="s">
        <v>429</v>
      </c>
      <c r="E393" t="s">
        <v>144</v>
      </c>
      <c r="F393" s="2"/>
    </row>
    <row r="394" spans="1:6" x14ac:dyDescent="0.25">
      <c r="D394" t="s">
        <v>428</v>
      </c>
      <c r="E394" t="s">
        <v>146</v>
      </c>
      <c r="F394" s="2"/>
    </row>
    <row r="395" spans="1:6" x14ac:dyDescent="0.25">
      <c r="D395" t="s">
        <v>430</v>
      </c>
      <c r="E395" t="s">
        <v>148</v>
      </c>
      <c r="F395" s="2"/>
    </row>
    <row r="396" spans="1:6" x14ac:dyDescent="0.25">
      <c r="B396" t="s">
        <v>594</v>
      </c>
      <c r="F396" s="2"/>
    </row>
    <row r="397" spans="1:6" x14ac:dyDescent="0.25">
      <c r="B397" t="s">
        <v>100</v>
      </c>
      <c r="C397" t="s">
        <v>99</v>
      </c>
      <c r="D397" t="s">
        <v>429</v>
      </c>
      <c r="E397" t="s">
        <v>143</v>
      </c>
      <c r="F397" s="2"/>
    </row>
    <row r="398" spans="1:6" x14ac:dyDescent="0.25">
      <c r="D398" t="s">
        <v>428</v>
      </c>
      <c r="E398" t="s">
        <v>145</v>
      </c>
      <c r="F398" s="2"/>
    </row>
    <row r="399" spans="1:6" x14ac:dyDescent="0.25">
      <c r="B399" t="s">
        <v>686</v>
      </c>
      <c r="F399" s="2"/>
    </row>
    <row r="400" spans="1:6" x14ac:dyDescent="0.25">
      <c r="B400" t="s">
        <v>66</v>
      </c>
      <c r="C400" t="s">
        <v>65</v>
      </c>
      <c r="D400" t="s">
        <v>433</v>
      </c>
      <c r="E400" t="s">
        <v>142</v>
      </c>
      <c r="F400" s="2"/>
    </row>
    <row r="401" spans="1:6" x14ac:dyDescent="0.25">
      <c r="E401" t="s">
        <v>125</v>
      </c>
      <c r="F401" s="2"/>
    </row>
    <row r="402" spans="1:6" x14ac:dyDescent="0.25">
      <c r="D402" t="s">
        <v>430</v>
      </c>
      <c r="E402" t="s">
        <v>147</v>
      </c>
      <c r="F402" s="2"/>
    </row>
    <row r="403" spans="1:6" x14ac:dyDescent="0.25">
      <c r="D403" t="s">
        <v>437</v>
      </c>
      <c r="E403" t="s">
        <v>149</v>
      </c>
      <c r="F403" s="2"/>
    </row>
    <row r="404" spans="1:6" x14ac:dyDescent="0.25">
      <c r="B404" t="s">
        <v>683</v>
      </c>
      <c r="F404" s="2"/>
    </row>
    <row r="405" spans="1:6" x14ac:dyDescent="0.25">
      <c r="A405" t="s">
        <v>442</v>
      </c>
      <c r="F405" s="2"/>
    </row>
    <row r="406" spans="1:6" x14ac:dyDescent="0.25">
      <c r="A406" s="3">
        <v>43786</v>
      </c>
      <c r="B406" t="s">
        <v>89</v>
      </c>
      <c r="C406" t="s">
        <v>88</v>
      </c>
      <c r="D406" t="s">
        <v>433</v>
      </c>
      <c r="E406" t="s">
        <v>150</v>
      </c>
      <c r="F406" s="2"/>
    </row>
    <row r="407" spans="1:6" x14ac:dyDescent="0.25">
      <c r="D407" t="s">
        <v>428</v>
      </c>
      <c r="E407" t="s">
        <v>153</v>
      </c>
      <c r="F407" s="2"/>
    </row>
    <row r="408" spans="1:6" x14ac:dyDescent="0.25">
      <c r="B408" t="s">
        <v>594</v>
      </c>
      <c r="F408" s="2"/>
    </row>
    <row r="409" spans="1:6" x14ac:dyDescent="0.25">
      <c r="B409" t="s">
        <v>66</v>
      </c>
      <c r="C409" t="s">
        <v>65</v>
      </c>
      <c r="D409" t="s">
        <v>429</v>
      </c>
      <c r="E409" t="s">
        <v>151</v>
      </c>
      <c r="F409" s="2"/>
    </row>
    <row r="410" spans="1:6" x14ac:dyDescent="0.25">
      <c r="E410" t="s">
        <v>152</v>
      </c>
      <c r="F410" s="2"/>
    </row>
    <row r="411" spans="1:6" x14ac:dyDescent="0.25">
      <c r="D411" t="s">
        <v>430</v>
      </c>
      <c r="E411" t="s">
        <v>154</v>
      </c>
      <c r="F411" s="2"/>
    </row>
    <row r="412" spans="1:6" x14ac:dyDescent="0.25">
      <c r="D412" t="s">
        <v>437</v>
      </c>
      <c r="E412" t="s">
        <v>154</v>
      </c>
      <c r="F412" s="2"/>
    </row>
    <row r="413" spans="1:6" x14ac:dyDescent="0.25">
      <c r="B413" t="s">
        <v>683</v>
      </c>
      <c r="F413" s="2"/>
    </row>
    <row r="414" spans="1:6" x14ac:dyDescent="0.25">
      <c r="A414" t="s">
        <v>443</v>
      </c>
      <c r="F414" s="2"/>
    </row>
    <row r="415" spans="1:6" x14ac:dyDescent="0.25">
      <c r="A415" s="3">
        <v>43779</v>
      </c>
      <c r="B415" t="s">
        <v>89</v>
      </c>
      <c r="C415" t="s">
        <v>88</v>
      </c>
      <c r="D415" t="s">
        <v>428</v>
      </c>
      <c r="E415" t="s">
        <v>158</v>
      </c>
      <c r="F415" s="2"/>
    </row>
    <row r="416" spans="1:6" x14ac:dyDescent="0.25">
      <c r="D416" t="s">
        <v>430</v>
      </c>
      <c r="E416" t="s">
        <v>160</v>
      </c>
      <c r="F416" s="2"/>
    </row>
    <row r="417" spans="1:6" x14ac:dyDescent="0.25">
      <c r="D417" t="s">
        <v>437</v>
      </c>
      <c r="E417" t="s">
        <v>161</v>
      </c>
      <c r="F417" s="2"/>
    </row>
    <row r="418" spans="1:6" x14ac:dyDescent="0.25">
      <c r="B418" t="s">
        <v>594</v>
      </c>
      <c r="F418" s="2"/>
    </row>
    <row r="419" spans="1:6" x14ac:dyDescent="0.25">
      <c r="B419" t="s">
        <v>66</v>
      </c>
      <c r="C419" t="s">
        <v>65</v>
      </c>
      <c r="D419" t="s">
        <v>433</v>
      </c>
      <c r="E419" t="s">
        <v>155</v>
      </c>
      <c r="F419" s="2"/>
    </row>
    <row r="420" spans="1:6" x14ac:dyDescent="0.25">
      <c r="E420" t="s">
        <v>125</v>
      </c>
      <c r="F420" s="2"/>
    </row>
    <row r="421" spans="1:6" x14ac:dyDescent="0.25">
      <c r="D421" t="s">
        <v>429</v>
      </c>
      <c r="E421" t="s">
        <v>157</v>
      </c>
      <c r="F421" s="2"/>
    </row>
    <row r="422" spans="1:6" x14ac:dyDescent="0.25">
      <c r="D422" t="s">
        <v>428</v>
      </c>
      <c r="E422" t="s">
        <v>157</v>
      </c>
      <c r="F422" s="2"/>
    </row>
    <row r="423" spans="1:6" x14ac:dyDescent="0.25">
      <c r="D423" t="s">
        <v>430</v>
      </c>
      <c r="E423" t="s">
        <v>159</v>
      </c>
      <c r="F423" s="2"/>
    </row>
    <row r="424" spans="1:6" x14ac:dyDescent="0.25">
      <c r="D424" t="s">
        <v>437</v>
      </c>
      <c r="E424" t="s">
        <v>142</v>
      </c>
      <c r="F424" s="2"/>
    </row>
    <row r="425" spans="1:6" x14ac:dyDescent="0.25">
      <c r="B425" t="s">
        <v>683</v>
      </c>
      <c r="F425" s="2"/>
    </row>
    <row r="426" spans="1:6" x14ac:dyDescent="0.25">
      <c r="B426" t="s">
        <v>81</v>
      </c>
      <c r="C426" t="s">
        <v>80</v>
      </c>
      <c r="D426" t="s">
        <v>429</v>
      </c>
      <c r="E426" t="s">
        <v>156</v>
      </c>
      <c r="F426" s="2"/>
    </row>
    <row r="427" spans="1:6" x14ac:dyDescent="0.25">
      <c r="B427" t="s">
        <v>590</v>
      </c>
      <c r="F427" s="2"/>
    </row>
    <row r="428" spans="1:6" x14ac:dyDescent="0.25">
      <c r="A428" t="s">
        <v>445</v>
      </c>
      <c r="F428" s="2"/>
    </row>
    <row r="429" spans="1:6" x14ac:dyDescent="0.25">
      <c r="A429" s="3">
        <v>43772</v>
      </c>
      <c r="B429" t="s">
        <v>89</v>
      </c>
      <c r="C429" t="s">
        <v>88</v>
      </c>
      <c r="D429" t="s">
        <v>430</v>
      </c>
      <c r="E429" t="s">
        <v>163</v>
      </c>
      <c r="F429" s="2"/>
    </row>
    <row r="430" spans="1:6" x14ac:dyDescent="0.25">
      <c r="E430" t="s">
        <v>146</v>
      </c>
      <c r="F430" s="2"/>
    </row>
    <row r="431" spans="1:6" x14ac:dyDescent="0.25">
      <c r="B431" t="s">
        <v>594</v>
      </c>
      <c r="F431" s="2"/>
    </row>
    <row r="432" spans="1:6" x14ac:dyDescent="0.25">
      <c r="B432" t="s">
        <v>66</v>
      </c>
      <c r="C432" t="s">
        <v>65</v>
      </c>
      <c r="D432" t="s">
        <v>433</v>
      </c>
      <c r="E432" t="s">
        <v>162</v>
      </c>
      <c r="F432" s="2"/>
    </row>
    <row r="433" spans="1:6" x14ac:dyDescent="0.25">
      <c r="E433" t="s">
        <v>125</v>
      </c>
      <c r="F433" s="2"/>
    </row>
    <row r="434" spans="1:6" x14ac:dyDescent="0.25">
      <c r="D434" t="s">
        <v>429</v>
      </c>
      <c r="E434" t="s">
        <v>155</v>
      </c>
      <c r="F434" s="2"/>
    </row>
    <row r="435" spans="1:6" x14ac:dyDescent="0.25">
      <c r="D435" t="s">
        <v>428</v>
      </c>
      <c r="E435" t="s">
        <v>162</v>
      </c>
      <c r="F435" s="2"/>
    </row>
    <row r="436" spans="1:6" x14ac:dyDescent="0.25">
      <c r="D436" t="s">
        <v>437</v>
      </c>
      <c r="E436" t="s">
        <v>155</v>
      </c>
      <c r="F436" s="2"/>
    </row>
    <row r="437" spans="1:6" x14ac:dyDescent="0.25">
      <c r="B437" t="s">
        <v>683</v>
      </c>
      <c r="F437" s="2"/>
    </row>
    <row r="438" spans="1:6" x14ac:dyDescent="0.25">
      <c r="A438" t="s">
        <v>446</v>
      </c>
      <c r="F438" s="2"/>
    </row>
    <row r="439" spans="1:6" x14ac:dyDescent="0.25">
      <c r="A439" s="3">
        <v>43765</v>
      </c>
      <c r="B439" t="s">
        <v>89</v>
      </c>
      <c r="C439" t="s">
        <v>88</v>
      </c>
      <c r="D439" t="s">
        <v>430</v>
      </c>
      <c r="E439" t="s">
        <v>163</v>
      </c>
      <c r="F439" s="2"/>
    </row>
    <row r="440" spans="1:6" x14ac:dyDescent="0.25">
      <c r="B440" t="s">
        <v>594</v>
      </c>
      <c r="F440" s="2"/>
    </row>
    <row r="441" spans="1:6" x14ac:dyDescent="0.25">
      <c r="B441" t="s">
        <v>85</v>
      </c>
      <c r="C441" t="s">
        <v>84</v>
      </c>
      <c r="D441" t="s">
        <v>428</v>
      </c>
      <c r="E441" t="s">
        <v>165</v>
      </c>
      <c r="F441" s="2"/>
    </row>
    <row r="442" spans="1:6" x14ac:dyDescent="0.25">
      <c r="B442" t="s">
        <v>592</v>
      </c>
      <c r="F442" s="2"/>
    </row>
    <row r="443" spans="1:6" x14ac:dyDescent="0.25">
      <c r="B443" t="s">
        <v>64</v>
      </c>
      <c r="C443" t="s">
        <v>63</v>
      </c>
      <c r="D443" t="s">
        <v>429</v>
      </c>
      <c r="E443" t="s">
        <v>164</v>
      </c>
      <c r="F443" s="2"/>
    </row>
    <row r="444" spans="1:6" x14ac:dyDescent="0.25">
      <c r="B444" t="s">
        <v>581</v>
      </c>
      <c r="F444" s="2"/>
    </row>
    <row r="445" spans="1:6" x14ac:dyDescent="0.25">
      <c r="B445" t="s">
        <v>66</v>
      </c>
      <c r="C445" t="s">
        <v>65</v>
      </c>
      <c r="D445" t="s">
        <v>433</v>
      </c>
      <c r="E445" t="s">
        <v>162</v>
      </c>
      <c r="F445" s="2"/>
    </row>
    <row r="446" spans="1:6" x14ac:dyDescent="0.25">
      <c r="D446" t="s">
        <v>429</v>
      </c>
      <c r="E446" t="s">
        <v>162</v>
      </c>
      <c r="F446" s="2"/>
    </row>
    <row r="447" spans="1:6" x14ac:dyDescent="0.25">
      <c r="D447" t="s">
        <v>437</v>
      </c>
      <c r="E447" t="s">
        <v>162</v>
      </c>
      <c r="F447" s="2"/>
    </row>
    <row r="448" spans="1:6" x14ac:dyDescent="0.25">
      <c r="B448" t="s">
        <v>683</v>
      </c>
      <c r="F448" s="2"/>
    </row>
    <row r="449" spans="1:6" x14ac:dyDescent="0.25">
      <c r="A449" t="s">
        <v>449</v>
      </c>
      <c r="F449" s="2"/>
    </row>
    <row r="450" spans="1:6" x14ac:dyDescent="0.25">
      <c r="A450" s="3">
        <v>43758</v>
      </c>
      <c r="B450" t="s">
        <v>89</v>
      </c>
      <c r="C450" t="s">
        <v>88</v>
      </c>
      <c r="D450" t="s">
        <v>430</v>
      </c>
      <c r="E450" t="s">
        <v>168</v>
      </c>
      <c r="F450" s="2"/>
    </row>
    <row r="451" spans="1:6" x14ac:dyDescent="0.25">
      <c r="E451" t="s">
        <v>169</v>
      </c>
      <c r="F451" s="2"/>
    </row>
    <row r="452" spans="1:6" x14ac:dyDescent="0.25">
      <c r="B452" t="s">
        <v>594</v>
      </c>
      <c r="F452" s="2"/>
    </row>
    <row r="453" spans="1:6" x14ac:dyDescent="0.25">
      <c r="B453" t="s">
        <v>44</v>
      </c>
      <c r="C453" t="s">
        <v>43</v>
      </c>
      <c r="D453" t="s">
        <v>428</v>
      </c>
      <c r="E453" t="s">
        <v>167</v>
      </c>
      <c r="F453" s="2"/>
    </row>
    <row r="454" spans="1:6" x14ac:dyDescent="0.25">
      <c r="D454" t="s">
        <v>437</v>
      </c>
      <c r="E454" t="s">
        <v>167</v>
      </c>
      <c r="F454" s="2"/>
    </row>
    <row r="455" spans="1:6" x14ac:dyDescent="0.25">
      <c r="B455" t="s">
        <v>573</v>
      </c>
      <c r="F455" s="2"/>
    </row>
    <row r="456" spans="1:6" x14ac:dyDescent="0.25">
      <c r="B456" t="s">
        <v>64</v>
      </c>
      <c r="C456" t="s">
        <v>63</v>
      </c>
      <c r="D456" t="s">
        <v>433</v>
      </c>
      <c r="E456" t="s">
        <v>166</v>
      </c>
      <c r="F456" s="2"/>
    </row>
    <row r="457" spans="1:6" x14ac:dyDescent="0.25">
      <c r="D457" t="s">
        <v>429</v>
      </c>
      <c r="E457" t="s">
        <v>166</v>
      </c>
      <c r="F457" s="2"/>
    </row>
    <row r="458" spans="1:6" x14ac:dyDescent="0.25">
      <c r="B458" t="s">
        <v>581</v>
      </c>
      <c r="F458" s="2"/>
    </row>
    <row r="459" spans="1:6" x14ac:dyDescent="0.25">
      <c r="B459" t="s">
        <v>66</v>
      </c>
      <c r="C459" t="s">
        <v>65</v>
      </c>
      <c r="D459" t="s">
        <v>433</v>
      </c>
      <c r="E459" t="s">
        <v>125</v>
      </c>
      <c r="F459" s="2"/>
    </row>
    <row r="460" spans="1:6" x14ac:dyDescent="0.25">
      <c r="D460" t="s">
        <v>437</v>
      </c>
      <c r="E460" t="s">
        <v>142</v>
      </c>
      <c r="F460" s="2"/>
    </row>
    <row r="461" spans="1:6" x14ac:dyDescent="0.25">
      <c r="B461" t="s">
        <v>683</v>
      </c>
      <c r="F461" s="2"/>
    </row>
    <row r="462" spans="1:6" x14ac:dyDescent="0.25">
      <c r="A462" t="s">
        <v>451</v>
      </c>
      <c r="F462" s="2"/>
    </row>
    <row r="463" spans="1:6" x14ac:dyDescent="0.25">
      <c r="A463" s="3">
        <v>43751</v>
      </c>
      <c r="B463" t="s">
        <v>89</v>
      </c>
      <c r="C463" t="s">
        <v>88</v>
      </c>
      <c r="D463" t="s">
        <v>429</v>
      </c>
      <c r="E463" t="s">
        <v>172</v>
      </c>
      <c r="F463" s="2"/>
    </row>
    <row r="464" spans="1:6" x14ac:dyDescent="0.25">
      <c r="D464" t="s">
        <v>430</v>
      </c>
      <c r="E464" t="s">
        <v>174</v>
      </c>
      <c r="F464" s="2"/>
    </row>
    <row r="465" spans="1:6" x14ac:dyDescent="0.25">
      <c r="E465" t="s">
        <v>175</v>
      </c>
      <c r="F465" s="2"/>
    </row>
    <row r="466" spans="1:6" x14ac:dyDescent="0.25">
      <c r="B466" t="s">
        <v>594</v>
      </c>
      <c r="F466" s="2"/>
    </row>
    <row r="467" spans="1:6" x14ac:dyDescent="0.25">
      <c r="B467" t="s">
        <v>64</v>
      </c>
      <c r="C467" t="s">
        <v>63</v>
      </c>
      <c r="D467" t="s">
        <v>429</v>
      </c>
      <c r="E467" t="s">
        <v>171</v>
      </c>
      <c r="F467" s="2"/>
    </row>
    <row r="468" spans="1:6" x14ac:dyDescent="0.25">
      <c r="D468" t="s">
        <v>428</v>
      </c>
      <c r="E468" t="s">
        <v>173</v>
      </c>
      <c r="F468" s="2"/>
    </row>
    <row r="469" spans="1:6" x14ac:dyDescent="0.25">
      <c r="D469" t="s">
        <v>437</v>
      </c>
      <c r="E469" t="s">
        <v>177</v>
      </c>
      <c r="F469" s="2"/>
    </row>
    <row r="470" spans="1:6" x14ac:dyDescent="0.25">
      <c r="E470" t="s">
        <v>176</v>
      </c>
      <c r="F470" s="2"/>
    </row>
    <row r="471" spans="1:6" x14ac:dyDescent="0.25">
      <c r="B471" t="s">
        <v>581</v>
      </c>
      <c r="F471" s="2"/>
    </row>
    <row r="472" spans="1:6" x14ac:dyDescent="0.25">
      <c r="B472" t="s">
        <v>66</v>
      </c>
      <c r="C472" t="s">
        <v>65</v>
      </c>
      <c r="D472" t="s">
        <v>433</v>
      </c>
      <c r="E472" t="s">
        <v>142</v>
      </c>
      <c r="F472" s="2"/>
    </row>
    <row r="473" spans="1:6" x14ac:dyDescent="0.25">
      <c r="E473" t="s">
        <v>125</v>
      </c>
      <c r="F473" s="2"/>
    </row>
    <row r="474" spans="1:6" x14ac:dyDescent="0.25">
      <c r="B474" t="s">
        <v>683</v>
      </c>
      <c r="F474" s="2"/>
    </row>
    <row r="475" spans="1:6" x14ac:dyDescent="0.25">
      <c r="A475" t="s">
        <v>452</v>
      </c>
      <c r="F475" s="2"/>
    </row>
    <row r="476" spans="1:6" x14ac:dyDescent="0.25">
      <c r="A476" s="3">
        <v>43744</v>
      </c>
      <c r="B476" t="s">
        <v>89</v>
      </c>
      <c r="C476" t="s">
        <v>88</v>
      </c>
      <c r="D476" t="s">
        <v>429</v>
      </c>
      <c r="E476" t="s">
        <v>180</v>
      </c>
      <c r="F476" s="2"/>
    </row>
    <row r="477" spans="1:6" x14ac:dyDescent="0.25">
      <c r="E477" t="s">
        <v>179</v>
      </c>
      <c r="F477" s="2"/>
    </row>
    <row r="478" spans="1:6" x14ac:dyDescent="0.25">
      <c r="D478" t="s">
        <v>428</v>
      </c>
      <c r="E478" t="s">
        <v>182</v>
      </c>
      <c r="F478" s="2"/>
    </row>
    <row r="479" spans="1:6" x14ac:dyDescent="0.25">
      <c r="D479" t="s">
        <v>430</v>
      </c>
      <c r="E479" t="s">
        <v>183</v>
      </c>
      <c r="F479" s="2"/>
    </row>
    <row r="480" spans="1:6" x14ac:dyDescent="0.25">
      <c r="D480" t="s">
        <v>437</v>
      </c>
      <c r="E480" t="s">
        <v>184</v>
      </c>
      <c r="F480" s="2"/>
    </row>
    <row r="481" spans="1:6" x14ac:dyDescent="0.25">
      <c r="B481" t="s">
        <v>594</v>
      </c>
      <c r="F481" s="2"/>
    </row>
    <row r="482" spans="1:6" x14ac:dyDescent="0.25">
      <c r="B482" t="s">
        <v>66</v>
      </c>
      <c r="C482" t="s">
        <v>65</v>
      </c>
      <c r="D482" t="s">
        <v>433</v>
      </c>
      <c r="E482" t="s">
        <v>142</v>
      </c>
      <c r="F482" s="2"/>
    </row>
    <row r="483" spans="1:6" x14ac:dyDescent="0.25">
      <c r="E483" t="s">
        <v>178</v>
      </c>
      <c r="F483" s="2"/>
    </row>
    <row r="484" spans="1:6" x14ac:dyDescent="0.25">
      <c r="D484" t="s">
        <v>428</v>
      </c>
      <c r="E484" t="s">
        <v>181</v>
      </c>
      <c r="F484" s="2"/>
    </row>
    <row r="485" spans="1:6" x14ac:dyDescent="0.25">
      <c r="D485" t="s">
        <v>430</v>
      </c>
      <c r="E485" t="s">
        <v>142</v>
      </c>
      <c r="F485" s="2"/>
    </row>
    <row r="486" spans="1:6" x14ac:dyDescent="0.25">
      <c r="D486" t="s">
        <v>437</v>
      </c>
      <c r="E486" t="s">
        <v>142</v>
      </c>
      <c r="F486" s="2"/>
    </row>
    <row r="487" spans="1:6" x14ac:dyDescent="0.25">
      <c r="B487" t="s">
        <v>683</v>
      </c>
      <c r="F487" s="2"/>
    </row>
    <row r="488" spans="1:6" x14ac:dyDescent="0.25">
      <c r="A488" t="s">
        <v>453</v>
      </c>
      <c r="F488" s="2"/>
    </row>
    <row r="489" spans="1:6" x14ac:dyDescent="0.25">
      <c r="A489" s="3">
        <v>43737</v>
      </c>
      <c r="B489" t="s">
        <v>89</v>
      </c>
      <c r="C489" t="s">
        <v>88</v>
      </c>
      <c r="D489" t="s">
        <v>429</v>
      </c>
      <c r="E489" t="s">
        <v>186</v>
      </c>
      <c r="F489" s="2"/>
    </row>
    <row r="490" spans="1:6" x14ac:dyDescent="0.25">
      <c r="D490" t="s">
        <v>430</v>
      </c>
      <c r="E490" t="s">
        <v>186</v>
      </c>
      <c r="F490" s="2"/>
    </row>
    <row r="491" spans="1:6" x14ac:dyDescent="0.25">
      <c r="E491" t="s">
        <v>188</v>
      </c>
      <c r="F491" s="2"/>
    </row>
    <row r="492" spans="1:6" x14ac:dyDescent="0.25">
      <c r="D492" t="s">
        <v>437</v>
      </c>
      <c r="E492" t="s">
        <v>190</v>
      </c>
      <c r="F492" s="2"/>
    </row>
    <row r="493" spans="1:6" x14ac:dyDescent="0.25">
      <c r="E493" t="s">
        <v>189</v>
      </c>
      <c r="F493" s="2"/>
    </row>
    <row r="494" spans="1:6" x14ac:dyDescent="0.25">
      <c r="B494" t="s">
        <v>594</v>
      </c>
      <c r="F494" s="2"/>
    </row>
    <row r="495" spans="1:6" x14ac:dyDescent="0.25">
      <c r="B495" t="s">
        <v>85</v>
      </c>
      <c r="C495" t="s">
        <v>84</v>
      </c>
      <c r="D495" t="s">
        <v>428</v>
      </c>
      <c r="E495" t="s">
        <v>187</v>
      </c>
      <c r="F495" s="2"/>
    </row>
    <row r="496" spans="1:6" x14ac:dyDescent="0.25">
      <c r="B496" t="s">
        <v>592</v>
      </c>
      <c r="F496" s="2"/>
    </row>
    <row r="497" spans="1:6" x14ac:dyDescent="0.25">
      <c r="B497" t="s">
        <v>66</v>
      </c>
      <c r="C497" t="s">
        <v>65</v>
      </c>
      <c r="D497" t="s">
        <v>433</v>
      </c>
      <c r="E497" t="s">
        <v>185</v>
      </c>
      <c r="F497" s="2"/>
    </row>
    <row r="498" spans="1:6" x14ac:dyDescent="0.25">
      <c r="D498" t="s">
        <v>429</v>
      </c>
      <c r="E498" t="s">
        <v>185</v>
      </c>
      <c r="F498" s="2"/>
    </row>
    <row r="499" spans="1:6" x14ac:dyDescent="0.25">
      <c r="D499" t="s">
        <v>437</v>
      </c>
      <c r="E499" t="s">
        <v>168</v>
      </c>
      <c r="F499" s="2"/>
    </row>
    <row r="500" spans="1:6" x14ac:dyDescent="0.25">
      <c r="B500" t="s">
        <v>683</v>
      </c>
      <c r="F500" s="2"/>
    </row>
    <row r="501" spans="1:6" x14ac:dyDescent="0.25">
      <c r="A501" t="s">
        <v>454</v>
      </c>
      <c r="F501" s="2"/>
    </row>
    <row r="502" spans="1:6" x14ac:dyDescent="0.25">
      <c r="A502" s="3">
        <v>43730</v>
      </c>
      <c r="B502" t="s">
        <v>66</v>
      </c>
      <c r="C502" t="s">
        <v>65</v>
      </c>
      <c r="D502" t="s">
        <v>433</v>
      </c>
      <c r="E502" t="s">
        <v>191</v>
      </c>
      <c r="F502" s="2"/>
    </row>
    <row r="503" spans="1:6" x14ac:dyDescent="0.25">
      <c r="D503" t="s">
        <v>429</v>
      </c>
      <c r="E503" t="s">
        <v>191</v>
      </c>
      <c r="F503" s="2"/>
    </row>
    <row r="504" spans="1:6" x14ac:dyDescent="0.25">
      <c r="D504" t="s">
        <v>428</v>
      </c>
      <c r="E504" t="s">
        <v>192</v>
      </c>
      <c r="F504" s="2"/>
    </row>
    <row r="505" spans="1:6" x14ac:dyDescent="0.25">
      <c r="D505" t="s">
        <v>430</v>
      </c>
      <c r="E505" t="s">
        <v>192</v>
      </c>
      <c r="F505" s="2"/>
    </row>
    <row r="506" spans="1:6" x14ac:dyDescent="0.25">
      <c r="D506" t="s">
        <v>437</v>
      </c>
      <c r="E506" t="s">
        <v>192</v>
      </c>
      <c r="F506" s="2"/>
    </row>
    <row r="507" spans="1:6" x14ac:dyDescent="0.25">
      <c r="B507" t="s">
        <v>683</v>
      </c>
      <c r="F507" s="2"/>
    </row>
    <row r="508" spans="1:6" x14ac:dyDescent="0.25">
      <c r="A508" t="s">
        <v>455</v>
      </c>
      <c r="F508" s="2"/>
    </row>
    <row r="509" spans="1:6" x14ac:dyDescent="0.25">
      <c r="A509" s="3">
        <v>43723</v>
      </c>
      <c r="B509" t="s">
        <v>89</v>
      </c>
      <c r="C509" t="s">
        <v>88</v>
      </c>
      <c r="D509" t="s">
        <v>428</v>
      </c>
      <c r="E509" t="s">
        <v>195</v>
      </c>
      <c r="F509" s="2"/>
    </row>
    <row r="510" spans="1:6" x14ac:dyDescent="0.25">
      <c r="D510" t="s">
        <v>430</v>
      </c>
      <c r="E510" t="s">
        <v>195</v>
      </c>
      <c r="F510" s="2"/>
    </row>
    <row r="511" spans="1:6" x14ac:dyDescent="0.25">
      <c r="B511" t="s">
        <v>594</v>
      </c>
      <c r="F511" s="2"/>
    </row>
    <row r="512" spans="1:6" x14ac:dyDescent="0.25">
      <c r="B512" t="s">
        <v>85</v>
      </c>
      <c r="C512" t="s">
        <v>84</v>
      </c>
      <c r="D512" t="s">
        <v>429</v>
      </c>
      <c r="E512" t="s">
        <v>194</v>
      </c>
      <c r="F512" s="2"/>
    </row>
    <row r="513" spans="1:6" x14ac:dyDescent="0.25">
      <c r="D513" t="s">
        <v>437</v>
      </c>
      <c r="E513" t="s">
        <v>194</v>
      </c>
      <c r="F513" s="2"/>
    </row>
    <row r="514" spans="1:6" x14ac:dyDescent="0.25">
      <c r="B514" t="s">
        <v>592</v>
      </c>
      <c r="F514" s="2"/>
    </row>
    <row r="515" spans="1:6" x14ac:dyDescent="0.25">
      <c r="B515" t="s">
        <v>66</v>
      </c>
      <c r="C515" t="s">
        <v>65</v>
      </c>
      <c r="D515" t="s">
        <v>433</v>
      </c>
      <c r="E515" t="s">
        <v>193</v>
      </c>
      <c r="F515" s="2"/>
    </row>
    <row r="516" spans="1:6" x14ac:dyDescent="0.25">
      <c r="B516" t="s">
        <v>683</v>
      </c>
      <c r="F516" s="2"/>
    </row>
    <row r="517" spans="1:6" x14ac:dyDescent="0.25">
      <c r="A517" t="s">
        <v>456</v>
      </c>
      <c r="F517" s="2"/>
    </row>
    <row r="518" spans="1:6" x14ac:dyDescent="0.25">
      <c r="A518" s="3">
        <v>43716</v>
      </c>
      <c r="B518" t="s">
        <v>69</v>
      </c>
      <c r="C518" t="s">
        <v>68</v>
      </c>
      <c r="D518" t="s">
        <v>433</v>
      </c>
      <c r="E518" t="s">
        <v>439</v>
      </c>
      <c r="F518" s="2"/>
    </row>
    <row r="519" spans="1:6" x14ac:dyDescent="0.25">
      <c r="D519" t="s">
        <v>429</v>
      </c>
      <c r="E519" t="s">
        <v>439</v>
      </c>
      <c r="F519" s="2"/>
    </row>
    <row r="520" spans="1:6" x14ac:dyDescent="0.25">
      <c r="D520" t="s">
        <v>428</v>
      </c>
      <c r="E520" t="s">
        <v>439</v>
      </c>
      <c r="F520" s="2"/>
    </row>
    <row r="521" spans="1:6" x14ac:dyDescent="0.25">
      <c r="D521" t="s">
        <v>430</v>
      </c>
      <c r="E521" t="s">
        <v>439</v>
      </c>
      <c r="F521" s="2"/>
    </row>
    <row r="522" spans="1:6" x14ac:dyDescent="0.25">
      <c r="D522" t="s">
        <v>437</v>
      </c>
      <c r="E522" t="s">
        <v>439</v>
      </c>
      <c r="F522" s="2"/>
    </row>
    <row r="523" spans="1:6" x14ac:dyDescent="0.25">
      <c r="B523" t="s">
        <v>584</v>
      </c>
      <c r="F523" s="2"/>
    </row>
    <row r="524" spans="1:6" x14ac:dyDescent="0.25">
      <c r="A524" t="s">
        <v>458</v>
      </c>
      <c r="F524" s="2"/>
    </row>
    <row r="525" spans="1:6" x14ac:dyDescent="0.25">
      <c r="A525" s="3">
        <v>43709</v>
      </c>
      <c r="B525" t="s">
        <v>13</v>
      </c>
      <c r="C525" t="s">
        <v>12</v>
      </c>
      <c r="D525" t="s">
        <v>433</v>
      </c>
      <c r="E525" t="s">
        <v>439</v>
      </c>
      <c r="F525" s="2"/>
    </row>
    <row r="526" spans="1:6" x14ac:dyDescent="0.25">
      <c r="B526" t="s">
        <v>556</v>
      </c>
      <c r="F526" s="2"/>
    </row>
    <row r="527" spans="1:6" x14ac:dyDescent="0.25">
      <c r="B527" t="s">
        <v>69</v>
      </c>
      <c r="C527" t="s">
        <v>68</v>
      </c>
      <c r="D527" t="s">
        <v>429</v>
      </c>
      <c r="E527" t="s">
        <v>439</v>
      </c>
      <c r="F527" s="2"/>
    </row>
    <row r="528" spans="1:6" x14ac:dyDescent="0.25">
      <c r="D528" t="s">
        <v>428</v>
      </c>
      <c r="E528" t="s">
        <v>439</v>
      </c>
      <c r="F528" s="2"/>
    </row>
    <row r="529" spans="1:6" x14ac:dyDescent="0.25">
      <c r="D529" t="s">
        <v>430</v>
      </c>
      <c r="E529" t="s">
        <v>439</v>
      </c>
      <c r="F529" s="2"/>
    </row>
    <row r="530" spans="1:6" x14ac:dyDescent="0.25">
      <c r="D530" t="s">
        <v>437</v>
      </c>
      <c r="E530" t="s">
        <v>439</v>
      </c>
      <c r="F530" s="2"/>
    </row>
    <row r="531" spans="1:6" x14ac:dyDescent="0.25">
      <c r="B531" t="s">
        <v>584</v>
      </c>
      <c r="F531" s="2"/>
    </row>
    <row r="532" spans="1:6" x14ac:dyDescent="0.25">
      <c r="A532" t="s">
        <v>460</v>
      </c>
      <c r="F532" s="2"/>
    </row>
    <row r="533" spans="1:6" x14ac:dyDescent="0.25">
      <c r="A533" s="3">
        <v>43702</v>
      </c>
      <c r="B533" t="s">
        <v>89</v>
      </c>
      <c r="C533" t="s">
        <v>88</v>
      </c>
      <c r="D533" t="s">
        <v>433</v>
      </c>
      <c r="E533" t="s">
        <v>196</v>
      </c>
      <c r="F533" s="2"/>
    </row>
    <row r="534" spans="1:6" x14ac:dyDescent="0.25">
      <c r="D534" t="s">
        <v>428</v>
      </c>
      <c r="E534" t="s">
        <v>199</v>
      </c>
      <c r="F534" s="2"/>
    </row>
    <row r="535" spans="1:6" x14ac:dyDescent="0.25">
      <c r="D535" t="s">
        <v>430</v>
      </c>
      <c r="E535" t="s">
        <v>200</v>
      </c>
      <c r="F535" s="2"/>
    </row>
    <row r="536" spans="1:6" x14ac:dyDescent="0.25">
      <c r="B536" t="s">
        <v>594</v>
      </c>
      <c r="F536" s="2"/>
    </row>
    <row r="537" spans="1:6" x14ac:dyDescent="0.25">
      <c r="B537" t="s">
        <v>85</v>
      </c>
      <c r="C537" t="s">
        <v>84</v>
      </c>
      <c r="D537" t="s">
        <v>429</v>
      </c>
      <c r="E537" t="s">
        <v>197</v>
      </c>
      <c r="F537" s="2"/>
    </row>
    <row r="538" spans="1:6" x14ac:dyDescent="0.25">
      <c r="D538" t="s">
        <v>428</v>
      </c>
      <c r="E538" t="s">
        <v>198</v>
      </c>
      <c r="F538" s="2"/>
    </row>
    <row r="539" spans="1:6" x14ac:dyDescent="0.25">
      <c r="D539" t="s">
        <v>430</v>
      </c>
      <c r="E539" t="s">
        <v>198</v>
      </c>
      <c r="F539" s="2"/>
    </row>
    <row r="540" spans="1:6" x14ac:dyDescent="0.25">
      <c r="D540" t="s">
        <v>437</v>
      </c>
      <c r="E540" t="s">
        <v>201</v>
      </c>
      <c r="F540" s="2"/>
    </row>
    <row r="541" spans="1:6" x14ac:dyDescent="0.25">
      <c r="B541" t="s">
        <v>592</v>
      </c>
      <c r="F541" s="2"/>
    </row>
    <row r="542" spans="1:6" x14ac:dyDescent="0.25">
      <c r="A542" t="s">
        <v>461</v>
      </c>
      <c r="F542" s="2"/>
    </row>
    <row r="543" spans="1:6" x14ac:dyDescent="0.25">
      <c r="A543" s="3">
        <v>43695</v>
      </c>
      <c r="B543" t="s">
        <v>89</v>
      </c>
      <c r="C543" t="s">
        <v>88</v>
      </c>
      <c r="D543" t="s">
        <v>433</v>
      </c>
      <c r="E543" t="s">
        <v>202</v>
      </c>
      <c r="F543" s="2"/>
    </row>
    <row r="544" spans="1:6" x14ac:dyDescent="0.25">
      <c r="D544" t="s">
        <v>429</v>
      </c>
      <c r="E544" t="s">
        <v>202</v>
      </c>
      <c r="F544" s="2"/>
    </row>
    <row r="545" spans="1:6" x14ac:dyDescent="0.25">
      <c r="D545" t="s">
        <v>428</v>
      </c>
      <c r="E545" t="s">
        <v>203</v>
      </c>
      <c r="F545" s="2"/>
    </row>
    <row r="546" spans="1:6" x14ac:dyDescent="0.25">
      <c r="E546" t="s">
        <v>202</v>
      </c>
      <c r="F546" s="2"/>
    </row>
    <row r="547" spans="1:6" x14ac:dyDescent="0.25">
      <c r="B547" t="s">
        <v>594</v>
      </c>
      <c r="F547" s="2"/>
    </row>
    <row r="548" spans="1:6" x14ac:dyDescent="0.25">
      <c r="B548" t="s">
        <v>85</v>
      </c>
      <c r="C548" t="s">
        <v>84</v>
      </c>
      <c r="D548" t="s">
        <v>430</v>
      </c>
      <c r="E548" t="s">
        <v>204</v>
      </c>
      <c r="F548" s="2"/>
    </row>
    <row r="549" spans="1:6" x14ac:dyDescent="0.25">
      <c r="D549" t="s">
        <v>437</v>
      </c>
      <c r="E549" t="s">
        <v>204</v>
      </c>
      <c r="F549" s="2"/>
    </row>
    <row r="550" spans="1:6" x14ac:dyDescent="0.25">
      <c r="B550" t="s">
        <v>592</v>
      </c>
      <c r="F550" s="2"/>
    </row>
    <row r="551" spans="1:6" x14ac:dyDescent="0.25">
      <c r="B551" t="s">
        <v>69</v>
      </c>
      <c r="C551" t="s">
        <v>68</v>
      </c>
      <c r="D551" t="s">
        <v>429</v>
      </c>
      <c r="E551" t="s">
        <v>439</v>
      </c>
      <c r="F551" s="2"/>
    </row>
    <row r="552" spans="1:6" x14ac:dyDescent="0.25">
      <c r="D552" t="s">
        <v>437</v>
      </c>
      <c r="E552" t="s">
        <v>439</v>
      </c>
      <c r="F552" s="2"/>
    </row>
    <row r="553" spans="1:6" x14ac:dyDescent="0.25">
      <c r="B553" t="s">
        <v>584</v>
      </c>
      <c r="F553" s="2"/>
    </row>
    <row r="554" spans="1:6" x14ac:dyDescent="0.25">
      <c r="A554" t="s">
        <v>462</v>
      </c>
      <c r="F554" s="2"/>
    </row>
    <row r="555" spans="1:6" x14ac:dyDescent="0.25">
      <c r="A555" s="3">
        <v>43688</v>
      </c>
      <c r="B555" t="s">
        <v>89</v>
      </c>
      <c r="C555" t="s">
        <v>88</v>
      </c>
      <c r="D555" t="s">
        <v>429</v>
      </c>
      <c r="E555" t="s">
        <v>206</v>
      </c>
      <c r="F555" s="2"/>
    </row>
    <row r="556" spans="1:6" x14ac:dyDescent="0.25">
      <c r="D556" t="s">
        <v>428</v>
      </c>
      <c r="E556" t="s">
        <v>207</v>
      </c>
      <c r="F556" s="2"/>
    </row>
    <row r="557" spans="1:6" x14ac:dyDescent="0.25">
      <c r="D557" t="s">
        <v>430</v>
      </c>
      <c r="E557" t="s">
        <v>208</v>
      </c>
      <c r="F557" s="2"/>
    </row>
    <row r="558" spans="1:6" x14ac:dyDescent="0.25">
      <c r="B558" t="s">
        <v>594</v>
      </c>
      <c r="F558" s="2"/>
    </row>
    <row r="559" spans="1:6" x14ac:dyDescent="0.25">
      <c r="B559" t="s">
        <v>85</v>
      </c>
      <c r="C559" t="s">
        <v>84</v>
      </c>
      <c r="D559" t="s">
        <v>433</v>
      </c>
      <c r="E559" t="s">
        <v>205</v>
      </c>
      <c r="F559" s="2"/>
    </row>
    <row r="560" spans="1:6" x14ac:dyDescent="0.25">
      <c r="D560" t="s">
        <v>437</v>
      </c>
      <c r="E560" t="s">
        <v>209</v>
      </c>
      <c r="F560" s="2"/>
    </row>
    <row r="561" spans="1:6" x14ac:dyDescent="0.25">
      <c r="B561" t="s">
        <v>592</v>
      </c>
      <c r="F561" s="2"/>
    </row>
    <row r="562" spans="1:6" x14ac:dyDescent="0.25">
      <c r="A562" t="s">
        <v>687</v>
      </c>
      <c r="F562" s="2"/>
    </row>
    <row r="563" spans="1:6" x14ac:dyDescent="0.25">
      <c r="A563" s="3">
        <v>43681</v>
      </c>
      <c r="B563" t="s">
        <v>89</v>
      </c>
      <c r="C563" t="s">
        <v>88</v>
      </c>
      <c r="D563" t="s">
        <v>433</v>
      </c>
      <c r="E563" t="s">
        <v>210</v>
      </c>
      <c r="F563" s="2"/>
    </row>
    <row r="564" spans="1:6" x14ac:dyDescent="0.25">
      <c r="D564" t="s">
        <v>430</v>
      </c>
      <c r="E564" t="s">
        <v>212</v>
      </c>
      <c r="F564" s="2"/>
    </row>
    <row r="565" spans="1:6" x14ac:dyDescent="0.25">
      <c r="B565" t="s">
        <v>594</v>
      </c>
      <c r="F565" s="2"/>
    </row>
    <row r="566" spans="1:6" x14ac:dyDescent="0.25">
      <c r="B566" t="s">
        <v>85</v>
      </c>
      <c r="C566" t="s">
        <v>84</v>
      </c>
      <c r="D566" t="s">
        <v>429</v>
      </c>
      <c r="E566" t="s">
        <v>211</v>
      </c>
      <c r="F566" s="2"/>
    </row>
    <row r="567" spans="1:6" x14ac:dyDescent="0.25">
      <c r="D567" t="s">
        <v>428</v>
      </c>
      <c r="E567" t="s">
        <v>211</v>
      </c>
      <c r="F567" s="2"/>
    </row>
    <row r="568" spans="1:6" x14ac:dyDescent="0.25">
      <c r="B568" t="s">
        <v>592</v>
      </c>
      <c r="F568" s="2"/>
    </row>
    <row r="569" spans="1:6" x14ac:dyDescent="0.25">
      <c r="B569" t="s">
        <v>69</v>
      </c>
      <c r="C569" t="s">
        <v>68</v>
      </c>
      <c r="D569" t="s">
        <v>437</v>
      </c>
      <c r="E569" t="s">
        <v>439</v>
      </c>
      <c r="F569" s="2"/>
    </row>
    <row r="570" spans="1:6" x14ac:dyDescent="0.25">
      <c r="B570" t="s">
        <v>584</v>
      </c>
      <c r="F570" s="2"/>
    </row>
    <row r="571" spans="1:6" x14ac:dyDescent="0.25">
      <c r="A571" t="s">
        <v>463</v>
      </c>
      <c r="F571" s="2"/>
    </row>
    <row r="572" spans="1:6" x14ac:dyDescent="0.25">
      <c r="A572" s="3">
        <v>43674</v>
      </c>
      <c r="B572" t="s">
        <v>17</v>
      </c>
      <c r="C572" t="s">
        <v>16</v>
      </c>
      <c r="D572" t="s">
        <v>433</v>
      </c>
      <c r="E572" t="s">
        <v>213</v>
      </c>
      <c r="F572" s="2"/>
    </row>
    <row r="573" spans="1:6" x14ac:dyDescent="0.25">
      <c r="B573" t="s">
        <v>560</v>
      </c>
      <c r="F573" s="2"/>
    </row>
    <row r="574" spans="1:6" x14ac:dyDescent="0.25">
      <c r="B574" t="s">
        <v>89</v>
      </c>
      <c r="C574" t="s">
        <v>88</v>
      </c>
      <c r="D574" t="s">
        <v>429</v>
      </c>
      <c r="E574" t="s">
        <v>142</v>
      </c>
      <c r="F574" s="2"/>
    </row>
    <row r="575" spans="1:6" x14ac:dyDescent="0.25">
      <c r="B575" t="s">
        <v>594</v>
      </c>
      <c r="F575" s="2"/>
    </row>
    <row r="576" spans="1:6" x14ac:dyDescent="0.25">
      <c r="B576" t="s">
        <v>85</v>
      </c>
      <c r="C576" t="s">
        <v>84</v>
      </c>
      <c r="D576" t="s">
        <v>433</v>
      </c>
      <c r="E576" t="s">
        <v>214</v>
      </c>
      <c r="F576" s="2"/>
    </row>
    <row r="577" spans="1:6" x14ac:dyDescent="0.25">
      <c r="B577" t="s">
        <v>592</v>
      </c>
      <c r="F577" s="2"/>
    </row>
    <row r="578" spans="1:6" x14ac:dyDescent="0.25">
      <c r="B578" t="s">
        <v>19</v>
      </c>
      <c r="C578" t="s">
        <v>18</v>
      </c>
      <c r="D578" t="s">
        <v>428</v>
      </c>
      <c r="E578" t="s">
        <v>215</v>
      </c>
      <c r="F578" s="2"/>
    </row>
    <row r="579" spans="1:6" x14ac:dyDescent="0.25">
      <c r="D579" t="s">
        <v>430</v>
      </c>
      <c r="E579" t="s">
        <v>215</v>
      </c>
      <c r="F579" s="2"/>
    </row>
    <row r="580" spans="1:6" x14ac:dyDescent="0.25">
      <c r="D580" t="s">
        <v>437</v>
      </c>
      <c r="E580" t="s">
        <v>215</v>
      </c>
      <c r="F580" s="2"/>
    </row>
    <row r="581" spans="1:6" x14ac:dyDescent="0.25">
      <c r="B581" t="s">
        <v>561</v>
      </c>
      <c r="F581" s="2"/>
    </row>
    <row r="582" spans="1:6" x14ac:dyDescent="0.25">
      <c r="A582" t="s">
        <v>466</v>
      </c>
      <c r="F582" s="2"/>
    </row>
    <row r="583" spans="1:6" x14ac:dyDescent="0.25">
      <c r="A583" s="3">
        <v>43667</v>
      </c>
      <c r="B583" t="s">
        <v>15</v>
      </c>
      <c r="C583" t="s">
        <v>14</v>
      </c>
      <c r="D583" t="s">
        <v>428</v>
      </c>
      <c r="E583" t="s">
        <v>219</v>
      </c>
      <c r="F583" s="2"/>
    </row>
    <row r="584" spans="1:6" x14ac:dyDescent="0.25">
      <c r="B584" t="s">
        <v>559</v>
      </c>
      <c r="F584" s="2"/>
    </row>
    <row r="585" spans="1:6" x14ac:dyDescent="0.25">
      <c r="B585" t="s">
        <v>17</v>
      </c>
      <c r="C585" t="s">
        <v>16</v>
      </c>
      <c r="D585" t="s">
        <v>433</v>
      </c>
      <c r="E585" t="s">
        <v>213</v>
      </c>
      <c r="F585" s="2"/>
    </row>
    <row r="586" spans="1:6" x14ac:dyDescent="0.25">
      <c r="B586" t="s">
        <v>560</v>
      </c>
      <c r="F586" s="2"/>
    </row>
    <row r="587" spans="1:6" x14ac:dyDescent="0.25">
      <c r="B587" t="s">
        <v>89</v>
      </c>
      <c r="C587" t="s">
        <v>88</v>
      </c>
      <c r="D587" t="s">
        <v>433</v>
      </c>
      <c r="E587" t="s">
        <v>216</v>
      </c>
      <c r="F587" s="2"/>
    </row>
    <row r="588" spans="1:6" x14ac:dyDescent="0.25">
      <c r="D588" t="s">
        <v>429</v>
      </c>
      <c r="E588" t="s">
        <v>218</v>
      </c>
      <c r="F588" s="2"/>
    </row>
    <row r="589" spans="1:6" x14ac:dyDescent="0.25">
      <c r="D589" t="s">
        <v>428</v>
      </c>
      <c r="E589" t="s">
        <v>221</v>
      </c>
      <c r="F589" s="2"/>
    </row>
    <row r="590" spans="1:6" x14ac:dyDescent="0.25">
      <c r="E590" t="s">
        <v>220</v>
      </c>
      <c r="F590" s="2"/>
    </row>
    <row r="591" spans="1:6" x14ac:dyDescent="0.25">
      <c r="B591" t="s">
        <v>594</v>
      </c>
      <c r="F591" s="2"/>
    </row>
    <row r="592" spans="1:6" x14ac:dyDescent="0.25">
      <c r="B592" t="s">
        <v>85</v>
      </c>
      <c r="C592" t="s">
        <v>84</v>
      </c>
      <c r="D592" t="s">
        <v>429</v>
      </c>
      <c r="E592" t="s">
        <v>217</v>
      </c>
      <c r="F592" s="2"/>
    </row>
    <row r="593" spans="1:6" x14ac:dyDescent="0.25">
      <c r="D593" t="s">
        <v>428</v>
      </c>
      <c r="E593" t="s">
        <v>222</v>
      </c>
      <c r="F593" s="2"/>
    </row>
    <row r="594" spans="1:6" x14ac:dyDescent="0.25">
      <c r="D594" t="s">
        <v>430</v>
      </c>
      <c r="E594" t="s">
        <v>223</v>
      </c>
      <c r="F594" s="2"/>
    </row>
    <row r="595" spans="1:6" x14ac:dyDescent="0.25">
      <c r="B595" t="s">
        <v>592</v>
      </c>
      <c r="F595" s="2"/>
    </row>
    <row r="596" spans="1:6" x14ac:dyDescent="0.25">
      <c r="B596" t="s">
        <v>69</v>
      </c>
      <c r="C596" t="s">
        <v>68</v>
      </c>
      <c r="D596" t="s">
        <v>437</v>
      </c>
      <c r="E596" t="s">
        <v>439</v>
      </c>
      <c r="F596" s="2"/>
    </row>
    <row r="597" spans="1:6" x14ac:dyDescent="0.25">
      <c r="B597" t="s">
        <v>584</v>
      </c>
      <c r="F597" s="2"/>
    </row>
    <row r="598" spans="1:6" x14ac:dyDescent="0.25">
      <c r="A598" t="s">
        <v>468</v>
      </c>
      <c r="F598" s="2"/>
    </row>
    <row r="599" spans="1:6" x14ac:dyDescent="0.25">
      <c r="A599" s="3">
        <v>43660</v>
      </c>
      <c r="B599" t="s">
        <v>89</v>
      </c>
      <c r="C599" t="s">
        <v>88</v>
      </c>
      <c r="D599" t="s">
        <v>428</v>
      </c>
      <c r="E599" t="s">
        <v>224</v>
      </c>
      <c r="F599" s="2"/>
    </row>
    <row r="600" spans="1:6" x14ac:dyDescent="0.25">
      <c r="D600" t="s">
        <v>430</v>
      </c>
      <c r="E600" t="s">
        <v>227</v>
      </c>
      <c r="F600" s="2"/>
    </row>
    <row r="601" spans="1:6" x14ac:dyDescent="0.25">
      <c r="D601" t="s">
        <v>437</v>
      </c>
      <c r="E601" t="s">
        <v>229</v>
      </c>
      <c r="F601" s="2"/>
    </row>
    <row r="602" spans="1:6" x14ac:dyDescent="0.25">
      <c r="B602" t="s">
        <v>594</v>
      </c>
      <c r="F602" s="2"/>
    </row>
    <row r="603" spans="1:6" x14ac:dyDescent="0.25">
      <c r="B603" t="s">
        <v>41</v>
      </c>
      <c r="C603" t="s">
        <v>40</v>
      </c>
      <c r="D603" t="s">
        <v>428</v>
      </c>
      <c r="E603" t="s">
        <v>225</v>
      </c>
      <c r="F603" s="2"/>
    </row>
    <row r="604" spans="1:6" x14ac:dyDescent="0.25">
      <c r="B604" t="s">
        <v>572</v>
      </c>
      <c r="F604" s="2"/>
    </row>
    <row r="605" spans="1:6" x14ac:dyDescent="0.25">
      <c r="B605" t="s">
        <v>85</v>
      </c>
      <c r="C605" t="s">
        <v>84</v>
      </c>
      <c r="D605" t="s">
        <v>429</v>
      </c>
      <c r="E605" t="s">
        <v>222</v>
      </c>
      <c r="F605" s="2"/>
    </row>
    <row r="606" spans="1:6" x14ac:dyDescent="0.25">
      <c r="D606" t="s">
        <v>428</v>
      </c>
      <c r="E606" t="s">
        <v>226</v>
      </c>
      <c r="F606" s="2"/>
    </row>
    <row r="607" spans="1:6" x14ac:dyDescent="0.25">
      <c r="D607" t="s">
        <v>430</v>
      </c>
      <c r="E607" t="s">
        <v>228</v>
      </c>
      <c r="F607" s="2"/>
    </row>
    <row r="608" spans="1:6" x14ac:dyDescent="0.25">
      <c r="D608" t="s">
        <v>437</v>
      </c>
      <c r="E608" t="s">
        <v>230</v>
      </c>
      <c r="F608" s="2"/>
    </row>
    <row r="609" spans="1:6" x14ac:dyDescent="0.25">
      <c r="B609" t="s">
        <v>592</v>
      </c>
      <c r="F609" s="2"/>
    </row>
    <row r="610" spans="1:6" x14ac:dyDescent="0.25">
      <c r="B610" t="s">
        <v>69</v>
      </c>
      <c r="C610" t="s">
        <v>68</v>
      </c>
      <c r="D610" t="s">
        <v>433</v>
      </c>
      <c r="E610" t="s">
        <v>439</v>
      </c>
      <c r="F610" s="2"/>
    </row>
    <row r="611" spans="1:6" x14ac:dyDescent="0.25">
      <c r="B611" t="s">
        <v>584</v>
      </c>
      <c r="F611" s="2"/>
    </row>
    <row r="612" spans="1:6" x14ac:dyDescent="0.25">
      <c r="A612" t="s">
        <v>470</v>
      </c>
      <c r="F612" s="2"/>
    </row>
    <row r="613" spans="1:6" x14ac:dyDescent="0.25">
      <c r="A613" s="3">
        <v>43653</v>
      </c>
      <c r="B613" t="s">
        <v>15</v>
      </c>
      <c r="C613" t="s">
        <v>14</v>
      </c>
      <c r="D613" t="s">
        <v>429</v>
      </c>
      <c r="E613" t="s">
        <v>234</v>
      </c>
      <c r="F613" s="2"/>
    </row>
    <row r="614" spans="1:6" x14ac:dyDescent="0.25">
      <c r="B614" t="s">
        <v>559</v>
      </c>
      <c r="F614" s="2"/>
    </row>
    <row r="615" spans="1:6" x14ac:dyDescent="0.25">
      <c r="B615" t="s">
        <v>89</v>
      </c>
      <c r="C615" t="s">
        <v>88</v>
      </c>
      <c r="D615" t="s">
        <v>437</v>
      </c>
      <c r="E615" t="s">
        <v>238</v>
      </c>
      <c r="F615" s="2"/>
    </row>
    <row r="616" spans="1:6" x14ac:dyDescent="0.25">
      <c r="B616" t="s">
        <v>594</v>
      </c>
      <c r="F616" s="2"/>
    </row>
    <row r="617" spans="1:6" x14ac:dyDescent="0.25">
      <c r="B617" t="s">
        <v>41</v>
      </c>
      <c r="C617" t="s">
        <v>40</v>
      </c>
      <c r="D617" t="s">
        <v>433</v>
      </c>
      <c r="E617" t="s">
        <v>232</v>
      </c>
      <c r="F617" s="2"/>
    </row>
    <row r="618" spans="1:6" x14ac:dyDescent="0.25">
      <c r="B618" t="s">
        <v>572</v>
      </c>
      <c r="F618" s="2"/>
    </row>
    <row r="619" spans="1:6" x14ac:dyDescent="0.25">
      <c r="B619" t="s">
        <v>85</v>
      </c>
      <c r="C619" t="s">
        <v>84</v>
      </c>
      <c r="D619" t="s">
        <v>429</v>
      </c>
      <c r="E619" t="s">
        <v>233</v>
      </c>
      <c r="F619" s="2"/>
    </row>
    <row r="620" spans="1:6" x14ac:dyDescent="0.25">
      <c r="D620" t="s">
        <v>428</v>
      </c>
      <c r="E620" t="s">
        <v>235</v>
      </c>
      <c r="F620" s="2"/>
    </row>
    <row r="621" spans="1:6" x14ac:dyDescent="0.25">
      <c r="D621" t="s">
        <v>430</v>
      </c>
      <c r="E621" t="s">
        <v>237</v>
      </c>
      <c r="F621" s="2"/>
    </row>
    <row r="622" spans="1:6" x14ac:dyDescent="0.25">
      <c r="E622" t="s">
        <v>222</v>
      </c>
      <c r="F622" s="2"/>
    </row>
    <row r="623" spans="1:6" x14ac:dyDescent="0.25">
      <c r="E623" t="s">
        <v>236</v>
      </c>
      <c r="F623" s="2"/>
    </row>
    <row r="624" spans="1:6" x14ac:dyDescent="0.25">
      <c r="D624" t="s">
        <v>437</v>
      </c>
      <c r="E624" t="s">
        <v>239</v>
      </c>
      <c r="F624" s="2"/>
    </row>
    <row r="625" spans="1:6" x14ac:dyDescent="0.25">
      <c r="B625" t="s">
        <v>592</v>
      </c>
      <c r="F625" s="2"/>
    </row>
    <row r="626" spans="1:6" x14ac:dyDescent="0.25">
      <c r="B626" t="s">
        <v>500</v>
      </c>
      <c r="C626" t="s">
        <v>23</v>
      </c>
      <c r="D626" t="s">
        <v>433</v>
      </c>
      <c r="E626" t="s">
        <v>231</v>
      </c>
      <c r="F626" s="2"/>
    </row>
    <row r="627" spans="1:6" x14ac:dyDescent="0.25">
      <c r="B627" t="s">
        <v>551</v>
      </c>
      <c r="F627" s="2"/>
    </row>
    <row r="628" spans="1:6" x14ac:dyDescent="0.25">
      <c r="A628" t="s">
        <v>472</v>
      </c>
      <c r="F628" s="2"/>
    </row>
    <row r="629" spans="1:6" x14ac:dyDescent="0.25">
      <c r="A629" s="3">
        <v>43646</v>
      </c>
      <c r="B629" t="s">
        <v>87</v>
      </c>
      <c r="C629" t="s">
        <v>86</v>
      </c>
      <c r="D629" t="s">
        <v>433</v>
      </c>
      <c r="E629" t="s">
        <v>240</v>
      </c>
      <c r="F629" s="2"/>
    </row>
    <row r="630" spans="1:6" x14ac:dyDescent="0.25">
      <c r="D630" t="s">
        <v>429</v>
      </c>
      <c r="E630" t="s">
        <v>240</v>
      </c>
      <c r="F630" s="2"/>
    </row>
    <row r="631" spans="1:6" x14ac:dyDescent="0.25">
      <c r="D631" t="s">
        <v>428</v>
      </c>
      <c r="E631" t="s">
        <v>240</v>
      </c>
      <c r="F631" s="2"/>
    </row>
    <row r="632" spans="1:6" x14ac:dyDescent="0.25">
      <c r="D632" t="s">
        <v>430</v>
      </c>
      <c r="E632" t="s">
        <v>240</v>
      </c>
      <c r="F632" s="2"/>
    </row>
    <row r="633" spans="1:6" x14ac:dyDescent="0.25">
      <c r="D633" t="s">
        <v>437</v>
      </c>
      <c r="E633" t="s">
        <v>240</v>
      </c>
      <c r="F633" s="2"/>
    </row>
    <row r="634" spans="1:6" x14ac:dyDescent="0.25">
      <c r="B634" t="s">
        <v>593</v>
      </c>
      <c r="F634" s="2"/>
    </row>
    <row r="635" spans="1:6" x14ac:dyDescent="0.25">
      <c r="B635" t="s">
        <v>69</v>
      </c>
      <c r="C635" t="s">
        <v>68</v>
      </c>
      <c r="D635" t="s">
        <v>428</v>
      </c>
      <c r="E635" t="s">
        <v>439</v>
      </c>
      <c r="F635" s="2"/>
    </row>
    <row r="636" spans="1:6" x14ac:dyDescent="0.25">
      <c r="D636" t="s">
        <v>437</v>
      </c>
      <c r="E636" t="s">
        <v>439</v>
      </c>
      <c r="F636" s="2"/>
    </row>
    <row r="637" spans="1:6" x14ac:dyDescent="0.25">
      <c r="B637" t="s">
        <v>584</v>
      </c>
      <c r="F637" s="2"/>
    </row>
    <row r="638" spans="1:6" x14ac:dyDescent="0.25">
      <c r="A638" t="s">
        <v>474</v>
      </c>
      <c r="F638" s="2"/>
    </row>
    <row r="639" spans="1:6" x14ac:dyDescent="0.25">
      <c r="A639" s="3">
        <v>43639</v>
      </c>
      <c r="B639" t="s">
        <v>41</v>
      </c>
      <c r="C639" t="s">
        <v>40</v>
      </c>
      <c r="D639" t="s">
        <v>429</v>
      </c>
      <c r="E639" t="s">
        <v>113</v>
      </c>
      <c r="F639" s="2"/>
    </row>
    <row r="640" spans="1:6" x14ac:dyDescent="0.25">
      <c r="B640" t="s">
        <v>572</v>
      </c>
      <c r="F640" s="2"/>
    </row>
    <row r="641" spans="1:6" x14ac:dyDescent="0.25">
      <c r="B641" t="s">
        <v>87</v>
      </c>
      <c r="C641" t="s">
        <v>86</v>
      </c>
      <c r="D641" t="s">
        <v>429</v>
      </c>
      <c r="E641" t="s">
        <v>244</v>
      </c>
      <c r="F641" s="2"/>
    </row>
    <row r="642" spans="1:6" x14ac:dyDescent="0.25">
      <c r="B642" t="s">
        <v>593</v>
      </c>
      <c r="F642" s="2"/>
    </row>
    <row r="643" spans="1:6" x14ac:dyDescent="0.25">
      <c r="B643" t="s">
        <v>85</v>
      </c>
      <c r="C643" t="s">
        <v>84</v>
      </c>
      <c r="D643" t="s">
        <v>433</v>
      </c>
      <c r="E643" t="s">
        <v>241</v>
      </c>
      <c r="F643" s="2"/>
    </row>
    <row r="644" spans="1:6" x14ac:dyDescent="0.25">
      <c r="B644" t="s">
        <v>592</v>
      </c>
      <c r="F644" s="2"/>
    </row>
    <row r="645" spans="1:6" x14ac:dyDescent="0.25">
      <c r="B645" t="s">
        <v>19</v>
      </c>
      <c r="C645" t="s">
        <v>18</v>
      </c>
      <c r="D645" t="s">
        <v>429</v>
      </c>
      <c r="E645" t="s">
        <v>245</v>
      </c>
      <c r="F645" s="2"/>
    </row>
    <row r="646" spans="1:6" x14ac:dyDescent="0.25">
      <c r="D646" t="s">
        <v>428</v>
      </c>
      <c r="E646" t="s">
        <v>245</v>
      </c>
      <c r="F646" s="2"/>
    </row>
    <row r="647" spans="1:6" x14ac:dyDescent="0.25">
      <c r="B647" t="s">
        <v>561</v>
      </c>
      <c r="F647" s="2"/>
    </row>
    <row r="648" spans="1:6" x14ac:dyDescent="0.25">
      <c r="B648" t="s">
        <v>69</v>
      </c>
      <c r="C648" t="s">
        <v>68</v>
      </c>
      <c r="D648" t="s">
        <v>430</v>
      </c>
      <c r="E648" t="s">
        <v>439</v>
      </c>
      <c r="F648" s="2"/>
    </row>
    <row r="649" spans="1:6" x14ac:dyDescent="0.25">
      <c r="D649" t="s">
        <v>437</v>
      </c>
      <c r="E649" t="s">
        <v>439</v>
      </c>
      <c r="F649" s="2"/>
    </row>
    <row r="650" spans="1:6" x14ac:dyDescent="0.25">
      <c r="B650" t="s">
        <v>584</v>
      </c>
      <c r="F650" s="2"/>
    </row>
    <row r="651" spans="1:6" x14ac:dyDescent="0.25">
      <c r="B651" t="s">
        <v>500</v>
      </c>
      <c r="C651" t="s">
        <v>23</v>
      </c>
      <c r="D651" t="s">
        <v>429</v>
      </c>
      <c r="E651" t="s">
        <v>243</v>
      </c>
      <c r="F651" s="2"/>
    </row>
    <row r="652" spans="1:6" x14ac:dyDescent="0.25">
      <c r="B652" t="s">
        <v>551</v>
      </c>
      <c r="F652" s="2"/>
    </row>
    <row r="653" spans="1:6" x14ac:dyDescent="0.25">
      <c r="A653" t="s">
        <v>475</v>
      </c>
      <c r="F653" s="2"/>
    </row>
    <row r="654" spans="1:6" x14ac:dyDescent="0.25">
      <c r="A654" s="3">
        <v>43632</v>
      </c>
      <c r="B654" t="s">
        <v>15</v>
      </c>
      <c r="C654" t="s">
        <v>14</v>
      </c>
      <c r="D654" t="s">
        <v>433</v>
      </c>
      <c r="E654" t="s">
        <v>247</v>
      </c>
      <c r="F654" s="2"/>
    </row>
    <row r="655" spans="1:6" x14ac:dyDescent="0.25">
      <c r="D655" t="s">
        <v>429</v>
      </c>
      <c r="E655" t="s">
        <v>247</v>
      </c>
      <c r="F655" s="2"/>
    </row>
    <row r="656" spans="1:6" x14ac:dyDescent="0.25">
      <c r="B656" t="s">
        <v>559</v>
      </c>
      <c r="F656" s="2"/>
    </row>
    <row r="657" spans="1:6" x14ac:dyDescent="0.25">
      <c r="B657" t="s">
        <v>87</v>
      </c>
      <c r="C657" t="s">
        <v>86</v>
      </c>
      <c r="D657" t="s">
        <v>428</v>
      </c>
      <c r="E657" t="s">
        <v>248</v>
      </c>
      <c r="F657" s="2"/>
    </row>
    <row r="658" spans="1:6" x14ac:dyDescent="0.25">
      <c r="D658" t="s">
        <v>430</v>
      </c>
      <c r="E658" t="s">
        <v>249</v>
      </c>
      <c r="F658" s="2"/>
    </row>
    <row r="659" spans="1:6" x14ac:dyDescent="0.25">
      <c r="B659" t="s">
        <v>593</v>
      </c>
      <c r="F659" s="2"/>
    </row>
    <row r="660" spans="1:6" x14ac:dyDescent="0.25">
      <c r="B660" t="s">
        <v>85</v>
      </c>
      <c r="C660" t="s">
        <v>84</v>
      </c>
      <c r="D660" t="s">
        <v>437</v>
      </c>
      <c r="E660" t="s">
        <v>236</v>
      </c>
      <c r="F660" s="2"/>
    </row>
    <row r="661" spans="1:6" x14ac:dyDescent="0.25">
      <c r="B661" t="s">
        <v>592</v>
      </c>
      <c r="F661" s="2"/>
    </row>
    <row r="662" spans="1:6" x14ac:dyDescent="0.25">
      <c r="A662" t="s">
        <v>476</v>
      </c>
      <c r="F662" s="2"/>
    </row>
    <row r="663" spans="1:6" x14ac:dyDescent="0.25">
      <c r="A663" s="3">
        <v>43625</v>
      </c>
      <c r="B663" t="s">
        <v>15</v>
      </c>
      <c r="C663" t="s">
        <v>14</v>
      </c>
      <c r="D663" t="s">
        <v>430</v>
      </c>
      <c r="E663" t="s">
        <v>252</v>
      </c>
      <c r="F663" s="2"/>
    </row>
    <row r="664" spans="1:6" x14ac:dyDescent="0.25">
      <c r="D664" t="s">
        <v>437</v>
      </c>
      <c r="E664" t="s">
        <v>252</v>
      </c>
      <c r="F664" s="2"/>
    </row>
    <row r="665" spans="1:6" x14ac:dyDescent="0.25">
      <c r="B665" t="s">
        <v>559</v>
      </c>
      <c r="F665" s="2"/>
    </row>
    <row r="666" spans="1:6" x14ac:dyDescent="0.25">
      <c r="B666" t="s">
        <v>87</v>
      </c>
      <c r="C666" t="s">
        <v>86</v>
      </c>
      <c r="D666" t="s">
        <v>433</v>
      </c>
      <c r="E666" t="s">
        <v>250</v>
      </c>
      <c r="F666" s="2"/>
    </row>
    <row r="667" spans="1:6" x14ac:dyDescent="0.25">
      <c r="D667" t="s">
        <v>429</v>
      </c>
      <c r="E667" t="s">
        <v>250</v>
      </c>
      <c r="F667" s="2"/>
    </row>
    <row r="668" spans="1:6" x14ac:dyDescent="0.25">
      <c r="D668" t="s">
        <v>428</v>
      </c>
      <c r="E668" t="s">
        <v>250</v>
      </c>
      <c r="F668" s="2"/>
    </row>
    <row r="669" spans="1:6" x14ac:dyDescent="0.25">
      <c r="B669" t="s">
        <v>593</v>
      </c>
      <c r="F669" s="2"/>
    </row>
    <row r="670" spans="1:6" x14ac:dyDescent="0.25">
      <c r="B670" t="s">
        <v>69</v>
      </c>
      <c r="C670" t="s">
        <v>68</v>
      </c>
      <c r="D670" t="s">
        <v>437</v>
      </c>
      <c r="E670" t="s">
        <v>439</v>
      </c>
      <c r="F670" s="2"/>
    </row>
    <row r="671" spans="1:6" x14ac:dyDescent="0.25">
      <c r="B671" t="s">
        <v>584</v>
      </c>
      <c r="F671" s="2"/>
    </row>
    <row r="672" spans="1:6" x14ac:dyDescent="0.25">
      <c r="B672" t="s">
        <v>500</v>
      </c>
      <c r="C672" t="s">
        <v>23</v>
      </c>
      <c r="D672" t="s">
        <v>430</v>
      </c>
      <c r="E672" t="s">
        <v>251</v>
      </c>
      <c r="F672" s="2"/>
    </row>
    <row r="673" spans="1:6" x14ac:dyDescent="0.25">
      <c r="B673" t="s">
        <v>551</v>
      </c>
      <c r="F673" s="2"/>
    </row>
    <row r="674" spans="1:6" x14ac:dyDescent="0.25">
      <c r="A674" t="s">
        <v>477</v>
      </c>
      <c r="F674" s="2"/>
    </row>
    <row r="675" spans="1:6" x14ac:dyDescent="0.25">
      <c r="A675" s="3">
        <v>43618</v>
      </c>
      <c r="B675" t="s">
        <v>21</v>
      </c>
      <c r="C675" t="s">
        <v>20</v>
      </c>
      <c r="D675" t="s">
        <v>428</v>
      </c>
      <c r="E675" t="s">
        <v>22</v>
      </c>
      <c r="F675" s="2"/>
    </row>
    <row r="676" spans="1:6" x14ac:dyDescent="0.25">
      <c r="B676" t="s">
        <v>563</v>
      </c>
      <c r="F676" s="2"/>
    </row>
    <row r="677" spans="1:6" x14ac:dyDescent="0.25">
      <c r="B677" t="s">
        <v>87</v>
      </c>
      <c r="C677" t="s">
        <v>86</v>
      </c>
      <c r="D677" t="s">
        <v>429</v>
      </c>
      <c r="E677" t="s">
        <v>145</v>
      </c>
      <c r="F677" s="2"/>
    </row>
    <row r="678" spans="1:6" x14ac:dyDescent="0.25">
      <c r="D678" t="s">
        <v>428</v>
      </c>
      <c r="E678" t="s">
        <v>250</v>
      </c>
      <c r="F678" s="2"/>
    </row>
    <row r="679" spans="1:6" x14ac:dyDescent="0.25">
      <c r="D679" t="s">
        <v>437</v>
      </c>
      <c r="E679" t="s">
        <v>253</v>
      </c>
      <c r="F679" s="2"/>
    </row>
    <row r="680" spans="1:6" x14ac:dyDescent="0.25">
      <c r="B680" t="s">
        <v>593</v>
      </c>
      <c r="F680" s="2"/>
    </row>
    <row r="681" spans="1:6" x14ac:dyDescent="0.25">
      <c r="B681" t="s">
        <v>8</v>
      </c>
      <c r="C681" t="s">
        <v>7</v>
      </c>
      <c r="D681" t="s">
        <v>430</v>
      </c>
      <c r="E681" t="s">
        <v>253</v>
      </c>
      <c r="F681" s="2"/>
    </row>
    <row r="682" spans="1:6" x14ac:dyDescent="0.25">
      <c r="B682" t="s">
        <v>548</v>
      </c>
      <c r="F682" s="2"/>
    </row>
    <row r="683" spans="1:6" x14ac:dyDescent="0.25">
      <c r="B683" t="s">
        <v>13</v>
      </c>
      <c r="C683" t="s">
        <v>12</v>
      </c>
      <c r="D683" t="s">
        <v>433</v>
      </c>
      <c r="E683" t="s">
        <v>439</v>
      </c>
      <c r="F683" s="2"/>
    </row>
    <row r="684" spans="1:6" x14ac:dyDescent="0.25">
      <c r="B684" t="s">
        <v>556</v>
      </c>
      <c r="F684" s="2"/>
    </row>
    <row r="685" spans="1:6" x14ac:dyDescent="0.25">
      <c r="A685" t="s">
        <v>480</v>
      </c>
      <c r="F685" s="2"/>
    </row>
    <row r="686" spans="1:6" x14ac:dyDescent="0.25">
      <c r="A686" s="3">
        <v>43611</v>
      </c>
      <c r="B686" t="s">
        <v>85</v>
      </c>
      <c r="C686" t="s">
        <v>84</v>
      </c>
      <c r="D686" t="s">
        <v>429</v>
      </c>
      <c r="E686" t="s">
        <v>255</v>
      </c>
      <c r="F686" s="2"/>
    </row>
    <row r="687" spans="1:6" x14ac:dyDescent="0.25">
      <c r="D687" t="s">
        <v>428</v>
      </c>
      <c r="E687" t="s">
        <v>255</v>
      </c>
      <c r="F687" s="2"/>
    </row>
    <row r="688" spans="1:6" x14ac:dyDescent="0.25">
      <c r="D688" t="s">
        <v>430</v>
      </c>
      <c r="E688" t="s">
        <v>255</v>
      </c>
      <c r="F688" s="2"/>
    </row>
    <row r="689" spans="1:6" x14ac:dyDescent="0.25">
      <c r="D689" t="s">
        <v>437</v>
      </c>
      <c r="E689" t="s">
        <v>255</v>
      </c>
      <c r="F689" s="2"/>
    </row>
    <row r="690" spans="1:6" x14ac:dyDescent="0.25">
      <c r="B690" t="s">
        <v>592</v>
      </c>
      <c r="F690" s="2"/>
    </row>
    <row r="691" spans="1:6" x14ac:dyDescent="0.25">
      <c r="B691" t="s">
        <v>19</v>
      </c>
      <c r="C691" t="s">
        <v>18</v>
      </c>
      <c r="D691" t="s">
        <v>433</v>
      </c>
      <c r="E691" t="s">
        <v>254</v>
      </c>
      <c r="F691" s="2"/>
    </row>
    <row r="692" spans="1:6" x14ac:dyDescent="0.25">
      <c r="B692" t="s">
        <v>561</v>
      </c>
      <c r="F692" s="2"/>
    </row>
    <row r="693" spans="1:6" x14ac:dyDescent="0.25">
      <c r="B693" t="s">
        <v>69</v>
      </c>
      <c r="C693" t="s">
        <v>68</v>
      </c>
      <c r="D693" t="s">
        <v>437</v>
      </c>
      <c r="E693" t="s">
        <v>439</v>
      </c>
      <c r="F693" s="2"/>
    </row>
    <row r="694" spans="1:6" x14ac:dyDescent="0.25">
      <c r="B694" t="s">
        <v>584</v>
      </c>
      <c r="F694" s="2"/>
    </row>
    <row r="695" spans="1:6" x14ac:dyDescent="0.25">
      <c r="A695" t="s">
        <v>481</v>
      </c>
      <c r="F695" s="2"/>
    </row>
    <row r="696" spans="1:6" x14ac:dyDescent="0.25">
      <c r="A696" s="3">
        <v>43604</v>
      </c>
      <c r="B696" t="s">
        <v>83</v>
      </c>
      <c r="C696" t="s">
        <v>82</v>
      </c>
      <c r="D696" t="s">
        <v>437</v>
      </c>
      <c r="E696" t="s">
        <v>259</v>
      </c>
      <c r="F696" s="2"/>
    </row>
    <row r="697" spans="1:6" x14ac:dyDescent="0.25">
      <c r="B697" t="s">
        <v>591</v>
      </c>
      <c r="F697" s="2"/>
    </row>
    <row r="698" spans="1:6" x14ac:dyDescent="0.25">
      <c r="B698" t="s">
        <v>85</v>
      </c>
      <c r="C698" t="s">
        <v>84</v>
      </c>
      <c r="D698" t="s">
        <v>429</v>
      </c>
      <c r="E698" t="s">
        <v>257</v>
      </c>
      <c r="F698" s="2"/>
    </row>
    <row r="699" spans="1:6" x14ac:dyDescent="0.25">
      <c r="D699" t="s">
        <v>428</v>
      </c>
      <c r="E699" t="s">
        <v>257</v>
      </c>
      <c r="F699" s="2"/>
    </row>
    <row r="700" spans="1:6" x14ac:dyDescent="0.25">
      <c r="D700" t="s">
        <v>430</v>
      </c>
      <c r="E700" t="s">
        <v>258</v>
      </c>
      <c r="F700" s="2"/>
    </row>
    <row r="701" spans="1:6" x14ac:dyDescent="0.25">
      <c r="D701" t="s">
        <v>437</v>
      </c>
      <c r="E701" t="s">
        <v>260</v>
      </c>
      <c r="F701" s="2"/>
    </row>
    <row r="702" spans="1:6" x14ac:dyDescent="0.25">
      <c r="B702" t="s">
        <v>592</v>
      </c>
      <c r="F702" s="2"/>
    </row>
    <row r="703" spans="1:6" x14ac:dyDescent="0.25">
      <c r="B703" t="s">
        <v>98</v>
      </c>
      <c r="C703" t="s">
        <v>97</v>
      </c>
      <c r="D703" t="s">
        <v>433</v>
      </c>
      <c r="E703" t="s">
        <v>256</v>
      </c>
      <c r="F703" s="2"/>
    </row>
    <row r="704" spans="1:6" x14ac:dyDescent="0.25">
      <c r="D704" t="s">
        <v>429</v>
      </c>
      <c r="E704" t="s">
        <v>256</v>
      </c>
      <c r="F704" s="2"/>
    </row>
    <row r="705" spans="1:6" x14ac:dyDescent="0.25">
      <c r="B705" t="s">
        <v>598</v>
      </c>
      <c r="F705" s="2"/>
    </row>
    <row r="706" spans="1:6" x14ac:dyDescent="0.25">
      <c r="B706" t="s">
        <v>81</v>
      </c>
      <c r="C706" t="s">
        <v>80</v>
      </c>
      <c r="D706" t="s">
        <v>437</v>
      </c>
      <c r="E706" t="s">
        <v>261</v>
      </c>
      <c r="F706" s="2"/>
    </row>
    <row r="707" spans="1:6" x14ac:dyDescent="0.25">
      <c r="B707" t="s">
        <v>590</v>
      </c>
      <c r="F707" s="2"/>
    </row>
    <row r="708" spans="1:6" x14ac:dyDescent="0.25">
      <c r="A708" t="s">
        <v>484</v>
      </c>
      <c r="F708" s="2"/>
    </row>
    <row r="709" spans="1:6" x14ac:dyDescent="0.25">
      <c r="A709" s="3">
        <v>43597</v>
      </c>
      <c r="B709" t="s">
        <v>71</v>
      </c>
      <c r="C709" t="s">
        <v>70</v>
      </c>
      <c r="D709" t="s">
        <v>437</v>
      </c>
      <c r="E709" t="s">
        <v>263</v>
      </c>
      <c r="F709" s="2"/>
    </row>
    <row r="710" spans="1:6" x14ac:dyDescent="0.25">
      <c r="B710" t="s">
        <v>585</v>
      </c>
      <c r="F710" s="2"/>
    </row>
    <row r="711" spans="1:6" x14ac:dyDescent="0.25">
      <c r="B711" t="s">
        <v>85</v>
      </c>
      <c r="C711" t="s">
        <v>84</v>
      </c>
      <c r="D711" t="s">
        <v>429</v>
      </c>
      <c r="E711" t="s">
        <v>169</v>
      </c>
      <c r="F711" s="2"/>
    </row>
    <row r="712" spans="1:6" x14ac:dyDescent="0.25">
      <c r="D712" t="s">
        <v>428</v>
      </c>
      <c r="E712" t="s">
        <v>262</v>
      </c>
      <c r="F712" s="2"/>
    </row>
    <row r="713" spans="1:6" x14ac:dyDescent="0.25">
      <c r="D713" t="s">
        <v>430</v>
      </c>
      <c r="E713" t="s">
        <v>262</v>
      </c>
      <c r="F713" s="2"/>
    </row>
    <row r="714" spans="1:6" x14ac:dyDescent="0.25">
      <c r="B714" t="s">
        <v>592</v>
      </c>
      <c r="F714" s="2"/>
    </row>
    <row r="715" spans="1:6" x14ac:dyDescent="0.25">
      <c r="B715" t="s">
        <v>13</v>
      </c>
      <c r="C715" t="s">
        <v>12</v>
      </c>
      <c r="D715" t="s">
        <v>433</v>
      </c>
      <c r="E715" t="s">
        <v>439</v>
      </c>
      <c r="F715" s="2"/>
    </row>
    <row r="716" spans="1:6" x14ac:dyDescent="0.25">
      <c r="B716" t="s">
        <v>556</v>
      </c>
      <c r="F716" s="2"/>
    </row>
    <row r="717" spans="1:6" x14ac:dyDescent="0.25">
      <c r="A717" t="s">
        <v>486</v>
      </c>
      <c r="F717" s="2"/>
    </row>
    <row r="718" spans="1:6" x14ac:dyDescent="0.25">
      <c r="A718" s="3">
        <v>43590</v>
      </c>
      <c r="B718" t="s">
        <v>87</v>
      </c>
      <c r="C718" t="s">
        <v>86</v>
      </c>
      <c r="D718" t="s">
        <v>433</v>
      </c>
      <c r="E718" t="s">
        <v>264</v>
      </c>
      <c r="F718" s="2"/>
    </row>
    <row r="719" spans="1:6" x14ac:dyDescent="0.25">
      <c r="D719" t="s">
        <v>429</v>
      </c>
      <c r="E719" t="s">
        <v>264</v>
      </c>
      <c r="F719" s="2"/>
    </row>
    <row r="720" spans="1:6" x14ac:dyDescent="0.25">
      <c r="D720" t="s">
        <v>428</v>
      </c>
      <c r="E720" t="s">
        <v>265</v>
      </c>
      <c r="F720" s="2"/>
    </row>
    <row r="721" spans="1:6" x14ac:dyDescent="0.25">
      <c r="D721" t="s">
        <v>430</v>
      </c>
      <c r="E721" t="s">
        <v>266</v>
      </c>
      <c r="F721" s="2"/>
    </row>
    <row r="722" spans="1:6" x14ac:dyDescent="0.25">
      <c r="D722" t="s">
        <v>437</v>
      </c>
      <c r="E722" t="s">
        <v>266</v>
      </c>
      <c r="F722" s="2"/>
    </row>
    <row r="723" spans="1:6" x14ac:dyDescent="0.25">
      <c r="B723" t="s">
        <v>593</v>
      </c>
      <c r="F723" s="2"/>
    </row>
    <row r="724" spans="1:6" x14ac:dyDescent="0.25">
      <c r="B724" t="s">
        <v>85</v>
      </c>
      <c r="C724" t="s">
        <v>84</v>
      </c>
      <c r="D724" t="s">
        <v>430</v>
      </c>
      <c r="E724" t="s">
        <v>169</v>
      </c>
      <c r="F724" s="2"/>
    </row>
    <row r="725" spans="1:6" x14ac:dyDescent="0.25">
      <c r="B725" t="s">
        <v>592</v>
      </c>
      <c r="F725" s="2"/>
    </row>
    <row r="726" spans="1:6" x14ac:dyDescent="0.25">
      <c r="B726" t="s">
        <v>69</v>
      </c>
      <c r="C726" t="s">
        <v>68</v>
      </c>
      <c r="D726" t="s">
        <v>437</v>
      </c>
      <c r="E726" t="s">
        <v>439</v>
      </c>
      <c r="F726" s="2"/>
    </row>
    <row r="727" spans="1:6" x14ac:dyDescent="0.25">
      <c r="B727" t="s">
        <v>584</v>
      </c>
      <c r="F727" s="2"/>
    </row>
    <row r="728" spans="1:6" x14ac:dyDescent="0.25">
      <c r="A728" t="s">
        <v>487</v>
      </c>
      <c r="F728" s="2"/>
    </row>
    <row r="729" spans="1:6" x14ac:dyDescent="0.25">
      <c r="A729" s="3">
        <v>43583</v>
      </c>
      <c r="B729" t="s">
        <v>679</v>
      </c>
      <c r="C729" t="s">
        <v>439</v>
      </c>
      <c r="D729" t="s">
        <v>679</v>
      </c>
      <c r="E729" t="s">
        <v>439</v>
      </c>
      <c r="F729" s="2"/>
    </row>
    <row r="730" spans="1:6" x14ac:dyDescent="0.25">
      <c r="B730" t="s">
        <v>681</v>
      </c>
      <c r="F730" s="2"/>
    </row>
    <row r="731" spans="1:6" x14ac:dyDescent="0.25">
      <c r="B731" t="s">
        <v>87</v>
      </c>
      <c r="C731" t="s">
        <v>86</v>
      </c>
      <c r="D731" t="s">
        <v>429</v>
      </c>
      <c r="E731" t="s">
        <v>267</v>
      </c>
      <c r="F731" s="2"/>
    </row>
    <row r="732" spans="1:6" x14ac:dyDescent="0.25">
      <c r="D732" t="s">
        <v>428</v>
      </c>
      <c r="E732" t="s">
        <v>236</v>
      </c>
      <c r="F732" s="2"/>
    </row>
    <row r="733" spans="1:6" x14ac:dyDescent="0.25">
      <c r="D733" t="s">
        <v>430</v>
      </c>
      <c r="E733" t="s">
        <v>267</v>
      </c>
      <c r="F733" s="2"/>
    </row>
    <row r="734" spans="1:6" x14ac:dyDescent="0.25">
      <c r="B734" t="s">
        <v>593</v>
      </c>
      <c r="F734" s="2"/>
    </row>
    <row r="735" spans="1:6" x14ac:dyDescent="0.25">
      <c r="B735" t="s">
        <v>85</v>
      </c>
      <c r="C735" t="s">
        <v>84</v>
      </c>
      <c r="D735" t="s">
        <v>430</v>
      </c>
      <c r="E735" t="s">
        <v>268</v>
      </c>
      <c r="F735" s="2"/>
    </row>
    <row r="736" spans="1:6" x14ac:dyDescent="0.25">
      <c r="D736" t="s">
        <v>437</v>
      </c>
      <c r="E736" t="s">
        <v>268</v>
      </c>
      <c r="F736" s="2"/>
    </row>
    <row r="737" spans="1:6" x14ac:dyDescent="0.25">
      <c r="E737" t="s">
        <v>269</v>
      </c>
      <c r="F737" s="2"/>
    </row>
    <row r="738" spans="1:6" x14ac:dyDescent="0.25">
      <c r="B738" t="s">
        <v>592</v>
      </c>
      <c r="F738" s="2"/>
    </row>
    <row r="739" spans="1:6" x14ac:dyDescent="0.25">
      <c r="B739" t="s">
        <v>13</v>
      </c>
      <c r="C739" t="s">
        <v>12</v>
      </c>
      <c r="D739" t="s">
        <v>433</v>
      </c>
      <c r="E739" t="s">
        <v>439</v>
      </c>
      <c r="F739" s="2"/>
    </row>
    <row r="740" spans="1:6" x14ac:dyDescent="0.25">
      <c r="B740" t="s">
        <v>556</v>
      </c>
      <c r="F740" s="2"/>
    </row>
    <row r="741" spans="1:6" x14ac:dyDescent="0.25">
      <c r="A741" t="s">
        <v>488</v>
      </c>
      <c r="F741" s="2"/>
    </row>
    <row r="742" spans="1:6" x14ac:dyDescent="0.25">
      <c r="A742" s="3">
        <v>43576</v>
      </c>
      <c r="B742" t="s">
        <v>87</v>
      </c>
      <c r="C742" t="s">
        <v>86</v>
      </c>
      <c r="D742" t="s">
        <v>433</v>
      </c>
      <c r="E742" t="s">
        <v>271</v>
      </c>
      <c r="F742" s="2"/>
    </row>
    <row r="743" spans="1:6" x14ac:dyDescent="0.25">
      <c r="E743" t="s">
        <v>270</v>
      </c>
      <c r="F743" s="2"/>
    </row>
    <row r="744" spans="1:6" x14ac:dyDescent="0.25">
      <c r="D744" t="s">
        <v>429</v>
      </c>
      <c r="E744" t="s">
        <v>272</v>
      </c>
      <c r="F744" s="2"/>
    </row>
    <row r="745" spans="1:6" x14ac:dyDescent="0.25">
      <c r="E745" t="s">
        <v>273</v>
      </c>
      <c r="F745" s="2"/>
    </row>
    <row r="746" spans="1:6" x14ac:dyDescent="0.25">
      <c r="D746" t="s">
        <v>428</v>
      </c>
      <c r="E746" t="s">
        <v>274</v>
      </c>
      <c r="F746" s="2"/>
    </row>
    <row r="747" spans="1:6" x14ac:dyDescent="0.25">
      <c r="D747" t="s">
        <v>430</v>
      </c>
      <c r="E747" t="s">
        <v>275</v>
      </c>
      <c r="F747" s="2"/>
    </row>
    <row r="748" spans="1:6" x14ac:dyDescent="0.25">
      <c r="E748" t="s">
        <v>276</v>
      </c>
      <c r="F748" s="2"/>
    </row>
    <row r="749" spans="1:6" x14ac:dyDescent="0.25">
      <c r="B749" t="s">
        <v>593</v>
      </c>
      <c r="F749" s="2"/>
    </row>
    <row r="750" spans="1:6" x14ac:dyDescent="0.25">
      <c r="B750" t="s">
        <v>69</v>
      </c>
      <c r="C750" t="s">
        <v>68</v>
      </c>
      <c r="D750" t="s">
        <v>437</v>
      </c>
      <c r="E750" t="s">
        <v>439</v>
      </c>
      <c r="F750" s="2"/>
    </row>
    <row r="751" spans="1:6" x14ac:dyDescent="0.25">
      <c r="B751" t="s">
        <v>584</v>
      </c>
      <c r="F751" s="2"/>
    </row>
    <row r="752" spans="1:6" x14ac:dyDescent="0.25">
      <c r="A752" t="s">
        <v>489</v>
      </c>
      <c r="F752" s="2"/>
    </row>
    <row r="753" spans="1:6" x14ac:dyDescent="0.25">
      <c r="A753" s="3">
        <v>43569</v>
      </c>
      <c r="B753" t="s">
        <v>75</v>
      </c>
      <c r="C753" t="s">
        <v>74</v>
      </c>
      <c r="D753" t="s">
        <v>430</v>
      </c>
      <c r="E753" t="s">
        <v>280</v>
      </c>
      <c r="F753" s="2"/>
    </row>
    <row r="754" spans="1:6" x14ac:dyDescent="0.25">
      <c r="D754" t="s">
        <v>437</v>
      </c>
      <c r="E754" t="s">
        <v>281</v>
      </c>
      <c r="F754" s="2"/>
    </row>
    <row r="755" spans="1:6" x14ac:dyDescent="0.25">
      <c r="B755" t="s">
        <v>587</v>
      </c>
      <c r="F755" s="2"/>
    </row>
    <row r="756" spans="1:6" x14ac:dyDescent="0.25">
      <c r="B756" t="s">
        <v>87</v>
      </c>
      <c r="C756" t="s">
        <v>86</v>
      </c>
      <c r="D756" t="s">
        <v>433</v>
      </c>
      <c r="E756" t="s">
        <v>277</v>
      </c>
      <c r="F756" s="2"/>
    </row>
    <row r="757" spans="1:6" x14ac:dyDescent="0.25">
      <c r="D757" t="s">
        <v>429</v>
      </c>
      <c r="E757" t="s">
        <v>278</v>
      </c>
      <c r="F757" s="2"/>
    </row>
    <row r="758" spans="1:6" x14ac:dyDescent="0.25">
      <c r="D758" t="s">
        <v>428</v>
      </c>
      <c r="E758" t="s">
        <v>279</v>
      </c>
      <c r="F758" s="2"/>
    </row>
    <row r="759" spans="1:6" x14ac:dyDescent="0.25">
      <c r="E759" t="s">
        <v>278</v>
      </c>
      <c r="F759" s="2"/>
    </row>
    <row r="760" spans="1:6" x14ac:dyDescent="0.25">
      <c r="D760" t="s">
        <v>430</v>
      </c>
      <c r="E760" t="s">
        <v>279</v>
      </c>
      <c r="F760" s="2"/>
    </row>
    <row r="761" spans="1:6" x14ac:dyDescent="0.25">
      <c r="D761" t="s">
        <v>437</v>
      </c>
      <c r="E761" t="s">
        <v>282</v>
      </c>
      <c r="F761" s="2"/>
    </row>
    <row r="762" spans="1:6" x14ac:dyDescent="0.25">
      <c r="B762" t="s">
        <v>593</v>
      </c>
      <c r="F762" s="2"/>
    </row>
    <row r="763" spans="1:6" x14ac:dyDescent="0.25">
      <c r="A763" t="s">
        <v>491</v>
      </c>
      <c r="F763" s="2"/>
    </row>
    <row r="764" spans="1:6" x14ac:dyDescent="0.25">
      <c r="A764" s="3">
        <v>43562</v>
      </c>
      <c r="B764" t="s">
        <v>87</v>
      </c>
      <c r="C764" t="s">
        <v>86</v>
      </c>
      <c r="D764" t="s">
        <v>433</v>
      </c>
      <c r="E764" t="s">
        <v>283</v>
      </c>
      <c r="F764" s="2"/>
    </row>
    <row r="765" spans="1:6" x14ac:dyDescent="0.25">
      <c r="E765" t="s">
        <v>284</v>
      </c>
      <c r="F765" s="2"/>
    </row>
    <row r="766" spans="1:6" x14ac:dyDescent="0.25">
      <c r="E766" t="s">
        <v>285</v>
      </c>
      <c r="F766" s="2"/>
    </row>
    <row r="767" spans="1:6" x14ac:dyDescent="0.25">
      <c r="D767" t="s">
        <v>429</v>
      </c>
      <c r="E767" t="s">
        <v>286</v>
      </c>
      <c r="F767" s="2"/>
    </row>
    <row r="768" spans="1:6" x14ac:dyDescent="0.25">
      <c r="D768" t="s">
        <v>428</v>
      </c>
      <c r="E768" t="s">
        <v>277</v>
      </c>
      <c r="F768" s="2"/>
    </row>
    <row r="769" spans="1:6" x14ac:dyDescent="0.25">
      <c r="D769" t="s">
        <v>430</v>
      </c>
      <c r="E769" t="s">
        <v>287</v>
      </c>
      <c r="F769" s="2"/>
    </row>
    <row r="770" spans="1:6" x14ac:dyDescent="0.25">
      <c r="D770" t="s">
        <v>437</v>
      </c>
      <c r="E770" t="s">
        <v>142</v>
      </c>
      <c r="F770" s="2"/>
    </row>
    <row r="771" spans="1:6" x14ac:dyDescent="0.25">
      <c r="B771" t="s">
        <v>593</v>
      </c>
      <c r="F771" s="2"/>
    </row>
    <row r="772" spans="1:6" x14ac:dyDescent="0.25">
      <c r="A772" t="s">
        <v>492</v>
      </c>
      <c r="F772" s="2"/>
    </row>
    <row r="773" spans="1:6" x14ac:dyDescent="0.25">
      <c r="A773" s="3">
        <v>43555</v>
      </c>
      <c r="B773" t="s">
        <v>75</v>
      </c>
      <c r="C773" t="s">
        <v>74</v>
      </c>
      <c r="D773" t="s">
        <v>429</v>
      </c>
      <c r="E773" t="s">
        <v>289</v>
      </c>
      <c r="F773" s="2"/>
    </row>
    <row r="774" spans="1:6" x14ac:dyDescent="0.25">
      <c r="D774" t="s">
        <v>428</v>
      </c>
      <c r="E774" t="s">
        <v>289</v>
      </c>
      <c r="F774" s="2"/>
    </row>
    <row r="775" spans="1:6" x14ac:dyDescent="0.25">
      <c r="D775" t="s">
        <v>430</v>
      </c>
      <c r="E775" t="s">
        <v>289</v>
      </c>
      <c r="F775" s="2"/>
    </row>
    <row r="776" spans="1:6" x14ac:dyDescent="0.25">
      <c r="B776" t="s">
        <v>587</v>
      </c>
      <c r="F776" s="2"/>
    </row>
    <row r="777" spans="1:6" x14ac:dyDescent="0.25">
      <c r="B777" t="s">
        <v>87</v>
      </c>
      <c r="C777" t="s">
        <v>86</v>
      </c>
      <c r="D777" t="s">
        <v>433</v>
      </c>
      <c r="E777" t="s">
        <v>142</v>
      </c>
      <c r="F777" s="2"/>
    </row>
    <row r="778" spans="1:6" x14ac:dyDescent="0.25">
      <c r="D778" t="s">
        <v>429</v>
      </c>
      <c r="E778" t="s">
        <v>236</v>
      </c>
      <c r="F778" s="2"/>
    </row>
    <row r="779" spans="1:6" x14ac:dyDescent="0.25">
      <c r="E779" t="s">
        <v>288</v>
      </c>
      <c r="F779" s="2"/>
    </row>
    <row r="780" spans="1:6" x14ac:dyDescent="0.25">
      <c r="D780" t="s">
        <v>428</v>
      </c>
      <c r="E780" t="s">
        <v>278</v>
      </c>
      <c r="F780" s="2"/>
    </row>
    <row r="781" spans="1:6" x14ac:dyDescent="0.25">
      <c r="D781" t="s">
        <v>430</v>
      </c>
      <c r="E781" t="s">
        <v>290</v>
      </c>
      <c r="F781" s="2"/>
    </row>
    <row r="782" spans="1:6" x14ac:dyDescent="0.25">
      <c r="D782" t="s">
        <v>437</v>
      </c>
      <c r="E782" t="s">
        <v>291</v>
      </c>
      <c r="F782" s="2"/>
    </row>
    <row r="783" spans="1:6" x14ac:dyDescent="0.25">
      <c r="B783" t="s">
        <v>593</v>
      </c>
      <c r="F783" s="2"/>
    </row>
    <row r="784" spans="1:6" x14ac:dyDescent="0.25">
      <c r="A784" t="s">
        <v>493</v>
      </c>
      <c r="F784" s="2"/>
    </row>
    <row r="785" spans="1:6" x14ac:dyDescent="0.25">
      <c r="A785" s="3">
        <v>43548</v>
      </c>
      <c r="B785" t="s">
        <v>87</v>
      </c>
      <c r="C785" t="s">
        <v>86</v>
      </c>
      <c r="D785" t="s">
        <v>429</v>
      </c>
      <c r="E785" t="s">
        <v>293</v>
      </c>
      <c r="F785" s="2"/>
    </row>
    <row r="786" spans="1:6" x14ac:dyDescent="0.25">
      <c r="D786" t="s">
        <v>428</v>
      </c>
      <c r="E786" t="s">
        <v>294</v>
      </c>
      <c r="F786" s="2"/>
    </row>
    <row r="787" spans="1:6" x14ac:dyDescent="0.25">
      <c r="D787" t="s">
        <v>430</v>
      </c>
      <c r="E787" t="s">
        <v>295</v>
      </c>
      <c r="F787" s="2"/>
    </row>
    <row r="788" spans="1:6" x14ac:dyDescent="0.25">
      <c r="B788" t="s">
        <v>593</v>
      </c>
      <c r="F788" s="2"/>
    </row>
    <row r="789" spans="1:6" x14ac:dyDescent="0.25">
      <c r="B789" t="s">
        <v>5</v>
      </c>
      <c r="C789" t="s">
        <v>4</v>
      </c>
      <c r="D789" t="s">
        <v>433</v>
      </c>
      <c r="E789" t="s">
        <v>292</v>
      </c>
      <c r="F789" s="2"/>
    </row>
    <row r="790" spans="1:6" x14ac:dyDescent="0.25">
      <c r="D790" t="s">
        <v>437</v>
      </c>
      <c r="E790" t="s">
        <v>292</v>
      </c>
      <c r="F790" s="2"/>
    </row>
    <row r="791" spans="1:6" x14ac:dyDescent="0.25">
      <c r="B791" t="s">
        <v>546</v>
      </c>
      <c r="F791" s="2"/>
    </row>
    <row r="792" spans="1:6" x14ac:dyDescent="0.25">
      <c r="A792" t="s">
        <v>495</v>
      </c>
      <c r="F792" s="2"/>
    </row>
    <row r="793" spans="1:6" x14ac:dyDescent="0.25">
      <c r="A793" s="3">
        <v>43541</v>
      </c>
      <c r="B793" t="s">
        <v>87</v>
      </c>
      <c r="C793" t="s">
        <v>86</v>
      </c>
      <c r="D793" t="s">
        <v>428</v>
      </c>
      <c r="E793" t="s">
        <v>299</v>
      </c>
      <c r="F793" s="2"/>
    </row>
    <row r="794" spans="1:6" x14ac:dyDescent="0.25">
      <c r="D794" t="s">
        <v>430</v>
      </c>
      <c r="E794" t="s">
        <v>300</v>
      </c>
      <c r="F794" s="2"/>
    </row>
    <row r="795" spans="1:6" x14ac:dyDescent="0.25">
      <c r="B795" t="s">
        <v>593</v>
      </c>
      <c r="F795" s="2"/>
    </row>
    <row r="796" spans="1:6" x14ac:dyDescent="0.25">
      <c r="B796" t="s">
        <v>5</v>
      </c>
      <c r="C796" t="s">
        <v>4</v>
      </c>
      <c r="D796" t="s">
        <v>433</v>
      </c>
      <c r="E796" t="s">
        <v>296</v>
      </c>
      <c r="F796" s="2"/>
    </row>
    <row r="797" spans="1:6" x14ac:dyDescent="0.25">
      <c r="E797" t="s">
        <v>297</v>
      </c>
      <c r="F797" s="2"/>
    </row>
    <row r="798" spans="1:6" x14ac:dyDescent="0.25">
      <c r="D798" t="s">
        <v>429</v>
      </c>
      <c r="E798" t="s">
        <v>298</v>
      </c>
      <c r="F798" s="2"/>
    </row>
    <row r="799" spans="1:6" x14ac:dyDescent="0.25">
      <c r="D799" t="s">
        <v>437</v>
      </c>
      <c r="E799" t="s">
        <v>301</v>
      </c>
      <c r="F799" s="2"/>
    </row>
    <row r="800" spans="1:6" x14ac:dyDescent="0.25">
      <c r="B800" t="s">
        <v>546</v>
      </c>
      <c r="F800" s="2"/>
    </row>
    <row r="801" spans="1:6" x14ac:dyDescent="0.25">
      <c r="A801" t="s">
        <v>496</v>
      </c>
      <c r="F801" s="2"/>
    </row>
    <row r="802" spans="1:6" x14ac:dyDescent="0.25">
      <c r="A802" s="3">
        <v>43534</v>
      </c>
      <c r="B802" t="s">
        <v>73</v>
      </c>
      <c r="C802" t="s">
        <v>72</v>
      </c>
      <c r="D802" t="s">
        <v>428</v>
      </c>
      <c r="E802" t="s">
        <v>306</v>
      </c>
      <c r="F802" s="2"/>
    </row>
    <row r="803" spans="1:6" x14ac:dyDescent="0.25">
      <c r="B803" t="s">
        <v>586</v>
      </c>
      <c r="F803" s="2"/>
    </row>
    <row r="804" spans="1:6" x14ac:dyDescent="0.25">
      <c r="B804" t="s">
        <v>35</v>
      </c>
      <c r="C804" t="s">
        <v>34</v>
      </c>
      <c r="D804" t="s">
        <v>429</v>
      </c>
      <c r="E804" t="s">
        <v>305</v>
      </c>
      <c r="F804" s="2"/>
    </row>
    <row r="805" spans="1:6" x14ac:dyDescent="0.25">
      <c r="B805" t="s">
        <v>569</v>
      </c>
      <c r="F805" s="2"/>
    </row>
    <row r="806" spans="1:6" x14ac:dyDescent="0.25">
      <c r="B806" t="s">
        <v>87</v>
      </c>
      <c r="C806" t="s">
        <v>86</v>
      </c>
      <c r="D806" t="s">
        <v>430</v>
      </c>
      <c r="E806" t="s">
        <v>307</v>
      </c>
      <c r="F806" s="2"/>
    </row>
    <row r="807" spans="1:6" x14ac:dyDescent="0.25">
      <c r="B807" t="s">
        <v>593</v>
      </c>
      <c r="F807" s="2"/>
    </row>
    <row r="808" spans="1:6" x14ac:dyDescent="0.25">
      <c r="B808" t="s">
        <v>5</v>
      </c>
      <c r="C808" t="s">
        <v>4</v>
      </c>
      <c r="D808" t="s">
        <v>433</v>
      </c>
      <c r="E808" t="s">
        <v>302</v>
      </c>
      <c r="F808" s="2"/>
    </row>
    <row r="809" spans="1:6" x14ac:dyDescent="0.25">
      <c r="E809" t="s">
        <v>303</v>
      </c>
      <c r="F809" s="2"/>
    </row>
    <row r="810" spans="1:6" x14ac:dyDescent="0.25">
      <c r="D810" t="s">
        <v>429</v>
      </c>
      <c r="E810" t="s">
        <v>304</v>
      </c>
      <c r="F810" s="2"/>
    </row>
    <row r="811" spans="1:6" x14ac:dyDescent="0.25">
      <c r="D811" t="s">
        <v>437</v>
      </c>
      <c r="E811" t="s">
        <v>296</v>
      </c>
      <c r="F811" s="2"/>
    </row>
    <row r="812" spans="1:6" x14ac:dyDescent="0.25">
      <c r="E812" t="s">
        <v>308</v>
      </c>
      <c r="F812" s="2"/>
    </row>
    <row r="813" spans="1:6" x14ac:dyDescent="0.25">
      <c r="B813" t="s">
        <v>546</v>
      </c>
      <c r="F813" s="2"/>
    </row>
    <row r="814" spans="1:6" x14ac:dyDescent="0.25">
      <c r="A814" t="s">
        <v>499</v>
      </c>
      <c r="F814" s="2"/>
    </row>
    <row r="815" spans="1:6" x14ac:dyDescent="0.25">
      <c r="A815" s="3">
        <v>43527</v>
      </c>
      <c r="B815" t="s">
        <v>73</v>
      </c>
      <c r="C815" t="s">
        <v>72</v>
      </c>
      <c r="D815" t="s">
        <v>433</v>
      </c>
      <c r="E815" t="s">
        <v>312</v>
      </c>
      <c r="F815" s="2"/>
    </row>
    <row r="816" spans="1:6" x14ac:dyDescent="0.25">
      <c r="D816" t="s">
        <v>429</v>
      </c>
      <c r="E816" t="s">
        <v>312</v>
      </c>
      <c r="F816" s="2"/>
    </row>
    <row r="817" spans="2:6" x14ac:dyDescent="0.25">
      <c r="B817" t="s">
        <v>586</v>
      </c>
      <c r="F817" s="2"/>
    </row>
    <row r="818" spans="2:6" x14ac:dyDescent="0.25">
      <c r="B818" t="s">
        <v>49</v>
      </c>
      <c r="C818" t="s">
        <v>48</v>
      </c>
      <c r="D818" t="s">
        <v>430</v>
      </c>
      <c r="E818" t="s">
        <v>318</v>
      </c>
      <c r="F818" s="2"/>
    </row>
    <row r="819" spans="2:6" x14ac:dyDescent="0.25">
      <c r="E819" t="s">
        <v>263</v>
      </c>
      <c r="F819" s="2"/>
    </row>
    <row r="820" spans="2:6" x14ac:dyDescent="0.25">
      <c r="B820" t="s">
        <v>575</v>
      </c>
      <c r="F820" s="2"/>
    </row>
    <row r="821" spans="2:6" x14ac:dyDescent="0.25">
      <c r="B821" t="s">
        <v>93</v>
      </c>
      <c r="C821" t="s">
        <v>92</v>
      </c>
      <c r="D821" t="s">
        <v>429</v>
      </c>
      <c r="E821" t="s">
        <v>314</v>
      </c>
      <c r="F821" s="2"/>
    </row>
    <row r="822" spans="2:6" x14ac:dyDescent="0.25">
      <c r="B822" t="s">
        <v>596</v>
      </c>
      <c r="F822" s="2"/>
    </row>
    <row r="823" spans="2:6" x14ac:dyDescent="0.25">
      <c r="B823" t="s">
        <v>75</v>
      </c>
      <c r="C823" t="s">
        <v>74</v>
      </c>
      <c r="D823" t="s">
        <v>430</v>
      </c>
      <c r="E823" t="s">
        <v>317</v>
      </c>
      <c r="F823" s="2"/>
    </row>
    <row r="824" spans="2:6" x14ac:dyDescent="0.25">
      <c r="B824" t="s">
        <v>587</v>
      </c>
      <c r="F824" s="2"/>
    </row>
    <row r="825" spans="2:6" x14ac:dyDescent="0.25">
      <c r="B825" t="s">
        <v>96</v>
      </c>
      <c r="C825" t="s">
        <v>95</v>
      </c>
      <c r="D825" t="s">
        <v>433</v>
      </c>
      <c r="E825" t="s">
        <v>309</v>
      </c>
      <c r="F825" s="2"/>
    </row>
    <row r="826" spans="2:6" x14ac:dyDescent="0.25">
      <c r="B826" t="s">
        <v>597</v>
      </c>
      <c r="F826" s="2"/>
    </row>
    <row r="827" spans="2:6" x14ac:dyDescent="0.25">
      <c r="B827" t="s">
        <v>5</v>
      </c>
      <c r="C827" t="s">
        <v>4</v>
      </c>
      <c r="D827" t="s">
        <v>433</v>
      </c>
      <c r="E827" t="s">
        <v>313</v>
      </c>
      <c r="F827" s="2"/>
    </row>
    <row r="828" spans="2:6" x14ac:dyDescent="0.25">
      <c r="D828" t="s">
        <v>428</v>
      </c>
      <c r="E828" t="s">
        <v>316</v>
      </c>
      <c r="F828" s="2"/>
    </row>
    <row r="829" spans="2:6" x14ac:dyDescent="0.25">
      <c r="E829" t="s">
        <v>315</v>
      </c>
      <c r="F829" s="2"/>
    </row>
    <row r="830" spans="2:6" x14ac:dyDescent="0.25">
      <c r="D830" t="s">
        <v>437</v>
      </c>
      <c r="E830" t="s">
        <v>263</v>
      </c>
      <c r="F830" s="2"/>
    </row>
    <row r="831" spans="2:6" x14ac:dyDescent="0.25">
      <c r="B831" t="s">
        <v>546</v>
      </c>
      <c r="F831" s="2"/>
    </row>
    <row r="832" spans="2:6" x14ac:dyDescent="0.25">
      <c r="B832" t="s">
        <v>500</v>
      </c>
      <c r="C832" t="s">
        <v>310</v>
      </c>
      <c r="D832" t="s">
        <v>433</v>
      </c>
      <c r="E832" t="s">
        <v>59</v>
      </c>
      <c r="F832" s="2"/>
    </row>
    <row r="833" spans="1:6" x14ac:dyDescent="0.25">
      <c r="E833" t="s">
        <v>311</v>
      </c>
      <c r="F833" s="2"/>
    </row>
    <row r="834" spans="1:6" x14ac:dyDescent="0.25">
      <c r="B834" t="s">
        <v>551</v>
      </c>
      <c r="F834" s="2"/>
    </row>
    <row r="835" spans="1:6" x14ac:dyDescent="0.25">
      <c r="A835" t="s">
        <v>505</v>
      </c>
      <c r="F835" s="2"/>
    </row>
    <row r="836" spans="1:6" x14ac:dyDescent="0.25">
      <c r="A836" s="3">
        <v>43520</v>
      </c>
      <c r="B836">
        <v>0</v>
      </c>
      <c r="C836" t="s">
        <v>60</v>
      </c>
      <c r="D836" t="s">
        <v>430</v>
      </c>
      <c r="E836" t="s">
        <v>324</v>
      </c>
      <c r="F836" s="2"/>
    </row>
    <row r="837" spans="1:6" x14ac:dyDescent="0.25">
      <c r="B837" t="s">
        <v>579</v>
      </c>
      <c r="F837" s="2"/>
    </row>
    <row r="838" spans="1:6" x14ac:dyDescent="0.25">
      <c r="B838" t="s">
        <v>71</v>
      </c>
      <c r="C838" t="s">
        <v>70</v>
      </c>
      <c r="D838" t="s">
        <v>429</v>
      </c>
      <c r="E838" t="s">
        <v>320</v>
      </c>
      <c r="F838" s="2"/>
    </row>
    <row r="839" spans="1:6" x14ac:dyDescent="0.25">
      <c r="B839" t="s">
        <v>585</v>
      </c>
      <c r="F839" s="2"/>
    </row>
    <row r="840" spans="1:6" x14ac:dyDescent="0.25">
      <c r="B840" t="s">
        <v>41</v>
      </c>
      <c r="C840" t="s">
        <v>40</v>
      </c>
      <c r="D840" t="s">
        <v>429</v>
      </c>
      <c r="E840" t="s">
        <v>321</v>
      </c>
      <c r="F840" s="2"/>
    </row>
    <row r="841" spans="1:6" x14ac:dyDescent="0.25">
      <c r="B841" t="s">
        <v>572</v>
      </c>
      <c r="F841" s="2"/>
    </row>
    <row r="842" spans="1:6" x14ac:dyDescent="0.25">
      <c r="B842" t="s">
        <v>75</v>
      </c>
      <c r="C842" t="s">
        <v>74</v>
      </c>
      <c r="D842" t="s">
        <v>428</v>
      </c>
      <c r="E842" t="s">
        <v>323</v>
      </c>
      <c r="F842" s="2"/>
    </row>
    <row r="843" spans="1:6" x14ac:dyDescent="0.25">
      <c r="B843" t="s">
        <v>587</v>
      </c>
      <c r="F843" s="2"/>
    </row>
    <row r="844" spans="1:6" x14ac:dyDescent="0.25">
      <c r="B844" t="s">
        <v>96</v>
      </c>
      <c r="C844" t="s">
        <v>95</v>
      </c>
      <c r="D844" t="s">
        <v>428</v>
      </c>
      <c r="E844" t="s">
        <v>322</v>
      </c>
      <c r="F844" s="2"/>
    </row>
    <row r="845" spans="1:6" x14ac:dyDescent="0.25">
      <c r="B845" t="s">
        <v>597</v>
      </c>
      <c r="F845" s="2"/>
    </row>
    <row r="846" spans="1:6" x14ac:dyDescent="0.25">
      <c r="B846" t="s">
        <v>5</v>
      </c>
      <c r="C846" t="s">
        <v>4</v>
      </c>
      <c r="D846" t="s">
        <v>433</v>
      </c>
      <c r="E846" t="s">
        <v>169</v>
      </c>
      <c r="F846" s="2"/>
    </row>
    <row r="847" spans="1:6" x14ac:dyDescent="0.25">
      <c r="D847" t="s">
        <v>428</v>
      </c>
      <c r="E847" t="s">
        <v>298</v>
      </c>
      <c r="F847" s="2"/>
    </row>
    <row r="848" spans="1:6" x14ac:dyDescent="0.25">
      <c r="D848" t="s">
        <v>430</v>
      </c>
      <c r="E848" t="s">
        <v>325</v>
      </c>
      <c r="F848" s="2"/>
    </row>
    <row r="849" spans="1:6" x14ac:dyDescent="0.25">
      <c r="D849" t="s">
        <v>437</v>
      </c>
      <c r="E849" t="s">
        <v>326</v>
      </c>
      <c r="F849" s="2"/>
    </row>
    <row r="850" spans="1:6" x14ac:dyDescent="0.25">
      <c r="B850" t="s">
        <v>546</v>
      </c>
      <c r="F850" s="2"/>
    </row>
    <row r="851" spans="1:6" x14ac:dyDescent="0.25">
      <c r="A851" t="s">
        <v>508</v>
      </c>
      <c r="F851" s="2"/>
    </row>
    <row r="852" spans="1:6" x14ac:dyDescent="0.25">
      <c r="A852" s="3">
        <v>43513</v>
      </c>
      <c r="B852" t="s">
        <v>69</v>
      </c>
      <c r="C852" t="s">
        <v>68</v>
      </c>
      <c r="D852" t="s">
        <v>433</v>
      </c>
      <c r="E852" t="s">
        <v>68</v>
      </c>
      <c r="F852" s="2"/>
    </row>
    <row r="853" spans="1:6" x14ac:dyDescent="0.25">
      <c r="D853" t="s">
        <v>429</v>
      </c>
      <c r="E853" t="s">
        <v>68</v>
      </c>
      <c r="F853" s="2"/>
    </row>
    <row r="854" spans="1:6" x14ac:dyDescent="0.25">
      <c r="D854" t="s">
        <v>428</v>
      </c>
      <c r="E854" t="s">
        <v>68</v>
      </c>
      <c r="F854" s="2"/>
    </row>
    <row r="855" spans="1:6" x14ac:dyDescent="0.25">
      <c r="D855" t="s">
        <v>430</v>
      </c>
      <c r="E855" t="s">
        <v>68</v>
      </c>
      <c r="F855" s="2"/>
    </row>
    <row r="856" spans="1:6" x14ac:dyDescent="0.25">
      <c r="D856" t="s">
        <v>437</v>
      </c>
      <c r="E856" t="s">
        <v>68</v>
      </c>
      <c r="F856" s="2"/>
    </row>
    <row r="857" spans="1:6" x14ac:dyDescent="0.25">
      <c r="B857" t="s">
        <v>584</v>
      </c>
      <c r="F857" s="2"/>
    </row>
    <row r="858" spans="1:6" x14ac:dyDescent="0.25">
      <c r="A858" t="s">
        <v>509</v>
      </c>
      <c r="F858" s="2"/>
    </row>
    <row r="859" spans="1:6" x14ac:dyDescent="0.25">
      <c r="A859" s="3">
        <v>43506</v>
      </c>
      <c r="B859" t="s">
        <v>56</v>
      </c>
      <c r="C859" t="s">
        <v>55</v>
      </c>
      <c r="D859" t="s">
        <v>430</v>
      </c>
      <c r="E859" t="s">
        <v>331</v>
      </c>
      <c r="F859" s="2"/>
    </row>
    <row r="860" spans="1:6" x14ac:dyDescent="0.25">
      <c r="B860" t="s">
        <v>578</v>
      </c>
      <c r="F860" s="2"/>
    </row>
    <row r="861" spans="1:6" x14ac:dyDescent="0.25">
      <c r="B861" t="s">
        <v>49</v>
      </c>
      <c r="C861" t="s">
        <v>48</v>
      </c>
      <c r="D861" t="s">
        <v>437</v>
      </c>
      <c r="E861" t="s">
        <v>335</v>
      </c>
      <c r="F861" s="2"/>
    </row>
    <row r="862" spans="1:6" x14ac:dyDescent="0.25">
      <c r="E862" t="s">
        <v>334</v>
      </c>
      <c r="F862" s="2"/>
    </row>
    <row r="863" spans="1:6" x14ac:dyDescent="0.25">
      <c r="B863" t="s">
        <v>575</v>
      </c>
      <c r="F863" s="2"/>
    </row>
    <row r="864" spans="1:6" x14ac:dyDescent="0.25">
      <c r="B864" t="s">
        <v>71</v>
      </c>
      <c r="C864" t="s">
        <v>70</v>
      </c>
      <c r="D864" t="s">
        <v>433</v>
      </c>
      <c r="E864" t="s">
        <v>328</v>
      </c>
      <c r="F864" s="2"/>
    </row>
    <row r="865" spans="1:6" x14ac:dyDescent="0.25">
      <c r="B865" t="s">
        <v>585</v>
      </c>
      <c r="F865" s="2"/>
    </row>
    <row r="866" spans="1:6" x14ac:dyDescent="0.25">
      <c r="B866" t="s">
        <v>33</v>
      </c>
      <c r="C866" t="s">
        <v>32</v>
      </c>
      <c r="D866" t="s">
        <v>433</v>
      </c>
      <c r="E866" t="s">
        <v>327</v>
      </c>
      <c r="F866" s="2"/>
    </row>
    <row r="867" spans="1:6" x14ac:dyDescent="0.25">
      <c r="D867" t="s">
        <v>428</v>
      </c>
      <c r="E867" t="s">
        <v>330</v>
      </c>
      <c r="F867" s="2"/>
    </row>
    <row r="868" spans="1:6" x14ac:dyDescent="0.25">
      <c r="D868" t="s">
        <v>437</v>
      </c>
      <c r="E868" t="s">
        <v>333</v>
      </c>
      <c r="F868" s="2"/>
    </row>
    <row r="869" spans="1:6" x14ac:dyDescent="0.25">
      <c r="B869" t="s">
        <v>568</v>
      </c>
      <c r="F869" s="2"/>
    </row>
    <row r="870" spans="1:6" x14ac:dyDescent="0.25">
      <c r="B870" t="s">
        <v>5</v>
      </c>
      <c r="C870" t="s">
        <v>4</v>
      </c>
      <c r="D870" t="s">
        <v>429</v>
      </c>
      <c r="E870" t="s">
        <v>329</v>
      </c>
      <c r="F870" s="2"/>
    </row>
    <row r="871" spans="1:6" x14ac:dyDescent="0.25">
      <c r="D871" t="s">
        <v>437</v>
      </c>
      <c r="E871" t="s">
        <v>332</v>
      </c>
      <c r="F871" s="2"/>
    </row>
    <row r="872" spans="1:6" x14ac:dyDescent="0.25">
      <c r="B872" t="s">
        <v>546</v>
      </c>
      <c r="F872" s="2"/>
    </row>
    <row r="873" spans="1:6" x14ac:dyDescent="0.25">
      <c r="A873" t="s">
        <v>512</v>
      </c>
      <c r="F873" s="2"/>
    </row>
    <row r="874" spans="1:6" x14ac:dyDescent="0.25">
      <c r="A874" s="3">
        <v>43499</v>
      </c>
      <c r="B874" t="s">
        <v>49</v>
      </c>
      <c r="C874" t="s">
        <v>48</v>
      </c>
      <c r="D874" t="s">
        <v>433</v>
      </c>
      <c r="E874" t="s">
        <v>336</v>
      </c>
      <c r="F874" s="2"/>
    </row>
    <row r="875" spans="1:6" x14ac:dyDescent="0.25">
      <c r="B875" t="s">
        <v>575</v>
      </c>
      <c r="F875" s="2"/>
    </row>
    <row r="876" spans="1:6" x14ac:dyDescent="0.25">
      <c r="B876" t="s">
        <v>71</v>
      </c>
      <c r="C876" t="s">
        <v>70</v>
      </c>
      <c r="D876" t="s">
        <v>428</v>
      </c>
      <c r="E876" t="s">
        <v>340</v>
      </c>
      <c r="F876" s="2"/>
    </row>
    <row r="877" spans="1:6" x14ac:dyDescent="0.25">
      <c r="B877" t="s">
        <v>585</v>
      </c>
      <c r="F877" s="2"/>
    </row>
    <row r="878" spans="1:6" x14ac:dyDescent="0.25">
      <c r="B878" t="s">
        <v>5</v>
      </c>
      <c r="C878" t="s">
        <v>4</v>
      </c>
      <c r="D878" t="s">
        <v>433</v>
      </c>
      <c r="E878" t="s">
        <v>337</v>
      </c>
      <c r="F878" s="2"/>
    </row>
    <row r="879" spans="1:6" x14ac:dyDescent="0.25">
      <c r="E879" t="s">
        <v>338</v>
      </c>
      <c r="F879" s="2"/>
    </row>
    <row r="880" spans="1:6" x14ac:dyDescent="0.25">
      <c r="D880" t="s">
        <v>429</v>
      </c>
      <c r="E880" t="s">
        <v>339</v>
      </c>
      <c r="F880" s="2"/>
    </row>
    <row r="881" spans="1:6" x14ac:dyDescent="0.25">
      <c r="D881" t="s">
        <v>430</v>
      </c>
      <c r="E881" t="s">
        <v>342</v>
      </c>
      <c r="F881" s="2"/>
    </row>
    <row r="882" spans="1:6" x14ac:dyDescent="0.25">
      <c r="D882" t="s">
        <v>437</v>
      </c>
      <c r="E882" t="s">
        <v>344</v>
      </c>
      <c r="F882" s="2"/>
    </row>
    <row r="883" spans="1:6" x14ac:dyDescent="0.25">
      <c r="E883" t="s">
        <v>343</v>
      </c>
      <c r="F883" s="2"/>
    </row>
    <row r="884" spans="1:6" x14ac:dyDescent="0.25">
      <c r="B884" t="s">
        <v>546</v>
      </c>
      <c r="F884" s="2"/>
    </row>
    <row r="885" spans="1:6" x14ac:dyDescent="0.25">
      <c r="B885" t="s">
        <v>500</v>
      </c>
      <c r="C885" t="s">
        <v>23</v>
      </c>
      <c r="D885" t="s">
        <v>430</v>
      </c>
      <c r="E885" t="s">
        <v>341</v>
      </c>
      <c r="F885" s="2"/>
    </row>
    <row r="886" spans="1:6" x14ac:dyDescent="0.25">
      <c r="B886" t="s">
        <v>551</v>
      </c>
      <c r="F886" s="2"/>
    </row>
    <row r="887" spans="1:6" x14ac:dyDescent="0.25">
      <c r="A887" t="s">
        <v>513</v>
      </c>
      <c r="F887" s="2"/>
    </row>
    <row r="888" spans="1:6" x14ac:dyDescent="0.25">
      <c r="A888" s="3">
        <v>43492</v>
      </c>
      <c r="B888" t="s">
        <v>49</v>
      </c>
      <c r="C888" t="s">
        <v>48</v>
      </c>
      <c r="D888" t="s">
        <v>437</v>
      </c>
      <c r="E888" t="s">
        <v>348</v>
      </c>
      <c r="F888" s="2"/>
    </row>
    <row r="889" spans="1:6" x14ac:dyDescent="0.25">
      <c r="B889" t="s">
        <v>575</v>
      </c>
      <c r="F889" s="2"/>
    </row>
    <row r="890" spans="1:6" x14ac:dyDescent="0.25">
      <c r="B890" t="s">
        <v>93</v>
      </c>
      <c r="C890" t="s">
        <v>92</v>
      </c>
      <c r="D890" t="s">
        <v>430</v>
      </c>
      <c r="E890" t="s">
        <v>347</v>
      </c>
      <c r="F890" s="2"/>
    </row>
    <row r="891" spans="1:6" x14ac:dyDescent="0.25">
      <c r="B891" t="s">
        <v>596</v>
      </c>
      <c r="F891" s="2"/>
    </row>
    <row r="892" spans="1:6" x14ac:dyDescent="0.25">
      <c r="B892" t="s">
        <v>26</v>
      </c>
      <c r="C892" t="s">
        <v>25</v>
      </c>
      <c r="D892" t="s">
        <v>428</v>
      </c>
      <c r="E892" t="s">
        <v>346</v>
      </c>
      <c r="F892" s="2"/>
    </row>
    <row r="893" spans="1:6" x14ac:dyDescent="0.25">
      <c r="B893" t="s">
        <v>565</v>
      </c>
      <c r="F893" s="2"/>
    </row>
    <row r="894" spans="1:6" x14ac:dyDescent="0.25">
      <c r="B894" t="s">
        <v>5</v>
      </c>
      <c r="C894" t="s">
        <v>4</v>
      </c>
      <c r="D894" t="s">
        <v>433</v>
      </c>
      <c r="E894" t="s">
        <v>345</v>
      </c>
      <c r="F894" s="2"/>
    </row>
    <row r="895" spans="1:6" x14ac:dyDescent="0.25">
      <c r="D895" t="s">
        <v>437</v>
      </c>
      <c r="E895" t="s">
        <v>349</v>
      </c>
      <c r="F895" s="2"/>
    </row>
    <row r="896" spans="1:6" x14ac:dyDescent="0.25">
      <c r="B896" t="s">
        <v>546</v>
      </c>
      <c r="F896" s="2"/>
    </row>
    <row r="897" spans="1:6" x14ac:dyDescent="0.25">
      <c r="B897" t="s">
        <v>500</v>
      </c>
      <c r="C897" t="s">
        <v>310</v>
      </c>
      <c r="D897" t="s">
        <v>429</v>
      </c>
      <c r="E897" t="s">
        <v>59</v>
      </c>
      <c r="F897" s="2"/>
    </row>
    <row r="898" spans="1:6" x14ac:dyDescent="0.25">
      <c r="D898" t="s">
        <v>428</v>
      </c>
      <c r="E898" t="s">
        <v>59</v>
      </c>
      <c r="F898" s="2"/>
    </row>
    <row r="899" spans="1:6" x14ac:dyDescent="0.25">
      <c r="B899" t="s">
        <v>551</v>
      </c>
      <c r="F899" s="2"/>
    </row>
    <row r="900" spans="1:6" x14ac:dyDescent="0.25">
      <c r="A900" t="s">
        <v>515</v>
      </c>
      <c r="F900" s="2"/>
    </row>
    <row r="901" spans="1:6" x14ac:dyDescent="0.25">
      <c r="A901" s="3">
        <v>43485</v>
      </c>
      <c r="B901" t="s">
        <v>56</v>
      </c>
      <c r="C901" t="s">
        <v>55</v>
      </c>
      <c r="D901" t="s">
        <v>428</v>
      </c>
      <c r="E901" t="s">
        <v>351</v>
      </c>
      <c r="F901" s="2"/>
    </row>
    <row r="902" spans="1:6" x14ac:dyDescent="0.25">
      <c r="D902" t="s">
        <v>430</v>
      </c>
      <c r="E902" t="s">
        <v>351</v>
      </c>
      <c r="F902" s="2"/>
    </row>
    <row r="903" spans="1:6" x14ac:dyDescent="0.25">
      <c r="D903" t="s">
        <v>437</v>
      </c>
      <c r="E903" t="s">
        <v>351</v>
      </c>
      <c r="F903" s="2"/>
    </row>
    <row r="904" spans="1:6" x14ac:dyDescent="0.25">
      <c r="B904" t="s">
        <v>578</v>
      </c>
      <c r="F904" s="2"/>
    </row>
    <row r="905" spans="1:6" x14ac:dyDescent="0.25">
      <c r="B905" t="s">
        <v>93</v>
      </c>
      <c r="C905" t="s">
        <v>92</v>
      </c>
      <c r="D905" t="s">
        <v>433</v>
      </c>
      <c r="E905" t="s">
        <v>350</v>
      </c>
      <c r="F905" s="2"/>
    </row>
    <row r="906" spans="1:6" x14ac:dyDescent="0.25">
      <c r="D906" t="s">
        <v>429</v>
      </c>
      <c r="E906" t="s">
        <v>350</v>
      </c>
      <c r="F906" s="2"/>
    </row>
    <row r="907" spans="1:6" x14ac:dyDescent="0.25">
      <c r="B907" t="s">
        <v>596</v>
      </c>
      <c r="F907" s="2"/>
    </row>
    <row r="908" spans="1:6" x14ac:dyDescent="0.25">
      <c r="A908" t="s">
        <v>516</v>
      </c>
      <c r="F908" s="2"/>
    </row>
    <row r="909" spans="1:6" x14ac:dyDescent="0.25">
      <c r="A909" s="3">
        <v>43478</v>
      </c>
      <c r="B909" t="s">
        <v>52</v>
      </c>
      <c r="C909" t="s">
        <v>51</v>
      </c>
      <c r="D909" t="s">
        <v>437</v>
      </c>
      <c r="E909" t="s">
        <v>356</v>
      </c>
      <c r="F909" s="2"/>
    </row>
    <row r="910" spans="1:6" x14ac:dyDescent="0.25">
      <c r="B910" t="s">
        <v>576</v>
      </c>
      <c r="F910" s="2"/>
    </row>
    <row r="911" spans="1:6" x14ac:dyDescent="0.25">
      <c r="B911" t="s">
        <v>49</v>
      </c>
      <c r="C911" t="s">
        <v>48</v>
      </c>
      <c r="D911" t="s">
        <v>430</v>
      </c>
      <c r="E911" t="s">
        <v>355</v>
      </c>
      <c r="F911" s="2"/>
    </row>
    <row r="912" spans="1:6" x14ac:dyDescent="0.25">
      <c r="D912" t="s">
        <v>437</v>
      </c>
      <c r="E912" t="s">
        <v>358</v>
      </c>
      <c r="F912" s="2"/>
    </row>
    <row r="913" spans="1:6" x14ac:dyDescent="0.25">
      <c r="B913" t="s">
        <v>575</v>
      </c>
      <c r="F913" s="2"/>
    </row>
    <row r="914" spans="1:6" x14ac:dyDescent="0.25">
      <c r="B914" t="s">
        <v>71</v>
      </c>
      <c r="C914" t="s">
        <v>70</v>
      </c>
      <c r="D914" t="s">
        <v>433</v>
      </c>
      <c r="E914" t="s">
        <v>352</v>
      </c>
      <c r="F914" s="2"/>
    </row>
    <row r="915" spans="1:6" x14ac:dyDescent="0.25">
      <c r="B915" t="s">
        <v>585</v>
      </c>
      <c r="F915" s="2"/>
    </row>
    <row r="916" spans="1:6" x14ac:dyDescent="0.25">
      <c r="B916" t="s">
        <v>41</v>
      </c>
      <c r="C916" t="s">
        <v>40</v>
      </c>
      <c r="D916" t="s">
        <v>430</v>
      </c>
      <c r="E916" t="s">
        <v>113</v>
      </c>
      <c r="F916" s="2"/>
    </row>
    <row r="917" spans="1:6" x14ac:dyDescent="0.25">
      <c r="B917" t="s">
        <v>572</v>
      </c>
      <c r="F917" s="2"/>
    </row>
    <row r="918" spans="1:6" x14ac:dyDescent="0.25">
      <c r="B918" t="s">
        <v>93</v>
      </c>
      <c r="C918" t="s">
        <v>92</v>
      </c>
      <c r="D918" t="s">
        <v>437</v>
      </c>
      <c r="E918" t="s">
        <v>357</v>
      </c>
      <c r="F918" s="2"/>
    </row>
    <row r="919" spans="1:6" x14ac:dyDescent="0.25">
      <c r="B919" t="s">
        <v>596</v>
      </c>
      <c r="F919" s="2"/>
    </row>
    <row r="920" spans="1:6" x14ac:dyDescent="0.25">
      <c r="B920" t="s">
        <v>31</v>
      </c>
      <c r="C920" t="s">
        <v>30</v>
      </c>
      <c r="D920" t="s">
        <v>429</v>
      </c>
      <c r="E920" t="s">
        <v>353</v>
      </c>
      <c r="F920" s="2"/>
    </row>
    <row r="921" spans="1:6" x14ac:dyDescent="0.25">
      <c r="B921" t="s">
        <v>567</v>
      </c>
      <c r="F921" s="2"/>
    </row>
    <row r="922" spans="1:6" x14ac:dyDescent="0.25">
      <c r="B922" t="s">
        <v>500</v>
      </c>
      <c r="C922" t="s">
        <v>310</v>
      </c>
      <c r="D922" t="s">
        <v>429</v>
      </c>
      <c r="E922" t="s">
        <v>59</v>
      </c>
      <c r="F922" s="2"/>
    </row>
    <row r="923" spans="1:6" x14ac:dyDescent="0.25">
      <c r="D923" t="s">
        <v>428</v>
      </c>
      <c r="E923" t="s">
        <v>59</v>
      </c>
      <c r="F923" s="2"/>
    </row>
    <row r="924" spans="1:6" x14ac:dyDescent="0.25">
      <c r="B924" t="s">
        <v>551</v>
      </c>
      <c r="F924" s="2"/>
    </row>
    <row r="925" spans="1:6" x14ac:dyDescent="0.25">
      <c r="A925" t="s">
        <v>519</v>
      </c>
      <c r="F925" s="2"/>
    </row>
    <row r="926" spans="1:6" x14ac:dyDescent="0.25">
      <c r="A926" s="3">
        <v>43471</v>
      </c>
      <c r="B926" t="s">
        <v>52</v>
      </c>
      <c r="C926" t="s">
        <v>51</v>
      </c>
      <c r="D926" t="s">
        <v>437</v>
      </c>
      <c r="E926" t="s">
        <v>362</v>
      </c>
      <c r="F926" s="2"/>
    </row>
    <row r="927" spans="1:6" x14ac:dyDescent="0.25">
      <c r="B927" t="s">
        <v>576</v>
      </c>
      <c r="F927" s="2"/>
    </row>
    <row r="928" spans="1:6" x14ac:dyDescent="0.25">
      <c r="B928" t="s">
        <v>71</v>
      </c>
      <c r="C928" t="s">
        <v>70</v>
      </c>
      <c r="D928" t="s">
        <v>437</v>
      </c>
      <c r="E928" t="s">
        <v>361</v>
      </c>
      <c r="F928" s="2"/>
    </row>
    <row r="929" spans="1:6" x14ac:dyDescent="0.25">
      <c r="B929" t="s">
        <v>585</v>
      </c>
      <c r="F929" s="2"/>
    </row>
    <row r="930" spans="1:6" x14ac:dyDescent="0.25">
      <c r="B930" t="s">
        <v>31</v>
      </c>
      <c r="C930" t="s">
        <v>30</v>
      </c>
      <c r="D930" t="s">
        <v>430</v>
      </c>
      <c r="E930" t="s">
        <v>360</v>
      </c>
      <c r="F930" s="2"/>
    </row>
    <row r="931" spans="1:6" x14ac:dyDescent="0.25">
      <c r="D931" t="s">
        <v>437</v>
      </c>
      <c r="E931" t="s">
        <v>360</v>
      </c>
      <c r="F931" s="2"/>
    </row>
    <row r="932" spans="1:6" x14ac:dyDescent="0.25">
      <c r="B932" t="s">
        <v>567</v>
      </c>
      <c r="F932" s="2"/>
    </row>
    <row r="933" spans="1:6" x14ac:dyDescent="0.25">
      <c r="B933" t="s">
        <v>13</v>
      </c>
      <c r="C933" t="s">
        <v>12</v>
      </c>
      <c r="D933" t="s">
        <v>429</v>
      </c>
      <c r="E933" t="s">
        <v>13</v>
      </c>
      <c r="F933" s="2"/>
    </row>
    <row r="934" spans="1:6" x14ac:dyDescent="0.25">
      <c r="B934" t="s">
        <v>556</v>
      </c>
      <c r="F934" s="2"/>
    </row>
    <row r="935" spans="1:6" x14ac:dyDescent="0.25">
      <c r="B935" t="s">
        <v>69</v>
      </c>
      <c r="C935" t="s">
        <v>68</v>
      </c>
      <c r="D935" t="s">
        <v>433</v>
      </c>
      <c r="E935" t="s">
        <v>68</v>
      </c>
      <c r="F935" s="2"/>
    </row>
    <row r="936" spans="1:6" x14ac:dyDescent="0.25">
      <c r="B936" t="s">
        <v>584</v>
      </c>
      <c r="F936" s="2"/>
    </row>
    <row r="937" spans="1:6" x14ac:dyDescent="0.25">
      <c r="B937" t="s">
        <v>500</v>
      </c>
      <c r="C937" t="s">
        <v>23</v>
      </c>
      <c r="D937" t="s">
        <v>428</v>
      </c>
      <c r="E937" t="s">
        <v>359</v>
      </c>
      <c r="F937" s="2"/>
    </row>
    <row r="938" spans="1:6" x14ac:dyDescent="0.25">
      <c r="B938" t="s">
        <v>551</v>
      </c>
      <c r="F938" s="2"/>
    </row>
    <row r="939" spans="1:6" x14ac:dyDescent="0.25">
      <c r="A939" t="s">
        <v>520</v>
      </c>
      <c r="F939" s="2"/>
    </row>
    <row r="940" spans="1:6" x14ac:dyDescent="0.25">
      <c r="A940" s="3">
        <v>43464</v>
      </c>
      <c r="B940" t="s">
        <v>13</v>
      </c>
      <c r="C940" t="s">
        <v>12</v>
      </c>
      <c r="D940" t="s">
        <v>429</v>
      </c>
      <c r="E940" t="s">
        <v>13</v>
      </c>
      <c r="F940" s="2"/>
    </row>
    <row r="941" spans="1:6" x14ac:dyDescent="0.25">
      <c r="D941" t="s">
        <v>428</v>
      </c>
      <c r="E941" t="s">
        <v>13</v>
      </c>
      <c r="F941" s="2"/>
    </row>
    <row r="942" spans="1:6" x14ac:dyDescent="0.25">
      <c r="B942" t="s">
        <v>556</v>
      </c>
      <c r="F942" s="2"/>
    </row>
    <row r="943" spans="1:6" x14ac:dyDescent="0.25">
      <c r="B943" t="s">
        <v>69</v>
      </c>
      <c r="C943" t="s">
        <v>68</v>
      </c>
      <c r="D943" t="s">
        <v>433</v>
      </c>
      <c r="E943" t="s">
        <v>68</v>
      </c>
      <c r="F943" s="2"/>
    </row>
    <row r="944" spans="1:6" x14ac:dyDescent="0.25">
      <c r="D944" t="s">
        <v>430</v>
      </c>
      <c r="E944" t="s">
        <v>68</v>
      </c>
      <c r="F944" s="2"/>
    </row>
    <row r="945" spans="1:6" x14ac:dyDescent="0.25">
      <c r="D945" t="s">
        <v>437</v>
      </c>
      <c r="E945" t="s">
        <v>68</v>
      </c>
      <c r="F945" s="2"/>
    </row>
    <row r="946" spans="1:6" x14ac:dyDescent="0.25">
      <c r="B946" t="s">
        <v>584</v>
      </c>
      <c r="F946" s="2"/>
    </row>
    <row r="947" spans="1:6" x14ac:dyDescent="0.25">
      <c r="A947" t="s">
        <v>521</v>
      </c>
      <c r="F947" s="2"/>
    </row>
    <row r="948" spans="1:6" x14ac:dyDescent="0.25">
      <c r="A948" s="3">
        <v>43457</v>
      </c>
      <c r="B948" t="s">
        <v>46</v>
      </c>
      <c r="C948" t="s">
        <v>45</v>
      </c>
      <c r="D948" t="s">
        <v>428</v>
      </c>
      <c r="E948" t="s">
        <v>365</v>
      </c>
      <c r="F948" s="2"/>
    </row>
    <row r="949" spans="1:6" x14ac:dyDescent="0.25">
      <c r="B949" t="s">
        <v>574</v>
      </c>
      <c r="F949" s="2"/>
    </row>
    <row r="950" spans="1:6" x14ac:dyDescent="0.25">
      <c r="B950" t="s">
        <v>49</v>
      </c>
      <c r="C950" t="s">
        <v>48</v>
      </c>
      <c r="D950" t="s">
        <v>428</v>
      </c>
      <c r="E950" t="s">
        <v>366</v>
      </c>
      <c r="F950" s="2"/>
    </row>
    <row r="951" spans="1:6" x14ac:dyDescent="0.25">
      <c r="B951" t="s">
        <v>575</v>
      </c>
      <c r="F951" s="2"/>
    </row>
    <row r="952" spans="1:6" x14ac:dyDescent="0.25">
      <c r="B952" t="s">
        <v>93</v>
      </c>
      <c r="C952" t="s">
        <v>92</v>
      </c>
      <c r="D952" t="s">
        <v>433</v>
      </c>
      <c r="E952" t="s">
        <v>363</v>
      </c>
      <c r="F952" s="2"/>
    </row>
    <row r="953" spans="1:6" x14ac:dyDescent="0.25">
      <c r="D953" t="s">
        <v>437</v>
      </c>
      <c r="E953" t="s">
        <v>369</v>
      </c>
      <c r="F953" s="2"/>
    </row>
    <row r="954" spans="1:6" x14ac:dyDescent="0.25">
      <c r="B954" t="s">
        <v>596</v>
      </c>
      <c r="F954" s="2"/>
    </row>
    <row r="955" spans="1:6" x14ac:dyDescent="0.25">
      <c r="B955" t="s">
        <v>81</v>
      </c>
      <c r="C955" t="s">
        <v>80</v>
      </c>
      <c r="D955" t="s">
        <v>428</v>
      </c>
      <c r="E955" t="s">
        <v>364</v>
      </c>
      <c r="F955" s="2"/>
    </row>
    <row r="956" spans="1:6" x14ac:dyDescent="0.25">
      <c r="B956" t="s">
        <v>590</v>
      </c>
      <c r="F956" s="2"/>
    </row>
    <row r="957" spans="1:6" x14ac:dyDescent="0.25">
      <c r="B957" t="s">
        <v>500</v>
      </c>
      <c r="C957" t="s">
        <v>310</v>
      </c>
      <c r="D957" t="s">
        <v>433</v>
      </c>
      <c r="E957" t="s">
        <v>59</v>
      </c>
      <c r="F957" s="2"/>
    </row>
    <row r="958" spans="1:6" x14ac:dyDescent="0.25">
      <c r="D958" t="s">
        <v>429</v>
      </c>
      <c r="E958" t="s">
        <v>59</v>
      </c>
      <c r="F958" s="2"/>
    </row>
    <row r="959" spans="1:6" x14ac:dyDescent="0.25">
      <c r="C959" t="s">
        <v>23</v>
      </c>
      <c r="D959" t="s">
        <v>430</v>
      </c>
      <c r="E959" t="s">
        <v>367</v>
      </c>
      <c r="F959" s="2"/>
    </row>
    <row r="960" spans="1:6" x14ac:dyDescent="0.25">
      <c r="D960" t="s">
        <v>437</v>
      </c>
      <c r="E960" t="s">
        <v>368</v>
      </c>
      <c r="F960" s="2"/>
    </row>
    <row r="961" spans="1:6" x14ac:dyDescent="0.25">
      <c r="B961" t="s">
        <v>551</v>
      </c>
      <c r="F961" s="2"/>
    </row>
    <row r="962" spans="1:6" x14ac:dyDescent="0.25">
      <c r="A962" t="s">
        <v>523</v>
      </c>
      <c r="F962" s="2"/>
    </row>
    <row r="963" spans="1:6" x14ac:dyDescent="0.25">
      <c r="A963" s="3">
        <v>43450</v>
      </c>
      <c r="B963" t="s">
        <v>93</v>
      </c>
      <c r="C963" t="s">
        <v>92</v>
      </c>
      <c r="D963" t="s">
        <v>437</v>
      </c>
      <c r="E963" t="s">
        <v>372</v>
      </c>
      <c r="F963" s="2"/>
    </row>
    <row r="964" spans="1:6" x14ac:dyDescent="0.25">
      <c r="B964" t="s">
        <v>596</v>
      </c>
      <c r="F964" s="2"/>
    </row>
    <row r="965" spans="1:6" x14ac:dyDescent="0.25">
      <c r="B965" t="s">
        <v>79</v>
      </c>
      <c r="C965" t="s">
        <v>78</v>
      </c>
      <c r="D965" t="s">
        <v>433</v>
      </c>
      <c r="E965" t="s">
        <v>370</v>
      </c>
      <c r="F965" s="2"/>
    </row>
    <row r="966" spans="1:6" x14ac:dyDescent="0.25">
      <c r="D966" t="s">
        <v>430</v>
      </c>
      <c r="E966" t="s">
        <v>371</v>
      </c>
      <c r="F966" s="2"/>
    </row>
    <row r="967" spans="1:6" x14ac:dyDescent="0.25">
      <c r="D967" t="s">
        <v>437</v>
      </c>
      <c r="E967" t="s">
        <v>374</v>
      </c>
      <c r="F967" s="2"/>
    </row>
    <row r="968" spans="1:6" x14ac:dyDescent="0.25">
      <c r="B968" t="s">
        <v>589</v>
      </c>
      <c r="F968" s="2"/>
    </row>
    <row r="969" spans="1:6" x14ac:dyDescent="0.25">
      <c r="B969" t="s">
        <v>37</v>
      </c>
      <c r="C969" t="s">
        <v>36</v>
      </c>
      <c r="D969" t="s">
        <v>437</v>
      </c>
      <c r="E969" t="s">
        <v>373</v>
      </c>
      <c r="F969" s="2"/>
    </row>
    <row r="970" spans="1:6" x14ac:dyDescent="0.25">
      <c r="B970" t="s">
        <v>570</v>
      </c>
      <c r="F970" s="2"/>
    </row>
    <row r="971" spans="1:6" x14ac:dyDescent="0.25">
      <c r="B971" t="s">
        <v>500</v>
      </c>
      <c r="C971" t="s">
        <v>310</v>
      </c>
      <c r="D971" t="s">
        <v>429</v>
      </c>
      <c r="E971" t="s">
        <v>59</v>
      </c>
      <c r="F971" s="2"/>
    </row>
    <row r="972" spans="1:6" x14ac:dyDescent="0.25">
      <c r="D972" t="s">
        <v>428</v>
      </c>
      <c r="E972" t="s">
        <v>59</v>
      </c>
      <c r="F972" s="2"/>
    </row>
    <row r="973" spans="1:6" x14ac:dyDescent="0.25">
      <c r="B973" t="s">
        <v>551</v>
      </c>
      <c r="F973" s="2"/>
    </row>
    <row r="974" spans="1:6" x14ac:dyDescent="0.25">
      <c r="A974" t="s">
        <v>526</v>
      </c>
      <c r="F974" s="2"/>
    </row>
    <row r="975" spans="1:6" x14ac:dyDescent="0.25">
      <c r="A975" s="3">
        <v>43443</v>
      </c>
      <c r="B975" t="s">
        <v>15</v>
      </c>
      <c r="C975" t="s">
        <v>14</v>
      </c>
      <c r="D975" t="s">
        <v>437</v>
      </c>
      <c r="E975" t="s">
        <v>379</v>
      </c>
      <c r="F975" s="2"/>
    </row>
    <row r="976" spans="1:6" x14ac:dyDescent="0.25">
      <c r="B976" t="s">
        <v>559</v>
      </c>
      <c r="F976" s="2"/>
    </row>
    <row r="977" spans="1:6" x14ac:dyDescent="0.25">
      <c r="B977" t="s">
        <v>11</v>
      </c>
      <c r="C977" t="s">
        <v>10</v>
      </c>
      <c r="D977" t="s">
        <v>433</v>
      </c>
      <c r="E977" t="s">
        <v>375</v>
      </c>
      <c r="F977" s="2"/>
    </row>
    <row r="978" spans="1:6" x14ac:dyDescent="0.25">
      <c r="D978" t="s">
        <v>437</v>
      </c>
      <c r="E978" t="s">
        <v>378</v>
      </c>
      <c r="F978" s="2"/>
    </row>
    <row r="979" spans="1:6" x14ac:dyDescent="0.25">
      <c r="B979" t="s">
        <v>553</v>
      </c>
      <c r="F979" s="2"/>
    </row>
    <row r="980" spans="1:6" x14ac:dyDescent="0.25">
      <c r="B980" t="s">
        <v>77</v>
      </c>
      <c r="C980" t="s">
        <v>76</v>
      </c>
      <c r="D980" t="s">
        <v>429</v>
      </c>
      <c r="E980" t="s">
        <v>377</v>
      </c>
      <c r="F980" s="2"/>
    </row>
    <row r="981" spans="1:6" x14ac:dyDescent="0.25">
      <c r="B981" t="s">
        <v>588</v>
      </c>
      <c r="F981" s="2"/>
    </row>
    <row r="982" spans="1:6" x14ac:dyDescent="0.25">
      <c r="B982" t="s">
        <v>49</v>
      </c>
      <c r="C982" t="s">
        <v>48</v>
      </c>
      <c r="D982" t="s">
        <v>433</v>
      </c>
      <c r="E982" t="s">
        <v>376</v>
      </c>
      <c r="F982" s="2"/>
    </row>
    <row r="983" spans="1:6" x14ac:dyDescent="0.25">
      <c r="B983" t="s">
        <v>575</v>
      </c>
      <c r="F983" s="2"/>
    </row>
    <row r="984" spans="1:6" x14ac:dyDescent="0.25">
      <c r="B984" t="s">
        <v>31</v>
      </c>
      <c r="C984" t="s">
        <v>30</v>
      </c>
      <c r="D984" t="s">
        <v>437</v>
      </c>
      <c r="E984" t="s">
        <v>380</v>
      </c>
      <c r="F984" s="2"/>
    </row>
    <row r="985" spans="1:6" x14ac:dyDescent="0.25">
      <c r="B985" t="s">
        <v>567</v>
      </c>
      <c r="F985" s="2"/>
    </row>
    <row r="986" spans="1:6" x14ac:dyDescent="0.25">
      <c r="B986" t="s">
        <v>500</v>
      </c>
      <c r="C986" t="s">
        <v>310</v>
      </c>
      <c r="D986" t="s">
        <v>428</v>
      </c>
      <c r="E986" t="s">
        <v>59</v>
      </c>
      <c r="F986" s="2"/>
    </row>
    <row r="987" spans="1:6" x14ac:dyDescent="0.25">
      <c r="D987" t="s">
        <v>430</v>
      </c>
      <c r="E987" t="s">
        <v>59</v>
      </c>
      <c r="F987" s="2"/>
    </row>
    <row r="988" spans="1:6" x14ac:dyDescent="0.25">
      <c r="B988" t="s">
        <v>551</v>
      </c>
      <c r="F988" s="2"/>
    </row>
    <row r="989" spans="1:6" x14ac:dyDescent="0.25">
      <c r="A989" t="s">
        <v>528</v>
      </c>
      <c r="F989" s="2"/>
    </row>
    <row r="990" spans="1:6" x14ac:dyDescent="0.25">
      <c r="A990" s="3">
        <v>43436</v>
      </c>
      <c r="B990" t="s">
        <v>11</v>
      </c>
      <c r="C990" t="s">
        <v>10</v>
      </c>
      <c r="D990" t="s">
        <v>437</v>
      </c>
      <c r="E990" t="s">
        <v>390</v>
      </c>
      <c r="F990" s="2"/>
    </row>
    <row r="991" spans="1:6" x14ac:dyDescent="0.25">
      <c r="B991" t="s">
        <v>553</v>
      </c>
      <c r="F991" s="2"/>
    </row>
    <row r="992" spans="1:6" x14ac:dyDescent="0.25">
      <c r="B992" t="s">
        <v>29</v>
      </c>
      <c r="C992" t="s">
        <v>28</v>
      </c>
      <c r="D992" t="s">
        <v>433</v>
      </c>
      <c r="E992" t="s">
        <v>381</v>
      </c>
      <c r="F992" s="2"/>
    </row>
    <row r="993" spans="2:6" x14ac:dyDescent="0.25">
      <c r="B993" t="s">
        <v>566</v>
      </c>
      <c r="F993" s="2"/>
    </row>
    <row r="994" spans="2:6" x14ac:dyDescent="0.25">
      <c r="B994" t="s">
        <v>52</v>
      </c>
      <c r="C994" t="s">
        <v>51</v>
      </c>
      <c r="D994" t="s">
        <v>429</v>
      </c>
      <c r="E994" t="s">
        <v>386</v>
      </c>
      <c r="F994" s="2"/>
    </row>
    <row r="995" spans="2:6" x14ac:dyDescent="0.25">
      <c r="D995" t="s">
        <v>437</v>
      </c>
      <c r="E995" t="s">
        <v>386</v>
      </c>
      <c r="F995" s="2"/>
    </row>
    <row r="996" spans="2:6" x14ac:dyDescent="0.25">
      <c r="B996" t="s">
        <v>576</v>
      </c>
      <c r="F996" s="2"/>
    </row>
    <row r="997" spans="2:6" x14ac:dyDescent="0.25">
      <c r="B997" t="s">
        <v>39</v>
      </c>
      <c r="C997" t="s">
        <v>38</v>
      </c>
      <c r="D997" t="s">
        <v>429</v>
      </c>
      <c r="E997" t="s">
        <v>384</v>
      </c>
      <c r="F997" s="2"/>
    </row>
    <row r="998" spans="2:6" x14ac:dyDescent="0.25">
      <c r="B998" t="s">
        <v>571</v>
      </c>
      <c r="F998" s="2"/>
    </row>
    <row r="999" spans="2:6" x14ac:dyDescent="0.25">
      <c r="B999" t="s">
        <v>46</v>
      </c>
      <c r="C999" t="s">
        <v>45</v>
      </c>
      <c r="D999" t="s">
        <v>429</v>
      </c>
      <c r="E999" t="s">
        <v>383</v>
      </c>
      <c r="F999" s="2"/>
    </row>
    <row r="1000" spans="2:6" x14ac:dyDescent="0.25">
      <c r="D1000" t="s">
        <v>428</v>
      </c>
      <c r="E1000" t="s">
        <v>387</v>
      </c>
      <c r="F1000" s="2"/>
    </row>
    <row r="1001" spans="2:6" x14ac:dyDescent="0.25">
      <c r="B1001" t="s">
        <v>574</v>
      </c>
      <c r="F1001" s="2"/>
    </row>
    <row r="1002" spans="2:6" x14ac:dyDescent="0.25">
      <c r="B1002" t="s">
        <v>49</v>
      </c>
      <c r="C1002" t="s">
        <v>48</v>
      </c>
      <c r="D1002" t="s">
        <v>429</v>
      </c>
      <c r="E1002" t="s">
        <v>385</v>
      </c>
      <c r="F1002" s="2"/>
    </row>
    <row r="1003" spans="2:6" x14ac:dyDescent="0.25">
      <c r="D1003" t="s">
        <v>437</v>
      </c>
      <c r="E1003" t="s">
        <v>391</v>
      </c>
      <c r="F1003" s="2"/>
    </row>
    <row r="1004" spans="2:6" x14ac:dyDescent="0.25">
      <c r="B1004" t="s">
        <v>575</v>
      </c>
      <c r="F1004" s="2"/>
    </row>
    <row r="1005" spans="2:6" x14ac:dyDescent="0.25">
      <c r="B1005" t="s">
        <v>75</v>
      </c>
      <c r="C1005" t="s">
        <v>74</v>
      </c>
      <c r="D1005" t="s">
        <v>430</v>
      </c>
      <c r="E1005" t="s">
        <v>388</v>
      </c>
      <c r="F1005" s="2"/>
    </row>
    <row r="1006" spans="2:6" x14ac:dyDescent="0.25">
      <c r="B1006" t="s">
        <v>587</v>
      </c>
      <c r="F1006" s="2"/>
    </row>
    <row r="1007" spans="2:6" x14ac:dyDescent="0.25">
      <c r="B1007" t="s">
        <v>500</v>
      </c>
      <c r="C1007" t="s">
        <v>23</v>
      </c>
      <c r="D1007" t="s">
        <v>433</v>
      </c>
      <c r="E1007" t="s">
        <v>382</v>
      </c>
      <c r="F1007" s="2"/>
    </row>
    <row r="1008" spans="2:6" x14ac:dyDescent="0.25">
      <c r="D1008" t="s">
        <v>430</v>
      </c>
      <c r="E1008" t="s">
        <v>389</v>
      </c>
      <c r="F1008" s="2"/>
    </row>
    <row r="1009" spans="1:6" x14ac:dyDescent="0.25">
      <c r="B1009" t="s">
        <v>551</v>
      </c>
      <c r="F1009" s="2"/>
    </row>
    <row r="1010" spans="1:6" x14ac:dyDescent="0.25">
      <c r="A1010" t="s">
        <v>531</v>
      </c>
      <c r="F1010" s="2"/>
    </row>
    <row r="1011" spans="1:6" x14ac:dyDescent="0.25">
      <c r="A1011" s="3">
        <v>43429</v>
      </c>
      <c r="B1011" t="s">
        <v>15</v>
      </c>
      <c r="C1011" t="s">
        <v>14</v>
      </c>
      <c r="D1011" t="s">
        <v>437</v>
      </c>
      <c r="E1011" t="s">
        <v>379</v>
      </c>
      <c r="F1011" s="2"/>
    </row>
    <row r="1012" spans="1:6" x14ac:dyDescent="0.25">
      <c r="E1012" t="s">
        <v>399</v>
      </c>
      <c r="F1012" s="2"/>
    </row>
    <row r="1013" spans="1:6" x14ac:dyDescent="0.25">
      <c r="B1013" t="s">
        <v>559</v>
      </c>
      <c r="F1013" s="2"/>
    </row>
    <row r="1014" spans="1:6" x14ac:dyDescent="0.25">
      <c r="B1014" t="s">
        <v>11</v>
      </c>
      <c r="C1014" t="s">
        <v>10</v>
      </c>
      <c r="D1014" t="s">
        <v>430</v>
      </c>
      <c r="E1014" t="s">
        <v>397</v>
      </c>
      <c r="F1014" s="2"/>
    </row>
    <row r="1015" spans="1:6" x14ac:dyDescent="0.25">
      <c r="B1015" t="s">
        <v>553</v>
      </c>
      <c r="F1015" s="2"/>
    </row>
    <row r="1016" spans="1:6" x14ac:dyDescent="0.25">
      <c r="B1016" t="s">
        <v>29</v>
      </c>
      <c r="C1016" t="s">
        <v>28</v>
      </c>
      <c r="D1016" t="s">
        <v>429</v>
      </c>
      <c r="E1016" t="s">
        <v>233</v>
      </c>
      <c r="F1016" s="2"/>
    </row>
    <row r="1017" spans="1:6" x14ac:dyDescent="0.25">
      <c r="D1017" t="s">
        <v>430</v>
      </c>
      <c r="E1017" t="s">
        <v>398</v>
      </c>
      <c r="F1017" s="2"/>
    </row>
    <row r="1018" spans="1:6" x14ac:dyDescent="0.25">
      <c r="D1018" t="s">
        <v>437</v>
      </c>
      <c r="E1018" t="s">
        <v>233</v>
      </c>
      <c r="F1018" s="2"/>
    </row>
    <row r="1019" spans="1:6" x14ac:dyDescent="0.25">
      <c r="B1019" t="s">
        <v>566</v>
      </c>
      <c r="F1019" s="2"/>
    </row>
    <row r="1020" spans="1:6" x14ac:dyDescent="0.25">
      <c r="B1020" t="s">
        <v>46</v>
      </c>
      <c r="C1020" t="s">
        <v>45</v>
      </c>
      <c r="D1020" t="s">
        <v>428</v>
      </c>
      <c r="E1020" t="s">
        <v>396</v>
      </c>
      <c r="F1020" s="2"/>
    </row>
    <row r="1021" spans="1:6" x14ac:dyDescent="0.25">
      <c r="D1021" t="s">
        <v>430</v>
      </c>
      <c r="E1021" t="s">
        <v>396</v>
      </c>
      <c r="F1021" s="2"/>
    </row>
    <row r="1022" spans="1:6" x14ac:dyDescent="0.25">
      <c r="D1022" t="s">
        <v>437</v>
      </c>
      <c r="E1022" t="s">
        <v>396</v>
      </c>
      <c r="F1022" s="2"/>
    </row>
    <row r="1023" spans="1:6" x14ac:dyDescent="0.25">
      <c r="B1023" t="s">
        <v>574</v>
      </c>
      <c r="F1023" s="2"/>
    </row>
    <row r="1024" spans="1:6" x14ac:dyDescent="0.25">
      <c r="B1024" t="s">
        <v>54</v>
      </c>
      <c r="C1024" t="s">
        <v>53</v>
      </c>
      <c r="D1024" t="s">
        <v>433</v>
      </c>
      <c r="E1024" t="s">
        <v>393</v>
      </c>
      <c r="F1024" s="2"/>
    </row>
    <row r="1025" spans="1:6" x14ac:dyDescent="0.25">
      <c r="D1025" t="s">
        <v>429</v>
      </c>
      <c r="E1025" t="s">
        <v>393</v>
      </c>
      <c r="F1025" s="2"/>
    </row>
    <row r="1026" spans="1:6" x14ac:dyDescent="0.25">
      <c r="B1026" t="s">
        <v>577</v>
      </c>
      <c r="F1026" s="2"/>
    </row>
    <row r="1027" spans="1:6" x14ac:dyDescent="0.25">
      <c r="B1027" t="s">
        <v>75</v>
      </c>
      <c r="C1027" t="s">
        <v>74</v>
      </c>
      <c r="D1027" t="s">
        <v>433</v>
      </c>
      <c r="E1027" t="s">
        <v>392</v>
      </c>
      <c r="F1027" s="2"/>
    </row>
    <row r="1028" spans="1:6" x14ac:dyDescent="0.25">
      <c r="B1028" t="s">
        <v>587</v>
      </c>
      <c r="F1028" s="2"/>
    </row>
    <row r="1029" spans="1:6" x14ac:dyDescent="0.25">
      <c r="B1029" t="s">
        <v>81</v>
      </c>
      <c r="C1029" t="s">
        <v>80</v>
      </c>
      <c r="D1029" t="s">
        <v>429</v>
      </c>
      <c r="E1029" t="s">
        <v>395</v>
      </c>
      <c r="F1029" s="2"/>
    </row>
    <row r="1030" spans="1:6" x14ac:dyDescent="0.25">
      <c r="B1030" t="s">
        <v>590</v>
      </c>
      <c r="F1030" s="2"/>
    </row>
    <row r="1031" spans="1:6" x14ac:dyDescent="0.25">
      <c r="A1031" t="s">
        <v>533</v>
      </c>
      <c r="F1031" s="2"/>
    </row>
    <row r="1032" spans="1:6" x14ac:dyDescent="0.25">
      <c r="A1032" s="3">
        <v>43422</v>
      </c>
      <c r="B1032" t="s">
        <v>15</v>
      </c>
      <c r="C1032" t="s">
        <v>14</v>
      </c>
      <c r="D1032" t="s">
        <v>433</v>
      </c>
      <c r="E1032" t="s">
        <v>400</v>
      </c>
      <c r="F1032" s="2"/>
    </row>
    <row r="1033" spans="1:6" x14ac:dyDescent="0.25">
      <c r="D1033" t="s">
        <v>437</v>
      </c>
      <c r="E1033" t="s">
        <v>408</v>
      </c>
      <c r="F1033" s="2"/>
    </row>
    <row r="1034" spans="1:6" x14ac:dyDescent="0.25">
      <c r="B1034" t="s">
        <v>559</v>
      </c>
      <c r="F1034" s="2"/>
    </row>
    <row r="1035" spans="1:6" x14ac:dyDescent="0.25">
      <c r="B1035" t="s">
        <v>29</v>
      </c>
      <c r="C1035" t="s">
        <v>28</v>
      </c>
      <c r="D1035" t="s">
        <v>433</v>
      </c>
      <c r="E1035" t="s">
        <v>402</v>
      </c>
      <c r="F1035" s="2"/>
    </row>
    <row r="1036" spans="1:6" x14ac:dyDescent="0.25">
      <c r="B1036" t="s">
        <v>566</v>
      </c>
      <c r="F1036" s="2"/>
    </row>
    <row r="1037" spans="1:6" x14ac:dyDescent="0.25">
      <c r="B1037" t="s">
        <v>75</v>
      </c>
      <c r="C1037" t="s">
        <v>74</v>
      </c>
      <c r="D1037" t="s">
        <v>429</v>
      </c>
      <c r="E1037" t="s">
        <v>404</v>
      </c>
      <c r="F1037" s="2"/>
    </row>
    <row r="1038" spans="1:6" x14ac:dyDescent="0.25">
      <c r="B1038" t="s">
        <v>587</v>
      </c>
      <c r="F1038" s="2"/>
    </row>
    <row r="1039" spans="1:6" x14ac:dyDescent="0.25">
      <c r="B1039" t="s">
        <v>96</v>
      </c>
      <c r="C1039" t="s">
        <v>95</v>
      </c>
      <c r="D1039" t="s">
        <v>433</v>
      </c>
      <c r="E1039" t="s">
        <v>403</v>
      </c>
      <c r="F1039" s="2"/>
    </row>
    <row r="1040" spans="1:6" x14ac:dyDescent="0.25">
      <c r="D1040" t="s">
        <v>428</v>
      </c>
      <c r="E1040" t="s">
        <v>406</v>
      </c>
      <c r="F1040" s="2"/>
    </row>
    <row r="1041" spans="1:6" x14ac:dyDescent="0.25">
      <c r="D1041" t="s">
        <v>430</v>
      </c>
      <c r="E1041" t="s">
        <v>407</v>
      </c>
      <c r="F1041" s="2"/>
    </row>
    <row r="1042" spans="1:6" x14ac:dyDescent="0.25">
      <c r="B1042" t="s">
        <v>597</v>
      </c>
      <c r="F1042" s="2"/>
    </row>
    <row r="1043" spans="1:6" x14ac:dyDescent="0.25">
      <c r="B1043" t="s">
        <v>81</v>
      </c>
      <c r="C1043" t="s">
        <v>80</v>
      </c>
      <c r="D1043" t="s">
        <v>429</v>
      </c>
      <c r="E1043" t="s">
        <v>405</v>
      </c>
      <c r="F1043" s="2"/>
    </row>
    <row r="1044" spans="1:6" x14ac:dyDescent="0.25">
      <c r="B1044" t="s">
        <v>590</v>
      </c>
      <c r="F1044" s="2"/>
    </row>
    <row r="1045" spans="1:6" x14ac:dyDescent="0.25">
      <c r="B1045" t="s">
        <v>500</v>
      </c>
      <c r="C1045" t="s">
        <v>23</v>
      </c>
      <c r="D1045" t="s">
        <v>433</v>
      </c>
      <c r="E1045" t="s">
        <v>401</v>
      </c>
      <c r="F1045" s="2"/>
    </row>
    <row r="1046" spans="1:6" x14ac:dyDescent="0.25">
      <c r="D1046" t="s">
        <v>437</v>
      </c>
      <c r="E1046" t="s">
        <v>401</v>
      </c>
      <c r="F1046" s="2"/>
    </row>
    <row r="1047" spans="1:6" x14ac:dyDescent="0.25">
      <c r="B1047" t="s">
        <v>551</v>
      </c>
      <c r="F1047" s="2"/>
    </row>
    <row r="1048" spans="1:6" x14ac:dyDescent="0.25">
      <c r="A1048" t="s">
        <v>534</v>
      </c>
      <c r="F1048" s="2"/>
    </row>
    <row r="1049" spans="1:6" x14ac:dyDescent="0.25">
      <c r="A1049" s="3">
        <v>43415</v>
      </c>
      <c r="B1049" t="s">
        <v>15</v>
      </c>
      <c r="C1049" t="s">
        <v>14</v>
      </c>
      <c r="D1049" t="s">
        <v>430</v>
      </c>
      <c r="E1049" t="s">
        <v>417</v>
      </c>
      <c r="F1049" s="2"/>
    </row>
    <row r="1050" spans="1:6" x14ac:dyDescent="0.25">
      <c r="E1050" t="s">
        <v>418</v>
      </c>
      <c r="F1050" s="2"/>
    </row>
    <row r="1051" spans="1:6" x14ac:dyDescent="0.25">
      <c r="D1051" t="s">
        <v>437</v>
      </c>
      <c r="E1051" t="s">
        <v>408</v>
      </c>
      <c r="F1051" s="2"/>
    </row>
    <row r="1052" spans="1:6" x14ac:dyDescent="0.25">
      <c r="B1052" t="s">
        <v>559</v>
      </c>
      <c r="F1052" s="2"/>
    </row>
    <row r="1053" spans="1:6" x14ac:dyDescent="0.25">
      <c r="B1053" t="s">
        <v>62</v>
      </c>
      <c r="C1053" t="s">
        <v>61</v>
      </c>
      <c r="D1053" t="s">
        <v>437</v>
      </c>
      <c r="E1053" t="s">
        <v>61</v>
      </c>
      <c r="F1053" s="2"/>
    </row>
    <row r="1054" spans="1:6" x14ac:dyDescent="0.25">
      <c r="B1054" t="s">
        <v>580</v>
      </c>
      <c r="F1054" s="2"/>
    </row>
    <row r="1055" spans="1:6" x14ac:dyDescent="0.25">
      <c r="B1055" t="s">
        <v>75</v>
      </c>
      <c r="C1055" t="s">
        <v>74</v>
      </c>
      <c r="D1055" t="s">
        <v>433</v>
      </c>
      <c r="E1055" t="s">
        <v>409</v>
      </c>
      <c r="F1055" s="2"/>
    </row>
    <row r="1056" spans="1:6" x14ac:dyDescent="0.25">
      <c r="E1056" t="s">
        <v>410</v>
      </c>
      <c r="F1056" s="2"/>
    </row>
    <row r="1057" spans="1:6" x14ac:dyDescent="0.25">
      <c r="D1057" t="s">
        <v>429</v>
      </c>
      <c r="E1057" t="s">
        <v>412</v>
      </c>
      <c r="F1057" s="2"/>
    </row>
    <row r="1058" spans="1:6" x14ac:dyDescent="0.25">
      <c r="B1058" t="s">
        <v>587</v>
      </c>
      <c r="F1058" s="2"/>
    </row>
    <row r="1059" spans="1:6" x14ac:dyDescent="0.25">
      <c r="B1059" t="s">
        <v>96</v>
      </c>
      <c r="C1059" t="s">
        <v>95</v>
      </c>
      <c r="D1059" t="s">
        <v>428</v>
      </c>
      <c r="E1059" t="s">
        <v>413</v>
      </c>
      <c r="F1059" s="2"/>
    </row>
    <row r="1060" spans="1:6" x14ac:dyDescent="0.25">
      <c r="D1060" t="s">
        <v>430</v>
      </c>
      <c r="E1060" t="s">
        <v>413</v>
      </c>
      <c r="F1060" s="2"/>
    </row>
    <row r="1061" spans="1:6" x14ac:dyDescent="0.25">
      <c r="D1061" t="s">
        <v>437</v>
      </c>
      <c r="E1061" t="s">
        <v>419</v>
      </c>
      <c r="F1061" s="2"/>
    </row>
    <row r="1062" spans="1:6" x14ac:dyDescent="0.25">
      <c r="B1062" t="s">
        <v>597</v>
      </c>
      <c r="F1062" s="2"/>
    </row>
    <row r="1063" spans="1:6" x14ac:dyDescent="0.25">
      <c r="B1063" t="s">
        <v>69</v>
      </c>
      <c r="C1063" t="s">
        <v>68</v>
      </c>
      <c r="D1063" t="s">
        <v>433</v>
      </c>
      <c r="E1063" t="s">
        <v>68</v>
      </c>
      <c r="F1063" s="2"/>
    </row>
    <row r="1064" spans="1:6" x14ac:dyDescent="0.25">
      <c r="B1064" t="s">
        <v>584</v>
      </c>
      <c r="F1064" s="2"/>
    </row>
    <row r="1065" spans="1:6" x14ac:dyDescent="0.25">
      <c r="B1065" t="s">
        <v>500</v>
      </c>
      <c r="C1065" t="s">
        <v>414</v>
      </c>
      <c r="D1065" t="s">
        <v>428</v>
      </c>
      <c r="E1065" t="s">
        <v>416</v>
      </c>
      <c r="F1065" s="2"/>
    </row>
    <row r="1066" spans="1:6" x14ac:dyDescent="0.25">
      <c r="E1066" t="s">
        <v>415</v>
      </c>
      <c r="F1066" s="2"/>
    </row>
    <row r="1067" spans="1:6" x14ac:dyDescent="0.25">
      <c r="B1067" t="s">
        <v>551</v>
      </c>
      <c r="F1067" s="2"/>
    </row>
    <row r="1068" spans="1:6" x14ac:dyDescent="0.25">
      <c r="A1068" t="s">
        <v>537</v>
      </c>
      <c r="F1068" s="2"/>
    </row>
    <row r="1069" spans="1:6" x14ac:dyDescent="0.25">
      <c r="A1069" s="3">
        <v>43408</v>
      </c>
      <c r="B1069" t="s">
        <v>29</v>
      </c>
      <c r="C1069" t="s">
        <v>28</v>
      </c>
      <c r="D1069" t="s">
        <v>430</v>
      </c>
      <c r="E1069" t="s">
        <v>425</v>
      </c>
      <c r="F1069" s="2"/>
    </row>
    <row r="1070" spans="1:6" x14ac:dyDescent="0.25">
      <c r="B1070" t="s">
        <v>566</v>
      </c>
      <c r="F1070" s="2"/>
    </row>
    <row r="1071" spans="1:6" x14ac:dyDescent="0.25">
      <c r="B1071" t="s">
        <v>75</v>
      </c>
      <c r="C1071" t="s">
        <v>74</v>
      </c>
      <c r="D1071" t="s">
        <v>428</v>
      </c>
      <c r="E1071" t="s">
        <v>423</v>
      </c>
      <c r="F1071" s="2"/>
    </row>
    <row r="1072" spans="1:6" x14ac:dyDescent="0.25">
      <c r="D1072" t="s">
        <v>437</v>
      </c>
      <c r="E1072" t="s">
        <v>410</v>
      </c>
      <c r="F1072" s="2"/>
    </row>
    <row r="1073" spans="1:6" x14ac:dyDescent="0.25">
      <c r="B1073" t="s">
        <v>587</v>
      </c>
      <c r="F1073" s="2"/>
    </row>
    <row r="1074" spans="1:6" x14ac:dyDescent="0.25">
      <c r="B1074" t="s">
        <v>96</v>
      </c>
      <c r="C1074" t="s">
        <v>95</v>
      </c>
      <c r="D1074" t="s">
        <v>433</v>
      </c>
      <c r="E1074" t="s">
        <v>420</v>
      </c>
      <c r="F1074" s="2"/>
    </row>
    <row r="1075" spans="1:6" x14ac:dyDescent="0.25">
      <c r="D1075" t="s">
        <v>430</v>
      </c>
      <c r="E1075" t="s">
        <v>424</v>
      </c>
      <c r="F1075" s="2"/>
    </row>
    <row r="1076" spans="1:6" x14ac:dyDescent="0.25">
      <c r="B1076" t="s">
        <v>597</v>
      </c>
      <c r="F1076" s="2"/>
    </row>
    <row r="1077" spans="1:6" x14ac:dyDescent="0.25">
      <c r="B1077" t="s">
        <v>500</v>
      </c>
      <c r="C1077" t="s">
        <v>414</v>
      </c>
      <c r="D1077" t="s">
        <v>433</v>
      </c>
      <c r="E1077" t="s">
        <v>421</v>
      </c>
      <c r="F1077" s="2"/>
    </row>
    <row r="1078" spans="1:6" x14ac:dyDescent="0.25">
      <c r="D1078" t="s">
        <v>429</v>
      </c>
      <c r="E1078" t="s">
        <v>422</v>
      </c>
      <c r="F1078" s="2"/>
    </row>
    <row r="1079" spans="1:6" x14ac:dyDescent="0.25">
      <c r="B1079" t="s">
        <v>551</v>
      </c>
      <c r="F1079" s="2"/>
    </row>
    <row r="1080" spans="1:6" x14ac:dyDescent="0.25">
      <c r="A1080" t="s">
        <v>538</v>
      </c>
      <c r="F1080" s="2"/>
    </row>
    <row r="1081" spans="1:6" x14ac:dyDescent="0.25">
      <c r="A1081" t="s">
        <v>539</v>
      </c>
      <c r="F1081" s="2">
        <v>31.530555555555559</v>
      </c>
    </row>
  </sheetData>
  <pageMargins left="0.7" right="0.7" top="0.75" bottom="0.75" header="0.3" footer="0.3"/>
  <pageSetup paperSize="9" orientation="portrait" horizontalDpi="360" verticalDpi="36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7157C-EA25-45B8-913D-8CACA296EB3E}">
  <sheetPr codeName="Sheet4"/>
  <dimension ref="A1:E219"/>
  <sheetViews>
    <sheetView workbookViewId="0">
      <selection activeCell="B8" sqref="B8"/>
    </sheetView>
  </sheetViews>
  <sheetFormatPr defaultRowHeight="15" x14ac:dyDescent="0.25"/>
  <cols>
    <col min="1" max="1" width="29.42578125" bestFit="1" customWidth="1"/>
    <col min="2" max="2" width="16.28515625" bestFit="1" customWidth="1"/>
    <col min="3" max="3" width="13.140625" bestFit="1" customWidth="1"/>
    <col min="4" max="4" width="15.140625" bestFit="1" customWidth="1"/>
    <col min="5" max="6" width="11.7109375" bestFit="1" customWidth="1"/>
    <col min="7" max="10" width="6.42578125" customWidth="1"/>
    <col min="11" max="11" width="11.85546875" bestFit="1" customWidth="1"/>
    <col min="12" max="12" width="10.7109375" bestFit="1" customWidth="1"/>
    <col min="13" max="14" width="11.7109375" bestFit="1" customWidth="1"/>
    <col min="15" max="20" width="6.42578125" customWidth="1"/>
    <col min="21" max="21" width="15.140625" bestFit="1" customWidth="1"/>
    <col min="22" max="22" width="14.28515625" bestFit="1" customWidth="1"/>
    <col min="23" max="23" width="13.140625" bestFit="1" customWidth="1"/>
    <col min="24" max="24" width="15.140625" bestFit="1" customWidth="1"/>
    <col min="25" max="25" width="11.7109375" bestFit="1" customWidth="1"/>
    <col min="26" max="26" width="7.28515625" bestFit="1" customWidth="1"/>
    <col min="27" max="27" width="16.140625" bestFit="1" customWidth="1"/>
    <col min="28" max="28" width="11.28515625" bestFit="1" customWidth="1"/>
    <col min="29" max="92" width="16.140625" bestFit="1" customWidth="1"/>
    <col min="93" max="93" width="11.28515625" bestFit="1" customWidth="1"/>
  </cols>
  <sheetData>
    <row r="1" spans="1:5" x14ac:dyDescent="0.25">
      <c r="A1" s="1" t="s">
        <v>0</v>
      </c>
      <c r="B1" s="1" t="s">
        <v>1</v>
      </c>
      <c r="C1" s="1" t="s">
        <v>540</v>
      </c>
      <c r="D1" s="1" t="s">
        <v>541</v>
      </c>
      <c r="E1" t="s">
        <v>427</v>
      </c>
    </row>
    <row r="2" spans="1:5" x14ac:dyDescent="0.25">
      <c r="A2" t="s">
        <v>4</v>
      </c>
      <c r="B2" t="s">
        <v>5</v>
      </c>
      <c r="C2" t="s">
        <v>542</v>
      </c>
      <c r="D2" t="s">
        <v>543</v>
      </c>
      <c r="E2" s="2">
        <v>27.5</v>
      </c>
    </row>
    <row r="3" spans="1:5" x14ac:dyDescent="0.25">
      <c r="D3" t="s">
        <v>544</v>
      </c>
      <c r="E3" s="2">
        <v>49.25</v>
      </c>
    </row>
    <row r="4" spans="1:5" x14ac:dyDescent="0.25">
      <c r="D4" t="s">
        <v>545</v>
      </c>
      <c r="E4" s="2">
        <v>62.5</v>
      </c>
    </row>
    <row r="5" spans="1:5" x14ac:dyDescent="0.25">
      <c r="B5" t="s">
        <v>546</v>
      </c>
      <c r="E5" s="2">
        <v>139.25</v>
      </c>
    </row>
    <row r="6" spans="1:5" x14ac:dyDescent="0.25">
      <c r="A6" t="s">
        <v>494</v>
      </c>
      <c r="E6" s="2">
        <v>139.25</v>
      </c>
    </row>
    <row r="7" spans="1:5" x14ac:dyDescent="0.25">
      <c r="A7" t="s">
        <v>7</v>
      </c>
      <c r="B7" t="s">
        <v>8</v>
      </c>
      <c r="C7" t="s">
        <v>542</v>
      </c>
      <c r="D7" t="s">
        <v>547</v>
      </c>
      <c r="E7" s="2">
        <v>4</v>
      </c>
    </row>
    <row r="8" spans="1:5" x14ac:dyDescent="0.25">
      <c r="B8" t="s">
        <v>548</v>
      </c>
      <c r="E8" s="2">
        <v>4</v>
      </c>
    </row>
    <row r="9" spans="1:5" x14ac:dyDescent="0.25">
      <c r="A9" t="s">
        <v>479</v>
      </c>
      <c r="E9" s="2">
        <v>4</v>
      </c>
    </row>
    <row r="10" spans="1:5" x14ac:dyDescent="0.25">
      <c r="A10" t="s">
        <v>310</v>
      </c>
      <c r="B10" t="s">
        <v>500</v>
      </c>
      <c r="C10" t="s">
        <v>549</v>
      </c>
      <c r="D10" t="s">
        <v>550</v>
      </c>
      <c r="E10" s="2">
        <v>41.25</v>
      </c>
    </row>
    <row r="11" spans="1:5" x14ac:dyDescent="0.25">
      <c r="C11" t="s">
        <v>542</v>
      </c>
      <c r="D11" t="s">
        <v>543</v>
      </c>
      <c r="E11" s="2">
        <v>25</v>
      </c>
    </row>
    <row r="12" spans="1:5" x14ac:dyDescent="0.25">
      <c r="D12" t="s">
        <v>544</v>
      </c>
      <c r="E12" s="2">
        <v>3.5</v>
      </c>
    </row>
    <row r="13" spans="1:5" x14ac:dyDescent="0.25">
      <c r="B13" t="s">
        <v>551</v>
      </c>
      <c r="E13" s="2">
        <v>69.75</v>
      </c>
    </row>
    <row r="14" spans="1:5" x14ac:dyDescent="0.25">
      <c r="A14" t="s">
        <v>501</v>
      </c>
      <c r="E14" s="2">
        <v>69.75</v>
      </c>
    </row>
    <row r="15" spans="1:5" x14ac:dyDescent="0.25">
      <c r="A15" t="s">
        <v>10</v>
      </c>
      <c r="B15" t="s">
        <v>11</v>
      </c>
      <c r="C15" t="s">
        <v>549</v>
      </c>
      <c r="D15" t="s">
        <v>552</v>
      </c>
      <c r="E15" s="2">
        <v>4</v>
      </c>
    </row>
    <row r="16" spans="1:5" x14ac:dyDescent="0.25">
      <c r="D16" t="s">
        <v>550</v>
      </c>
      <c r="E16" s="2">
        <v>4</v>
      </c>
    </row>
    <row r="17" spans="1:5" x14ac:dyDescent="0.25">
      <c r="C17" t="s">
        <v>542</v>
      </c>
      <c r="D17" t="s">
        <v>552</v>
      </c>
      <c r="E17" s="2">
        <v>4</v>
      </c>
    </row>
    <row r="18" spans="1:5" x14ac:dyDescent="0.25">
      <c r="B18" t="s">
        <v>553</v>
      </c>
      <c r="E18" s="2">
        <v>12</v>
      </c>
    </row>
    <row r="19" spans="1:5" x14ac:dyDescent="0.25">
      <c r="A19" t="s">
        <v>436</v>
      </c>
      <c r="E19" s="2">
        <v>12</v>
      </c>
    </row>
    <row r="20" spans="1:5" x14ac:dyDescent="0.25">
      <c r="A20" t="s">
        <v>12</v>
      </c>
      <c r="B20" t="s">
        <v>13</v>
      </c>
      <c r="C20" t="s">
        <v>549</v>
      </c>
      <c r="D20" t="s">
        <v>550</v>
      </c>
      <c r="E20" s="2">
        <v>15</v>
      </c>
    </row>
    <row r="21" spans="1:5" x14ac:dyDescent="0.25">
      <c r="C21" t="s">
        <v>542</v>
      </c>
      <c r="D21" t="s">
        <v>543</v>
      </c>
      <c r="E21" s="2">
        <v>7.5</v>
      </c>
    </row>
    <row r="22" spans="1:5" x14ac:dyDescent="0.25">
      <c r="D22" t="s">
        <v>554</v>
      </c>
      <c r="E22" s="2">
        <v>7.5</v>
      </c>
    </row>
    <row r="23" spans="1:5" x14ac:dyDescent="0.25">
      <c r="D23" t="s">
        <v>547</v>
      </c>
      <c r="E23" s="2">
        <v>15</v>
      </c>
    </row>
    <row r="24" spans="1:5" x14ac:dyDescent="0.25">
      <c r="D24" t="s">
        <v>555</v>
      </c>
      <c r="E24" s="2">
        <v>7.5</v>
      </c>
    </row>
    <row r="25" spans="1:5" x14ac:dyDescent="0.25">
      <c r="D25" t="s">
        <v>550</v>
      </c>
      <c r="E25" s="2">
        <v>15</v>
      </c>
    </row>
    <row r="26" spans="1:5" x14ac:dyDescent="0.25">
      <c r="C26" t="s">
        <v>622</v>
      </c>
      <c r="D26" t="s">
        <v>543</v>
      </c>
      <c r="E26" s="2">
        <v>7.5</v>
      </c>
    </row>
    <row r="27" spans="1:5" x14ac:dyDescent="0.25">
      <c r="B27" t="s">
        <v>556</v>
      </c>
      <c r="E27" s="2">
        <v>75</v>
      </c>
    </row>
    <row r="28" spans="1:5" x14ac:dyDescent="0.25">
      <c r="A28" t="s">
        <v>459</v>
      </c>
      <c r="E28" s="2">
        <v>75</v>
      </c>
    </row>
    <row r="29" spans="1:5" x14ac:dyDescent="0.25">
      <c r="A29" t="s">
        <v>14</v>
      </c>
      <c r="B29" t="s">
        <v>15</v>
      </c>
      <c r="C29" t="s">
        <v>549</v>
      </c>
      <c r="D29" t="s">
        <v>552</v>
      </c>
      <c r="E29" s="2">
        <v>13.5</v>
      </c>
    </row>
    <row r="30" spans="1:5" x14ac:dyDescent="0.25">
      <c r="D30" t="s">
        <v>550</v>
      </c>
      <c r="E30" s="2">
        <v>2</v>
      </c>
    </row>
    <row r="31" spans="1:5" x14ac:dyDescent="0.25">
      <c r="C31" t="s">
        <v>542</v>
      </c>
      <c r="D31" t="s">
        <v>557</v>
      </c>
      <c r="E31" s="2">
        <v>22.5</v>
      </c>
    </row>
    <row r="32" spans="1:5" x14ac:dyDescent="0.25">
      <c r="D32" t="s">
        <v>558</v>
      </c>
      <c r="E32" s="2">
        <v>6.25</v>
      </c>
    </row>
    <row r="33" spans="1:5" x14ac:dyDescent="0.25">
      <c r="C33" t="s">
        <v>622</v>
      </c>
      <c r="D33" t="s">
        <v>545</v>
      </c>
      <c r="E33" s="2">
        <v>2</v>
      </c>
    </row>
    <row r="34" spans="1:5" x14ac:dyDescent="0.25">
      <c r="B34" t="s">
        <v>559</v>
      </c>
      <c r="E34" s="2">
        <v>46.25</v>
      </c>
    </row>
    <row r="35" spans="1:5" x14ac:dyDescent="0.25">
      <c r="A35" t="s">
        <v>467</v>
      </c>
      <c r="E35" s="2">
        <v>46.25</v>
      </c>
    </row>
    <row r="36" spans="1:5" x14ac:dyDescent="0.25">
      <c r="A36" t="s">
        <v>16</v>
      </c>
      <c r="B36" t="s">
        <v>17</v>
      </c>
      <c r="C36" t="s">
        <v>542</v>
      </c>
      <c r="D36" t="s">
        <v>558</v>
      </c>
      <c r="E36" s="2">
        <v>5</v>
      </c>
    </row>
    <row r="37" spans="1:5" x14ac:dyDescent="0.25">
      <c r="B37" t="s">
        <v>560</v>
      </c>
      <c r="E37" s="2">
        <v>5</v>
      </c>
    </row>
    <row r="38" spans="1:5" x14ac:dyDescent="0.25">
      <c r="A38" t="s">
        <v>464</v>
      </c>
      <c r="E38" s="2">
        <v>5</v>
      </c>
    </row>
    <row r="39" spans="1:5" x14ac:dyDescent="0.25">
      <c r="A39" t="s">
        <v>18</v>
      </c>
      <c r="B39" t="s">
        <v>19</v>
      </c>
      <c r="C39" t="s">
        <v>542</v>
      </c>
      <c r="D39" t="s">
        <v>547</v>
      </c>
      <c r="E39" s="2">
        <v>7.5</v>
      </c>
    </row>
    <row r="40" spans="1:5" x14ac:dyDescent="0.25">
      <c r="D40" t="s">
        <v>557</v>
      </c>
      <c r="E40" s="2">
        <v>10</v>
      </c>
    </row>
    <row r="41" spans="1:5" x14ac:dyDescent="0.25">
      <c r="D41" t="s">
        <v>558</v>
      </c>
      <c r="E41" s="2">
        <v>22.5</v>
      </c>
    </row>
    <row r="42" spans="1:5" x14ac:dyDescent="0.25">
      <c r="B42" t="s">
        <v>561</v>
      </c>
      <c r="E42" s="2">
        <v>40</v>
      </c>
    </row>
    <row r="43" spans="1:5" x14ac:dyDescent="0.25">
      <c r="A43" t="s">
        <v>465</v>
      </c>
      <c r="E43" s="2">
        <v>40</v>
      </c>
    </row>
    <row r="44" spans="1:5" x14ac:dyDescent="0.25">
      <c r="A44" t="s">
        <v>414</v>
      </c>
      <c r="B44" t="s">
        <v>500</v>
      </c>
      <c r="C44" t="s">
        <v>549</v>
      </c>
      <c r="D44" t="s">
        <v>562</v>
      </c>
      <c r="E44" s="2">
        <v>11.5</v>
      </c>
    </row>
    <row r="45" spans="1:5" x14ac:dyDescent="0.25">
      <c r="D45" t="s">
        <v>552</v>
      </c>
      <c r="E45" s="2">
        <v>4.5</v>
      </c>
    </row>
    <row r="46" spans="1:5" x14ac:dyDescent="0.25">
      <c r="B46" t="s">
        <v>551</v>
      </c>
      <c r="E46" s="2">
        <v>16</v>
      </c>
    </row>
    <row r="47" spans="1:5" x14ac:dyDescent="0.25">
      <c r="A47" t="s">
        <v>535</v>
      </c>
      <c r="E47" s="2">
        <v>16</v>
      </c>
    </row>
    <row r="48" spans="1:5" x14ac:dyDescent="0.25">
      <c r="A48" t="s">
        <v>20</v>
      </c>
      <c r="B48" t="s">
        <v>21</v>
      </c>
      <c r="C48" t="s">
        <v>542</v>
      </c>
      <c r="D48" t="s">
        <v>547</v>
      </c>
      <c r="E48" s="2">
        <v>3.5</v>
      </c>
    </row>
    <row r="49" spans="1:5" x14ac:dyDescent="0.25">
      <c r="B49" t="s">
        <v>563</v>
      </c>
      <c r="E49" s="2">
        <v>3.5</v>
      </c>
    </row>
    <row r="50" spans="1:5" x14ac:dyDescent="0.25">
      <c r="A50" t="s">
        <v>478</v>
      </c>
      <c r="E50" s="2">
        <v>3.5</v>
      </c>
    </row>
    <row r="51" spans="1:5" x14ac:dyDescent="0.25">
      <c r="A51" t="s">
        <v>23</v>
      </c>
      <c r="B51" t="s">
        <v>24</v>
      </c>
      <c r="C51" t="s">
        <v>549</v>
      </c>
      <c r="D51" t="s">
        <v>552</v>
      </c>
      <c r="E51" s="2">
        <v>13.75</v>
      </c>
    </row>
    <row r="52" spans="1:5" x14ac:dyDescent="0.25">
      <c r="D52" t="s">
        <v>550</v>
      </c>
      <c r="E52" s="2">
        <v>11.25</v>
      </c>
    </row>
    <row r="53" spans="1:5" x14ac:dyDescent="0.25">
      <c r="C53" t="s">
        <v>542</v>
      </c>
      <c r="D53" t="s">
        <v>543</v>
      </c>
      <c r="E53" s="2">
        <v>11.25</v>
      </c>
    </row>
    <row r="54" spans="1:5" x14ac:dyDescent="0.25">
      <c r="D54" t="s">
        <v>557</v>
      </c>
      <c r="E54" s="2">
        <v>4.75</v>
      </c>
    </row>
    <row r="55" spans="1:5" x14ac:dyDescent="0.25">
      <c r="D55" t="s">
        <v>558</v>
      </c>
      <c r="E55" s="2">
        <v>3.5</v>
      </c>
    </row>
    <row r="56" spans="1:5" x14ac:dyDescent="0.25">
      <c r="B56" t="s">
        <v>564</v>
      </c>
      <c r="E56" s="2">
        <v>44.5</v>
      </c>
    </row>
    <row r="57" spans="1:5" x14ac:dyDescent="0.25">
      <c r="A57" t="s">
        <v>471</v>
      </c>
      <c r="E57" s="2">
        <v>44.5</v>
      </c>
    </row>
    <row r="58" spans="1:5" x14ac:dyDescent="0.25">
      <c r="A58" t="s">
        <v>25</v>
      </c>
      <c r="B58" t="s">
        <v>26</v>
      </c>
      <c r="C58" t="s">
        <v>542</v>
      </c>
      <c r="D58" t="s">
        <v>543</v>
      </c>
      <c r="E58" s="2">
        <v>2</v>
      </c>
    </row>
    <row r="59" spans="1:5" x14ac:dyDescent="0.25">
      <c r="B59" t="s">
        <v>565</v>
      </c>
      <c r="E59" s="2">
        <v>2</v>
      </c>
    </row>
    <row r="60" spans="1:5" x14ac:dyDescent="0.25">
      <c r="A60" t="s">
        <v>514</v>
      </c>
      <c r="E60" s="2">
        <v>2</v>
      </c>
    </row>
    <row r="61" spans="1:5" x14ac:dyDescent="0.25">
      <c r="A61" t="s">
        <v>28</v>
      </c>
      <c r="B61" t="s">
        <v>29</v>
      </c>
      <c r="C61" t="s">
        <v>549</v>
      </c>
      <c r="D61" t="s">
        <v>552</v>
      </c>
      <c r="E61" s="2">
        <v>12.5</v>
      </c>
    </row>
    <row r="62" spans="1:5" x14ac:dyDescent="0.25">
      <c r="B62" t="s">
        <v>566</v>
      </c>
      <c r="E62" s="2">
        <v>12.5</v>
      </c>
    </row>
    <row r="63" spans="1:5" x14ac:dyDescent="0.25">
      <c r="A63" t="s">
        <v>529</v>
      </c>
      <c r="E63" s="2">
        <v>12.5</v>
      </c>
    </row>
    <row r="64" spans="1:5" x14ac:dyDescent="0.25">
      <c r="A64" t="s">
        <v>30</v>
      </c>
      <c r="B64" t="s">
        <v>31</v>
      </c>
      <c r="C64" t="s">
        <v>549</v>
      </c>
      <c r="D64" t="s">
        <v>550</v>
      </c>
      <c r="E64" s="2">
        <v>3.5</v>
      </c>
    </row>
    <row r="65" spans="1:5" x14ac:dyDescent="0.25">
      <c r="C65" t="s">
        <v>542</v>
      </c>
      <c r="D65" t="s">
        <v>543</v>
      </c>
      <c r="E65" s="2">
        <v>13</v>
      </c>
    </row>
    <row r="66" spans="1:5" x14ac:dyDescent="0.25">
      <c r="B66" t="s">
        <v>567</v>
      </c>
      <c r="E66" s="2">
        <v>16.5</v>
      </c>
    </row>
    <row r="67" spans="1:5" x14ac:dyDescent="0.25">
      <c r="A67" t="s">
        <v>518</v>
      </c>
      <c r="E67" s="2">
        <v>16.5</v>
      </c>
    </row>
    <row r="68" spans="1:5" x14ac:dyDescent="0.25">
      <c r="A68" t="s">
        <v>32</v>
      </c>
      <c r="B68" t="s">
        <v>33</v>
      </c>
      <c r="C68" t="s">
        <v>542</v>
      </c>
      <c r="D68" t="s">
        <v>544</v>
      </c>
      <c r="E68" s="2">
        <v>12.25</v>
      </c>
    </row>
    <row r="69" spans="1:5" x14ac:dyDescent="0.25">
      <c r="B69" t="s">
        <v>568</v>
      </c>
      <c r="E69" s="2">
        <v>12.25</v>
      </c>
    </row>
    <row r="70" spans="1:5" x14ac:dyDescent="0.25">
      <c r="A70" t="s">
        <v>511</v>
      </c>
      <c r="E70" s="2">
        <v>12.25</v>
      </c>
    </row>
    <row r="71" spans="1:5" x14ac:dyDescent="0.25">
      <c r="A71" t="s">
        <v>34</v>
      </c>
      <c r="B71" t="s">
        <v>35</v>
      </c>
      <c r="C71" t="s">
        <v>542</v>
      </c>
      <c r="D71" t="s">
        <v>545</v>
      </c>
      <c r="E71" s="2">
        <v>5</v>
      </c>
    </row>
    <row r="72" spans="1:5" x14ac:dyDescent="0.25">
      <c r="B72" t="s">
        <v>569</v>
      </c>
      <c r="E72" s="2">
        <v>5</v>
      </c>
    </row>
    <row r="73" spans="1:5" x14ac:dyDescent="0.25">
      <c r="A73" t="s">
        <v>498</v>
      </c>
      <c r="E73" s="2">
        <v>5</v>
      </c>
    </row>
    <row r="74" spans="1:5" x14ac:dyDescent="0.25">
      <c r="A74" t="s">
        <v>36</v>
      </c>
      <c r="B74" t="s">
        <v>37</v>
      </c>
      <c r="C74" t="s">
        <v>549</v>
      </c>
      <c r="D74" t="s">
        <v>550</v>
      </c>
      <c r="E74" s="2">
        <v>2</v>
      </c>
    </row>
    <row r="75" spans="1:5" x14ac:dyDescent="0.25">
      <c r="B75" t="s">
        <v>570</v>
      </c>
      <c r="E75" s="2">
        <v>2</v>
      </c>
    </row>
    <row r="76" spans="1:5" x14ac:dyDescent="0.25">
      <c r="A76" t="s">
        <v>525</v>
      </c>
      <c r="E76" s="2">
        <v>2</v>
      </c>
    </row>
    <row r="77" spans="1:5" x14ac:dyDescent="0.25">
      <c r="A77" t="s">
        <v>38</v>
      </c>
      <c r="B77" t="s">
        <v>39</v>
      </c>
      <c r="C77" t="s">
        <v>549</v>
      </c>
      <c r="D77" t="s">
        <v>552</v>
      </c>
      <c r="E77" s="2">
        <v>3</v>
      </c>
    </row>
    <row r="78" spans="1:5" x14ac:dyDescent="0.25">
      <c r="B78" t="s">
        <v>571</v>
      </c>
      <c r="E78" s="2">
        <v>3</v>
      </c>
    </row>
    <row r="79" spans="1:5" x14ac:dyDescent="0.25">
      <c r="A79" t="s">
        <v>530</v>
      </c>
      <c r="E79" s="2">
        <v>3</v>
      </c>
    </row>
    <row r="80" spans="1:5" x14ac:dyDescent="0.25">
      <c r="A80" t="s">
        <v>40</v>
      </c>
      <c r="B80" t="s">
        <v>41</v>
      </c>
      <c r="C80" t="s">
        <v>542</v>
      </c>
      <c r="D80" t="s">
        <v>543</v>
      </c>
      <c r="E80" s="2">
        <v>2</v>
      </c>
    </row>
    <row r="81" spans="1:5" x14ac:dyDescent="0.25">
      <c r="D81" t="s">
        <v>544</v>
      </c>
      <c r="E81" s="2">
        <v>1</v>
      </c>
    </row>
    <row r="82" spans="1:5" x14ac:dyDescent="0.25">
      <c r="D82" t="s">
        <v>557</v>
      </c>
      <c r="E82" s="2">
        <v>2</v>
      </c>
    </row>
    <row r="83" spans="1:5" x14ac:dyDescent="0.25">
      <c r="D83" t="s">
        <v>558</v>
      </c>
      <c r="E83" s="2">
        <v>5</v>
      </c>
    </row>
    <row r="84" spans="1:5" x14ac:dyDescent="0.25">
      <c r="C84" t="s">
        <v>622</v>
      </c>
      <c r="D84" t="s">
        <v>543</v>
      </c>
      <c r="E84" s="2">
        <v>2.5</v>
      </c>
    </row>
    <row r="85" spans="1:5" x14ac:dyDescent="0.25">
      <c r="D85" t="s">
        <v>544</v>
      </c>
      <c r="E85" s="2">
        <v>20.5</v>
      </c>
    </row>
    <row r="86" spans="1:5" x14ac:dyDescent="0.25">
      <c r="D86" t="s">
        <v>545</v>
      </c>
      <c r="E86" s="2">
        <v>9</v>
      </c>
    </row>
    <row r="87" spans="1:5" x14ac:dyDescent="0.25">
      <c r="B87" t="s">
        <v>572</v>
      </c>
      <c r="E87" s="2">
        <v>42</v>
      </c>
    </row>
    <row r="88" spans="1:5" x14ac:dyDescent="0.25">
      <c r="A88" t="s">
        <v>469</v>
      </c>
      <c r="E88" s="2">
        <v>42</v>
      </c>
    </row>
    <row r="89" spans="1:5" x14ac:dyDescent="0.25">
      <c r="A89" t="s">
        <v>43</v>
      </c>
      <c r="B89" t="s">
        <v>44</v>
      </c>
      <c r="C89" t="s">
        <v>542</v>
      </c>
      <c r="D89" t="s">
        <v>562</v>
      </c>
      <c r="E89" s="2">
        <v>9.5</v>
      </c>
    </row>
    <row r="90" spans="1:5" x14ac:dyDescent="0.25">
      <c r="B90" t="s">
        <v>573</v>
      </c>
      <c r="E90" s="2">
        <v>9.5</v>
      </c>
    </row>
    <row r="91" spans="1:5" x14ac:dyDescent="0.25">
      <c r="A91" t="s">
        <v>450</v>
      </c>
      <c r="E91" s="2">
        <v>9.5</v>
      </c>
    </row>
    <row r="92" spans="1:5" x14ac:dyDescent="0.25">
      <c r="A92" t="s">
        <v>45</v>
      </c>
      <c r="B92" t="s">
        <v>46</v>
      </c>
      <c r="C92" t="s">
        <v>549</v>
      </c>
      <c r="D92" t="s">
        <v>552</v>
      </c>
      <c r="E92" s="2">
        <v>23.5</v>
      </c>
    </row>
    <row r="93" spans="1:5" x14ac:dyDescent="0.25">
      <c r="D93" t="s">
        <v>550</v>
      </c>
      <c r="E93" s="2">
        <v>2</v>
      </c>
    </row>
    <row r="94" spans="1:5" x14ac:dyDescent="0.25">
      <c r="B94" t="s">
        <v>574</v>
      </c>
      <c r="E94" s="2">
        <v>25.5</v>
      </c>
    </row>
    <row r="95" spans="1:5" x14ac:dyDescent="0.25">
      <c r="A95" t="s">
        <v>522</v>
      </c>
      <c r="E95" s="2">
        <v>25.5</v>
      </c>
    </row>
    <row r="96" spans="1:5" x14ac:dyDescent="0.25">
      <c r="A96" t="s">
        <v>48</v>
      </c>
      <c r="B96" t="s">
        <v>49</v>
      </c>
      <c r="C96" t="s">
        <v>549</v>
      </c>
      <c r="D96" t="s">
        <v>552</v>
      </c>
      <c r="E96" s="2">
        <v>4</v>
      </c>
    </row>
    <row r="97" spans="1:5" x14ac:dyDescent="0.25">
      <c r="D97" t="s">
        <v>550</v>
      </c>
      <c r="E97" s="2">
        <v>10</v>
      </c>
    </row>
    <row r="98" spans="1:5" x14ac:dyDescent="0.25">
      <c r="C98" t="s">
        <v>542</v>
      </c>
      <c r="D98" t="s">
        <v>543</v>
      </c>
      <c r="E98" s="2">
        <v>14.25</v>
      </c>
    </row>
    <row r="99" spans="1:5" x14ac:dyDescent="0.25">
      <c r="D99" t="s">
        <v>544</v>
      </c>
      <c r="E99" s="2">
        <v>7.75</v>
      </c>
    </row>
    <row r="100" spans="1:5" x14ac:dyDescent="0.25">
      <c r="B100" t="s">
        <v>575</v>
      </c>
      <c r="E100" s="2">
        <v>36</v>
      </c>
    </row>
    <row r="101" spans="1:5" x14ac:dyDescent="0.25">
      <c r="A101" t="s">
        <v>502</v>
      </c>
      <c r="E101" s="2">
        <v>36</v>
      </c>
    </row>
    <row r="102" spans="1:5" x14ac:dyDescent="0.25">
      <c r="A102" t="s">
        <v>51</v>
      </c>
      <c r="B102" t="s">
        <v>52</v>
      </c>
      <c r="C102" t="s">
        <v>549</v>
      </c>
      <c r="D102" t="s">
        <v>552</v>
      </c>
      <c r="E102" s="2">
        <v>3.5</v>
      </c>
    </row>
    <row r="103" spans="1:5" x14ac:dyDescent="0.25">
      <c r="C103" t="s">
        <v>542</v>
      </c>
      <c r="D103" t="s">
        <v>543</v>
      </c>
      <c r="E103" s="2">
        <v>4.5</v>
      </c>
    </row>
    <row r="104" spans="1:5" x14ac:dyDescent="0.25">
      <c r="B104" t="s">
        <v>576</v>
      </c>
      <c r="E104" s="2">
        <v>8</v>
      </c>
    </row>
    <row r="105" spans="1:5" x14ac:dyDescent="0.25">
      <c r="A105" t="s">
        <v>517</v>
      </c>
      <c r="E105" s="2">
        <v>8</v>
      </c>
    </row>
    <row r="106" spans="1:5" x14ac:dyDescent="0.25">
      <c r="A106" t="s">
        <v>53</v>
      </c>
      <c r="B106" t="s">
        <v>54</v>
      </c>
      <c r="C106" t="s">
        <v>549</v>
      </c>
      <c r="D106" t="s">
        <v>552</v>
      </c>
      <c r="E106" s="2">
        <v>11.25</v>
      </c>
    </row>
    <row r="107" spans="1:5" x14ac:dyDescent="0.25">
      <c r="B107" t="s">
        <v>577</v>
      </c>
      <c r="E107" s="2">
        <v>11.25</v>
      </c>
    </row>
    <row r="108" spans="1:5" x14ac:dyDescent="0.25">
      <c r="A108" t="s">
        <v>532</v>
      </c>
      <c r="E108" s="2">
        <v>11.25</v>
      </c>
    </row>
    <row r="109" spans="1:5" x14ac:dyDescent="0.25">
      <c r="A109" t="s">
        <v>55</v>
      </c>
      <c r="B109" t="s">
        <v>56</v>
      </c>
      <c r="C109" t="s">
        <v>542</v>
      </c>
      <c r="D109" t="s">
        <v>543</v>
      </c>
      <c r="E109" s="2">
        <v>22.5</v>
      </c>
    </row>
    <row r="110" spans="1:5" x14ac:dyDescent="0.25">
      <c r="D110" t="s">
        <v>544</v>
      </c>
      <c r="E110" s="2">
        <v>7.5</v>
      </c>
    </row>
    <row r="111" spans="1:5" x14ac:dyDescent="0.25">
      <c r="B111" t="s">
        <v>578</v>
      </c>
      <c r="E111" s="2">
        <v>30</v>
      </c>
    </row>
    <row r="112" spans="1:5" x14ac:dyDescent="0.25">
      <c r="A112" t="s">
        <v>510</v>
      </c>
      <c r="E112" s="2">
        <v>30</v>
      </c>
    </row>
    <row r="113" spans="1:5" x14ac:dyDescent="0.25">
      <c r="A113" t="s">
        <v>60</v>
      </c>
      <c r="B113" t="s">
        <v>506</v>
      </c>
      <c r="C113" t="s">
        <v>542</v>
      </c>
      <c r="D113" t="s">
        <v>544</v>
      </c>
      <c r="E113" s="2">
        <v>4</v>
      </c>
    </row>
    <row r="114" spans="1:5" x14ac:dyDescent="0.25">
      <c r="B114" t="s">
        <v>579</v>
      </c>
      <c r="E114" s="2">
        <v>4</v>
      </c>
    </row>
    <row r="115" spans="1:5" x14ac:dyDescent="0.25">
      <c r="A115" t="s">
        <v>507</v>
      </c>
      <c r="E115" s="2">
        <v>4</v>
      </c>
    </row>
    <row r="116" spans="1:5" x14ac:dyDescent="0.25">
      <c r="A116" t="s">
        <v>61</v>
      </c>
      <c r="B116" t="s">
        <v>62</v>
      </c>
      <c r="C116" t="s">
        <v>549</v>
      </c>
      <c r="D116" t="s">
        <v>552</v>
      </c>
      <c r="E116" s="2">
        <v>2.5</v>
      </c>
    </row>
    <row r="117" spans="1:5" x14ac:dyDescent="0.25">
      <c r="C117" t="s">
        <v>622</v>
      </c>
      <c r="D117" t="s">
        <v>544</v>
      </c>
      <c r="E117" s="2">
        <v>4</v>
      </c>
    </row>
    <row r="118" spans="1:5" x14ac:dyDescent="0.25">
      <c r="B118" t="s">
        <v>580</v>
      </c>
      <c r="E118" s="2">
        <v>6.5</v>
      </c>
    </row>
    <row r="119" spans="1:5" x14ac:dyDescent="0.25">
      <c r="A119" t="s">
        <v>536</v>
      </c>
      <c r="E119" s="2">
        <v>6.5</v>
      </c>
    </row>
    <row r="120" spans="1:5" x14ac:dyDescent="0.25">
      <c r="A120" t="s">
        <v>63</v>
      </c>
      <c r="B120" t="s">
        <v>64</v>
      </c>
      <c r="C120" t="s">
        <v>542</v>
      </c>
      <c r="D120" t="s">
        <v>562</v>
      </c>
      <c r="E120" s="2">
        <v>32.25</v>
      </c>
    </row>
    <row r="121" spans="1:5" x14ac:dyDescent="0.25">
      <c r="B121" t="s">
        <v>581</v>
      </c>
      <c r="E121" s="2">
        <v>32.25</v>
      </c>
    </row>
    <row r="122" spans="1:5" x14ac:dyDescent="0.25">
      <c r="A122" t="s">
        <v>448</v>
      </c>
      <c r="E122" s="2">
        <v>32.25</v>
      </c>
    </row>
    <row r="123" spans="1:5" x14ac:dyDescent="0.25">
      <c r="A123" t="s">
        <v>65</v>
      </c>
      <c r="B123" t="s">
        <v>432</v>
      </c>
      <c r="C123" t="s">
        <v>542</v>
      </c>
      <c r="D123" t="s">
        <v>582</v>
      </c>
      <c r="E123" s="2">
        <v>65.75</v>
      </c>
    </row>
    <row r="124" spans="1:5" x14ac:dyDescent="0.25">
      <c r="D124" t="s">
        <v>562</v>
      </c>
      <c r="E124" s="2">
        <v>70.5</v>
      </c>
    </row>
    <row r="125" spans="1:5" x14ac:dyDescent="0.25">
      <c r="D125" t="s">
        <v>552</v>
      </c>
      <c r="E125" s="2">
        <v>96</v>
      </c>
    </row>
    <row r="126" spans="1:5" x14ac:dyDescent="0.25">
      <c r="D126" t="s">
        <v>550</v>
      </c>
      <c r="E126" s="2">
        <v>83.5</v>
      </c>
    </row>
    <row r="127" spans="1:5" x14ac:dyDescent="0.25">
      <c r="C127" t="s">
        <v>622</v>
      </c>
      <c r="D127" t="s">
        <v>543</v>
      </c>
      <c r="E127" s="2">
        <v>95.25</v>
      </c>
    </row>
    <row r="128" spans="1:5" x14ac:dyDescent="0.25">
      <c r="B128" t="s">
        <v>583</v>
      </c>
      <c r="E128" s="2">
        <v>411</v>
      </c>
    </row>
    <row r="129" spans="1:5" x14ac:dyDescent="0.25">
      <c r="A129" t="s">
        <v>434</v>
      </c>
      <c r="E129" s="2">
        <v>411</v>
      </c>
    </row>
    <row r="130" spans="1:5" x14ac:dyDescent="0.25">
      <c r="A130" t="s">
        <v>68</v>
      </c>
      <c r="B130" t="s">
        <v>69</v>
      </c>
      <c r="C130" t="s">
        <v>549</v>
      </c>
      <c r="D130" t="s">
        <v>552</v>
      </c>
      <c r="E130" s="2">
        <v>3.75</v>
      </c>
    </row>
    <row r="131" spans="1:5" x14ac:dyDescent="0.25">
      <c r="D131" t="s">
        <v>550</v>
      </c>
      <c r="E131" s="2">
        <v>30</v>
      </c>
    </row>
    <row r="132" spans="1:5" x14ac:dyDescent="0.25">
      <c r="C132" t="s">
        <v>542</v>
      </c>
      <c r="D132" t="s">
        <v>544</v>
      </c>
      <c r="E132" s="2">
        <v>37.5</v>
      </c>
    </row>
    <row r="133" spans="1:5" x14ac:dyDescent="0.25">
      <c r="D133" t="s">
        <v>554</v>
      </c>
      <c r="E133" s="2">
        <v>7.5</v>
      </c>
    </row>
    <row r="134" spans="1:5" x14ac:dyDescent="0.25">
      <c r="D134" t="s">
        <v>547</v>
      </c>
      <c r="E134" s="2">
        <v>7.5</v>
      </c>
    </row>
    <row r="135" spans="1:5" x14ac:dyDescent="0.25">
      <c r="D135" t="s">
        <v>557</v>
      </c>
      <c r="E135" s="2">
        <v>26.25</v>
      </c>
    </row>
    <row r="136" spans="1:5" x14ac:dyDescent="0.25">
      <c r="D136" t="s">
        <v>558</v>
      </c>
      <c r="E136" s="2">
        <v>15</v>
      </c>
    </row>
    <row r="137" spans="1:5" x14ac:dyDescent="0.25">
      <c r="D137" t="s">
        <v>555</v>
      </c>
      <c r="E137" s="2">
        <v>45</v>
      </c>
    </row>
    <row r="138" spans="1:5" x14ac:dyDescent="0.25">
      <c r="D138" t="s">
        <v>582</v>
      </c>
      <c r="E138" s="2">
        <v>37.5</v>
      </c>
    </row>
    <row r="139" spans="1:5" x14ac:dyDescent="0.25">
      <c r="D139" t="s">
        <v>550</v>
      </c>
      <c r="E139" s="2">
        <v>22.5</v>
      </c>
    </row>
    <row r="140" spans="1:5" x14ac:dyDescent="0.25">
      <c r="C140" t="s">
        <v>622</v>
      </c>
      <c r="D140" t="s">
        <v>543</v>
      </c>
      <c r="E140" s="2">
        <v>15</v>
      </c>
    </row>
    <row r="141" spans="1:5" x14ac:dyDescent="0.25">
      <c r="B141" t="s">
        <v>584</v>
      </c>
      <c r="E141" s="2">
        <v>247.5</v>
      </c>
    </row>
    <row r="142" spans="1:5" x14ac:dyDescent="0.25">
      <c r="A142" t="s">
        <v>457</v>
      </c>
      <c r="E142" s="2">
        <v>247.5</v>
      </c>
    </row>
    <row r="143" spans="1:5" x14ac:dyDescent="0.25">
      <c r="A143" t="s">
        <v>70</v>
      </c>
      <c r="B143" t="s">
        <v>71</v>
      </c>
      <c r="C143" t="s">
        <v>542</v>
      </c>
      <c r="D143" t="s">
        <v>543</v>
      </c>
      <c r="E143" s="2">
        <v>18</v>
      </c>
    </row>
    <row r="144" spans="1:5" x14ac:dyDescent="0.25">
      <c r="D144" t="s">
        <v>544</v>
      </c>
      <c r="E144" s="2">
        <v>10.25</v>
      </c>
    </row>
    <row r="145" spans="1:5" x14ac:dyDescent="0.25">
      <c r="D145" t="s">
        <v>547</v>
      </c>
      <c r="E145" s="2">
        <v>7.5</v>
      </c>
    </row>
    <row r="146" spans="1:5" x14ac:dyDescent="0.25">
      <c r="D146" t="s">
        <v>550</v>
      </c>
      <c r="E146" s="2">
        <v>11.5</v>
      </c>
    </row>
    <row r="147" spans="1:5" x14ac:dyDescent="0.25">
      <c r="B147" t="s">
        <v>585</v>
      </c>
      <c r="E147" s="2">
        <v>47.25</v>
      </c>
    </row>
    <row r="148" spans="1:5" x14ac:dyDescent="0.25">
      <c r="A148" t="s">
        <v>485</v>
      </c>
      <c r="E148" s="2">
        <v>47.25</v>
      </c>
    </row>
    <row r="149" spans="1:5" x14ac:dyDescent="0.25">
      <c r="A149" t="s">
        <v>72</v>
      </c>
      <c r="B149" t="s">
        <v>73</v>
      </c>
      <c r="C149" t="s">
        <v>542</v>
      </c>
      <c r="D149" t="s">
        <v>544</v>
      </c>
      <c r="E149" s="2">
        <v>3</v>
      </c>
    </row>
    <row r="150" spans="1:5" x14ac:dyDescent="0.25">
      <c r="D150" t="s">
        <v>545</v>
      </c>
      <c r="E150" s="2">
        <v>7.5</v>
      </c>
    </row>
    <row r="151" spans="1:5" x14ac:dyDescent="0.25">
      <c r="B151" t="s">
        <v>586</v>
      </c>
      <c r="E151" s="2">
        <v>10.5</v>
      </c>
    </row>
    <row r="152" spans="1:5" x14ac:dyDescent="0.25">
      <c r="A152" t="s">
        <v>497</v>
      </c>
      <c r="E152" s="2">
        <v>10.5</v>
      </c>
    </row>
    <row r="153" spans="1:5" x14ac:dyDescent="0.25">
      <c r="A153" t="s">
        <v>74</v>
      </c>
      <c r="B153" t="s">
        <v>75</v>
      </c>
      <c r="C153" t="s">
        <v>549</v>
      </c>
      <c r="D153" t="s">
        <v>562</v>
      </c>
      <c r="E153" s="2">
        <v>7.5</v>
      </c>
    </row>
    <row r="154" spans="1:5" x14ac:dyDescent="0.25">
      <c r="D154" t="s">
        <v>552</v>
      </c>
      <c r="E154" s="2">
        <v>31.25</v>
      </c>
    </row>
    <row r="155" spans="1:5" x14ac:dyDescent="0.25">
      <c r="C155" t="s">
        <v>542</v>
      </c>
      <c r="D155" t="s">
        <v>544</v>
      </c>
      <c r="E155" s="2">
        <v>4.5</v>
      </c>
    </row>
    <row r="156" spans="1:5" x14ac:dyDescent="0.25">
      <c r="D156" t="s">
        <v>545</v>
      </c>
      <c r="E156" s="2">
        <v>10</v>
      </c>
    </row>
    <row r="157" spans="1:5" x14ac:dyDescent="0.25">
      <c r="D157" t="s">
        <v>554</v>
      </c>
      <c r="E157" s="2">
        <v>7.5</v>
      </c>
    </row>
    <row r="158" spans="1:5" x14ac:dyDescent="0.25">
      <c r="B158" t="s">
        <v>587</v>
      </c>
      <c r="E158" s="2">
        <v>60.75</v>
      </c>
    </row>
    <row r="159" spans="1:5" x14ac:dyDescent="0.25">
      <c r="A159" t="s">
        <v>490</v>
      </c>
      <c r="E159" s="2">
        <v>60.75</v>
      </c>
    </row>
    <row r="160" spans="1:5" x14ac:dyDescent="0.25">
      <c r="A160" t="s">
        <v>76</v>
      </c>
      <c r="B160" t="s">
        <v>77</v>
      </c>
      <c r="C160" t="s">
        <v>549</v>
      </c>
      <c r="D160" t="s">
        <v>550</v>
      </c>
      <c r="E160" s="2">
        <v>7.5</v>
      </c>
    </row>
    <row r="161" spans="1:5" x14ac:dyDescent="0.25">
      <c r="B161" t="s">
        <v>588</v>
      </c>
      <c r="E161" s="2">
        <v>7.5</v>
      </c>
    </row>
    <row r="162" spans="1:5" x14ac:dyDescent="0.25">
      <c r="A162" t="s">
        <v>527</v>
      </c>
      <c r="E162" s="2">
        <v>7.5</v>
      </c>
    </row>
    <row r="163" spans="1:5" x14ac:dyDescent="0.25">
      <c r="A163" t="s">
        <v>78</v>
      </c>
      <c r="B163" t="s">
        <v>79</v>
      </c>
      <c r="C163" t="s">
        <v>549</v>
      </c>
      <c r="D163" t="s">
        <v>550</v>
      </c>
      <c r="E163" s="2">
        <v>16.5</v>
      </c>
    </row>
    <row r="164" spans="1:5" x14ac:dyDescent="0.25">
      <c r="B164" t="s">
        <v>589</v>
      </c>
      <c r="E164" s="2">
        <v>16.5</v>
      </c>
    </row>
    <row r="165" spans="1:5" x14ac:dyDescent="0.25">
      <c r="A165" t="s">
        <v>524</v>
      </c>
      <c r="E165" s="2">
        <v>16.5</v>
      </c>
    </row>
    <row r="166" spans="1:5" x14ac:dyDescent="0.25">
      <c r="A166" t="s">
        <v>80</v>
      </c>
      <c r="B166" t="s">
        <v>81</v>
      </c>
      <c r="C166" t="s">
        <v>549</v>
      </c>
      <c r="D166" t="s">
        <v>552</v>
      </c>
      <c r="E166" s="2">
        <v>3.75</v>
      </c>
    </row>
    <row r="167" spans="1:5" x14ac:dyDescent="0.25">
      <c r="D167" t="s">
        <v>550</v>
      </c>
      <c r="E167" s="2">
        <v>1</v>
      </c>
    </row>
    <row r="168" spans="1:5" x14ac:dyDescent="0.25">
      <c r="C168" t="s">
        <v>542</v>
      </c>
      <c r="D168" t="s">
        <v>547</v>
      </c>
      <c r="E168" s="2">
        <v>1</v>
      </c>
    </row>
    <row r="169" spans="1:5" x14ac:dyDescent="0.25">
      <c r="D169" t="s">
        <v>552</v>
      </c>
      <c r="E169" s="2">
        <v>2</v>
      </c>
    </row>
    <row r="170" spans="1:5" x14ac:dyDescent="0.25">
      <c r="B170" t="s">
        <v>590</v>
      </c>
      <c r="E170" s="2">
        <v>7.75</v>
      </c>
    </row>
    <row r="171" spans="1:5" x14ac:dyDescent="0.25">
      <c r="A171" t="s">
        <v>444</v>
      </c>
      <c r="E171" s="2">
        <v>7.75</v>
      </c>
    </row>
    <row r="172" spans="1:5" x14ac:dyDescent="0.25">
      <c r="A172" t="s">
        <v>82</v>
      </c>
      <c r="B172" t="s">
        <v>83</v>
      </c>
      <c r="C172" t="s">
        <v>542</v>
      </c>
      <c r="D172" t="s">
        <v>547</v>
      </c>
      <c r="E172" s="2">
        <v>3.75</v>
      </c>
    </row>
    <row r="173" spans="1:5" x14ac:dyDescent="0.25">
      <c r="B173" t="s">
        <v>591</v>
      </c>
      <c r="E173" s="2">
        <v>3.75</v>
      </c>
    </row>
    <row r="174" spans="1:5" x14ac:dyDescent="0.25">
      <c r="A174" t="s">
        <v>482</v>
      </c>
      <c r="E174" s="2">
        <v>3.75</v>
      </c>
    </row>
    <row r="175" spans="1:5" x14ac:dyDescent="0.25">
      <c r="A175" t="s">
        <v>84</v>
      </c>
      <c r="B175" t="s">
        <v>85</v>
      </c>
      <c r="C175" t="s">
        <v>542</v>
      </c>
      <c r="D175" t="s">
        <v>554</v>
      </c>
      <c r="E175" s="2">
        <v>11.25</v>
      </c>
    </row>
    <row r="176" spans="1:5" x14ac:dyDescent="0.25">
      <c r="D176" t="s">
        <v>547</v>
      </c>
      <c r="E176" s="2">
        <v>72.25</v>
      </c>
    </row>
    <row r="177" spans="1:5" x14ac:dyDescent="0.25">
      <c r="D177" t="s">
        <v>557</v>
      </c>
      <c r="E177" s="2">
        <v>15</v>
      </c>
    </row>
    <row r="178" spans="1:5" x14ac:dyDescent="0.25">
      <c r="D178" t="s">
        <v>558</v>
      </c>
      <c r="E178" s="2">
        <v>74.25</v>
      </c>
    </row>
    <row r="179" spans="1:5" x14ac:dyDescent="0.25">
      <c r="D179" t="s">
        <v>555</v>
      </c>
      <c r="E179" s="2">
        <v>30.25</v>
      </c>
    </row>
    <row r="180" spans="1:5" x14ac:dyDescent="0.25">
      <c r="D180" t="s">
        <v>582</v>
      </c>
      <c r="E180" s="2">
        <v>22.5</v>
      </c>
    </row>
    <row r="181" spans="1:5" x14ac:dyDescent="0.25">
      <c r="D181" t="s">
        <v>562</v>
      </c>
      <c r="E181" s="2">
        <v>7.5</v>
      </c>
    </row>
    <row r="182" spans="1:5" x14ac:dyDescent="0.25">
      <c r="B182" t="s">
        <v>592</v>
      </c>
      <c r="E182" s="2">
        <v>233</v>
      </c>
    </row>
    <row r="183" spans="1:5" x14ac:dyDescent="0.25">
      <c r="A183" t="s">
        <v>447</v>
      </c>
      <c r="E183" s="2">
        <v>233</v>
      </c>
    </row>
    <row r="184" spans="1:5" x14ac:dyDescent="0.25">
      <c r="A184" t="s">
        <v>86</v>
      </c>
      <c r="B184" t="s">
        <v>87</v>
      </c>
      <c r="C184" t="s">
        <v>542</v>
      </c>
      <c r="D184" t="s">
        <v>545</v>
      </c>
      <c r="E184" s="2">
        <v>72.5</v>
      </c>
    </row>
    <row r="185" spans="1:5" x14ac:dyDescent="0.25">
      <c r="D185" t="s">
        <v>554</v>
      </c>
      <c r="E185" s="2">
        <v>131.25</v>
      </c>
    </row>
    <row r="186" spans="1:5" x14ac:dyDescent="0.25">
      <c r="D186" t="s">
        <v>547</v>
      </c>
      <c r="E186" s="2">
        <v>37.5</v>
      </c>
    </row>
    <row r="187" spans="1:5" x14ac:dyDescent="0.25">
      <c r="D187" t="s">
        <v>557</v>
      </c>
      <c r="E187" s="2">
        <v>69.5</v>
      </c>
    </row>
    <row r="188" spans="1:5" x14ac:dyDescent="0.25">
      <c r="B188" t="s">
        <v>593</v>
      </c>
      <c r="E188" s="2">
        <v>310.75</v>
      </c>
    </row>
    <row r="189" spans="1:5" x14ac:dyDescent="0.25">
      <c r="A189" t="s">
        <v>473</v>
      </c>
      <c r="E189" s="2">
        <v>310.75</v>
      </c>
    </row>
    <row r="190" spans="1:5" x14ac:dyDescent="0.25">
      <c r="A190" t="s">
        <v>88</v>
      </c>
      <c r="B190" t="s">
        <v>89</v>
      </c>
      <c r="C190" t="s">
        <v>542</v>
      </c>
      <c r="D190" t="s">
        <v>558</v>
      </c>
      <c r="E190" s="2">
        <v>41</v>
      </c>
    </row>
    <row r="191" spans="1:5" x14ac:dyDescent="0.25">
      <c r="D191" t="s">
        <v>555</v>
      </c>
      <c r="E191" s="2">
        <v>44.75</v>
      </c>
    </row>
    <row r="192" spans="1:5" x14ac:dyDescent="0.25">
      <c r="D192" t="s">
        <v>582</v>
      </c>
      <c r="E192" s="2">
        <v>31.75</v>
      </c>
    </row>
    <row r="193" spans="1:5" x14ac:dyDescent="0.25">
      <c r="D193" t="s">
        <v>562</v>
      </c>
      <c r="E193" s="2">
        <v>52.75</v>
      </c>
    </row>
    <row r="194" spans="1:5" x14ac:dyDescent="0.25">
      <c r="D194" t="s">
        <v>552</v>
      </c>
      <c r="E194" s="2">
        <v>49.75</v>
      </c>
    </row>
    <row r="195" spans="1:5" x14ac:dyDescent="0.25">
      <c r="D195" t="s">
        <v>550</v>
      </c>
      <c r="E195" s="2">
        <v>32.5</v>
      </c>
    </row>
    <row r="196" spans="1:5" x14ac:dyDescent="0.25">
      <c r="C196" t="s">
        <v>622</v>
      </c>
      <c r="D196" t="s">
        <v>543</v>
      </c>
      <c r="E196" s="2">
        <v>14.75</v>
      </c>
    </row>
    <row r="197" spans="1:5" x14ac:dyDescent="0.25">
      <c r="B197" t="s">
        <v>594</v>
      </c>
      <c r="E197" s="2">
        <v>267.25</v>
      </c>
    </row>
    <row r="198" spans="1:5" x14ac:dyDescent="0.25">
      <c r="A198" t="s">
        <v>431</v>
      </c>
      <c r="E198" s="2">
        <v>267.25</v>
      </c>
    </row>
    <row r="199" spans="1:5" x14ac:dyDescent="0.25">
      <c r="A199" t="s">
        <v>90</v>
      </c>
      <c r="B199" t="s">
        <v>91</v>
      </c>
      <c r="C199" t="s">
        <v>622</v>
      </c>
      <c r="D199" t="s">
        <v>543</v>
      </c>
      <c r="E199" s="2">
        <v>37.5</v>
      </c>
    </row>
    <row r="200" spans="1:5" x14ac:dyDescent="0.25">
      <c r="D200" t="s">
        <v>544</v>
      </c>
      <c r="E200" s="2">
        <v>125.5</v>
      </c>
    </row>
    <row r="201" spans="1:5" x14ac:dyDescent="0.25">
      <c r="D201" t="s">
        <v>545</v>
      </c>
      <c r="E201" s="2">
        <v>104</v>
      </c>
    </row>
    <row r="202" spans="1:5" x14ac:dyDescent="0.25">
      <c r="B202" t="s">
        <v>623</v>
      </c>
      <c r="E202" s="2">
        <v>267</v>
      </c>
    </row>
    <row r="203" spans="1:5" x14ac:dyDescent="0.25">
      <c r="A203" t="s">
        <v>606</v>
      </c>
      <c r="E203" s="2">
        <v>267</v>
      </c>
    </row>
    <row r="204" spans="1:5" x14ac:dyDescent="0.25">
      <c r="A204" t="s">
        <v>99</v>
      </c>
      <c r="B204" t="s">
        <v>440</v>
      </c>
      <c r="C204" t="s">
        <v>542</v>
      </c>
      <c r="D204" t="s">
        <v>552</v>
      </c>
      <c r="E204" s="2">
        <v>5.75</v>
      </c>
    </row>
    <row r="205" spans="1:5" x14ac:dyDescent="0.25">
      <c r="B205" t="s">
        <v>595</v>
      </c>
      <c r="E205" s="2">
        <v>5.75</v>
      </c>
    </row>
    <row r="206" spans="1:5" x14ac:dyDescent="0.25">
      <c r="A206" t="s">
        <v>441</v>
      </c>
      <c r="E206" s="2">
        <v>5.75</v>
      </c>
    </row>
    <row r="207" spans="1:5" x14ac:dyDescent="0.25">
      <c r="A207" t="s">
        <v>92</v>
      </c>
      <c r="B207" t="s">
        <v>93</v>
      </c>
      <c r="C207" t="s">
        <v>549</v>
      </c>
      <c r="D207" t="s">
        <v>550</v>
      </c>
      <c r="E207" s="2">
        <v>11.5</v>
      </c>
    </row>
    <row r="208" spans="1:5" x14ac:dyDescent="0.25">
      <c r="C208" t="s">
        <v>542</v>
      </c>
      <c r="D208" t="s">
        <v>543</v>
      </c>
      <c r="E208" s="2">
        <v>25</v>
      </c>
    </row>
    <row r="209" spans="1:5" x14ac:dyDescent="0.25">
      <c r="D209" t="s">
        <v>544</v>
      </c>
      <c r="E209" s="2">
        <v>5.5</v>
      </c>
    </row>
    <row r="210" spans="1:5" x14ac:dyDescent="0.25">
      <c r="B210" t="s">
        <v>596</v>
      </c>
      <c r="E210" s="2">
        <v>42</v>
      </c>
    </row>
    <row r="211" spans="1:5" x14ac:dyDescent="0.25">
      <c r="A211" t="s">
        <v>503</v>
      </c>
      <c r="E211" s="2">
        <v>42</v>
      </c>
    </row>
    <row r="212" spans="1:5" x14ac:dyDescent="0.25">
      <c r="A212" t="s">
        <v>95</v>
      </c>
      <c r="B212" t="s">
        <v>96</v>
      </c>
      <c r="C212" t="s">
        <v>549</v>
      </c>
      <c r="D212" t="s">
        <v>562</v>
      </c>
      <c r="E212" s="2">
        <v>3.5</v>
      </c>
    </row>
    <row r="213" spans="1:5" x14ac:dyDescent="0.25">
      <c r="D213" t="s">
        <v>552</v>
      </c>
      <c r="E213" s="2">
        <v>30.25</v>
      </c>
    </row>
    <row r="214" spans="1:5" x14ac:dyDescent="0.25">
      <c r="C214" t="s">
        <v>542</v>
      </c>
      <c r="D214" t="s">
        <v>544</v>
      </c>
      <c r="E214" s="2">
        <v>4</v>
      </c>
    </row>
    <row r="215" spans="1:5" x14ac:dyDescent="0.25">
      <c r="B215" t="s">
        <v>597</v>
      </c>
      <c r="E215" s="2">
        <v>37.75</v>
      </c>
    </row>
    <row r="216" spans="1:5" x14ac:dyDescent="0.25">
      <c r="A216" t="s">
        <v>504</v>
      </c>
      <c r="E216" s="2">
        <v>37.75</v>
      </c>
    </row>
    <row r="217" spans="1:5" x14ac:dyDescent="0.25">
      <c r="A217" t="s">
        <v>97</v>
      </c>
      <c r="B217" t="s">
        <v>98</v>
      </c>
      <c r="C217" t="s">
        <v>542</v>
      </c>
      <c r="D217" t="s">
        <v>547</v>
      </c>
      <c r="E217" s="2">
        <v>13</v>
      </c>
    </row>
    <row r="218" spans="1:5" x14ac:dyDescent="0.25">
      <c r="B218" t="s">
        <v>598</v>
      </c>
      <c r="E218" s="2">
        <v>13</v>
      </c>
    </row>
    <row r="219" spans="1:5" x14ac:dyDescent="0.25">
      <c r="A219" t="s">
        <v>483</v>
      </c>
      <c r="E219" s="2">
        <v>13</v>
      </c>
    </row>
  </sheetData>
  <pageMargins left="0.7" right="0.7" top="0.75" bottom="0.75" header="0.3" footer="0.3"/>
  <pageSetup paperSize="261" orientation="portrait" horizontalDpi="0" verticalDpi="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AE598-A5F0-4337-AEFE-3EE015E4A60D}">
  <sheetPr codeName="Sheet5"/>
  <dimension ref="A1:C46"/>
  <sheetViews>
    <sheetView workbookViewId="0">
      <selection activeCell="C13" sqref="C13"/>
    </sheetView>
  </sheetViews>
  <sheetFormatPr defaultRowHeight="15" x14ac:dyDescent="0.25"/>
  <cols>
    <col min="1" max="1" width="29.42578125" bestFit="1" customWidth="1"/>
    <col min="2" max="2" width="14.28515625" bestFit="1" customWidth="1"/>
    <col min="3" max="6" width="11.7109375" bestFit="1" customWidth="1"/>
    <col min="7" max="10" width="6.42578125" customWidth="1"/>
    <col min="11" max="11" width="11.85546875" bestFit="1" customWidth="1"/>
    <col min="12" max="12" width="10.7109375" bestFit="1" customWidth="1"/>
    <col min="13" max="14" width="11.7109375" bestFit="1" customWidth="1"/>
    <col min="15" max="20" width="6.42578125" customWidth="1"/>
    <col min="21" max="21" width="15.140625" bestFit="1" customWidth="1"/>
    <col min="22" max="22" width="14.28515625" bestFit="1" customWidth="1"/>
    <col min="23" max="23" width="13.140625" bestFit="1" customWidth="1"/>
    <col min="24" max="24" width="15.140625" bestFit="1" customWidth="1"/>
    <col min="25" max="25" width="11.7109375" bestFit="1" customWidth="1"/>
    <col min="26" max="26" width="7.28515625" bestFit="1" customWidth="1"/>
    <col min="27" max="27" width="16.140625" bestFit="1" customWidth="1"/>
    <col min="28" max="28" width="11.28515625" bestFit="1" customWidth="1"/>
    <col min="29" max="92" width="16.140625" bestFit="1" customWidth="1"/>
    <col min="93" max="93" width="11.28515625" bestFit="1" customWidth="1"/>
  </cols>
  <sheetData>
    <row r="1" spans="1:3" x14ac:dyDescent="0.25">
      <c r="A1" s="1" t="s">
        <v>0</v>
      </c>
      <c r="B1" s="1" t="s">
        <v>1</v>
      </c>
      <c r="C1" t="s">
        <v>427</v>
      </c>
    </row>
    <row r="2" spans="1:3" x14ac:dyDescent="0.25">
      <c r="A2" t="s">
        <v>4</v>
      </c>
      <c r="B2" t="s">
        <v>5</v>
      </c>
      <c r="C2" s="2">
        <v>139.25</v>
      </c>
    </row>
    <row r="3" spans="1:3" x14ac:dyDescent="0.25">
      <c r="A3" t="s">
        <v>7</v>
      </c>
      <c r="B3" t="s">
        <v>8</v>
      </c>
      <c r="C3" s="2">
        <v>4</v>
      </c>
    </row>
    <row r="4" spans="1:3" x14ac:dyDescent="0.25">
      <c r="A4" t="s">
        <v>310</v>
      </c>
      <c r="B4" t="s">
        <v>500</v>
      </c>
      <c r="C4" s="2">
        <v>69.75</v>
      </c>
    </row>
    <row r="5" spans="1:3" x14ac:dyDescent="0.25">
      <c r="A5" t="s">
        <v>10</v>
      </c>
      <c r="B5" t="s">
        <v>11</v>
      </c>
      <c r="C5" s="2">
        <v>12</v>
      </c>
    </row>
    <row r="6" spans="1:3" x14ac:dyDescent="0.25">
      <c r="A6" t="s">
        <v>12</v>
      </c>
      <c r="B6" t="s">
        <v>13</v>
      </c>
      <c r="C6" s="2">
        <v>75</v>
      </c>
    </row>
    <row r="7" spans="1:3" x14ac:dyDescent="0.25">
      <c r="A7" t="s">
        <v>14</v>
      </c>
      <c r="B7" t="s">
        <v>15</v>
      </c>
      <c r="C7" s="2">
        <v>46.25</v>
      </c>
    </row>
    <row r="8" spans="1:3" x14ac:dyDescent="0.25">
      <c r="A8" t="s">
        <v>16</v>
      </c>
      <c r="B8" t="s">
        <v>17</v>
      </c>
      <c r="C8" s="2">
        <v>5</v>
      </c>
    </row>
    <row r="9" spans="1:3" x14ac:dyDescent="0.25">
      <c r="A9" t="s">
        <v>18</v>
      </c>
      <c r="B9" t="s">
        <v>19</v>
      </c>
      <c r="C9" s="2">
        <v>40</v>
      </c>
    </row>
    <row r="10" spans="1:3" x14ac:dyDescent="0.25">
      <c r="A10" t="s">
        <v>414</v>
      </c>
      <c r="B10" t="s">
        <v>500</v>
      </c>
      <c r="C10" s="2">
        <v>16</v>
      </c>
    </row>
    <row r="11" spans="1:3" x14ac:dyDescent="0.25">
      <c r="A11" t="s">
        <v>20</v>
      </c>
      <c r="B11" t="s">
        <v>21</v>
      </c>
      <c r="C11" s="2">
        <v>3.5</v>
      </c>
    </row>
    <row r="12" spans="1:3" x14ac:dyDescent="0.25">
      <c r="A12" t="s">
        <v>23</v>
      </c>
      <c r="B12" t="s">
        <v>24</v>
      </c>
      <c r="C12" s="2">
        <v>44.5</v>
      </c>
    </row>
    <row r="13" spans="1:3" x14ac:dyDescent="0.25">
      <c r="A13" t="s">
        <v>25</v>
      </c>
      <c r="B13" t="s">
        <v>26</v>
      </c>
      <c r="C13" s="2">
        <v>2</v>
      </c>
    </row>
    <row r="14" spans="1:3" x14ac:dyDescent="0.25">
      <c r="A14" t="s">
        <v>28</v>
      </c>
      <c r="B14" t="s">
        <v>29</v>
      </c>
      <c r="C14" s="2">
        <v>12.5</v>
      </c>
    </row>
    <row r="15" spans="1:3" x14ac:dyDescent="0.25">
      <c r="A15" t="s">
        <v>30</v>
      </c>
      <c r="B15" t="s">
        <v>31</v>
      </c>
      <c r="C15" s="2">
        <v>16.5</v>
      </c>
    </row>
    <row r="16" spans="1:3" x14ac:dyDescent="0.25">
      <c r="A16" t="s">
        <v>32</v>
      </c>
      <c r="B16" t="s">
        <v>33</v>
      </c>
      <c r="C16" s="2">
        <v>12.25</v>
      </c>
    </row>
    <row r="17" spans="1:3" x14ac:dyDescent="0.25">
      <c r="A17" t="s">
        <v>34</v>
      </c>
      <c r="B17" t="s">
        <v>35</v>
      </c>
      <c r="C17" s="2">
        <v>5</v>
      </c>
    </row>
    <row r="18" spans="1:3" x14ac:dyDescent="0.25">
      <c r="A18" t="s">
        <v>36</v>
      </c>
      <c r="B18" t="s">
        <v>37</v>
      </c>
      <c r="C18" s="2">
        <v>2</v>
      </c>
    </row>
    <row r="19" spans="1:3" x14ac:dyDescent="0.25">
      <c r="A19" t="s">
        <v>38</v>
      </c>
      <c r="B19" t="s">
        <v>39</v>
      </c>
      <c r="C19" s="2">
        <v>3</v>
      </c>
    </row>
    <row r="20" spans="1:3" x14ac:dyDescent="0.25">
      <c r="A20" t="s">
        <v>40</v>
      </c>
      <c r="B20" t="s">
        <v>41</v>
      </c>
      <c r="C20" s="2">
        <v>42</v>
      </c>
    </row>
    <row r="21" spans="1:3" x14ac:dyDescent="0.25">
      <c r="A21" t="s">
        <v>43</v>
      </c>
      <c r="B21" t="s">
        <v>44</v>
      </c>
      <c r="C21" s="2">
        <v>9.5</v>
      </c>
    </row>
    <row r="22" spans="1:3" x14ac:dyDescent="0.25">
      <c r="A22" t="s">
        <v>45</v>
      </c>
      <c r="B22" t="s">
        <v>46</v>
      </c>
      <c r="C22" s="2">
        <v>25.5</v>
      </c>
    </row>
    <row r="23" spans="1:3" x14ac:dyDescent="0.25">
      <c r="A23" t="s">
        <v>48</v>
      </c>
      <c r="B23" t="s">
        <v>49</v>
      </c>
      <c r="C23" s="2">
        <v>36</v>
      </c>
    </row>
    <row r="24" spans="1:3" x14ac:dyDescent="0.25">
      <c r="A24" t="s">
        <v>51</v>
      </c>
      <c r="B24" t="s">
        <v>52</v>
      </c>
      <c r="C24" s="2">
        <v>8</v>
      </c>
    </row>
    <row r="25" spans="1:3" x14ac:dyDescent="0.25">
      <c r="A25" t="s">
        <v>53</v>
      </c>
      <c r="B25" t="s">
        <v>54</v>
      </c>
      <c r="C25" s="2">
        <v>11.25</v>
      </c>
    </row>
    <row r="26" spans="1:3" x14ac:dyDescent="0.25">
      <c r="A26" t="s">
        <v>55</v>
      </c>
      <c r="B26" t="s">
        <v>56</v>
      </c>
      <c r="C26" s="2">
        <v>30</v>
      </c>
    </row>
    <row r="27" spans="1:3" x14ac:dyDescent="0.25">
      <c r="A27" t="s">
        <v>60</v>
      </c>
      <c r="B27" t="s">
        <v>506</v>
      </c>
      <c r="C27" s="2">
        <v>4</v>
      </c>
    </row>
    <row r="28" spans="1:3" x14ac:dyDescent="0.25">
      <c r="A28" t="s">
        <v>61</v>
      </c>
      <c r="B28" t="s">
        <v>62</v>
      </c>
      <c r="C28" s="2">
        <v>6.5</v>
      </c>
    </row>
    <row r="29" spans="1:3" x14ac:dyDescent="0.25">
      <c r="A29" t="s">
        <v>63</v>
      </c>
      <c r="B29" t="s">
        <v>64</v>
      </c>
      <c r="C29" s="2">
        <v>32.25</v>
      </c>
    </row>
    <row r="30" spans="1:3" x14ac:dyDescent="0.25">
      <c r="A30" t="s">
        <v>65</v>
      </c>
      <c r="B30" t="s">
        <v>432</v>
      </c>
      <c r="C30" s="2">
        <v>411</v>
      </c>
    </row>
    <row r="31" spans="1:3" x14ac:dyDescent="0.25">
      <c r="A31" t="s">
        <v>68</v>
      </c>
      <c r="B31" t="s">
        <v>69</v>
      </c>
      <c r="C31" s="2">
        <v>247.5</v>
      </c>
    </row>
    <row r="32" spans="1:3" x14ac:dyDescent="0.25">
      <c r="A32" t="s">
        <v>70</v>
      </c>
      <c r="B32" t="s">
        <v>71</v>
      </c>
      <c r="C32" s="2">
        <v>47.25</v>
      </c>
    </row>
    <row r="33" spans="1:3" x14ac:dyDescent="0.25">
      <c r="A33" t="s">
        <v>72</v>
      </c>
      <c r="B33" t="s">
        <v>73</v>
      </c>
      <c r="C33" s="2">
        <v>10.5</v>
      </c>
    </row>
    <row r="34" spans="1:3" x14ac:dyDescent="0.25">
      <c r="A34" t="s">
        <v>74</v>
      </c>
      <c r="B34" t="s">
        <v>75</v>
      </c>
      <c r="C34" s="2">
        <v>60.75</v>
      </c>
    </row>
    <row r="35" spans="1:3" x14ac:dyDescent="0.25">
      <c r="A35" t="s">
        <v>76</v>
      </c>
      <c r="B35" t="s">
        <v>77</v>
      </c>
      <c r="C35" s="2">
        <v>7.5</v>
      </c>
    </row>
    <row r="36" spans="1:3" x14ac:dyDescent="0.25">
      <c r="A36" t="s">
        <v>78</v>
      </c>
      <c r="B36" t="s">
        <v>79</v>
      </c>
      <c r="C36" s="2">
        <v>16.5</v>
      </c>
    </row>
    <row r="37" spans="1:3" x14ac:dyDescent="0.25">
      <c r="A37" t="s">
        <v>80</v>
      </c>
      <c r="B37" t="s">
        <v>81</v>
      </c>
      <c r="C37" s="2">
        <v>7.75</v>
      </c>
    </row>
    <row r="38" spans="1:3" x14ac:dyDescent="0.25">
      <c r="A38" t="s">
        <v>82</v>
      </c>
      <c r="B38" t="s">
        <v>83</v>
      </c>
      <c r="C38" s="2">
        <v>3.75</v>
      </c>
    </row>
    <row r="39" spans="1:3" x14ac:dyDescent="0.25">
      <c r="A39" t="s">
        <v>84</v>
      </c>
      <c r="B39" t="s">
        <v>85</v>
      </c>
      <c r="C39" s="2">
        <v>233</v>
      </c>
    </row>
    <row r="40" spans="1:3" x14ac:dyDescent="0.25">
      <c r="A40" t="s">
        <v>86</v>
      </c>
      <c r="B40" t="s">
        <v>87</v>
      </c>
      <c r="C40" s="2">
        <v>310.75</v>
      </c>
    </row>
    <row r="41" spans="1:3" x14ac:dyDescent="0.25">
      <c r="A41" t="s">
        <v>88</v>
      </c>
      <c r="B41" t="s">
        <v>89</v>
      </c>
      <c r="C41" s="2">
        <v>267.25</v>
      </c>
    </row>
    <row r="42" spans="1:3" x14ac:dyDescent="0.25">
      <c r="A42" t="s">
        <v>90</v>
      </c>
      <c r="B42" t="s">
        <v>91</v>
      </c>
      <c r="C42" s="2">
        <v>267</v>
      </c>
    </row>
    <row r="43" spans="1:3" x14ac:dyDescent="0.25">
      <c r="A43" t="s">
        <v>99</v>
      </c>
      <c r="B43" t="s">
        <v>440</v>
      </c>
      <c r="C43" s="2">
        <v>5.75</v>
      </c>
    </row>
    <row r="44" spans="1:3" x14ac:dyDescent="0.25">
      <c r="A44" t="s">
        <v>92</v>
      </c>
      <c r="B44" t="s">
        <v>93</v>
      </c>
      <c r="C44" s="2">
        <v>42</v>
      </c>
    </row>
    <row r="45" spans="1:3" x14ac:dyDescent="0.25">
      <c r="A45" t="s">
        <v>95</v>
      </c>
      <c r="B45" t="s">
        <v>96</v>
      </c>
      <c r="C45" s="2">
        <v>37.75</v>
      </c>
    </row>
    <row r="46" spans="1:3" x14ac:dyDescent="0.25">
      <c r="A46" t="s">
        <v>97</v>
      </c>
      <c r="B46" t="s">
        <v>98</v>
      </c>
      <c r="C46" s="2">
        <v>13</v>
      </c>
    </row>
  </sheetData>
  <pageMargins left="0.7" right="0.7" top="0.75" bottom="0.75" header="0.3" footer="0.3"/>
  <pageSetup paperSize="261" orientation="portrait" horizontalDpi="0" verticalDpi="0" r:id="rId2"/>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mso-contentType ?>
<FormTemplates xmlns="http://schemas.microsoft.com/sharepoint/v3/contenttype/forms">
  <Display>DocumentLibraryForm</Display>
  <Edit>DocumentLibraryForm</Edit>
  <New>DocumentLibraryForm</New>
</FormTemplates>
</file>

<file path=customXml/item16.xml>�� 
</file>

<file path=customXml/item17.xml>�� 
</file>

<file path=customXml/item18.xml>�� 
</file>

<file path=customXml/item19.xml>�� 
</file>

<file path=customXml/item20.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8951001-3A09-4A05-855A-3DDD09797274}">
  <ds:schemaRefs/>
</ds:datastoreItem>
</file>

<file path=customXml/itemProps2.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3.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4.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5.xml><?xml version="1.0" encoding="utf-8"?>
<ds:datastoreItem xmlns:ds="http://schemas.openxmlformats.org/officeDocument/2006/customXml" ds:itemID="{942A9908-A0E4-49FE-B1BB-EAF326896089}">
  <ds:schemaRefs>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bdb01c88-af54-46ef-8b38-c11759485684"/>
    <ds:schemaRef ds:uri="http://purl.org/dc/elements/1.1/"/>
    <ds:schemaRef ds:uri="http://schemas.microsoft.com/office/2006/metadata/properties"/>
    <ds:schemaRef ds:uri="43bcb968-bace-442f-a65f-908538f58f8c"/>
    <ds:schemaRef ds:uri="http://www.w3.org/XML/1998/namespace"/>
    <ds:schemaRef ds:uri="http://purl.org/dc/terms/"/>
  </ds:schemaRefs>
</ds:datastoreItem>
</file>

<file path=customXml/itemProps6.xml><?xml version="1.0" encoding="utf-8"?>
<ds:datastoreItem xmlns:ds="http://schemas.openxmlformats.org/officeDocument/2006/customXml" ds:itemID="{7518042F-EDA9-491F-BED1-C069724EC681}">
  <ds:schemaRefs/>
</ds:datastoreItem>
</file>

<file path=customXml/itemProps7.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8.xml><?xml version="1.0" encoding="utf-8"?>
<ds:datastoreItem xmlns:ds="http://schemas.openxmlformats.org/officeDocument/2006/customXml" ds:itemID="{0BABE401-687C-4AD8-9506-691FF0D22381}">
  <ds:schemaRefs/>
</ds:datastoreItem>
</file>

<file path=customXml/itemProps9.xml><?xml version="1.0" encoding="utf-8"?>
<ds:datastoreItem xmlns:ds="http://schemas.openxmlformats.org/officeDocument/2006/customXml" ds:itemID="{45EA3649-79E5-4A29-AF78-8930AA22DAC9}">
  <ds:schemaRefs/>
</ds:datastoreItem>
</file>

<file path=customXml/itemProps10.xml><?xml version="1.0" encoding="utf-8"?>
<ds:datastoreItem xmlns:ds="http://schemas.openxmlformats.org/officeDocument/2006/customXml" ds:itemID="{F3385EF0-6AEE-43C9-ABE2-BF4FF2905B22}">
  <ds:schemaRefs/>
</ds:datastoreItem>
</file>

<file path=customXml/itemProps11.xml><?xml version="1.0" encoding="utf-8"?>
<ds:datastoreItem xmlns:ds="http://schemas.openxmlformats.org/officeDocument/2006/customXml" ds:itemID="{1A7C51EE-C6F3-4B8A-AA87-9AC64D35D4C1}">
  <ds:schemaRefs/>
</ds:datastoreItem>
</file>

<file path=customXml/itemProps12.xml><?xml version="1.0" encoding="utf-8"?>
<ds:datastoreItem xmlns:ds="http://schemas.openxmlformats.org/officeDocument/2006/customXml" ds:itemID="{32D2B9CA-A507-4C7B-A9AD-C847415FFCA9}">
  <ds:schemaRefs/>
</ds:datastoreItem>
</file>

<file path=customXml/itemProps13.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4.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15.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16.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17.xml><?xml version="1.0" encoding="utf-8"?>
<ds:datastoreItem xmlns:ds="http://schemas.openxmlformats.org/officeDocument/2006/customXml" ds:itemID="{AB6FF0C2-3AE8-4231-8424-E9FDA0093A80}">
  <ds:schemaRefs/>
</ds:datastoreItem>
</file>

<file path=customXml/itemProps18.xml><?xml version="1.0" encoding="utf-8"?>
<ds:datastoreItem xmlns:ds="http://schemas.openxmlformats.org/officeDocument/2006/customXml" ds:itemID="{DC7054FA-548F-40DA-987E-EF917B5232AB}">
  <ds:schemaRefs/>
</ds:datastoreItem>
</file>

<file path=customXml/itemProps19.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20.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timesheet_data</vt:lpstr>
      <vt:lpstr>time_day</vt:lpstr>
      <vt:lpstr>time_JobNo</vt:lpstr>
      <vt:lpstr>time_job</vt:lpstr>
      <vt:lpstr>job_codes_pvt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 Melo</cp:lastModifiedBy>
  <cp:revision/>
  <dcterms:created xsi:type="dcterms:W3CDTF">2018-11-28T09:39:45Z</dcterms:created>
  <dcterms:modified xsi:type="dcterms:W3CDTF">2020-08-24T11:01:59Z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