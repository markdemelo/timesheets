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Programming\timesheet-butler-xls\"/>
    </mc:Choice>
  </mc:AlternateContent>
  <xr:revisionPtr revIDLastSave="0" documentId="13_ncr:1_{7F75DE39-9060-4224-9EA4-3D262869FD2F}" xr6:coauthVersionLast="44" xr6:coauthVersionMax="44" xr10:uidLastSave="{00000000-0000-0000-0000-000000000000}"/>
  <bookViews>
    <workbookView xWindow="6285" yWindow="780" windowWidth="22380" windowHeight="1789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 i="14" l="1"/>
  <c r="G3" i="1"/>
  <c r="H3" i="1"/>
  <c r="O3" i="1"/>
  <c r="P3" i="1"/>
  <c r="Q3" i="1"/>
  <c r="G4" i="1"/>
  <c r="H4" i="1"/>
  <c r="O4" i="1"/>
  <c r="P4" i="1"/>
  <c r="Q4" i="1"/>
  <c r="G5" i="1" l="1"/>
  <c r="H5" i="1"/>
  <c r="O5" i="1"/>
  <c r="P5" i="1"/>
  <c r="Q5" i="1"/>
  <c r="G6" i="1" l="1"/>
  <c r="H6" i="1"/>
  <c r="O6" i="1"/>
  <c r="P6" i="1"/>
  <c r="Q6" i="1"/>
  <c r="G7" i="1" l="1"/>
  <c r="H7" i="1"/>
  <c r="O7" i="1"/>
  <c r="P7" i="1"/>
  <c r="Q7" i="1"/>
  <c r="G8" i="1"/>
  <c r="H8" i="1"/>
  <c r="O8" i="1"/>
  <c r="P8" i="1"/>
  <c r="Q8" i="1"/>
  <c r="G9" i="1" l="1"/>
  <c r="H9" i="1"/>
  <c r="O9" i="1"/>
  <c r="P9" i="1"/>
  <c r="Q9" i="1"/>
  <c r="G10" i="1" l="1"/>
  <c r="H10" i="1"/>
  <c r="O10" i="1"/>
  <c r="P10" i="1"/>
  <c r="Q10" i="1"/>
  <c r="G11" i="1"/>
  <c r="H11" i="1"/>
  <c r="O11" i="1"/>
  <c r="P11" i="1"/>
  <c r="Q11" i="1"/>
  <c r="G12" i="1" l="1"/>
  <c r="H12" i="1"/>
  <c r="O12" i="1"/>
  <c r="P12" i="1"/>
  <c r="Q12" i="1"/>
  <c r="G13" i="1" l="1"/>
  <c r="H13" i="1"/>
  <c r="O13" i="1"/>
  <c r="P13" i="1"/>
  <c r="Q13" i="1"/>
  <c r="G14" i="1"/>
  <c r="H14" i="1"/>
  <c r="O14" i="1"/>
  <c r="P14" i="1"/>
  <c r="Q14" i="1"/>
  <c r="G15" i="1" l="1"/>
  <c r="H15" i="1"/>
  <c r="O15" i="1"/>
  <c r="P15" i="1"/>
  <c r="Q15" i="1"/>
  <c r="G16" i="1" l="1"/>
  <c r="H16" i="1"/>
  <c r="O16" i="1"/>
  <c r="P16" i="1"/>
  <c r="Q16" i="1"/>
  <c r="G17" i="1" l="1"/>
  <c r="H17" i="1"/>
  <c r="O17" i="1"/>
  <c r="P17" i="1"/>
  <c r="Q17" i="1"/>
  <c r="G18" i="1"/>
  <c r="H18" i="1"/>
  <c r="O18" i="1"/>
  <c r="P18" i="1"/>
  <c r="Q18" i="1"/>
  <c r="G19" i="1" l="1"/>
  <c r="H19" i="1"/>
  <c r="O19" i="1"/>
  <c r="P19" i="1"/>
  <c r="Q19" i="1"/>
  <c r="G20" i="1" l="1"/>
  <c r="H20" i="1"/>
  <c r="O20" i="1"/>
  <c r="P20" i="1"/>
  <c r="Q20" i="1"/>
  <c r="G21" i="1" l="1"/>
  <c r="H21" i="1"/>
  <c r="O21" i="1"/>
  <c r="P21" i="1"/>
  <c r="Q21" i="1"/>
  <c r="G22" i="1" l="1"/>
  <c r="H22" i="1"/>
  <c r="O22" i="1"/>
  <c r="P22" i="1"/>
  <c r="Q22" i="1"/>
  <c r="G23" i="1"/>
  <c r="H23" i="1"/>
  <c r="O23" i="1"/>
  <c r="P23" i="1"/>
  <c r="Q23" i="1"/>
  <c r="E28" i="15" l="1"/>
  <c r="H24" i="1" l="1"/>
  <c r="O24" i="1"/>
  <c r="P24" i="1"/>
  <c r="Q24" i="1"/>
  <c r="H25" i="1"/>
  <c r="O25" i="1"/>
  <c r="P25" i="1"/>
  <c r="Q25" i="1"/>
  <c r="H26" i="1" l="1"/>
  <c r="O26" i="1"/>
  <c r="P26" i="1"/>
  <c r="Q26" i="1"/>
  <c r="H27" i="1"/>
  <c r="O27" i="1"/>
  <c r="P27" i="1"/>
  <c r="Q27" i="1"/>
  <c r="H28" i="1" l="1"/>
  <c r="O28" i="1"/>
  <c r="P28" i="1"/>
  <c r="Q28" i="1"/>
  <c r="H29" i="1" l="1"/>
  <c r="O29" i="1"/>
  <c r="P29" i="1"/>
  <c r="Q29" i="1"/>
  <c r="H836" i="1" l="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 i="1"/>
  <c r="Q30" i="1"/>
  <c r="F30" i="1" s="1"/>
  <c r="S30" i="1" s="1"/>
  <c r="P30" i="1"/>
  <c r="O30" i="1"/>
  <c r="R30" i="1" l="1"/>
  <c r="T30" i="1" s="1"/>
  <c r="O31" i="1"/>
  <c r="P31" i="1"/>
  <c r="Q31" i="1"/>
  <c r="O32" i="1"/>
  <c r="P32" i="1"/>
  <c r="Q32" i="1"/>
  <c r="O33" i="1" l="1"/>
  <c r="P33" i="1"/>
  <c r="Q33" i="1"/>
  <c r="A2" i="1" l="1"/>
  <c r="O34" i="1" l="1"/>
  <c r="P34" i="1"/>
  <c r="Q34" i="1"/>
  <c r="O35" i="1"/>
  <c r="P35" i="1"/>
  <c r="Q35" i="1"/>
  <c r="E3" i="14" l="1"/>
  <c r="O36" i="1"/>
  <c r="P36" i="1"/>
  <c r="Q36" i="1"/>
  <c r="O37" i="1" l="1"/>
  <c r="P37" i="1"/>
  <c r="Q37" i="1"/>
  <c r="O38" i="1"/>
  <c r="P38" i="1"/>
  <c r="Q38" i="1"/>
  <c r="O39" i="1" l="1"/>
  <c r="P39" i="1"/>
  <c r="Q39" i="1"/>
  <c r="O40" i="1"/>
  <c r="P40" i="1"/>
  <c r="Q40" i="1"/>
  <c r="O41" i="1" l="1"/>
  <c r="P41" i="1"/>
  <c r="Q41" i="1"/>
  <c r="E38" i="15" l="1"/>
  <c r="O42" i="1" l="1"/>
  <c r="P42" i="1"/>
  <c r="Q42" i="1"/>
  <c r="O43" i="1" l="1"/>
  <c r="P43" i="1"/>
  <c r="Q43" i="1"/>
  <c r="O44" i="1"/>
  <c r="P44" i="1"/>
  <c r="Q44" i="1"/>
  <c r="O45" i="1" l="1"/>
  <c r="P45" i="1"/>
  <c r="Q45" i="1"/>
  <c r="O46" i="1"/>
  <c r="P46" i="1"/>
  <c r="Q46" i="1"/>
  <c r="O47" i="1" l="1"/>
  <c r="P47" i="1"/>
  <c r="Q47" i="1"/>
  <c r="O48" i="1"/>
  <c r="P48" i="1"/>
  <c r="Q48" i="1"/>
  <c r="G49" i="1" l="1"/>
  <c r="O49" i="1"/>
  <c r="P49" i="1"/>
  <c r="Q49" i="1"/>
  <c r="Q51" i="1" l="1"/>
  <c r="F51" i="1" s="1"/>
  <c r="S51" i="1" s="1"/>
  <c r="P51" i="1"/>
  <c r="O51" i="1"/>
  <c r="E3" i="15"/>
  <c r="E4" i="15"/>
  <c r="E5" i="15"/>
  <c r="E6" i="15"/>
  <c r="E7" i="15"/>
  <c r="E8" i="15"/>
  <c r="E9" i="15"/>
  <c r="E10" i="15"/>
  <c r="E11" i="15"/>
  <c r="E12" i="15"/>
  <c r="E13" i="15"/>
  <c r="E14" i="15"/>
  <c r="E15" i="15"/>
  <c r="E16" i="15"/>
  <c r="E17" i="15"/>
  <c r="E18" i="15"/>
  <c r="E19" i="15"/>
  <c r="E20" i="15"/>
  <c r="E21" i="15"/>
  <c r="E22" i="15"/>
  <c r="G51" i="1" s="1"/>
  <c r="E23" i="15"/>
  <c r="E24" i="15"/>
  <c r="E25" i="15"/>
  <c r="E26" i="15"/>
  <c r="E27" i="15"/>
  <c r="E29" i="15"/>
  <c r="E30" i="15"/>
  <c r="E31" i="15"/>
  <c r="E32" i="15"/>
  <c r="E33" i="15"/>
  <c r="E34" i="15"/>
  <c r="E35" i="15"/>
  <c r="G34" i="1" s="1"/>
  <c r="E36" i="15"/>
  <c r="E37" i="15"/>
  <c r="E39" i="15"/>
  <c r="E40" i="15"/>
  <c r="E41" i="15"/>
  <c r="E42" i="15"/>
  <c r="E43" i="15"/>
  <c r="E44" i="15"/>
  <c r="E45" i="15"/>
  <c r="E46" i="15"/>
  <c r="E47" i="15"/>
  <c r="E48" i="15"/>
  <c r="E49" i="15"/>
  <c r="E50" i="15"/>
  <c r="E51" i="15"/>
  <c r="E52" i="15"/>
  <c r="E53" i="15"/>
  <c r="E2" i="15"/>
  <c r="G25" i="1" l="1"/>
  <c r="G26" i="1"/>
  <c r="G37" i="1"/>
  <c r="G39" i="1"/>
  <c r="G24" i="1"/>
  <c r="G27" i="1"/>
  <c r="G28" i="1"/>
  <c r="G29" i="1"/>
  <c r="G30" i="1"/>
  <c r="G31" i="1"/>
  <c r="G32" i="1"/>
  <c r="G33" i="1"/>
  <c r="G35" i="1"/>
  <c r="G36" i="1"/>
  <c r="G38" i="1"/>
  <c r="G40" i="1"/>
  <c r="G41" i="1"/>
  <c r="G42" i="1"/>
  <c r="G43" i="1"/>
  <c r="G44" i="1"/>
  <c r="G46" i="1"/>
  <c r="G45" i="1"/>
  <c r="G47" i="1"/>
  <c r="G48" i="1"/>
  <c r="R51" i="1"/>
  <c r="T51" i="1" s="1"/>
  <c r="G50" i="1"/>
  <c r="O50" i="1"/>
  <c r="P50" i="1"/>
  <c r="Q50" i="1"/>
  <c r="G52" i="1"/>
  <c r="O52" i="1"/>
  <c r="P52" i="1"/>
  <c r="Q52" i="1"/>
  <c r="G53" i="1" l="1"/>
  <c r="O53" i="1"/>
  <c r="P53" i="1"/>
  <c r="Q53" i="1"/>
  <c r="G54" i="1" l="1"/>
  <c r="O54" i="1"/>
  <c r="P54" i="1"/>
  <c r="Q54" i="1"/>
  <c r="E4" i="14" l="1"/>
  <c r="G55" i="1"/>
  <c r="O55" i="1"/>
  <c r="P55" i="1"/>
  <c r="Q55" i="1"/>
  <c r="G56" i="1" l="1"/>
  <c r="O56" i="1"/>
  <c r="P56" i="1"/>
  <c r="Q56" i="1"/>
  <c r="G57" i="1"/>
  <c r="O57" i="1"/>
  <c r="P57" i="1"/>
  <c r="Q57" i="1"/>
  <c r="G62" i="1" l="1"/>
  <c r="G63" i="1"/>
  <c r="G64" i="1"/>
  <c r="G65" i="1"/>
  <c r="G66" i="1"/>
  <c r="G67" i="1"/>
  <c r="G68" i="1"/>
  <c r="G69" i="1"/>
  <c r="G70" i="1"/>
  <c r="G71" i="1"/>
  <c r="G72" i="1"/>
  <c r="G73" i="1"/>
  <c r="G74" i="1"/>
  <c r="G2" i="1"/>
  <c r="G58" i="1"/>
  <c r="G59" i="1"/>
  <c r="G60" i="1"/>
  <c r="G61"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O58" i="1" l="1"/>
  <c r="P58" i="1"/>
  <c r="Q58" i="1"/>
  <c r="O59" i="1"/>
  <c r="P59" i="1"/>
  <c r="Q59" i="1"/>
  <c r="E5" i="14" l="1"/>
  <c r="O60" i="1" l="1"/>
  <c r="P60" i="1"/>
  <c r="Q60" i="1"/>
  <c r="O61" i="1"/>
  <c r="P61" i="1"/>
  <c r="Q61" i="1"/>
  <c r="E6" i="14" l="1"/>
  <c r="O62" i="1"/>
  <c r="P62" i="1"/>
  <c r="Q62" i="1"/>
  <c r="F62" i="1" s="1"/>
  <c r="O63" i="1" l="1"/>
  <c r="P63" i="1"/>
  <c r="Q63" i="1"/>
  <c r="F63" i="1" s="1"/>
  <c r="O64" i="1"/>
  <c r="P64" i="1"/>
  <c r="Q64" i="1"/>
  <c r="F64" i="1" s="1"/>
  <c r="O65" i="1" l="1"/>
  <c r="P65" i="1"/>
  <c r="Q65" i="1"/>
  <c r="F65" i="1" s="1"/>
  <c r="O66" i="1" l="1"/>
  <c r="P66" i="1"/>
  <c r="Q66" i="1"/>
  <c r="F66" i="1" s="1"/>
  <c r="O67" i="1"/>
  <c r="P67" i="1"/>
  <c r="Q67" i="1"/>
  <c r="F67" i="1" s="1"/>
  <c r="O68" i="1" l="1"/>
  <c r="P68" i="1"/>
  <c r="Q68" i="1"/>
  <c r="F68" i="1" s="1"/>
  <c r="O69" i="1"/>
  <c r="P69" i="1"/>
  <c r="Q69" i="1"/>
  <c r="F69" i="1" s="1"/>
  <c r="O70" i="1" l="1"/>
  <c r="P70" i="1"/>
  <c r="Q70" i="1"/>
  <c r="F70" i="1" s="1"/>
  <c r="O71" i="1"/>
  <c r="P71" i="1"/>
  <c r="Q71" i="1"/>
  <c r="F71" i="1" s="1"/>
  <c r="O72" i="1" l="1"/>
  <c r="P72" i="1"/>
  <c r="Q72" i="1"/>
  <c r="F72" i="1" s="1"/>
  <c r="O73" i="1" l="1"/>
  <c r="P73" i="1"/>
  <c r="Q73" i="1"/>
  <c r="F73" i="1" s="1"/>
  <c r="O74" i="1" l="1"/>
  <c r="P74" i="1"/>
  <c r="Q74" i="1"/>
  <c r="F74" i="1" s="1"/>
  <c r="O2" i="1" l="1"/>
  <c r="P2" i="1"/>
  <c r="Q2" i="1"/>
  <c r="F2" i="1"/>
  <c r="F3" i="1" s="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A3" i="1" l="1"/>
  <c r="S3" i="1"/>
  <c r="R3" i="1"/>
  <c r="T3" i="1" s="1"/>
  <c r="F5" i="1"/>
  <c r="F4" i="1"/>
  <c r="S5" i="1"/>
  <c r="R5" i="1"/>
  <c r="F7" i="1"/>
  <c r="F6" i="1"/>
  <c r="F9" i="1"/>
  <c r="R9" i="1" s="1"/>
  <c r="F8" i="1"/>
  <c r="F11" i="1"/>
  <c r="F10" i="1"/>
  <c r="F13" i="1"/>
  <c r="F12" i="1"/>
  <c r="F15" i="1"/>
  <c r="S15" i="1" s="1"/>
  <c r="F14" i="1"/>
  <c r="F17" i="1"/>
  <c r="R17" i="1" s="1"/>
  <c r="F16" i="1"/>
  <c r="F19" i="1"/>
  <c r="R19" i="1" s="1"/>
  <c r="F18" i="1"/>
  <c r="F21" i="1"/>
  <c r="S21" i="1" s="1"/>
  <c r="F20" i="1"/>
  <c r="F23" i="1"/>
  <c r="R23" i="1" s="1"/>
  <c r="F22" i="1"/>
  <c r="F25" i="1"/>
  <c r="R25" i="1" s="1"/>
  <c r="F24" i="1"/>
  <c r="F27" i="1"/>
  <c r="S27" i="1" s="1"/>
  <c r="F26" i="1"/>
  <c r="F29" i="1"/>
  <c r="R29" i="1" s="1"/>
  <c r="F28" i="1"/>
  <c r="F32" i="1"/>
  <c r="R32" i="1" s="1"/>
  <c r="F31" i="1"/>
  <c r="F34" i="1"/>
  <c r="R34" i="1" s="1"/>
  <c r="F33" i="1"/>
  <c r="F36" i="1"/>
  <c r="R36" i="1" s="1"/>
  <c r="F35" i="1"/>
  <c r="F38" i="1"/>
  <c r="R38" i="1" s="1"/>
  <c r="F37" i="1"/>
  <c r="F40" i="1"/>
  <c r="R40" i="1" s="1"/>
  <c r="F39" i="1"/>
  <c r="F42" i="1"/>
  <c r="S42" i="1" s="1"/>
  <c r="F41" i="1"/>
  <c r="F44" i="1"/>
  <c r="F43" i="1"/>
  <c r="F46" i="1"/>
  <c r="R46" i="1" s="1"/>
  <c r="F45" i="1"/>
  <c r="F48" i="1"/>
  <c r="F47" i="1"/>
  <c r="F49" i="1"/>
  <c r="F50" i="1"/>
  <c r="S50" i="1" s="1"/>
  <c r="F53" i="1"/>
  <c r="S53" i="1" s="1"/>
  <c r="F52" i="1"/>
  <c r="F55" i="1"/>
  <c r="S55" i="1" s="1"/>
  <c r="F54" i="1"/>
  <c r="F57" i="1"/>
  <c r="F56" i="1"/>
  <c r="F59" i="1"/>
  <c r="S59" i="1" s="1"/>
  <c r="F58" i="1"/>
  <c r="F61" i="1"/>
  <c r="R61" i="1" s="1"/>
  <c r="F60" i="1"/>
  <c r="R63" i="1"/>
  <c r="S67" i="1"/>
  <c r="R69" i="1"/>
  <c r="R2" i="1"/>
  <c r="S2" i="1"/>
  <c r="Q75" i="1"/>
  <c r="F75" i="1" s="1"/>
  <c r="T5" i="1" l="1"/>
  <c r="S9" i="1"/>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S4" i="1"/>
  <c r="R4" i="1"/>
  <c r="R7" i="1"/>
  <c r="T7" i="1" s="1"/>
  <c r="S7" i="1"/>
  <c r="S6" i="1"/>
  <c r="R6" i="1"/>
  <c r="R8" i="1"/>
  <c r="S8" i="1"/>
  <c r="T9" i="1"/>
  <c r="R11" i="1"/>
  <c r="S11" i="1"/>
  <c r="T11" i="1" s="1"/>
  <c r="S10" i="1"/>
  <c r="R10" i="1"/>
  <c r="S12" i="1"/>
  <c r="R12" i="1"/>
  <c r="R15" i="1"/>
  <c r="T15" i="1" s="1"/>
  <c r="R13" i="1"/>
  <c r="S13" i="1"/>
  <c r="S19" i="1"/>
  <c r="T19" i="1" s="1"/>
  <c r="S17" i="1"/>
  <c r="T17" i="1" s="1"/>
  <c r="S14" i="1"/>
  <c r="R14" i="1"/>
  <c r="S16" i="1"/>
  <c r="R16" i="1"/>
  <c r="R27" i="1"/>
  <c r="T27" i="1" s="1"/>
  <c r="R21" i="1"/>
  <c r="T21" i="1" s="1"/>
  <c r="S18" i="1"/>
  <c r="R18" i="1"/>
  <c r="S25" i="1"/>
  <c r="T25" i="1" s="1"/>
  <c r="S20" i="1"/>
  <c r="R20" i="1"/>
  <c r="S23" i="1"/>
  <c r="T23" i="1" s="1"/>
  <c r="R22" i="1"/>
  <c r="S22" i="1"/>
  <c r="S29" i="1"/>
  <c r="T29" i="1" s="1"/>
  <c r="R24" i="1"/>
  <c r="S24" i="1"/>
  <c r="S26" i="1"/>
  <c r="R26" i="1"/>
  <c r="R28" i="1"/>
  <c r="S28" i="1"/>
  <c r="S32" i="1"/>
  <c r="T32" i="1" s="1"/>
  <c r="S36" i="1"/>
  <c r="T36" i="1" s="1"/>
  <c r="R31" i="1"/>
  <c r="S31" i="1"/>
  <c r="S34" i="1"/>
  <c r="T34" i="1" s="1"/>
  <c r="S38" i="1"/>
  <c r="T38" i="1" s="1"/>
  <c r="R33" i="1"/>
  <c r="S33" i="1"/>
  <c r="R35" i="1"/>
  <c r="S35" i="1"/>
  <c r="R37" i="1"/>
  <c r="S37" i="1"/>
  <c r="R42" i="1"/>
  <c r="T42" i="1" s="1"/>
  <c r="S40" i="1"/>
  <c r="T40" i="1" s="1"/>
  <c r="R39" i="1"/>
  <c r="S39" i="1"/>
  <c r="R41" i="1"/>
  <c r="S41" i="1"/>
  <c r="S44" i="1"/>
  <c r="R44" i="1"/>
  <c r="R43" i="1"/>
  <c r="S43" i="1"/>
  <c r="S46" i="1"/>
  <c r="T46" i="1" s="1"/>
  <c r="R45" i="1"/>
  <c r="S45" i="1"/>
  <c r="S48" i="1"/>
  <c r="R48" i="1"/>
  <c r="R47" i="1"/>
  <c r="S47" i="1"/>
  <c r="R49" i="1"/>
  <c r="S49" i="1"/>
  <c r="R50" i="1"/>
  <c r="T50" i="1" s="1"/>
  <c r="R55" i="1"/>
  <c r="T55" i="1" s="1"/>
  <c r="R53" i="1"/>
  <c r="T53" i="1" s="1"/>
  <c r="R52" i="1"/>
  <c r="S52" i="1"/>
  <c r="R59" i="1"/>
  <c r="T59" i="1" s="1"/>
  <c r="R54" i="1"/>
  <c r="S54" i="1"/>
  <c r="S61" i="1"/>
  <c r="T61" i="1" s="1"/>
  <c r="R57" i="1"/>
  <c r="S57" i="1"/>
  <c r="R56" i="1"/>
  <c r="S56" i="1"/>
  <c r="R58" i="1"/>
  <c r="S58" i="1"/>
  <c r="R60" i="1"/>
  <c r="S60" i="1"/>
  <c r="S63" i="1"/>
  <c r="T63" i="1" s="1"/>
  <c r="S62" i="1"/>
  <c r="R62" i="1"/>
  <c r="R65" i="1"/>
  <c r="S65" i="1"/>
  <c r="R64" i="1"/>
  <c r="S64" i="1"/>
  <c r="R67" i="1"/>
  <c r="T67" i="1" s="1"/>
  <c r="R66" i="1"/>
  <c r="S66" i="1"/>
  <c r="S69" i="1"/>
  <c r="T69" i="1" s="1"/>
  <c r="R68" i="1"/>
  <c r="S68" i="1"/>
  <c r="R70" i="1"/>
  <c r="S70" i="1"/>
  <c r="S71" i="1"/>
  <c r="R71" i="1"/>
  <c r="S73" i="1"/>
  <c r="R73" i="1"/>
  <c r="R72" i="1"/>
  <c r="S72" i="1"/>
  <c r="R74" i="1"/>
  <c r="S74" i="1"/>
  <c r="T2" i="1"/>
  <c r="Q77" i="1"/>
  <c r="F77" i="1" s="1"/>
  <c r="Q76" i="1"/>
  <c r="F76" i="1" s="1"/>
  <c r="T4" i="1" l="1"/>
  <c r="T6" i="1"/>
  <c r="T14" i="1"/>
  <c r="T8" i="1"/>
  <c r="T10" i="1"/>
  <c r="T13" i="1"/>
  <c r="T12" i="1"/>
  <c r="T16" i="1"/>
  <c r="T18" i="1"/>
  <c r="T20" i="1"/>
  <c r="T22" i="1"/>
  <c r="T26" i="1"/>
  <c r="T24" i="1"/>
  <c r="T28" i="1"/>
  <c r="T31" i="1"/>
  <c r="T33" i="1"/>
  <c r="T35" i="1"/>
  <c r="T37" i="1"/>
  <c r="T48" i="1"/>
  <c r="T39" i="1"/>
  <c r="T41" i="1"/>
  <c r="T43" i="1"/>
  <c r="T44" i="1"/>
  <c r="T45" i="1"/>
  <c r="T47" i="1"/>
  <c r="T49" i="1"/>
  <c r="T52" i="1"/>
  <c r="T54" i="1"/>
  <c r="T56" i="1"/>
  <c r="T57" i="1"/>
  <c r="T58" i="1"/>
  <c r="T60" i="1"/>
  <c r="T62" i="1"/>
  <c r="T65" i="1"/>
  <c r="T64" i="1"/>
  <c r="T73" i="1"/>
  <c r="T66" i="1"/>
  <c r="T68" i="1"/>
  <c r="T71" i="1"/>
  <c r="T70" i="1"/>
  <c r="T72" i="1"/>
  <c r="T74" i="1"/>
  <c r="R75" i="1"/>
  <c r="S75" i="1"/>
  <c r="R76" i="1"/>
  <c r="S76" i="1"/>
  <c r="Q79" i="1"/>
  <c r="F79" i="1" s="1"/>
  <c r="Q78" i="1"/>
  <c r="F78" i="1" s="1"/>
  <c r="A78" i="1" s="1"/>
  <c r="A79" i="1" l="1"/>
  <c r="T75" i="1"/>
  <c r="S77" i="1"/>
  <c r="R77" i="1"/>
  <c r="T76" i="1"/>
  <c r="R79" i="1"/>
  <c r="R78" i="1"/>
  <c r="S78" i="1"/>
  <c r="T77" i="1" l="1"/>
  <c r="S79" i="1"/>
  <c r="T79" i="1" s="1"/>
  <c r="T78" i="1"/>
  <c r="Q80" i="1" l="1"/>
  <c r="F80" i="1" s="1"/>
  <c r="A80" i="1" s="1"/>
  <c r="Q81" i="1" l="1"/>
  <c r="F81" i="1" s="1"/>
  <c r="A81" i="1" s="1"/>
  <c r="A82" i="1" s="1"/>
  <c r="Q82" i="1"/>
  <c r="F82" i="1" s="1"/>
  <c r="Q83" i="1" l="1"/>
  <c r="F83" i="1" s="1"/>
  <c r="A83" i="1" s="1"/>
  <c r="R83" i="1" l="1"/>
  <c r="Q84" i="1"/>
  <c r="F84" i="1" s="1"/>
  <c r="A84" i="1" s="1"/>
  <c r="Q85" i="1"/>
  <c r="F85" i="1" s="1"/>
  <c r="A85" i="1" l="1"/>
  <c r="S83" i="1"/>
  <c r="T83" i="1" s="1"/>
  <c r="S81" i="1"/>
  <c r="R81" i="1"/>
  <c r="R80" i="1"/>
  <c r="S80" i="1"/>
  <c r="S82" i="1"/>
  <c r="R82" i="1"/>
  <c r="S84" i="1"/>
  <c r="R84" i="1"/>
  <c r="R85" i="1"/>
  <c r="S85" i="1"/>
  <c r="T81" i="1" l="1"/>
  <c r="T80" i="1"/>
  <c r="T82" i="1"/>
  <c r="T84" i="1"/>
  <c r="T85" i="1"/>
  <c r="Q86" i="1"/>
  <c r="F86" i="1" s="1"/>
  <c r="A86" i="1" s="1"/>
  <c r="A87" i="1" s="1"/>
  <c r="Q87" i="1"/>
  <c r="F87" i="1" s="1"/>
  <c r="R86" i="1" l="1"/>
  <c r="R87" i="1"/>
  <c r="S87" i="1"/>
  <c r="S86" i="1" l="1"/>
  <c r="T86" i="1" s="1"/>
  <c r="T87" i="1"/>
  <c r="Q88" i="1"/>
  <c r="F88" i="1" s="1"/>
  <c r="A88" i="1" s="1"/>
  <c r="Q89" i="1"/>
  <c r="F89" i="1" s="1"/>
  <c r="Q90" i="1"/>
  <c r="F90" i="1" s="1"/>
  <c r="Q91" i="1"/>
  <c r="F91" i="1" s="1"/>
  <c r="Q92" i="1"/>
  <c r="F92" i="1" s="1"/>
  <c r="Q93" i="1"/>
  <c r="F93" i="1" s="1"/>
  <c r="Q94" i="1"/>
  <c r="F94" i="1" s="1"/>
  <c r="Q95" i="1"/>
  <c r="F95" i="1" s="1"/>
  <c r="Q96" i="1"/>
  <c r="F96" i="1" s="1"/>
  <c r="Q97" i="1"/>
  <c r="F97" i="1" s="1"/>
  <c r="Q98" i="1"/>
  <c r="F98" i="1" s="1"/>
  <c r="Q99" i="1"/>
  <c r="F99" i="1" s="1"/>
  <c r="Q100" i="1"/>
  <c r="F100" i="1" s="1"/>
  <c r="Q101" i="1"/>
  <c r="F101" i="1" s="1"/>
  <c r="Q102" i="1"/>
  <c r="F102" i="1" s="1"/>
  <c r="Q103" i="1"/>
  <c r="F103" i="1" s="1"/>
  <c r="Q104" i="1"/>
  <c r="F104" i="1" s="1"/>
  <c r="Q105" i="1"/>
  <c r="F105" i="1" s="1"/>
  <c r="Q106" i="1"/>
  <c r="F106" i="1" s="1"/>
  <c r="Q107" i="1"/>
  <c r="F107" i="1" s="1"/>
  <c r="Q108" i="1"/>
  <c r="F108" i="1" s="1"/>
  <c r="Q109" i="1"/>
  <c r="F109" i="1" s="1"/>
  <c r="Q110" i="1"/>
  <c r="F110" i="1" s="1"/>
  <c r="Q111" i="1"/>
  <c r="F111" i="1" s="1"/>
  <c r="Q112" i="1"/>
  <c r="F112" i="1" s="1"/>
  <c r="Q113" i="1"/>
  <c r="F113" i="1" s="1"/>
  <c r="Q114" i="1"/>
  <c r="F114" i="1" s="1"/>
  <c r="Q115" i="1"/>
  <c r="F115" i="1" s="1"/>
  <c r="Q116" i="1"/>
  <c r="F116" i="1" s="1"/>
  <c r="Q117" i="1"/>
  <c r="F117" i="1" s="1"/>
  <c r="Q118" i="1"/>
  <c r="F118" i="1" s="1"/>
  <c r="Q119" i="1"/>
  <c r="F119" i="1" s="1"/>
  <c r="Q120" i="1"/>
  <c r="F120" i="1" s="1"/>
  <c r="Q121" i="1"/>
  <c r="F121" i="1" s="1"/>
  <c r="Q122" i="1"/>
  <c r="F122" i="1" s="1"/>
  <c r="Q123" i="1"/>
  <c r="F123" i="1" s="1"/>
  <c r="Q124" i="1"/>
  <c r="F124" i="1" s="1"/>
  <c r="Q125" i="1"/>
  <c r="F125" i="1" s="1"/>
  <c r="Q126" i="1"/>
  <c r="F126" i="1" s="1"/>
  <c r="Q127" i="1"/>
  <c r="F127" i="1" s="1"/>
  <c r="Q128" i="1"/>
  <c r="F128" i="1" s="1"/>
  <c r="Q129" i="1"/>
  <c r="F129" i="1" s="1"/>
  <c r="Q130" i="1"/>
  <c r="F130" i="1" s="1"/>
  <c r="Q131" i="1"/>
  <c r="F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A89" i="1" l="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R88" i="1"/>
  <c r="S88" i="1"/>
  <c r="T88" i="1" l="1"/>
  <c r="R89" i="1"/>
  <c r="S89" i="1"/>
  <c r="S100" i="1"/>
  <c r="R100" i="1"/>
  <c r="R108" i="1"/>
  <c r="S108" i="1"/>
  <c r="R90" i="1" l="1"/>
  <c r="S90" i="1"/>
  <c r="T89" i="1"/>
  <c r="T100" i="1"/>
  <c r="T108" i="1"/>
  <c r="S96" i="1"/>
  <c r="R96" i="1"/>
  <c r="S97" i="1"/>
  <c r="R91" i="1" l="1"/>
  <c r="S91" i="1"/>
  <c r="T90" i="1"/>
  <c r="T96" i="1"/>
  <c r="R97" i="1"/>
  <c r="T97" i="1" s="1"/>
  <c r="R92" i="1" l="1"/>
  <c r="S92" i="1"/>
  <c r="T91" i="1"/>
  <c r="R98" i="1"/>
  <c r="S98" i="1"/>
  <c r="R93" i="1" l="1"/>
  <c r="S93" i="1"/>
  <c r="T92" i="1"/>
  <c r="S99" i="1"/>
  <c r="T98" i="1"/>
  <c r="R99" i="1"/>
  <c r="T99" i="1" l="1"/>
  <c r="R94" i="1"/>
  <c r="S94" i="1"/>
  <c r="T93" i="1"/>
  <c r="R101" i="1"/>
  <c r="S101" i="1"/>
  <c r="R95" i="1" l="1"/>
  <c r="S95" i="1"/>
  <c r="T94" i="1"/>
  <c r="T101" i="1"/>
  <c r="R102" i="1"/>
  <c r="S102" i="1"/>
  <c r="S103" i="1"/>
  <c r="T95" i="1" l="1"/>
  <c r="T102" i="1"/>
  <c r="R103" i="1"/>
  <c r="T103" i="1" s="1"/>
  <c r="R104" i="1" l="1"/>
  <c r="S104" i="1"/>
  <c r="T104" i="1" l="1"/>
  <c r="R105" i="1"/>
  <c r="S105" i="1"/>
  <c r="T105" i="1" l="1"/>
  <c r="R106" i="1"/>
  <c r="S106" i="1"/>
  <c r="T106" i="1" l="1"/>
  <c r="R107" i="1"/>
  <c r="S107" i="1"/>
  <c r="T107" i="1" l="1"/>
  <c r="R109" i="1"/>
  <c r="S109" i="1"/>
  <c r="T109" i="1" l="1"/>
  <c r="R110" i="1"/>
  <c r="S110" i="1"/>
  <c r="T110" i="1" l="1"/>
  <c r="R111" i="1"/>
  <c r="S111" i="1"/>
  <c r="T111" i="1" l="1"/>
  <c r="R112" i="1"/>
  <c r="S112" i="1"/>
  <c r="T112" i="1" l="1"/>
  <c r="R113" i="1"/>
  <c r="S113" i="1"/>
  <c r="T113" i="1" l="1"/>
  <c r="R114" i="1"/>
  <c r="S114" i="1"/>
  <c r="T114" i="1" l="1"/>
  <c r="R115" i="1"/>
  <c r="S115" i="1"/>
  <c r="T115" i="1" l="1"/>
  <c r="R116" i="1" l="1"/>
  <c r="S116" i="1"/>
  <c r="T116" i="1" l="1"/>
  <c r="R117" i="1"/>
  <c r="S117" i="1"/>
  <c r="T117" i="1" l="1"/>
  <c r="R118" i="1"/>
  <c r="S118" i="1"/>
  <c r="T118" i="1" l="1"/>
  <c r="R119" i="1"/>
  <c r="S119" i="1"/>
  <c r="T119" i="1" l="1"/>
  <c r="R120" i="1"/>
  <c r="S120" i="1"/>
  <c r="T120" i="1" l="1"/>
  <c r="R121" i="1"/>
  <c r="S121" i="1"/>
  <c r="T121" i="1" l="1"/>
  <c r="R122" i="1"/>
  <c r="S122" i="1"/>
  <c r="T122" i="1" l="1"/>
  <c r="R123" i="1"/>
  <c r="S123" i="1"/>
  <c r="T123" i="1" l="1"/>
  <c r="R124" i="1"/>
  <c r="S124" i="1"/>
  <c r="T124" i="1" l="1"/>
  <c r="R125" i="1"/>
  <c r="S125" i="1"/>
  <c r="T125" i="1" l="1"/>
  <c r="R126" i="1"/>
  <c r="S126" i="1"/>
  <c r="T126" i="1" l="1"/>
  <c r="R127" i="1"/>
  <c r="S127" i="1"/>
  <c r="T127" i="1" l="1"/>
  <c r="R128" i="1"/>
  <c r="S128" i="1"/>
  <c r="S129" i="1"/>
  <c r="T128" i="1" l="1"/>
  <c r="R129" i="1"/>
  <c r="T129" i="1" s="1"/>
  <c r="R130" i="1" l="1"/>
  <c r="S130" i="1" l="1"/>
  <c r="T130" i="1" s="1"/>
  <c r="R131" i="1" l="1"/>
  <c r="S131" i="1"/>
  <c r="S132" i="1"/>
  <c r="T131" i="1" l="1"/>
  <c r="R132" i="1"/>
  <c r="T132" i="1" s="1"/>
  <c r="R133" i="1" l="1"/>
  <c r="S133" i="1"/>
  <c r="S134" i="1"/>
  <c r="T133" i="1" l="1"/>
  <c r="R134" i="1"/>
  <c r="T134" i="1" s="1"/>
  <c r="R135" i="1" l="1"/>
  <c r="S135" i="1"/>
  <c r="T135" i="1" l="1"/>
  <c r="S136" i="1"/>
  <c r="R136" i="1"/>
  <c r="T136" i="1" l="1"/>
  <c r="R138" i="1" l="1"/>
  <c r="S138" i="1"/>
  <c r="S137" i="1"/>
  <c r="R137" i="1"/>
  <c r="T138" i="1" l="1"/>
  <c r="T137" i="1"/>
  <c r="R139" i="1"/>
  <c r="S139" i="1"/>
  <c r="T139" i="1" l="1"/>
  <c r="S140" i="1"/>
  <c r="R140" i="1" l="1"/>
  <c r="T140" i="1" s="1"/>
  <c r="R141" i="1" l="1"/>
  <c r="S141" i="1"/>
  <c r="T141" i="1" l="1"/>
  <c r="S142" i="1"/>
  <c r="R142" i="1" l="1"/>
  <c r="T142" i="1" s="1"/>
  <c r="S143" i="1" l="1"/>
  <c r="R143" i="1"/>
  <c r="T143" i="1" l="1"/>
  <c r="R144" i="1" l="1"/>
  <c r="S144" i="1"/>
  <c r="T144" i="1" l="1"/>
  <c r="S145" i="1"/>
  <c r="R145" i="1"/>
  <c r="T145" i="1" l="1"/>
  <c r="R146" i="1"/>
  <c r="S146" i="1"/>
  <c r="T146" i="1" l="1"/>
  <c r="R147" i="1"/>
  <c r="S147" i="1"/>
  <c r="T147" i="1" l="1"/>
  <c r="S149" i="1"/>
  <c r="R148" i="1"/>
  <c r="S148" i="1"/>
  <c r="S152" i="1"/>
  <c r="R149" i="1" l="1"/>
  <c r="T149" i="1" s="1"/>
  <c r="T148" i="1"/>
  <c r="S150" i="1"/>
  <c r="R150" i="1"/>
  <c r="R152" i="1"/>
  <c r="T152" i="1" s="1"/>
  <c r="T150" i="1" l="1"/>
  <c r="R151" i="1"/>
  <c r="S151" i="1"/>
  <c r="R153" i="1"/>
  <c r="S153" i="1"/>
  <c r="T151" i="1" l="1"/>
  <c r="T153" i="1"/>
  <c r="S154" i="1"/>
  <c r="R154" i="1"/>
  <c r="T154" i="1" l="1"/>
  <c r="R155" i="1"/>
  <c r="S155" i="1"/>
  <c r="T155" i="1" l="1"/>
  <c r="R156" i="1"/>
  <c r="S156" i="1"/>
  <c r="T156" i="1" l="1"/>
  <c r="R157" i="1"/>
  <c r="S157" i="1"/>
  <c r="S159" i="1" l="1"/>
  <c r="R159" i="1"/>
  <c r="T157" i="1"/>
  <c r="R158" i="1"/>
  <c r="S158" i="1"/>
  <c r="T159" i="1" l="1"/>
  <c r="R161" i="1"/>
  <c r="S161" i="1"/>
  <c r="T158" i="1"/>
  <c r="R160" i="1"/>
  <c r="S160" i="1"/>
  <c r="T161" i="1" l="1"/>
  <c r="T160" i="1"/>
  <c r="R162" i="1"/>
  <c r="S162" i="1"/>
  <c r="T162" i="1" l="1"/>
  <c r="R163" i="1"/>
  <c r="S163" i="1"/>
  <c r="T163" i="1" l="1"/>
  <c r="R164" i="1"/>
  <c r="S164" i="1"/>
  <c r="T164" i="1" l="1"/>
  <c r="R165" i="1"/>
  <c r="S165" i="1"/>
  <c r="T165" i="1" l="1"/>
  <c r="R166" i="1"/>
  <c r="S166" i="1"/>
  <c r="T166" i="1" l="1"/>
  <c r="S167" i="1"/>
  <c r="R167" i="1"/>
  <c r="R169" i="1" l="1"/>
  <c r="S169" i="1"/>
  <c r="T167" i="1"/>
  <c r="R168" i="1"/>
  <c r="S168" i="1"/>
  <c r="T169" i="1" l="1"/>
  <c r="T168" i="1"/>
  <c r="R170" i="1" l="1"/>
  <c r="S170" i="1"/>
  <c r="T170" i="1" l="1"/>
  <c r="R171" i="1" l="1"/>
  <c r="S171" i="1"/>
  <c r="R172" i="1" l="1"/>
  <c r="S172" i="1"/>
  <c r="T171" i="1"/>
  <c r="T172" i="1" l="1"/>
  <c r="S173" i="1" l="1"/>
  <c r="R173" i="1"/>
  <c r="T173" i="1" l="1"/>
  <c r="R174" i="1"/>
  <c r="S174" i="1"/>
  <c r="T174" i="1" l="1"/>
  <c r="R175" i="1"/>
  <c r="S175" i="1"/>
  <c r="T175" i="1" l="1"/>
  <c r="R176" i="1"/>
  <c r="S176" i="1"/>
  <c r="T176" i="1" l="1"/>
  <c r="R177" i="1"/>
  <c r="S177" i="1"/>
  <c r="R179" i="1" l="1"/>
  <c r="S179" i="1"/>
  <c r="T177" i="1"/>
  <c r="R178" i="1"/>
  <c r="S178" i="1"/>
  <c r="T179" i="1" l="1"/>
  <c r="T178" i="1"/>
  <c r="R180" i="1"/>
  <c r="S180" i="1"/>
  <c r="R181" i="1" l="1"/>
  <c r="T180" i="1"/>
  <c r="S181" i="1"/>
  <c r="T181" i="1" l="1"/>
  <c r="R182" i="1" l="1"/>
  <c r="S182" i="1"/>
  <c r="R183" i="1"/>
  <c r="S183" i="1"/>
  <c r="T182" i="1" l="1"/>
  <c r="T183" i="1"/>
  <c r="R184" i="1" l="1"/>
  <c r="S184" i="1"/>
  <c r="T184" i="1" l="1"/>
  <c r="R185" i="1"/>
  <c r="S185" i="1"/>
  <c r="T185" i="1" l="1"/>
  <c r="R187" i="1" l="1"/>
  <c r="S186" i="1"/>
  <c r="R186" i="1"/>
  <c r="R188" i="1"/>
  <c r="S187" i="1" l="1"/>
  <c r="T187" i="1" s="1"/>
  <c r="T186" i="1"/>
  <c r="S188" i="1"/>
  <c r="T188" i="1" s="1"/>
  <c r="R189" i="1" l="1"/>
  <c r="S189" i="1"/>
  <c r="T189" i="1" l="1"/>
  <c r="R190" i="1"/>
  <c r="S190" i="1"/>
  <c r="T190" i="1" l="1"/>
  <c r="R191" i="1" l="1"/>
  <c r="S191" i="1"/>
  <c r="T191" i="1" l="1"/>
  <c r="R192" i="1"/>
  <c r="S192" i="1"/>
  <c r="T192" i="1" l="1"/>
  <c r="S193" i="1"/>
  <c r="R193" i="1"/>
  <c r="T193" i="1" l="1"/>
  <c r="R194" i="1"/>
  <c r="S194" i="1"/>
  <c r="T194" i="1" l="1"/>
  <c r="S197" i="1"/>
  <c r="R197" i="1" l="1"/>
  <c r="T197" i="1" s="1"/>
  <c r="R198" i="1"/>
  <c r="S198" i="1"/>
  <c r="R195" i="1"/>
  <c r="S195" i="1"/>
  <c r="T195" i="1" l="1"/>
  <c r="S196" i="1"/>
  <c r="T198" i="1"/>
  <c r="R196" i="1"/>
  <c r="T196" i="1" l="1"/>
  <c r="S199" i="1" l="1"/>
  <c r="R199" i="1"/>
  <c r="T199" i="1" l="1"/>
  <c r="R200" i="1"/>
  <c r="S200" i="1"/>
  <c r="S201" i="1"/>
  <c r="T200" i="1" l="1"/>
  <c r="R201" i="1"/>
  <c r="T201" i="1" s="1"/>
  <c r="R203" i="1" l="1"/>
  <c r="S203" i="1"/>
  <c r="R202" i="1"/>
  <c r="S202" i="1"/>
  <c r="T203" i="1" l="1"/>
  <c r="T202" i="1"/>
  <c r="R204" i="1"/>
  <c r="S204" i="1"/>
  <c r="T204" i="1" l="1"/>
  <c r="R205" i="1"/>
  <c r="S205" i="1"/>
  <c r="T205" i="1" l="1"/>
  <c r="S206" i="1"/>
  <c r="R206" i="1"/>
  <c r="T206" i="1" l="1"/>
  <c r="S207" i="1"/>
  <c r="R207" i="1"/>
  <c r="T207" i="1" l="1"/>
  <c r="S212" i="1" l="1"/>
  <c r="R212" i="1"/>
  <c r="R214" i="1"/>
  <c r="R216" i="1"/>
  <c r="S216" i="1"/>
  <c r="S217" i="1"/>
  <c r="R213" i="1"/>
  <c r="S213" i="1"/>
  <c r="S215" i="1" l="1"/>
  <c r="T212" i="1"/>
  <c r="T216" i="1"/>
  <c r="T213" i="1"/>
  <c r="S214" i="1"/>
  <c r="T214" i="1" s="1"/>
  <c r="R217" i="1"/>
  <c r="T217" i="1" s="1"/>
  <c r="R215" i="1" l="1"/>
  <c r="T215" i="1" s="1"/>
  <c r="R208" i="1"/>
  <c r="S208" i="1"/>
  <c r="S209" i="1" l="1"/>
  <c r="R209" i="1"/>
  <c r="T208" i="1"/>
  <c r="R221" i="1"/>
  <c r="S221" i="1"/>
  <c r="S218" i="1"/>
  <c r="R218" i="1"/>
  <c r="T209" i="1" l="1"/>
  <c r="R211" i="1"/>
  <c r="S211" i="1"/>
  <c r="S210" i="1"/>
  <c r="R210" i="1"/>
  <c r="T221" i="1"/>
  <c r="S224" i="1"/>
  <c r="T218" i="1"/>
  <c r="S219" i="1"/>
  <c r="R219" i="1"/>
  <c r="S222" i="1"/>
  <c r="R222" i="1"/>
  <c r="R225" i="1" l="1"/>
  <c r="T210" i="1"/>
  <c r="T211" i="1"/>
  <c r="R224" i="1"/>
  <c r="T224" i="1" s="1"/>
  <c r="T219" i="1"/>
  <c r="R223" i="1"/>
  <c r="S223" i="1"/>
  <c r="S220" i="1"/>
  <c r="R220" i="1"/>
  <c r="T222" i="1"/>
  <c r="S226" i="1"/>
  <c r="R226" i="1"/>
  <c r="S233" i="1" l="1"/>
  <c r="S225" i="1"/>
  <c r="T225" i="1" s="1"/>
  <c r="T220" i="1"/>
  <c r="T223" i="1"/>
  <c r="T226" i="1"/>
  <c r="R227" i="1"/>
  <c r="S227" i="1"/>
  <c r="S228" i="1"/>
  <c r="R228" i="1"/>
  <c r="S232" i="1"/>
  <c r="R232" i="1"/>
  <c r="R233" i="1"/>
  <c r="T233" i="1" l="1"/>
  <c r="T227" i="1"/>
  <c r="R230" i="1"/>
  <c r="S230" i="1"/>
  <c r="T228" i="1"/>
  <c r="S229" i="1"/>
  <c r="R229" i="1"/>
  <c r="T232" i="1"/>
  <c r="T230" i="1" l="1"/>
  <c r="T229" i="1"/>
  <c r="S231" i="1"/>
  <c r="R231" i="1"/>
  <c r="S235" i="1"/>
  <c r="R234" i="1"/>
  <c r="S234" i="1"/>
  <c r="R236" i="1"/>
  <c r="R237" i="1"/>
  <c r="S237" i="1"/>
  <c r="R238" i="1"/>
  <c r="R235" i="1" l="1"/>
  <c r="T235" i="1" s="1"/>
  <c r="T231" i="1"/>
  <c r="T234" i="1"/>
  <c r="S236" i="1"/>
  <c r="T236" i="1" s="1"/>
  <c r="T237" i="1"/>
  <c r="S238" i="1"/>
  <c r="T238" i="1" s="1"/>
  <c r="S239" i="1"/>
  <c r="R239" i="1"/>
  <c r="R240" i="1"/>
  <c r="S240" i="1"/>
  <c r="S241" i="1"/>
  <c r="R241" i="1"/>
  <c r="R243" i="1" l="1"/>
  <c r="T239" i="1"/>
  <c r="T240" i="1"/>
  <c r="T241" i="1"/>
  <c r="S243" i="1"/>
  <c r="R242" i="1"/>
  <c r="S242" i="1"/>
  <c r="T243" i="1" l="1"/>
  <c r="S244" i="1"/>
  <c r="R244" i="1"/>
  <c r="T242" i="1"/>
  <c r="S245" i="1"/>
  <c r="R245" i="1"/>
  <c r="T244" i="1" l="1"/>
  <c r="T245" i="1"/>
  <c r="R247" i="1" l="1"/>
  <c r="S247" i="1"/>
  <c r="S248" i="1"/>
  <c r="S249" i="1" l="1"/>
  <c r="R249" i="1"/>
  <c r="R250" i="1"/>
  <c r="S250" i="1"/>
  <c r="R251" i="1"/>
  <c r="S251" i="1"/>
  <c r="R246" i="1"/>
  <c r="S246" i="1"/>
  <c r="T247" i="1"/>
  <c r="R248" i="1"/>
  <c r="T248" i="1" s="1"/>
  <c r="T249" i="1" l="1"/>
  <c r="T250" i="1"/>
  <c r="R254" i="1"/>
  <c r="S254" i="1"/>
  <c r="R252" i="1"/>
  <c r="S252" i="1"/>
  <c r="T251" i="1"/>
  <c r="S253" i="1"/>
  <c r="R253" i="1"/>
  <c r="T246" i="1"/>
  <c r="S256" i="1" l="1"/>
  <c r="R255" i="1"/>
  <c r="R256" i="1"/>
  <c r="T254" i="1"/>
  <c r="T252" i="1"/>
  <c r="S255" i="1"/>
  <c r="T253" i="1"/>
  <c r="S257" i="1"/>
  <c r="R257" i="1"/>
  <c r="T256" i="1" l="1"/>
  <c r="T255" i="1"/>
  <c r="T257" i="1"/>
  <c r="S258" i="1"/>
  <c r="R258" i="1"/>
  <c r="S271" i="1"/>
  <c r="T258" i="1" l="1"/>
  <c r="R259" i="1"/>
  <c r="S259" i="1"/>
  <c r="R275" i="1"/>
  <c r="S275" i="1"/>
  <c r="R271" i="1"/>
  <c r="T271" i="1" s="1"/>
  <c r="R274" i="1"/>
  <c r="S274" i="1"/>
  <c r="R266" i="1"/>
  <c r="S266" i="1"/>
  <c r="R273" i="1"/>
  <c r="S273" i="1"/>
  <c r="R283" i="1"/>
  <c r="S283" i="1"/>
  <c r="S293" i="1" l="1"/>
  <c r="R293" i="1"/>
  <c r="S260" i="1"/>
  <c r="R260" i="1"/>
  <c r="T259" i="1"/>
  <c r="R261" i="1"/>
  <c r="S261" i="1"/>
  <c r="T275" i="1"/>
  <c r="S272" i="1"/>
  <c r="R272" i="1"/>
  <c r="T266" i="1"/>
  <c r="T274" i="1"/>
  <c r="R267" i="1"/>
  <c r="S267" i="1"/>
  <c r="T273" i="1"/>
  <c r="R284" i="1"/>
  <c r="S284" i="1"/>
  <c r="T283" i="1"/>
  <c r="R294" i="1"/>
  <c r="S294" i="1"/>
  <c r="R295" i="1"/>
  <c r="S295" i="1"/>
  <c r="T293" i="1" l="1"/>
  <c r="R298" i="1"/>
  <c r="S298" i="1"/>
  <c r="R299" i="1"/>
  <c r="S299" i="1"/>
  <c r="T260" i="1"/>
  <c r="R262" i="1"/>
  <c r="S262" i="1"/>
  <c r="T261" i="1"/>
  <c r="T272" i="1"/>
  <c r="S268" i="1"/>
  <c r="R268" i="1"/>
  <c r="T267" i="1"/>
  <c r="S276" i="1"/>
  <c r="R276" i="1"/>
  <c r="T284" i="1"/>
  <c r="R285" i="1"/>
  <c r="S285" i="1"/>
  <c r="T294" i="1"/>
  <c r="T295" i="1"/>
  <c r="S296" i="1"/>
  <c r="R296" i="1"/>
  <c r="T298" i="1" l="1"/>
  <c r="T299" i="1"/>
  <c r="S300" i="1"/>
  <c r="R300" i="1"/>
  <c r="S304" i="1"/>
  <c r="R304" i="1"/>
  <c r="R263" i="1"/>
  <c r="S263" i="1"/>
  <c r="T262" i="1"/>
  <c r="T268" i="1"/>
  <c r="S269" i="1"/>
  <c r="R269" i="1"/>
  <c r="T276" i="1"/>
  <c r="S277" i="1"/>
  <c r="R277" i="1"/>
  <c r="R286" i="1"/>
  <c r="S286" i="1"/>
  <c r="T285" i="1"/>
  <c r="T296" i="1"/>
  <c r="S297" i="1"/>
  <c r="R297" i="1"/>
  <c r="S302" i="1"/>
  <c r="R302" i="1"/>
  <c r="R301" i="1"/>
  <c r="S301" i="1"/>
  <c r="T300" i="1" l="1"/>
  <c r="T304" i="1"/>
  <c r="S305" i="1"/>
  <c r="R305" i="1"/>
  <c r="T263" i="1"/>
  <c r="S264" i="1"/>
  <c r="R264" i="1"/>
  <c r="T269" i="1"/>
  <c r="S270" i="1"/>
  <c r="R270" i="1"/>
  <c r="T277" i="1"/>
  <c r="R278" i="1"/>
  <c r="S278" i="1"/>
  <c r="T286" i="1"/>
  <c r="R287" i="1"/>
  <c r="S287" i="1"/>
  <c r="T297" i="1"/>
  <c r="T302" i="1"/>
  <c r="T301" i="1"/>
  <c r="R303" i="1"/>
  <c r="S303" i="1"/>
  <c r="T305" i="1" l="1"/>
  <c r="S306" i="1"/>
  <c r="R306" i="1"/>
  <c r="T264" i="1"/>
  <c r="S265" i="1"/>
  <c r="R265" i="1"/>
  <c r="T270" i="1"/>
  <c r="T278" i="1"/>
  <c r="R279" i="1"/>
  <c r="S279" i="1"/>
  <c r="T287" i="1"/>
  <c r="S288" i="1"/>
  <c r="R288" i="1"/>
  <c r="T303" i="1"/>
  <c r="T306" i="1" l="1"/>
  <c r="S307" i="1"/>
  <c r="R307" i="1"/>
  <c r="T265" i="1"/>
  <c r="R280" i="1"/>
  <c r="S280" i="1"/>
  <c r="T279" i="1"/>
  <c r="T288" i="1"/>
  <c r="S289" i="1"/>
  <c r="R289" i="1"/>
  <c r="T307" i="1" l="1"/>
  <c r="R308" i="1"/>
  <c r="S308" i="1"/>
  <c r="T280" i="1"/>
  <c r="R281" i="1"/>
  <c r="S281" i="1"/>
  <c r="T289" i="1"/>
  <c r="R290" i="1"/>
  <c r="S290" i="1"/>
  <c r="T308" i="1" l="1"/>
  <c r="S309" i="1"/>
  <c r="R309" i="1"/>
  <c r="R282" i="1"/>
  <c r="S282" i="1"/>
  <c r="T281" i="1"/>
  <c r="T290" i="1"/>
  <c r="R291" i="1"/>
  <c r="S291" i="1"/>
  <c r="T309" i="1" l="1"/>
  <c r="R310" i="1"/>
  <c r="S310" i="1"/>
  <c r="T282" i="1"/>
  <c r="T291" i="1"/>
  <c r="R292" i="1"/>
  <c r="S292" i="1"/>
  <c r="T310" i="1" l="1"/>
  <c r="R311" i="1"/>
  <c r="S311" i="1"/>
  <c r="T292" i="1"/>
  <c r="R312" i="1" l="1"/>
  <c r="S312" i="1"/>
  <c r="T311" i="1"/>
  <c r="T312" i="1" l="1"/>
  <c r="S313" i="1"/>
  <c r="R313" i="1"/>
  <c r="T313" i="1" l="1"/>
  <c r="S314" i="1"/>
  <c r="R314" i="1"/>
  <c r="T314" i="1" l="1"/>
  <c r="R315" i="1"/>
  <c r="S315" i="1"/>
  <c r="T315" i="1" l="1"/>
  <c r="R316" i="1"/>
  <c r="S316" i="1"/>
  <c r="T316" i="1" l="1"/>
  <c r="S317" i="1"/>
  <c r="R317" i="1"/>
  <c r="T317" i="1" l="1"/>
  <c r="S318" i="1"/>
  <c r="R318" i="1"/>
  <c r="T318" i="1" l="1"/>
  <c r="S319" i="1"/>
  <c r="R319" i="1"/>
  <c r="T319" i="1" l="1"/>
  <c r="S320" i="1"/>
  <c r="R320" i="1"/>
  <c r="T320" i="1" l="1"/>
  <c r="R321" i="1"/>
  <c r="S321" i="1"/>
  <c r="T321" i="1" l="1"/>
  <c r="R322" i="1"/>
  <c r="S322" i="1"/>
  <c r="R323" i="1" l="1"/>
  <c r="S323" i="1"/>
  <c r="T322" i="1"/>
  <c r="T323" i="1" l="1"/>
  <c r="R324" i="1"/>
  <c r="S324" i="1"/>
  <c r="T324" i="1" l="1"/>
  <c r="R325" i="1"/>
  <c r="S325" i="1"/>
  <c r="T325" i="1" l="1"/>
  <c r="R326" i="1"/>
  <c r="S326" i="1"/>
  <c r="T326" i="1" l="1"/>
  <c r="S327" i="1"/>
  <c r="R327" i="1"/>
  <c r="T327" i="1" l="1"/>
  <c r="S328" i="1"/>
  <c r="R328" i="1"/>
  <c r="T328" i="1" l="1"/>
  <c r="R329" i="1"/>
  <c r="S329" i="1"/>
  <c r="T329" i="1" l="1"/>
  <c r="R330" i="1"/>
  <c r="S330" i="1"/>
  <c r="T330" i="1" l="1"/>
  <c r="R331" i="1"/>
  <c r="S331" i="1"/>
  <c r="S332" i="1" l="1"/>
  <c r="R332" i="1"/>
  <c r="T331" i="1"/>
  <c r="T332" i="1" l="1"/>
  <c r="S333" i="1"/>
  <c r="R333" i="1"/>
  <c r="T333" i="1" l="1"/>
  <c r="R334" i="1"/>
  <c r="S334" i="1"/>
  <c r="T334" i="1" l="1"/>
  <c r="R335" i="1"/>
  <c r="S335" i="1"/>
  <c r="T335" i="1" l="1"/>
  <c r="S336" i="1"/>
  <c r="R336" i="1"/>
  <c r="T336" i="1" l="1"/>
  <c r="R337" i="1"/>
  <c r="S337" i="1"/>
  <c r="R338" i="1" l="1"/>
  <c r="S338" i="1"/>
  <c r="T337" i="1"/>
  <c r="T338" i="1" l="1"/>
  <c r="R339" i="1"/>
  <c r="S339" i="1"/>
  <c r="T339" i="1" l="1"/>
  <c r="S340" i="1"/>
  <c r="R340" i="1"/>
  <c r="T340" i="1" l="1"/>
  <c r="S341" i="1"/>
  <c r="R341" i="1"/>
  <c r="T341" i="1" l="1"/>
  <c r="S342" i="1"/>
  <c r="R342" i="1"/>
  <c r="T342" i="1" l="1"/>
  <c r="S343" i="1"/>
  <c r="R343" i="1"/>
  <c r="T343" i="1" l="1"/>
  <c r="S344" i="1"/>
  <c r="R344" i="1"/>
  <c r="T344" i="1" l="1"/>
  <c r="S345" i="1"/>
  <c r="R345" i="1"/>
  <c r="T345" i="1" l="1"/>
  <c r="R346" i="1"/>
  <c r="S346" i="1"/>
  <c r="T346" i="1" l="1"/>
  <c r="R347" i="1"/>
  <c r="S347" i="1"/>
  <c r="T347" i="1" l="1"/>
  <c r="R348" i="1"/>
  <c r="S348" i="1"/>
  <c r="R349" i="1" l="1"/>
  <c r="S349" i="1"/>
  <c r="T348" i="1"/>
  <c r="T349" i="1" l="1"/>
  <c r="S350" i="1"/>
  <c r="R350" i="1"/>
  <c r="T350" i="1" l="1"/>
  <c r="R351" i="1"/>
  <c r="S351" i="1"/>
  <c r="T351" i="1" l="1"/>
  <c r="S352" i="1"/>
  <c r="R352" i="1"/>
  <c r="T352" i="1" l="1"/>
  <c r="R353" i="1"/>
  <c r="S353" i="1"/>
  <c r="T353" i="1" l="1"/>
  <c r="R354" i="1"/>
  <c r="S354" i="1"/>
  <c r="T354" i="1" l="1"/>
  <c r="S355" i="1"/>
  <c r="R355" i="1"/>
  <c r="T355" i="1" l="1"/>
  <c r="S356" i="1"/>
  <c r="R356" i="1"/>
  <c r="T356" i="1" l="1"/>
  <c r="R357" i="1"/>
  <c r="S357" i="1"/>
  <c r="T357" i="1" l="1"/>
  <c r="R358" i="1"/>
  <c r="S358" i="1"/>
  <c r="T358" i="1" l="1"/>
  <c r="S359" i="1"/>
  <c r="R359" i="1"/>
  <c r="T359" i="1" l="1"/>
  <c r="R360" i="1"/>
  <c r="S360" i="1"/>
  <c r="T360" i="1" l="1"/>
  <c r="R361" i="1"/>
  <c r="S361" i="1"/>
  <c r="T361" i="1" l="1"/>
  <c r="S362" i="1"/>
  <c r="R362" i="1"/>
  <c r="T362" i="1" l="1"/>
  <c r="S363" i="1"/>
  <c r="R363" i="1"/>
  <c r="T363" i="1" l="1"/>
  <c r="R364" i="1"/>
  <c r="S364" i="1"/>
  <c r="T364" i="1" l="1"/>
  <c r="S365" i="1"/>
  <c r="R365" i="1"/>
  <c r="T365" i="1" l="1"/>
  <c r="S366" i="1"/>
  <c r="R366" i="1"/>
  <c r="T366" i="1" l="1"/>
  <c r="S367" i="1"/>
  <c r="R367" i="1"/>
  <c r="T367" i="1" l="1"/>
  <c r="S368" i="1"/>
  <c r="R368" i="1"/>
  <c r="T368" i="1" l="1"/>
  <c r="S369" i="1"/>
  <c r="R369" i="1"/>
  <c r="T369" i="1" l="1"/>
  <c r="S370" i="1"/>
  <c r="R370" i="1"/>
  <c r="T370" i="1" l="1"/>
  <c r="S371" i="1"/>
  <c r="R371" i="1"/>
  <c r="T371" i="1" l="1"/>
  <c r="S372" i="1"/>
  <c r="R372" i="1"/>
  <c r="T372" i="1" l="1"/>
  <c r="S373" i="1"/>
  <c r="R373" i="1"/>
  <c r="T373" i="1" l="1"/>
  <c r="S374" i="1"/>
  <c r="R374" i="1"/>
  <c r="T374" i="1" l="1"/>
  <c r="S375" i="1"/>
  <c r="R375" i="1"/>
  <c r="S376" i="1" l="1"/>
  <c r="R376" i="1"/>
  <c r="T375" i="1"/>
  <c r="T376" i="1" l="1"/>
  <c r="S377" i="1"/>
  <c r="R377" i="1"/>
  <c r="T377" i="1" l="1"/>
  <c r="S378" i="1"/>
  <c r="R378" i="1"/>
  <c r="T378" i="1" l="1"/>
  <c r="S379" i="1"/>
  <c r="R379" i="1"/>
  <c r="T379" i="1" l="1"/>
  <c r="R380" i="1"/>
  <c r="S380" i="1"/>
  <c r="T380" i="1" l="1"/>
  <c r="R381" i="1"/>
  <c r="S381" i="1"/>
  <c r="T381" i="1" l="1"/>
  <c r="S382" i="1"/>
  <c r="R382" i="1"/>
  <c r="T382" i="1" l="1"/>
  <c r="R383" i="1"/>
  <c r="S383" i="1"/>
  <c r="T383" i="1" l="1"/>
  <c r="S384" i="1"/>
  <c r="R384" i="1"/>
  <c r="T384" i="1" l="1"/>
  <c r="R385" i="1"/>
  <c r="S385" i="1"/>
  <c r="S386" i="1" l="1"/>
  <c r="R386" i="1"/>
  <c r="T385" i="1"/>
  <c r="T386" i="1" l="1"/>
  <c r="R387" i="1"/>
  <c r="S387" i="1"/>
  <c r="T387" i="1" l="1"/>
  <c r="R388" i="1"/>
  <c r="S388" i="1"/>
  <c r="T388" i="1" l="1"/>
  <c r="R389" i="1"/>
  <c r="S389" i="1"/>
  <c r="T389" i="1" l="1"/>
  <c r="R390" i="1"/>
  <c r="S390" i="1"/>
  <c r="T390" i="1" l="1"/>
  <c r="R391" i="1"/>
  <c r="S391" i="1"/>
  <c r="T391" i="1" l="1"/>
  <c r="R392" i="1"/>
  <c r="S392" i="1"/>
  <c r="T392" i="1" l="1"/>
  <c r="R393" i="1"/>
  <c r="S393" i="1"/>
  <c r="T393" i="1" l="1"/>
  <c r="R394" i="1"/>
  <c r="S394" i="1"/>
  <c r="T394" i="1" l="1"/>
  <c r="S395" i="1"/>
  <c r="R395" i="1"/>
  <c r="T395" i="1" l="1"/>
  <c r="R396" i="1"/>
  <c r="S396" i="1"/>
  <c r="T396" i="1" l="1"/>
  <c r="R397" i="1"/>
  <c r="S397" i="1"/>
  <c r="S398" i="1" l="1"/>
  <c r="R398" i="1"/>
  <c r="T397" i="1"/>
  <c r="T398" i="1" l="1"/>
  <c r="S399" i="1"/>
  <c r="R399" i="1"/>
  <c r="T399" i="1" l="1"/>
  <c r="R400" i="1"/>
  <c r="S400" i="1"/>
  <c r="T400" i="1" l="1"/>
  <c r="R401" i="1"/>
  <c r="S401" i="1"/>
  <c r="T401" i="1" l="1"/>
  <c r="R402" i="1"/>
  <c r="S402" i="1"/>
  <c r="S403" i="1" l="1"/>
  <c r="R403" i="1"/>
  <c r="T402" i="1"/>
  <c r="T403" i="1" l="1"/>
  <c r="R404" i="1"/>
  <c r="S404" i="1"/>
  <c r="T404" i="1" l="1"/>
  <c r="R405" i="1"/>
  <c r="S405" i="1"/>
  <c r="T405" i="1" l="1"/>
  <c r="S406" i="1"/>
  <c r="R406" i="1"/>
  <c r="T406" i="1" l="1"/>
  <c r="R407" i="1"/>
  <c r="S407" i="1"/>
  <c r="T407" i="1" l="1"/>
  <c r="S408" i="1"/>
  <c r="R408" i="1"/>
  <c r="T408" i="1" l="1"/>
  <c r="R409" i="1"/>
  <c r="S409" i="1"/>
  <c r="T409" i="1" l="1"/>
  <c r="R410" i="1"/>
  <c r="S410" i="1"/>
  <c r="T410" i="1" l="1"/>
  <c r="S411" i="1"/>
  <c r="R411" i="1"/>
  <c r="T411" i="1" l="1"/>
  <c r="S412" i="1"/>
  <c r="R412" i="1"/>
  <c r="T412" i="1" l="1"/>
  <c r="R413" i="1"/>
  <c r="S413" i="1"/>
  <c r="T413" i="1" l="1"/>
  <c r="R414" i="1"/>
  <c r="S414" i="1"/>
  <c r="T414" i="1" l="1"/>
  <c r="S415" i="1"/>
  <c r="R415" i="1"/>
  <c r="T415" i="1" l="1"/>
  <c r="S416" i="1"/>
  <c r="R416" i="1"/>
  <c r="T416" i="1" l="1"/>
  <c r="R417" i="1"/>
  <c r="S417" i="1"/>
  <c r="T417" i="1" l="1"/>
  <c r="R418" i="1"/>
  <c r="S418" i="1"/>
  <c r="T418" i="1" l="1"/>
  <c r="S419" i="1"/>
  <c r="R419" i="1"/>
  <c r="T419" i="1" l="1"/>
  <c r="S420" i="1"/>
  <c r="R420" i="1"/>
  <c r="T420" i="1" l="1"/>
  <c r="R421" i="1"/>
  <c r="S421" i="1"/>
  <c r="T421" i="1" l="1"/>
  <c r="S422" i="1"/>
  <c r="R422" i="1"/>
  <c r="T422" i="1" l="1"/>
  <c r="R423" i="1"/>
  <c r="S423" i="1"/>
  <c r="T423" i="1" l="1"/>
  <c r="S424" i="1"/>
  <c r="R424" i="1"/>
  <c r="R425" i="1" l="1"/>
  <c r="S425" i="1"/>
  <c r="T424" i="1"/>
  <c r="R426" i="1" l="1"/>
  <c r="S426" i="1"/>
  <c r="T425" i="1"/>
  <c r="T426" i="1" l="1"/>
  <c r="R427" i="1"/>
  <c r="S427" i="1"/>
  <c r="T427" i="1" l="1"/>
  <c r="R428" i="1"/>
  <c r="S428" i="1"/>
  <c r="S429" i="1" l="1"/>
  <c r="R429" i="1"/>
  <c r="T428" i="1"/>
  <c r="T429" i="1" l="1"/>
  <c r="R430" i="1"/>
  <c r="S430" i="1"/>
  <c r="T430" i="1" l="1"/>
  <c r="S431" i="1"/>
  <c r="R431" i="1"/>
  <c r="R432" i="1" l="1"/>
  <c r="S432" i="1"/>
  <c r="T431" i="1"/>
  <c r="T432" i="1" l="1"/>
  <c r="R433" i="1"/>
  <c r="S433" i="1"/>
  <c r="S434" i="1" l="1"/>
  <c r="R434" i="1"/>
  <c r="T433" i="1"/>
  <c r="T434" i="1" l="1"/>
  <c r="R435" i="1"/>
  <c r="S435" i="1"/>
  <c r="R436" i="1" l="1"/>
  <c r="S436" i="1"/>
  <c r="T435" i="1"/>
  <c r="T436" i="1" l="1"/>
  <c r="S437" i="1"/>
  <c r="R437" i="1"/>
  <c r="T437" i="1" l="1"/>
  <c r="R438" i="1"/>
  <c r="S438" i="1"/>
  <c r="T438" i="1" l="1"/>
  <c r="R439" i="1"/>
  <c r="S439" i="1"/>
  <c r="S440" i="1" l="1"/>
  <c r="R440" i="1"/>
  <c r="T439" i="1"/>
  <c r="T440" i="1" l="1"/>
  <c r="R441" i="1"/>
  <c r="S441" i="1"/>
  <c r="T441" i="1" l="1"/>
  <c r="S442" i="1"/>
  <c r="R442" i="1"/>
  <c r="T442" i="1" l="1"/>
  <c r="R443" i="1"/>
  <c r="S443" i="1"/>
  <c r="S444" i="1" l="1"/>
  <c r="R444" i="1"/>
  <c r="T443" i="1"/>
  <c r="T444" i="1" l="1"/>
  <c r="R445" i="1"/>
  <c r="S445" i="1"/>
  <c r="T445" i="1" l="1"/>
  <c r="R446" i="1"/>
  <c r="S446" i="1"/>
  <c r="R447" i="1" l="1"/>
  <c r="S447" i="1"/>
  <c r="T446" i="1"/>
  <c r="R448" i="1" l="1"/>
  <c r="S448" i="1"/>
  <c r="T447" i="1"/>
  <c r="T448" i="1" l="1"/>
  <c r="R449" i="1"/>
  <c r="S449" i="1"/>
  <c r="R450" i="1" l="1"/>
  <c r="S450" i="1"/>
  <c r="T449" i="1"/>
  <c r="T450" i="1" l="1"/>
  <c r="R451" i="1"/>
  <c r="S451" i="1"/>
  <c r="T451" i="1" l="1"/>
  <c r="R452" i="1"/>
  <c r="S452" i="1"/>
  <c r="T452" i="1" l="1"/>
  <c r="R453" i="1"/>
  <c r="S453" i="1"/>
  <c r="T453" i="1" l="1"/>
  <c r="S454" i="1"/>
  <c r="R454" i="1"/>
  <c r="T454" i="1" l="1"/>
  <c r="R455" i="1"/>
  <c r="S455" i="1"/>
  <c r="T455" i="1" l="1"/>
  <c r="R456" i="1"/>
  <c r="S456" i="1"/>
  <c r="T456" i="1" l="1"/>
  <c r="R457" i="1"/>
  <c r="S457" i="1"/>
  <c r="T457" i="1" l="1"/>
  <c r="S458" i="1"/>
  <c r="R458" i="1"/>
  <c r="T458" i="1" l="1"/>
  <c r="R459" i="1"/>
  <c r="S459" i="1"/>
  <c r="T459" i="1" l="1"/>
  <c r="S460" i="1"/>
  <c r="R460" i="1"/>
  <c r="T460" i="1" l="1"/>
  <c r="R461" i="1"/>
  <c r="S461" i="1"/>
  <c r="T461" i="1" l="1"/>
  <c r="R462" i="1"/>
  <c r="S462" i="1"/>
  <c r="T462" i="1" l="1"/>
  <c r="R463" i="1"/>
  <c r="S463" i="1"/>
  <c r="T463" i="1" l="1"/>
  <c r="R464" i="1"/>
  <c r="S464" i="1"/>
  <c r="T464" i="1" l="1"/>
  <c r="S465" i="1"/>
  <c r="R465" i="1"/>
  <c r="T465" i="1" l="1"/>
  <c r="R466" i="1"/>
  <c r="S466" i="1"/>
  <c r="T466" i="1" l="1"/>
  <c r="R467" i="1"/>
  <c r="S467" i="1"/>
  <c r="T467" i="1" l="1"/>
  <c r="R468" i="1"/>
  <c r="S468" i="1"/>
  <c r="T468" i="1" l="1"/>
  <c r="S469" i="1"/>
  <c r="R469" i="1"/>
  <c r="T469" i="1" l="1"/>
  <c r="S470" i="1"/>
  <c r="R470" i="1"/>
  <c r="T470" i="1" l="1"/>
  <c r="R471" i="1"/>
  <c r="S471" i="1"/>
  <c r="T471" i="1" l="1"/>
  <c r="R472" i="1"/>
  <c r="S472" i="1"/>
  <c r="T472" i="1" l="1"/>
  <c r="S473" i="1"/>
  <c r="R473" i="1"/>
  <c r="T473" i="1" l="1"/>
  <c r="S474" i="1"/>
  <c r="R474" i="1"/>
  <c r="T474" i="1" l="1"/>
  <c r="S475" i="1"/>
  <c r="R475" i="1"/>
  <c r="T475" i="1" l="1"/>
  <c r="S476" i="1"/>
  <c r="R476" i="1"/>
  <c r="T476" i="1" l="1"/>
  <c r="S477" i="1"/>
  <c r="R477" i="1"/>
  <c r="T477" i="1" l="1"/>
  <c r="R478" i="1"/>
  <c r="S478" i="1"/>
  <c r="T478" i="1" l="1"/>
  <c r="S479" i="1"/>
  <c r="R479" i="1"/>
  <c r="S480" i="1" l="1"/>
  <c r="R480" i="1"/>
  <c r="T479" i="1"/>
  <c r="T480" i="1" l="1"/>
  <c r="R481" i="1"/>
  <c r="S481" i="1"/>
  <c r="S482" i="1" l="1"/>
  <c r="R482" i="1"/>
  <c r="T481" i="1"/>
  <c r="T482" i="1" l="1"/>
  <c r="S483" i="1"/>
  <c r="R483" i="1"/>
  <c r="T483" i="1" l="1"/>
  <c r="R484" i="1"/>
  <c r="S484" i="1"/>
  <c r="T484" i="1" l="1"/>
  <c r="R485" i="1"/>
  <c r="S485" i="1"/>
  <c r="S486" i="1" l="1"/>
  <c r="R486" i="1"/>
  <c r="T485" i="1"/>
  <c r="T486" i="1" l="1"/>
  <c r="R487" i="1"/>
  <c r="S487" i="1"/>
  <c r="R488" i="1" l="1"/>
  <c r="S488" i="1"/>
  <c r="T487" i="1"/>
  <c r="T488" i="1" l="1"/>
  <c r="R489" i="1"/>
  <c r="S489" i="1"/>
  <c r="R490" i="1" l="1"/>
  <c r="S490" i="1"/>
  <c r="T489" i="1"/>
  <c r="S491" i="1" l="1"/>
  <c r="R491" i="1"/>
  <c r="T490" i="1"/>
  <c r="T491" i="1" l="1"/>
  <c r="R492" i="1"/>
  <c r="S492" i="1"/>
  <c r="T492" i="1" l="1"/>
  <c r="R493" i="1"/>
  <c r="S493" i="1"/>
  <c r="T493" i="1" l="1"/>
  <c r="S494" i="1"/>
  <c r="R494" i="1"/>
  <c r="T494" i="1" l="1"/>
  <c r="R495" i="1"/>
  <c r="S495" i="1"/>
  <c r="T495" i="1" l="1"/>
  <c r="R496" i="1"/>
  <c r="S496" i="1"/>
  <c r="T496" i="1" l="1"/>
  <c r="R497" i="1"/>
  <c r="S497" i="1"/>
  <c r="S498" i="1" l="1"/>
  <c r="R498" i="1"/>
  <c r="T497" i="1"/>
  <c r="T498" i="1" l="1"/>
  <c r="S499" i="1"/>
  <c r="R499" i="1"/>
  <c r="T499" i="1" l="1"/>
  <c r="S500" i="1"/>
  <c r="R500" i="1"/>
  <c r="T500" i="1" l="1"/>
  <c r="R501" i="1"/>
  <c r="S501" i="1"/>
  <c r="R502" i="1" l="1"/>
  <c r="S502" i="1"/>
  <c r="T501" i="1"/>
  <c r="T502" i="1" l="1"/>
  <c r="R503" i="1"/>
  <c r="S503" i="1"/>
  <c r="T503" i="1" l="1"/>
  <c r="S504" i="1"/>
  <c r="R504" i="1"/>
  <c r="T504" i="1" l="1"/>
  <c r="S505" i="1"/>
  <c r="R505" i="1"/>
  <c r="T505" i="1" l="1"/>
  <c r="R506" i="1"/>
  <c r="S506" i="1"/>
  <c r="T506" i="1" l="1"/>
  <c r="R507" i="1"/>
  <c r="S507" i="1"/>
  <c r="S508" i="1" l="1"/>
  <c r="R508" i="1"/>
  <c r="T507" i="1"/>
  <c r="T508" i="1" l="1"/>
  <c r="S509" i="1"/>
  <c r="R509" i="1"/>
  <c r="T509" i="1" l="1"/>
  <c r="R510" i="1"/>
  <c r="S510" i="1"/>
  <c r="T510" i="1" l="1"/>
  <c r="S511" i="1"/>
  <c r="R511" i="1"/>
  <c r="T511" i="1" l="1"/>
  <c r="R512" i="1"/>
  <c r="S512" i="1"/>
  <c r="T512" i="1" l="1"/>
  <c r="S513" i="1"/>
  <c r="R513" i="1"/>
  <c r="T513" i="1" l="1"/>
  <c r="S514" i="1"/>
  <c r="R514" i="1"/>
  <c r="T514" i="1" l="1"/>
  <c r="R515" i="1"/>
  <c r="S515" i="1"/>
  <c r="T515" i="1" l="1"/>
  <c r="S516" i="1"/>
  <c r="R516" i="1"/>
  <c r="T516" i="1" l="1"/>
  <c r="S517" i="1"/>
  <c r="R517" i="1"/>
  <c r="T517" i="1" l="1"/>
  <c r="R518" i="1"/>
  <c r="S518" i="1"/>
  <c r="T518" i="1" l="1"/>
  <c r="R519" i="1"/>
  <c r="S519" i="1"/>
  <c r="T519" i="1" l="1"/>
  <c r="R520" i="1"/>
  <c r="S520" i="1"/>
  <c r="T520" i="1" l="1"/>
  <c r="R521" i="1"/>
  <c r="S521" i="1"/>
  <c r="T521" i="1" l="1"/>
  <c r="S522" i="1"/>
  <c r="R522" i="1"/>
  <c r="T522" i="1" l="1"/>
  <c r="S523" i="1"/>
  <c r="R523" i="1"/>
  <c r="T523" i="1" l="1"/>
  <c r="S524" i="1"/>
  <c r="R524" i="1"/>
  <c r="T524" i="1" l="1"/>
  <c r="R525" i="1"/>
  <c r="S525" i="1"/>
  <c r="T525" i="1" l="1"/>
  <c r="S526" i="1"/>
  <c r="R526" i="1"/>
  <c r="S527" i="1" l="1"/>
  <c r="R527" i="1"/>
  <c r="T526" i="1"/>
  <c r="T527" i="1" l="1"/>
  <c r="S528" i="1"/>
  <c r="R528" i="1"/>
  <c r="T528" i="1" l="1"/>
  <c r="S529" i="1"/>
  <c r="R529" i="1"/>
  <c r="T529" i="1" l="1"/>
  <c r="R530" i="1"/>
  <c r="S530" i="1"/>
  <c r="T530" i="1" l="1"/>
  <c r="S531" i="1"/>
  <c r="R531" i="1"/>
  <c r="T531" i="1" l="1"/>
  <c r="R532" i="1"/>
  <c r="S532" i="1"/>
  <c r="T532" i="1" l="1"/>
  <c r="S533" i="1"/>
  <c r="R533" i="1"/>
  <c r="T533" i="1" l="1"/>
  <c r="S534" i="1"/>
  <c r="R534" i="1"/>
  <c r="T534" i="1" l="1"/>
  <c r="R535" i="1"/>
  <c r="S535" i="1"/>
  <c r="T535" i="1" l="1"/>
  <c r="S536" i="1"/>
  <c r="R536" i="1"/>
  <c r="T536" i="1" l="1"/>
  <c r="S537" i="1"/>
  <c r="R537" i="1"/>
  <c r="S538" i="1" l="1"/>
  <c r="R538" i="1"/>
  <c r="T537" i="1"/>
  <c r="T538" i="1" l="1"/>
  <c r="R539" i="1"/>
  <c r="S539" i="1"/>
  <c r="T539" i="1" l="1"/>
  <c r="R540" i="1"/>
  <c r="S540" i="1"/>
  <c r="T540" i="1" l="1"/>
  <c r="R541" i="1"/>
  <c r="S541" i="1"/>
  <c r="T541" i="1" l="1"/>
  <c r="R542" i="1"/>
  <c r="S542" i="1"/>
  <c r="T542" i="1" l="1"/>
  <c r="R543" i="1"/>
  <c r="S543" i="1"/>
  <c r="T543" i="1" l="1"/>
  <c r="R544" i="1"/>
  <c r="S544" i="1"/>
  <c r="R545" i="1" l="1"/>
  <c r="S545" i="1"/>
  <c r="T544" i="1"/>
  <c r="T545" i="1" l="1"/>
  <c r="S546" i="1"/>
  <c r="R546" i="1"/>
  <c r="T546" i="1" l="1"/>
  <c r="R547" i="1"/>
  <c r="S547" i="1"/>
  <c r="S548" i="1" l="1"/>
  <c r="R548" i="1"/>
  <c r="T547" i="1"/>
  <c r="T548" i="1" l="1"/>
  <c r="S549" i="1"/>
  <c r="R549" i="1"/>
  <c r="T549" i="1" l="1"/>
  <c r="R550" i="1"/>
  <c r="S550" i="1"/>
  <c r="T550" i="1" l="1"/>
  <c r="S551" i="1"/>
  <c r="R551" i="1"/>
  <c r="T551" i="1" l="1"/>
  <c r="R552" i="1"/>
  <c r="S552" i="1"/>
  <c r="T552" i="1" l="1"/>
  <c r="R553" i="1"/>
  <c r="S553" i="1"/>
  <c r="T553" i="1" l="1"/>
  <c r="S554" i="1"/>
  <c r="R554" i="1"/>
  <c r="T554" i="1" l="1"/>
  <c r="S555" i="1"/>
  <c r="R555" i="1"/>
  <c r="T555" i="1" l="1"/>
  <c r="R556" i="1"/>
  <c r="S556" i="1"/>
  <c r="T556" i="1" l="1"/>
  <c r="R557" i="1"/>
  <c r="S557" i="1"/>
  <c r="T557" i="1" l="1"/>
  <c r="R558" i="1"/>
  <c r="S558" i="1"/>
  <c r="T558" i="1" l="1"/>
  <c r="R559" i="1"/>
  <c r="S559" i="1"/>
  <c r="T559" i="1" l="1"/>
  <c r="R560" i="1"/>
  <c r="S560" i="1"/>
  <c r="T560" i="1" l="1"/>
  <c r="R561" i="1"/>
  <c r="S561" i="1"/>
  <c r="R562" i="1" l="1"/>
  <c r="S562" i="1"/>
  <c r="T561" i="1"/>
  <c r="T562" i="1" l="1"/>
  <c r="R563" i="1"/>
  <c r="S563" i="1"/>
  <c r="T563" i="1" l="1"/>
  <c r="S564" i="1"/>
  <c r="R564" i="1"/>
  <c r="T564" i="1" l="1"/>
  <c r="S565" i="1"/>
  <c r="R565" i="1"/>
  <c r="T565" i="1" l="1"/>
  <c r="S566" i="1"/>
  <c r="R566" i="1"/>
  <c r="T566" i="1" l="1"/>
  <c r="R567" i="1"/>
  <c r="S567" i="1"/>
  <c r="S568" i="1" l="1"/>
  <c r="R568" i="1"/>
  <c r="T567" i="1"/>
  <c r="T568" i="1" l="1"/>
  <c r="R569" i="1"/>
  <c r="S569" i="1"/>
  <c r="T569" i="1" l="1"/>
  <c r="S570" i="1"/>
  <c r="R570" i="1"/>
  <c r="T570" i="1" l="1"/>
  <c r="S571" i="1"/>
  <c r="R571" i="1"/>
  <c r="T571" i="1" l="1"/>
  <c r="R572" i="1"/>
  <c r="S572" i="1"/>
  <c r="S573" i="1" l="1"/>
  <c r="R573" i="1"/>
  <c r="T572" i="1"/>
  <c r="T573" i="1" l="1"/>
  <c r="R574" i="1"/>
  <c r="S574" i="1"/>
  <c r="T574" i="1" l="1"/>
  <c r="R575" i="1"/>
  <c r="S575" i="1"/>
  <c r="T575" i="1" l="1"/>
  <c r="R576" i="1"/>
  <c r="S576" i="1"/>
  <c r="S577" i="1" l="1"/>
  <c r="R577" i="1"/>
  <c r="T576" i="1"/>
  <c r="T577" i="1" l="1"/>
  <c r="R578" i="1"/>
  <c r="S578" i="1"/>
  <c r="R579" i="1" l="1"/>
  <c r="S579" i="1"/>
  <c r="T578" i="1"/>
  <c r="T579" i="1" l="1"/>
  <c r="R580" i="1"/>
  <c r="S580" i="1"/>
  <c r="T580" i="1" l="1"/>
  <c r="R581" i="1"/>
  <c r="S581" i="1"/>
  <c r="T581" i="1" l="1"/>
  <c r="R582" i="1"/>
  <c r="S582" i="1"/>
  <c r="S583" i="1" l="1"/>
  <c r="R583" i="1"/>
  <c r="T582" i="1"/>
  <c r="T583" i="1" l="1"/>
  <c r="R584" i="1"/>
  <c r="S584" i="1"/>
  <c r="T584" i="1" l="1"/>
  <c r="R585" i="1"/>
  <c r="S585" i="1"/>
  <c r="T585" i="1" l="1"/>
  <c r="R586" i="1"/>
  <c r="S586" i="1"/>
  <c r="T586" i="1" l="1"/>
  <c r="R587" i="1"/>
  <c r="S587" i="1"/>
  <c r="R588" i="1" l="1"/>
  <c r="S588" i="1"/>
  <c r="T587" i="1"/>
  <c r="T588" i="1" l="1"/>
  <c r="R589" i="1"/>
  <c r="S589" i="1"/>
  <c r="T589" i="1" l="1"/>
  <c r="S590" i="1"/>
  <c r="R590" i="1"/>
  <c r="T590" i="1" l="1"/>
  <c r="R591" i="1"/>
  <c r="S591" i="1"/>
  <c r="T591" i="1" l="1"/>
  <c r="S592" i="1"/>
  <c r="R592" i="1"/>
  <c r="T592" i="1" l="1"/>
  <c r="R593" i="1"/>
  <c r="S593" i="1"/>
  <c r="T593" i="1" l="1"/>
  <c r="S594" i="1"/>
  <c r="R594" i="1"/>
  <c r="T594" i="1" l="1"/>
  <c r="R595" i="1"/>
  <c r="S595" i="1"/>
  <c r="T595" i="1" l="1"/>
  <c r="R596" i="1"/>
  <c r="S596" i="1"/>
  <c r="R597" i="1" l="1"/>
  <c r="S597" i="1"/>
  <c r="T596" i="1"/>
  <c r="T597" i="1" l="1"/>
  <c r="S598" i="1"/>
  <c r="R598" i="1"/>
  <c r="T598" i="1" l="1"/>
  <c r="R599" i="1"/>
  <c r="S599" i="1"/>
  <c r="S600" i="1" l="1"/>
  <c r="R600" i="1"/>
  <c r="T599" i="1"/>
  <c r="T600" i="1" l="1"/>
  <c r="S601" i="1"/>
  <c r="R601" i="1"/>
  <c r="T601" i="1" l="1"/>
  <c r="S602" i="1"/>
  <c r="R602" i="1"/>
  <c r="R603" i="1" l="1"/>
  <c r="S603" i="1"/>
  <c r="T602" i="1"/>
  <c r="S604" i="1" l="1"/>
  <c r="R604" i="1"/>
  <c r="T603" i="1"/>
  <c r="T604" i="1" l="1"/>
  <c r="S605" i="1"/>
  <c r="R605" i="1"/>
  <c r="T605" i="1" l="1"/>
  <c r="S606" i="1"/>
  <c r="R606" i="1"/>
  <c r="T606" i="1" l="1"/>
  <c r="S607" i="1"/>
  <c r="R607" i="1"/>
  <c r="T607" i="1" l="1"/>
  <c r="R608" i="1"/>
  <c r="S608" i="1"/>
  <c r="S609" i="1" l="1"/>
  <c r="R609" i="1"/>
  <c r="T608" i="1"/>
  <c r="T609" i="1" l="1"/>
  <c r="R610" i="1"/>
  <c r="S610" i="1"/>
  <c r="S611" i="1" l="1"/>
  <c r="R611" i="1"/>
  <c r="T610" i="1"/>
  <c r="T611" i="1" l="1"/>
  <c r="S612" i="1"/>
  <c r="R612" i="1"/>
  <c r="T612" i="1" l="1"/>
  <c r="R613" i="1"/>
  <c r="S613" i="1"/>
  <c r="T613" i="1" l="1"/>
  <c r="R614" i="1"/>
  <c r="S614" i="1"/>
  <c r="R615" i="1" l="1"/>
  <c r="S615" i="1"/>
  <c r="T614" i="1"/>
  <c r="T615" i="1" l="1"/>
  <c r="R616" i="1"/>
  <c r="S616" i="1"/>
  <c r="S617" i="1" l="1"/>
  <c r="R617" i="1"/>
  <c r="T616" i="1"/>
  <c r="T617" i="1" l="1"/>
  <c r="S618" i="1"/>
  <c r="R618" i="1"/>
  <c r="T618" i="1" l="1"/>
  <c r="S619" i="1"/>
  <c r="R619" i="1"/>
  <c r="T619" i="1" l="1"/>
  <c r="R620" i="1"/>
  <c r="S620" i="1"/>
  <c r="T620" i="1" l="1"/>
  <c r="R621" i="1"/>
  <c r="S621" i="1"/>
  <c r="S622" i="1" l="1"/>
  <c r="R622" i="1"/>
  <c r="T621" i="1"/>
  <c r="T622" i="1" l="1"/>
  <c r="R623" i="1"/>
  <c r="S623" i="1"/>
  <c r="T623" i="1" l="1"/>
  <c r="S624" i="1"/>
  <c r="R624" i="1"/>
  <c r="T624" i="1" l="1"/>
  <c r="R625" i="1"/>
  <c r="S625" i="1"/>
  <c r="T625" i="1" l="1"/>
  <c r="R626" i="1"/>
  <c r="S626" i="1"/>
  <c r="T626" i="1" l="1"/>
  <c r="R627" i="1"/>
  <c r="S627" i="1"/>
  <c r="T627" i="1" l="1"/>
  <c r="R628" i="1"/>
  <c r="S628" i="1"/>
  <c r="T628" i="1" l="1"/>
  <c r="S629" i="1" l="1"/>
  <c r="R629" i="1"/>
  <c r="T629" i="1" l="1"/>
  <c r="S630" i="1"/>
  <c r="R630" i="1"/>
  <c r="T630" i="1" l="1"/>
  <c r="R631" i="1"/>
  <c r="S631" i="1"/>
  <c r="T631" i="1" l="1"/>
  <c r="R632" i="1"/>
  <c r="S632" i="1"/>
  <c r="T632" i="1" l="1"/>
  <c r="R633" i="1"/>
  <c r="S633" i="1"/>
  <c r="T633" i="1" l="1"/>
  <c r="R634" i="1"/>
  <c r="S634" i="1"/>
  <c r="T634" i="1" l="1"/>
  <c r="R635" i="1"/>
  <c r="S635" i="1"/>
  <c r="T635" i="1" l="1"/>
  <c r="S636" i="1"/>
  <c r="R636" i="1"/>
  <c r="T636" i="1" l="1"/>
  <c r="R637" i="1"/>
  <c r="S637" i="1"/>
  <c r="T637" i="1" l="1"/>
  <c r="S638" i="1"/>
  <c r="R638" i="1"/>
  <c r="T638" i="1" l="1"/>
  <c r="S639" i="1"/>
  <c r="R639" i="1"/>
  <c r="R640" i="1" l="1"/>
  <c r="S640" i="1"/>
  <c r="T639" i="1"/>
  <c r="T640" i="1" l="1"/>
  <c r="R641" i="1"/>
  <c r="S641" i="1"/>
  <c r="T641" i="1" l="1"/>
  <c r="R642" i="1"/>
  <c r="S642" i="1"/>
  <c r="T642" i="1" l="1"/>
  <c r="R643" i="1"/>
  <c r="S643" i="1"/>
  <c r="R644" i="1" l="1"/>
  <c r="S644" i="1"/>
  <c r="T643" i="1"/>
  <c r="T644" i="1" l="1"/>
  <c r="S645" i="1"/>
  <c r="R645" i="1"/>
  <c r="T645" i="1" l="1"/>
  <c r="R646" i="1"/>
  <c r="S646" i="1"/>
  <c r="T646" i="1" l="1"/>
  <c r="R647" i="1"/>
  <c r="S647" i="1"/>
  <c r="R648" i="1" l="1"/>
  <c r="S648" i="1"/>
  <c r="T647" i="1"/>
  <c r="T648" i="1" l="1"/>
  <c r="S649" i="1"/>
  <c r="R649" i="1"/>
  <c r="T649" i="1" l="1"/>
  <c r="R650" i="1"/>
  <c r="S650" i="1"/>
  <c r="R651" i="1" l="1"/>
  <c r="S651" i="1"/>
  <c r="T650" i="1"/>
  <c r="T651" i="1" l="1"/>
  <c r="S652" i="1"/>
  <c r="R652" i="1"/>
  <c r="T652" i="1" l="1"/>
  <c r="R653" i="1"/>
  <c r="S653" i="1"/>
  <c r="T653" i="1" l="1"/>
  <c r="R654" i="1"/>
  <c r="S654" i="1"/>
  <c r="S655" i="1" l="1"/>
  <c r="R655" i="1"/>
  <c r="T654" i="1"/>
  <c r="T655" i="1" l="1"/>
  <c r="S656" i="1"/>
  <c r="R656" i="1"/>
  <c r="R657" i="1" l="1"/>
  <c r="S657" i="1"/>
  <c r="T656" i="1"/>
  <c r="T657" i="1" l="1"/>
  <c r="R658" i="1"/>
  <c r="S658" i="1"/>
  <c r="T658" i="1" l="1"/>
  <c r="R659" i="1"/>
  <c r="S659" i="1"/>
  <c r="R660" i="1" l="1"/>
  <c r="S660" i="1"/>
  <c r="T659" i="1"/>
  <c r="T660" i="1" l="1"/>
  <c r="S661" i="1"/>
  <c r="R661" i="1"/>
  <c r="T661" i="1" l="1"/>
  <c r="R662" i="1"/>
  <c r="S662" i="1"/>
  <c r="T662" i="1" l="1"/>
  <c r="S663" i="1"/>
  <c r="R663" i="1"/>
  <c r="T663" i="1" l="1"/>
  <c r="S664" i="1"/>
  <c r="R664" i="1"/>
  <c r="T664" i="1" l="1"/>
  <c r="R665" i="1"/>
  <c r="S665" i="1"/>
  <c r="T665" i="1" l="1"/>
  <c r="R666" i="1"/>
  <c r="S666" i="1"/>
  <c r="R667" i="1" l="1"/>
  <c r="S667" i="1"/>
  <c r="T666" i="1"/>
  <c r="T667" i="1" l="1"/>
  <c r="R668" i="1"/>
  <c r="S668" i="1"/>
  <c r="T668" i="1" l="1"/>
  <c r="S669" i="1"/>
  <c r="R669" i="1"/>
  <c r="T669" i="1" l="1"/>
  <c r="S670" i="1"/>
  <c r="R670" i="1"/>
  <c r="S671" i="1" l="1"/>
  <c r="R671" i="1"/>
  <c r="T670" i="1"/>
  <c r="T671" i="1" l="1"/>
  <c r="S672" i="1"/>
  <c r="R672" i="1"/>
  <c r="T672" i="1" l="1"/>
  <c r="R673" i="1"/>
  <c r="S673" i="1"/>
  <c r="T673" i="1" l="1"/>
  <c r="R674" i="1"/>
  <c r="S674" i="1"/>
  <c r="T674" i="1" l="1"/>
  <c r="R675" i="1"/>
  <c r="S675" i="1"/>
  <c r="R676" i="1" l="1"/>
  <c r="S676" i="1"/>
  <c r="T675" i="1"/>
  <c r="T676" i="1" l="1"/>
  <c r="R677" i="1"/>
  <c r="S677" i="1"/>
  <c r="T677" i="1" l="1"/>
  <c r="R678" i="1"/>
  <c r="S678" i="1"/>
  <c r="T678" i="1" l="1"/>
  <c r="R679" i="1"/>
  <c r="S679" i="1"/>
  <c r="T679" i="1" l="1"/>
  <c r="R680" i="1"/>
  <c r="S680" i="1"/>
  <c r="T680" i="1" l="1"/>
  <c r="R681" i="1"/>
  <c r="S681" i="1"/>
  <c r="T681" i="1" l="1"/>
  <c r="R682" i="1"/>
  <c r="S682" i="1"/>
  <c r="T682" i="1" l="1"/>
  <c r="S683" i="1"/>
  <c r="R683" i="1"/>
  <c r="T683" i="1" l="1"/>
  <c r="R684" i="1"/>
  <c r="S684" i="1"/>
  <c r="T684" i="1" l="1"/>
  <c r="S685" i="1"/>
  <c r="R685" i="1"/>
  <c r="T685" i="1" l="1"/>
  <c r="R686" i="1"/>
  <c r="S686" i="1"/>
  <c r="T686" i="1" l="1"/>
  <c r="R687" i="1"/>
  <c r="S687" i="1"/>
  <c r="T687" i="1" l="1"/>
  <c r="S688" i="1"/>
  <c r="R688" i="1"/>
  <c r="T688" i="1" l="1"/>
  <c r="S689" i="1"/>
  <c r="R689" i="1"/>
  <c r="T689" i="1" l="1"/>
  <c r="R690" i="1"/>
  <c r="S690" i="1"/>
  <c r="T690" i="1" l="1"/>
  <c r="S691" i="1"/>
  <c r="R691" i="1"/>
  <c r="S692" i="1" l="1"/>
  <c r="R692" i="1"/>
  <c r="T691" i="1"/>
  <c r="T692" i="1" l="1"/>
  <c r="R693" i="1"/>
  <c r="S693" i="1"/>
  <c r="T693" i="1" l="1"/>
  <c r="S694" i="1"/>
  <c r="R694" i="1"/>
  <c r="T694" i="1" l="1"/>
  <c r="R695" i="1"/>
  <c r="S695" i="1"/>
  <c r="T695" i="1" l="1"/>
  <c r="R696" i="1"/>
  <c r="S696" i="1"/>
  <c r="T696" i="1" l="1"/>
  <c r="S697" i="1"/>
  <c r="R697" i="1"/>
  <c r="T697" i="1" l="1"/>
  <c r="S698" i="1"/>
  <c r="R698" i="1"/>
  <c r="T698" i="1" l="1"/>
  <c r="R699" i="1"/>
  <c r="S699" i="1"/>
  <c r="T699" i="1" l="1"/>
  <c r="R700" i="1"/>
  <c r="S700" i="1"/>
  <c r="S701" i="1" l="1"/>
  <c r="R701" i="1"/>
  <c r="T700" i="1"/>
  <c r="T701" i="1" l="1"/>
  <c r="S702" i="1"/>
  <c r="R702" i="1"/>
  <c r="T702" i="1" l="1"/>
  <c r="S703" i="1"/>
  <c r="R703" i="1"/>
  <c r="T703" i="1" l="1"/>
  <c r="S704" i="1"/>
  <c r="R704" i="1"/>
  <c r="T704" i="1" l="1"/>
  <c r="S705" i="1"/>
  <c r="R705" i="1"/>
  <c r="T705" i="1" l="1"/>
  <c r="R706" i="1"/>
  <c r="S706" i="1"/>
  <c r="S707" i="1" l="1"/>
  <c r="R707" i="1"/>
  <c r="T706" i="1"/>
  <c r="T707" i="1" l="1"/>
  <c r="S708" i="1"/>
  <c r="R708" i="1"/>
  <c r="T708" i="1" l="1"/>
  <c r="S709" i="1"/>
  <c r="R709" i="1"/>
  <c r="T709" i="1" l="1"/>
  <c r="S710" i="1"/>
  <c r="R710" i="1"/>
  <c r="T710" i="1" l="1"/>
  <c r="R711" i="1"/>
  <c r="S711" i="1"/>
  <c r="T711" i="1" l="1"/>
  <c r="S712" i="1"/>
  <c r="R712" i="1"/>
  <c r="T712" i="1" l="1"/>
  <c r="S713" i="1"/>
  <c r="R713" i="1"/>
  <c r="T713" i="1" l="1"/>
  <c r="R714" i="1"/>
  <c r="S714" i="1"/>
  <c r="T714" i="1" l="1"/>
  <c r="S715" i="1"/>
  <c r="R715" i="1"/>
  <c r="R716" i="1" l="1"/>
  <c r="S716" i="1"/>
  <c r="T715" i="1"/>
  <c r="R717" i="1" l="1"/>
  <c r="S717" i="1"/>
  <c r="T716" i="1"/>
  <c r="S718" i="1" l="1"/>
  <c r="R718" i="1"/>
  <c r="T717" i="1"/>
  <c r="T718" i="1" l="1"/>
  <c r="R719" i="1"/>
  <c r="S719" i="1"/>
  <c r="T719" i="1" l="1"/>
  <c r="R720" i="1"/>
  <c r="S720" i="1"/>
  <c r="S721" i="1" l="1"/>
  <c r="R721" i="1"/>
  <c r="T720" i="1"/>
  <c r="T721" i="1" l="1"/>
  <c r="R722" i="1"/>
  <c r="S722" i="1"/>
  <c r="S723" i="1" l="1"/>
  <c r="R723" i="1"/>
  <c r="T722" i="1"/>
  <c r="T723" i="1" l="1"/>
  <c r="S724" i="1"/>
  <c r="R724" i="1"/>
  <c r="T724" i="1" l="1"/>
  <c r="R725" i="1"/>
  <c r="S725" i="1"/>
  <c r="T725" i="1" l="1"/>
  <c r="S726" i="1"/>
  <c r="R726" i="1"/>
  <c r="T726" i="1" l="1"/>
  <c r="R727" i="1"/>
  <c r="S727" i="1"/>
  <c r="T727" i="1" l="1"/>
  <c r="S728" i="1"/>
  <c r="R728" i="1"/>
  <c r="T728" i="1" l="1"/>
  <c r="R729" i="1"/>
  <c r="S729" i="1"/>
  <c r="T729" i="1" l="1"/>
  <c r="R730" i="1"/>
  <c r="S730" i="1"/>
  <c r="T730" i="1" l="1"/>
  <c r="R731" i="1"/>
  <c r="S731" i="1"/>
  <c r="R732" i="1" l="1"/>
  <c r="S732" i="1"/>
  <c r="T731" i="1"/>
  <c r="R733" i="1" l="1"/>
  <c r="S733" i="1"/>
  <c r="T732" i="1"/>
  <c r="T733" i="1" l="1"/>
  <c r="R734" i="1"/>
  <c r="S734" i="1"/>
  <c r="T734" i="1" l="1"/>
  <c r="S735" i="1"/>
  <c r="R735" i="1"/>
  <c r="T735" i="1" l="1"/>
  <c r="R736" i="1"/>
  <c r="S736" i="1"/>
  <c r="T736" i="1" l="1"/>
  <c r="R737" i="1"/>
  <c r="S737" i="1"/>
  <c r="T737" i="1" l="1"/>
  <c r="R738" i="1"/>
  <c r="S738" i="1"/>
  <c r="T738" i="1" l="1"/>
  <c r="S739" i="1"/>
  <c r="R739" i="1"/>
  <c r="S740" i="1" l="1"/>
  <c r="R740" i="1"/>
  <c r="T739" i="1"/>
  <c r="T740" i="1" l="1"/>
  <c r="S741" i="1"/>
  <c r="R741" i="1"/>
  <c r="R742" i="1" l="1"/>
  <c r="S742" i="1"/>
  <c r="T741" i="1"/>
  <c r="T742" i="1" l="1"/>
  <c r="R743" i="1"/>
  <c r="S743" i="1"/>
  <c r="T743" i="1" l="1"/>
  <c r="S744" i="1"/>
  <c r="R744" i="1"/>
  <c r="T744" i="1" l="1"/>
  <c r="S745" i="1"/>
  <c r="R745" i="1"/>
  <c r="T745" i="1" l="1"/>
  <c r="S746" i="1"/>
  <c r="R746" i="1"/>
  <c r="T746" i="1" l="1"/>
  <c r="R747" i="1"/>
  <c r="S747" i="1"/>
  <c r="T747" i="1" l="1"/>
  <c r="S748" i="1"/>
  <c r="R748" i="1"/>
  <c r="T748" i="1" l="1"/>
  <c r="R749" i="1"/>
  <c r="S749" i="1"/>
  <c r="T749" i="1" l="1"/>
  <c r="S750" i="1"/>
  <c r="R750" i="1"/>
  <c r="T750" i="1" l="1"/>
  <c r="S751" i="1"/>
  <c r="R751" i="1"/>
  <c r="T751" i="1" l="1"/>
  <c r="S752" i="1"/>
  <c r="R752" i="1"/>
  <c r="T752" i="1" l="1"/>
  <c r="R753" i="1"/>
  <c r="S753" i="1"/>
  <c r="T753" i="1" l="1"/>
  <c r="S754" i="1"/>
  <c r="R754" i="1"/>
  <c r="T754" i="1" l="1"/>
  <c r="S755" i="1"/>
  <c r="R755" i="1"/>
  <c r="T755" i="1" l="1"/>
  <c r="S756" i="1"/>
  <c r="R756" i="1"/>
  <c r="T756" i="1" l="1"/>
  <c r="R757" i="1"/>
  <c r="S757" i="1"/>
  <c r="T757" i="1" l="1"/>
  <c r="R758" i="1"/>
  <c r="S758" i="1"/>
  <c r="T758" i="1" l="1"/>
  <c r="S759" i="1"/>
  <c r="R759" i="1"/>
  <c r="T759" i="1" l="1"/>
  <c r="S760" i="1"/>
  <c r="R760" i="1"/>
  <c r="T760" i="1" l="1"/>
  <c r="R761" i="1"/>
  <c r="S761" i="1"/>
  <c r="T761" i="1" l="1"/>
  <c r="R762" i="1"/>
  <c r="S762" i="1"/>
  <c r="T762" i="1" l="1"/>
  <c r="S763" i="1"/>
  <c r="R763" i="1"/>
  <c r="T763" i="1" l="1"/>
  <c r="S764" i="1"/>
  <c r="R764" i="1"/>
  <c r="T764" i="1" l="1"/>
  <c r="R765" i="1"/>
  <c r="S765" i="1"/>
  <c r="T765" i="1" l="1"/>
  <c r="S766" i="1"/>
  <c r="R766" i="1"/>
  <c r="R767" i="1" l="1"/>
  <c r="S767" i="1"/>
  <c r="T766" i="1"/>
  <c r="T767" i="1" l="1"/>
  <c r="R768" i="1"/>
  <c r="S768" i="1"/>
  <c r="T768" i="1" l="1"/>
  <c r="R769" i="1"/>
  <c r="S769" i="1"/>
  <c r="R770" i="1" l="1"/>
  <c r="S770" i="1"/>
  <c r="T769" i="1"/>
  <c r="T770" i="1" l="1"/>
  <c r="R771" i="1"/>
  <c r="S771" i="1"/>
  <c r="R772" i="1" l="1"/>
  <c r="S772" i="1"/>
  <c r="T771" i="1"/>
  <c r="R773" i="1" l="1"/>
  <c r="S773" i="1"/>
  <c r="T772" i="1"/>
  <c r="T773" i="1" l="1"/>
  <c r="R774" i="1"/>
  <c r="S774" i="1"/>
  <c r="T774" i="1" l="1"/>
  <c r="R775" i="1"/>
  <c r="S775" i="1"/>
  <c r="T775" i="1" l="1"/>
  <c r="R776" i="1"/>
  <c r="S776" i="1"/>
  <c r="T776" i="1" l="1"/>
  <c r="S777" i="1"/>
  <c r="R777" i="1"/>
  <c r="T777" i="1" l="1"/>
  <c r="S778" i="1"/>
  <c r="R778" i="1"/>
  <c r="T778" i="1" l="1"/>
  <c r="S779" i="1"/>
  <c r="R779" i="1"/>
  <c r="S780" i="1" l="1"/>
  <c r="R780" i="1"/>
  <c r="T779" i="1"/>
  <c r="T780" i="1" l="1"/>
  <c r="R781" i="1"/>
  <c r="S781" i="1"/>
  <c r="T781" i="1" l="1"/>
  <c r="R782" i="1"/>
  <c r="S782" i="1"/>
  <c r="T782" i="1" l="1"/>
  <c r="S783" i="1"/>
  <c r="R783" i="1"/>
  <c r="T783" i="1" l="1"/>
  <c r="S784" i="1"/>
  <c r="R784" i="1"/>
  <c r="T784" i="1" l="1"/>
  <c r="S785" i="1"/>
  <c r="R785" i="1"/>
  <c r="R786" i="1" l="1"/>
  <c r="S786" i="1"/>
  <c r="T785" i="1"/>
  <c r="T786" i="1" l="1"/>
  <c r="R787" i="1"/>
  <c r="S787" i="1"/>
  <c r="T787" i="1" l="1"/>
  <c r="S788" i="1"/>
  <c r="R788" i="1"/>
  <c r="T788" i="1" l="1"/>
  <c r="R789" i="1"/>
  <c r="S789" i="1"/>
  <c r="T789" i="1" l="1"/>
  <c r="R790" i="1"/>
  <c r="S790" i="1"/>
  <c r="T790" i="1" l="1"/>
  <c r="R791" i="1"/>
  <c r="S791" i="1"/>
  <c r="T791" i="1" l="1"/>
  <c r="R792" i="1"/>
  <c r="S792" i="1"/>
  <c r="T792" i="1" l="1"/>
  <c r="R793" i="1"/>
  <c r="S793" i="1"/>
  <c r="R794" i="1" l="1"/>
  <c r="S794" i="1"/>
  <c r="T793" i="1"/>
  <c r="T794" i="1" l="1"/>
  <c r="S795" i="1"/>
  <c r="R795" i="1"/>
  <c r="T795" i="1" l="1"/>
  <c r="R796" i="1"/>
  <c r="S796" i="1"/>
  <c r="T796" i="1" l="1"/>
  <c r="R797" i="1"/>
  <c r="S797" i="1"/>
  <c r="R798" i="1" l="1"/>
  <c r="S798" i="1"/>
  <c r="T797" i="1"/>
  <c r="T798" i="1" l="1"/>
  <c r="S799" i="1"/>
  <c r="R799" i="1"/>
  <c r="T799" i="1" l="1"/>
  <c r="S800" i="1"/>
  <c r="R800" i="1"/>
  <c r="T800" i="1" l="1"/>
  <c r="S801" i="1"/>
  <c r="R801" i="1"/>
  <c r="T801" i="1" l="1"/>
  <c r="S802" i="1"/>
  <c r="R802" i="1"/>
  <c r="T802" i="1" l="1"/>
  <c r="R803" i="1"/>
  <c r="S803" i="1"/>
  <c r="T803" i="1" l="1"/>
  <c r="R804" i="1"/>
  <c r="S804" i="1"/>
  <c r="T804" i="1" l="1"/>
  <c r="R805" i="1"/>
  <c r="S805" i="1"/>
  <c r="T805" i="1" l="1"/>
  <c r="S806" i="1"/>
  <c r="R806" i="1"/>
  <c r="T806" i="1" l="1"/>
  <c r="S807" i="1"/>
  <c r="R807" i="1"/>
  <c r="T807" i="1" l="1"/>
  <c r="S808" i="1"/>
  <c r="R808" i="1"/>
  <c r="T808" i="1" l="1"/>
  <c r="S809" i="1"/>
  <c r="R809" i="1"/>
  <c r="T809" i="1" l="1"/>
  <c r="S810" i="1"/>
  <c r="R810" i="1"/>
  <c r="T810" i="1" l="1"/>
  <c r="R811" i="1"/>
  <c r="S811" i="1"/>
  <c r="S812" i="1" l="1"/>
  <c r="R812" i="1"/>
  <c r="T811" i="1"/>
  <c r="T812" i="1" l="1"/>
  <c r="R813" i="1"/>
  <c r="S813" i="1"/>
  <c r="S814" i="1" l="1"/>
  <c r="R814" i="1"/>
  <c r="T813" i="1"/>
  <c r="T814" i="1" l="1"/>
  <c r="S815" i="1"/>
  <c r="R815" i="1"/>
  <c r="T815" i="1" l="1"/>
  <c r="S816" i="1"/>
  <c r="R816" i="1"/>
  <c r="R817" i="1" l="1"/>
  <c r="S817" i="1"/>
  <c r="T816" i="1"/>
  <c r="T817" i="1" l="1"/>
  <c r="R818" i="1"/>
  <c r="S818" i="1"/>
  <c r="T818" i="1" l="1"/>
  <c r="R819" i="1"/>
  <c r="S819" i="1"/>
  <c r="T819" i="1" l="1"/>
  <c r="R820" i="1"/>
  <c r="S820" i="1"/>
  <c r="T820" i="1" l="1"/>
  <c r="S821" i="1"/>
  <c r="R821" i="1"/>
  <c r="T821" i="1" l="1"/>
  <c r="S822" i="1"/>
  <c r="R822" i="1"/>
  <c r="T822" i="1" l="1"/>
  <c r="R823" i="1"/>
  <c r="S823" i="1"/>
  <c r="R824" i="1" l="1"/>
  <c r="S824" i="1"/>
  <c r="T823" i="1"/>
  <c r="T824" i="1" l="1"/>
  <c r="R825" i="1"/>
  <c r="S825" i="1"/>
  <c r="S826" i="1" l="1"/>
  <c r="R826" i="1"/>
  <c r="T825" i="1"/>
  <c r="T826" i="1" l="1"/>
  <c r="S827" i="1"/>
  <c r="R827" i="1"/>
  <c r="T827" i="1" l="1"/>
  <c r="R828" i="1"/>
  <c r="S828" i="1"/>
  <c r="T828" i="1" l="1"/>
  <c r="R829" i="1"/>
  <c r="S829" i="1"/>
  <c r="R830" i="1" l="1"/>
  <c r="S830" i="1"/>
  <c r="T829" i="1"/>
  <c r="T830" i="1" l="1"/>
  <c r="R831" i="1"/>
  <c r="S831" i="1"/>
  <c r="T831" i="1" l="1"/>
  <c r="R832" i="1"/>
  <c r="S832" i="1"/>
  <c r="S833" i="1" l="1"/>
  <c r="R833" i="1"/>
  <c r="T832" i="1"/>
  <c r="T833" i="1" l="1"/>
  <c r="S834" i="1"/>
  <c r="R834" i="1"/>
  <c r="T834" i="1" l="1"/>
  <c r="S835" i="1"/>
  <c r="R835" i="1"/>
  <c r="T835" i="1" l="1"/>
  <c r="S836" i="1"/>
  <c r="R836" i="1"/>
  <c r="T836" i="1" l="1"/>
  <c r="T837" i="1" s="1"/>
  <c r="E37" i="14"/>
  <c r="E42" i="14"/>
  <c r="E40" i="14"/>
  <c r="E44" i="14"/>
  <c r="E24" i="14"/>
  <c r="E31" i="14"/>
  <c r="E39" i="14"/>
  <c r="E36" i="14"/>
  <c r="E14" i="14"/>
  <c r="E35" i="14"/>
  <c r="E16" i="14"/>
  <c r="E10" i="14"/>
  <c r="E23" i="14"/>
  <c r="E7" i="14"/>
  <c r="E41" i="14"/>
  <c r="E11" i="14"/>
  <c r="E27" i="14"/>
  <c r="E20" i="14"/>
  <c r="E21" i="14"/>
  <c r="E12" i="14"/>
  <c r="E22" i="14"/>
  <c r="E38" i="14"/>
  <c r="E19" i="14"/>
  <c r="E33" i="14"/>
  <c r="E34" i="14"/>
  <c r="E18" i="14"/>
  <c r="E8" i="14"/>
  <c r="E17" i="14"/>
  <c r="E43" i="14"/>
  <c r="E26" i="14"/>
  <c r="E29" i="14"/>
  <c r="E25" i="14"/>
  <c r="E30" i="14"/>
  <c r="E15" i="14"/>
  <c r="E9" i="14"/>
  <c r="E13" i="14"/>
  <c r="E28" i="14"/>
  <c r="E32" i="14"/>
</calcChain>
</file>

<file path=xl/sharedStrings.xml><?xml version="1.0" encoding="utf-8"?>
<sst xmlns="http://schemas.openxmlformats.org/spreadsheetml/2006/main" count="3499" uniqueCount="661">
  <si>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</si>
  <si>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</si>
  <si>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</si>
  <si>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</si>
  <si>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</si>
  <si>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</si>
  <si>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</si>
  <si>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</si>
  <si>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</si>
  <si>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</si>
  <si>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</si>
  <si>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</si>
  <si>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</si>
  <si>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</si>
  <si>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</si>
  <si>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</si>
  <si>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</si>
  <si>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</si>
  <si>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</si>
  <si>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</si>
  <si>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</si>
  <si>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</si>
  <si>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</si>
  <si>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</si>
  <si>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</si>
  <si>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</si>
  <si>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</si>
  <si>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</si>
  <si>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</si>
  <si>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</si>
  <si>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</si>
  <si>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</si>
  <si>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</si>
  <si>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</si>
  <si>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</si>
  <si>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</si>
  <si>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</si>
  <si>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</si>
  <si>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</si>
  <si>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</si>
  <si>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</si>
  <si>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</si>
  <si>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</si>
  <si>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</si>
  <si>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</si>
  <si>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</si>
  <si>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</si>
  <si>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</si>
  <si>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</si>
  <si>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</si>
  <si>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</si>
  <si>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</si>
  <si>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</si>
  <si>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</si>
  <si>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</si>
  <si>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</si>
  <si>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</si>
  <si>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</si>
  <si>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</si>
  <si>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</si>
  <si>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</si>
  <si>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</si>
  <si>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</si>
  <si>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</si>
  <si>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</si>
  <si>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</si>
  <si>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</si>
  <si>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</si>
  <si>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</si>
  <si>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</si>
  <si>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</si>
  <si>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</si>
  <si>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</si>
  <si>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</si>
  <si>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</si>
  <si>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</si>
  <si>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</si>
  <si>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</si>
  <si>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</si>
  <si>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</si>
  <si>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</si>
  <si>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</si>
  <si>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</si>
  <si>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</si>
  <si>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</si>
  <si>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</si>
  <si>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</si>
  <si>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</si>
  <si>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</si>
  <si>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</si>
  <si>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</si>
  <si>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</si>
  <si>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</si>
  <si>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</si>
  <si>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</si>
  <si>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</si>
  <si>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</si>
  <si>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</si>
  <si>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</si>
  <si>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</si>
  <si>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</si>
  <si>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</si>
  <si>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</si>
  <si>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</si>
  <si>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</si>
  <si>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</si>
  <si>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</si>
  <si>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</si>
  <si>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</si>
  <si>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</si>
  <si>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</si>
  <si>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</si>
  <si>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</si>
  <si>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</si>
  <si>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</si>
  <si>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</si>
  <si>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</si>
  <si>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</si>
  <si>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</si>
  <si>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</si>
  <si>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</si>
  <si>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</si>
  <si>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</si>
  <si>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</si>
  <si>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</si>
  <si>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</si>
  <si>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</si>
  <si>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</si>
  <si>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</si>
  <si>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</si>
  <si>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</si>
  <si>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</si>
  <si>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</si>
  <si>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</si>
  <si>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</si>
  <si>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</si>
  <si>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</si>
  <si>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</si>
  <si>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</si>
  <si>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</si>
  <si>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</si>
  <si>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</si>
  <si>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</si>
  <si>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</si>
  <si>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</si>
  <si>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</si>
  <si>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</si>
  <si>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</si>
  <si>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</si>
  <si>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</si>
  <si>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</si>
  <si>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</si>
  <si>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</si>
  <si>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</si>
  <si>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</si>
  <si>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</si>
  <si>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</si>
  <si>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</si>
  <si>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</si>
  <si>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</si>
  <si>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</si>
  <si>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</si>
  <si>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</si>
  <si>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</si>
  <si>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</si>
  <si>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</si>
  <si>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</si>
  <si>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</si>
  <si>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</si>
  <si>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</si>
  <si>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</si>
  <si>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</si>
  <si>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</si>
  <si>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</si>
  <si>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</si>
  <si>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</si>
  <si>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</si>
  <si>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</si>
  <si>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</si>
  <si>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</si>
  <si>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</si>
  <si>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</si>
  <si>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</si>
  <si>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</si>
  <si>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</si>
  <si>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</si>
  <si>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</si>
  <si>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</si>
  <si>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</si>
  <si>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</si>
  <si>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</si>
  <si>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</si>
  <si>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</si>
  <si>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</si>
  <si>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</si>
  <si>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</si>
  <si>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</si>
  <si>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</si>
  <si>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</si>
  <si>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</si>
  <si>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</si>
  <si>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</si>
  <si>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</si>
  <si>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</si>
  <si>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</si>
  <si>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</si>
  <si>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</si>
  <si>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</si>
  <si>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</si>
  <si>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</si>
  <si>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</si>
  <si>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</si>
  <si>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</si>
  <si>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</si>
  <si>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</si>
  <si>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</si>
  <si>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</si>
  <si>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</si>
  <si>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</si>
  <si>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</si>
  <si>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</si>
  <si>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</si>
  <si>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</si>
  <si>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</si>
  <si>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</si>
  <si>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</si>
  <si>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</si>
  <si>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</si>
  <si>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</si>
  <si>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</si>
  <si>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</si>
  <si>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</si>
  <si>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</si>
  <si>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</si>
  <si>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</si>
  <si>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</si>
  <si>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</si>
  <si>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</si>
  <si>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</si>
  <si>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</si>
  <si>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</si>
  <si>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</si>
  <si>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</si>
  <si>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</si>
  <si>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</si>
  <si>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</si>
  <si>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</si>
  <si>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</si>
  <si>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</si>
  <si>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</si>
  <si>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</si>
  <si>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</si>
  <si>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</si>
  <si>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</si>
  <si>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</si>
  <si>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</si>
  <si>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</si>
  <si>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</si>
  <si>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</si>
  <si>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</si>
  <si>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</si>
  <si>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</si>
  <si>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</si>
  <si>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</si>
  <si>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</si>
  <si>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</si>
  <si>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</si>
  <si>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</si>
  <si>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</si>
  <si>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</si>
  <si>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</si>
  <si>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</si>
  <si>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</si>
  <si>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</si>
  <si>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</si>
  <si>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</si>
  <si>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</si>
  <si>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</si>
  <si>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</si>
  <si>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</si>
  <si>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</si>
  <si>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</si>
  <si>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</si>
  <si>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</si>
  <si>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</si>
  <si>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</si>
  <si>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</si>
  <si>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</si>
  <si>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</si>
  <si>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</si>
  <si>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</si>
  <si>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</si>
  <si>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</si>
  <si>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</si>
  <si>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</si>
  <si>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</si>
  <si>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</si>
  <si>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</si>
  <si>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</si>
  <si>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</si>
  <si>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</si>
  <si>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</si>
  <si>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</si>
  <si>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</si>
  <si>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</si>
  <si>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</si>
  <si>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</si>
  <si>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</si>
  <si>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</si>
  <si>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</si>
  <si>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</si>
  <si>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</si>
  <si>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</si>
  <si>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</si>
  <si>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</si>
  <si>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</si>
  <si>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</si>
  <si>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</si>
  <si>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</si>
  <si>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</si>
  <si>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</si>
  <si>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</si>
  <si>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</si>
  <si>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</si>
  <si>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</si>
  <si>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</si>
  <si>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</si>
  <si>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</si>
  <si>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</si>
  <si>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</si>
  <si>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</si>
  <si>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</si>
  <si>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</si>
  <si>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</si>
  <si>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</si>
  <si>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</si>
  <si>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</si>
  <si>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</si>
  <si>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</si>
  <si>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</si>
  <si>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</si>
  <si>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</si>
  <si>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</si>
  <si>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</si>
  <si>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</si>
  <si>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</si>
  <si>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</si>
  <si>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</si>
  <si>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</si>
  <si>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</si>
  <si>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</si>
  <si>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</si>
  <si>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</si>
  <si>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</si>
  <si>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</si>
  <si>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</si>
  <si>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</si>
  <si>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</si>
  <si>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</si>
  <si>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</si>
  <si>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</si>
  <si>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</si>
  <si>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</si>
  <si>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</si>
  <si>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</si>
  <si>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</si>
  <si>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</si>
  <si>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</si>
  <si>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</si>
  <si>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</si>
  <si>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</si>
  <si>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</si>
  <si>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</si>
  <si>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</si>
  <si>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</si>
  <si>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</si>
  <si>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</si>
  <si>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</si>
  <si>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</si>
  <si>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</si>
  <si>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</si>
  <si>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</si>
  <si>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</si>
  <si>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</si>
  <si>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</si>
  <si>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</si>
  <si>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</si>
  <si>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</si>
  <si>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</si>
  <si>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</si>
  <si>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</si>
  <si>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</si>
  <si>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</si>
  <si>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</si>
  <si>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</si>
  <si>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</si>
  <si>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</si>
  <si>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</si>
  <si>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</si>
  <si>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</si>
  <si>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</si>
  <si>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</si>
  <si>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</si>
  <si>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</si>
  <si>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</si>
  <si>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</si>
  <si>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</si>
  <si>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</si>
  <si>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</si>
  <si>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</si>
  <si>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</si>
  <si>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</si>
  <si>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</si>
  <si>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</si>
  <si>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</si>
  <si>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</si>
  <si>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</si>
  <si>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</si>
  <si>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</si>
  <si>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</si>
  <si>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</si>
  <si>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</si>
  <si>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</si>
  <si>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</si>
  <si>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</si>
  <si>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</si>
  <si>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</si>
  <si>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</si>
  <si>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</si>
  <si>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</si>
  <si>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</si>
  <si>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</si>
  <si>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</si>
  <si>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</si>
  <si>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</si>
  <si>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</si>
  <si>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</si>
  <si>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</si>
  <si>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</si>
  <si>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</si>
  <si>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</si>
  <si>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</si>
  <si>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</si>
  <si>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bcst_man_2020</t>
  </si>
  <si>
    <t>bcst_man</t>
  </si>
  <si>
    <t>leave</t>
  </si>
  <si>
    <t>bcst appraisal</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</si>
  <si>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</si>
  <si>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</si>
  <si>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</si>
  <si>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</si>
  <si>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</si>
  <si>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</si>
  <si>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</si>
  <si>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</si>
  <si>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</si>
  <si>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</si>
  <si>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</si>
  <si>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</si>
  <si>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</si>
  <si>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</si>
  <si>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</si>
  <si>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bcs - resource 2019</t>
  </si>
  <si>
    <t>brisa</t>
  </si>
  <si>
    <t>bcs - promotional</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</si>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</sst>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0">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cellXfs>
  <cellStyles count="4">
    <cellStyle name="Accent1" xfId="1" builtinId="29"/>
    <cellStyle name="Accent2" xfId="3" builtinId="33"/>
    <cellStyle name="Accent3" xfId="2" builtinId="37"/>
    <cellStyle name="Normal" xfId="0" builtinId="0"/>
  </cellStyles>
  <dxfs count="165">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64"/>
      <tableStyleElement type="headerRow" dxfId="1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3" totalsRowShown="0" headerRowDxfId="160" dataDxfId="159">
  <autoFilter ref="A1:G53" xr:uid="{256666F0-DEAB-4DE3-AEAA-B00CA95AA684}"/>
  <sortState xmlns:xlrd2="http://schemas.microsoft.com/office/spreadsheetml/2017/richdata2" ref="C2:G52">
    <sortCondition ref="C1:C52"/>
  </sortState>
  <tableColumns count="7">
    <tableColumn id="8" xr3:uid="{235576B3-EC44-4DD8-8A8B-BBB31F89DDD7}" name="Project_ID" dataDxfId="158"/>
    <tableColumn id="2" xr3:uid="{D215AD8B-BA29-45CC-A83B-1E9D8ACD26E4}" name="job number" dataDxfId="157"/>
    <tableColumn id="1" xr3:uid="{B01689E6-EE99-498A-854C-6EA6339F4A97}" name="Project_Name" dataDxfId="156"/>
    <tableColumn id="6" xr3:uid="{25976996-6C58-4D8E-BC8E-77B05A990DB5}" name="Column1" dataDxfId="155"/>
    <tableColumn id="5" xr3:uid="{95EE95B8-2FB5-4F54-806C-67603955C809}" name="Charge_Code" dataDxfId="154">
      <calculatedColumnFormula>_xlfn.TEXTJOIN(" ",TRUE,projects[[#This Row],[job number]],projects[[#This Row],[Project_Name]],projects[[#This Row],[Column1]])</calculatedColumnFormula>
    </tableColumn>
    <tableColumn id="3" xr3:uid="{EFFFFDC1-93AA-4EAD-A82B-977E0583ABDC}" name="narrative" dataDxfId="153"/>
    <tableColumn id="4" xr3:uid="{9D593771-EAC6-42D2-86A2-E263DFA509FB}" name="Status" dataDxfId="152"/>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4" totalsRowShown="0" headerRowDxfId="149" dataDxfId="148" totalsRowDxfId="147">
  <autoFilter ref="A1:F44" xr:uid="{EB5332B6-601E-4625-9EF6-A60FF4BD909E}"/>
  <sortState xmlns:xlrd2="http://schemas.microsoft.com/office/spreadsheetml/2017/richdata2" ref="A2:F44">
    <sortCondition descending="1" ref="C1:C44"/>
  </sortState>
  <tableColumns count="6">
    <tableColumn id="14" xr3:uid="{943C10E1-A81F-4A81-92C8-DA049568D8FA}" name="Timestamp" dataDxfId="146" totalsRowDxfId="145"/>
    <tableColumn id="15" xr3:uid="{888BCE67-C3AC-4BF3-81CE-7580C3EAC52D}" name="Day" dataDxfId="144" totalsRowDxfId="143"/>
    <tableColumn id="2" xr3:uid="{C428DE1E-54E7-45EF-9681-409200DC175B}" name="Date" dataDxfId="142" totalsRowDxfId="141"/>
    <tableColumn id="16" xr3:uid="{645DBE52-E261-49DA-8869-88BC98D278DA}" name="Project_ID" dataDxfId="140" totalsRowDxfId="139"/>
    <tableColumn id="3" xr3:uid="{F19DBD51-CAE2-4C20-8D8A-28524D4E0975}" name="Project_Name" dataDxfId="138" totalsRowDxfId="137">
      <calculatedColumnFormula>INDEX(projects[Project_Name],MATCH(TimeEntry8[[#This Row],[Project_ID]], projects[Project_ID],0))</calculatedColumnFormula>
    </tableColumn>
    <tableColumn id="13" xr3:uid="{2385A6B0-93DA-4B81-A2BB-59D44CFA80F8}" name="Journal" dataDxfId="136" totalsRowDxfId="135"/>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837" totalsRowCount="1" headerRowDxfId="119" dataDxfId="118" totalsRowDxfId="117">
  <autoFilter ref="A1:T836"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calculatedColumnFormula>"Normal Time"</calculatedColumnFormula>
    </tableColumn>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3"/>
  <sheetViews>
    <sheetView topLeftCell="A13" workbookViewId="0">
      <selection activeCell="G39" sqref="G39"/>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472</v>
      </c>
      <c r="B2" t="s">
        <v>4</v>
      </c>
      <c r="C2" t="s">
        <v>3</v>
      </c>
      <c r="D2" s="20"/>
      <c r="E2" t="str">
        <f>_xlfn.TEXTJOIN(" ",TRUE,projects[[#This Row],[job number]],projects[[#This Row],[Project_Name]],projects[[#This Row],[Column1]])</f>
        <v>266122-21 A465</v>
      </c>
      <c r="G2" t="s">
        <v>24</v>
      </c>
    </row>
    <row r="3" spans="1:7" x14ac:dyDescent="0.25">
      <c r="A3" s="3" t="s">
        <v>468</v>
      </c>
      <c r="B3" t="s">
        <v>7</v>
      </c>
      <c r="C3" t="s">
        <v>6</v>
      </c>
      <c r="D3" s="20"/>
      <c r="E3" t="str">
        <f>_xlfn.TEXTJOIN(" ",TRUE,projects[[#This Row],[job number]],projects[[#This Row],[Project_Name]],projects[[#This Row],[Column1]])</f>
        <v>266122-24 A465 updates</v>
      </c>
      <c r="F3" t="s">
        <v>8</v>
      </c>
      <c r="G3" t="s">
        <v>24</v>
      </c>
    </row>
    <row r="4" spans="1:7" x14ac:dyDescent="0.25">
      <c r="A4" s="3" t="s">
        <v>476</v>
      </c>
      <c r="B4" t="s">
        <v>382</v>
      </c>
      <c r="C4" t="s">
        <v>381</v>
      </c>
      <c r="D4" s="20"/>
      <c r="E4" t="str">
        <f>_xlfn.TEXTJOIN(" ",TRUE,projects[[#This Row],[job number]],projects[[#This Row],[Project_Name]],projects[[#This Row],[Column1]])</f>
        <v>000000-00 AMS Support</v>
      </c>
      <c r="G4" t="s">
        <v>24</v>
      </c>
    </row>
    <row r="5" spans="1:7" x14ac:dyDescent="0.25">
      <c r="A5" s="3" t="s">
        <v>446</v>
      </c>
      <c r="B5" t="s">
        <v>9</v>
      </c>
      <c r="C5" t="s">
        <v>291</v>
      </c>
      <c r="D5" s="20"/>
      <c r="E5" t="str">
        <f>_xlfn.TEXTJOIN(" ",TRUE,projects[[#This Row],[job number]],projects[[#This Row],[Project_Name]],projects[[#This Row],[Column1]])</f>
        <v>074097-29 BCST Appraisal</v>
      </c>
      <c r="G5" t="s">
        <v>5</v>
      </c>
    </row>
    <row r="6" spans="1:7" x14ac:dyDescent="0.25">
      <c r="A6" s="3" t="s">
        <v>451</v>
      </c>
      <c r="B6" t="s">
        <v>11</v>
      </c>
      <c r="C6" t="s">
        <v>10</v>
      </c>
      <c r="D6" s="20"/>
      <c r="E6" t="str">
        <f>_xlfn.TEXTJOIN(" ",TRUE,projects[[#This Row],[job number]],projects[[#This Row],[Project_Name]],projects[[#This Row],[Column1]])</f>
        <v>BANK HOLIDAY Bank Holiday</v>
      </c>
      <c r="G6" t="s">
        <v>5</v>
      </c>
    </row>
    <row r="7" spans="1:7" x14ac:dyDescent="0.25">
      <c r="A7" s="3" t="s">
        <v>443</v>
      </c>
      <c r="B7" t="s">
        <v>15</v>
      </c>
      <c r="C7" s="21" t="s">
        <v>388</v>
      </c>
      <c r="D7" s="20" t="s">
        <v>367</v>
      </c>
      <c r="E7" t="str">
        <f>_xlfn.TEXTJOIN(" ",TRUE,projects[[#This Row],[job number]],projects[[#This Row],[Project_Name]],projects[[#This Row],[Column1]])</f>
        <v>074097-30 LEADERSHIP &amp; MANAGEMENT CC124 (01-124)</v>
      </c>
    </row>
    <row r="8" spans="1:7" x14ac:dyDescent="0.25">
      <c r="A8" s="3" t="s">
        <v>444</v>
      </c>
      <c r="B8" t="s">
        <v>13</v>
      </c>
      <c r="C8" t="s">
        <v>186</v>
      </c>
      <c r="D8" s="20" t="s">
        <v>367</v>
      </c>
      <c r="E8" t="str">
        <f>_xlfn.TEXTJOIN(" ",TRUE,projects[[#This Row],[job number]],projects[[#This Row],[Project_Name]],projects[[#This Row],[Column1]])</f>
        <v>071945-07 BCS - management (01-124)</v>
      </c>
      <c r="G8" t="s">
        <v>5</v>
      </c>
    </row>
    <row r="9" spans="1:7" x14ac:dyDescent="0.25">
      <c r="A9" s="3" t="s">
        <v>464</v>
      </c>
      <c r="B9" t="s">
        <v>13</v>
      </c>
      <c r="C9" t="s">
        <v>12</v>
      </c>
      <c r="D9" s="20"/>
      <c r="E9" t="str">
        <f>_xlfn.TEXTJOIN(" ",TRUE,projects[[#This Row],[job number]],projects[[#This Row],[Project_Name]],projects[[#This Row],[Column1]])</f>
        <v>071945-07 BCS - promotional</v>
      </c>
      <c r="G9" t="s">
        <v>5</v>
      </c>
    </row>
    <row r="10" spans="1:7" x14ac:dyDescent="0.25">
      <c r="A10" s="3" t="s">
        <v>462</v>
      </c>
      <c r="B10" t="s">
        <v>15</v>
      </c>
      <c r="C10" t="s">
        <v>14</v>
      </c>
      <c r="D10" s="20"/>
      <c r="E10" t="str">
        <f>_xlfn.TEXTJOIN(" ",TRUE,projects[[#This Row],[job number]],projects[[#This Row],[Project_Name]],projects[[#This Row],[Column1]])</f>
        <v>074097-30 BCS - resource 2019</v>
      </c>
      <c r="G10" t="s">
        <v>5</v>
      </c>
    </row>
    <row r="11" spans="1:7" x14ac:dyDescent="0.25">
      <c r="A11" s="3" t="s">
        <v>463</v>
      </c>
      <c r="B11" t="s">
        <v>17</v>
      </c>
      <c r="C11" t="s">
        <v>16</v>
      </c>
      <c r="D11" s="20"/>
      <c r="E11" t="str">
        <f>_xlfn.TEXTJOIN(" ",TRUE,projects[[#This Row],[job number]],projects[[#This Row],[Project_Name]],projects[[#This Row],[Column1]])</f>
        <v>268268-00 Brisa</v>
      </c>
      <c r="G11" t="s">
        <v>24</v>
      </c>
    </row>
    <row r="12" spans="1:7" x14ac:dyDescent="0.25">
      <c r="A12" s="3" t="s">
        <v>467</v>
      </c>
      <c r="B12" t="s">
        <v>18</v>
      </c>
      <c r="C12" t="s">
        <v>98</v>
      </c>
      <c r="D12" s="20"/>
      <c r="E12" t="str">
        <f>_xlfn.TEXTJOIN(" ",TRUE,projects[[#This Row],[job number]],projects[[#This Row],[Project_Name]],projects[[#This Row],[Column1]])</f>
        <v>262218-08 CAFA</v>
      </c>
      <c r="F12" t="s">
        <v>19</v>
      </c>
      <c r="G12" t="s">
        <v>5</v>
      </c>
    </row>
    <row r="13" spans="1:7" x14ac:dyDescent="0.25">
      <c r="A13" s="3" t="s">
        <v>465</v>
      </c>
      <c r="B13" t="s">
        <v>21</v>
      </c>
      <c r="C13" t="s">
        <v>20</v>
      </c>
      <c r="D13" s="20" t="s">
        <v>367</v>
      </c>
      <c r="E13" t="str">
        <f>_xlfn.TEXTJOIN(" ",TRUE,projects[[#This Row],[job number]],projects[[#This Row],[Project_Name]],projects[[#This Row],[Column1]])</f>
        <v>215526-27 CP - Assessment (01-124)</v>
      </c>
    </row>
    <row r="14" spans="1:7" x14ac:dyDescent="0.25">
      <c r="A14" s="3" t="s">
        <v>481</v>
      </c>
      <c r="B14" t="s">
        <v>23</v>
      </c>
      <c r="C14" t="s">
        <v>22</v>
      </c>
      <c r="D14" s="20"/>
      <c r="E14" t="str">
        <f>_xlfn.TEXTJOIN(" ",TRUE,projects[[#This Row],[job number]],projects[[#This Row],[Project_Name]],projects[[#This Row],[Column1]])</f>
        <v>265675-00 de Locht</v>
      </c>
      <c r="G14" t="s">
        <v>24</v>
      </c>
    </row>
    <row r="15" spans="1:7" x14ac:dyDescent="0.25">
      <c r="A15" s="3" t="s">
        <v>448</v>
      </c>
      <c r="B15" t="s">
        <v>215</v>
      </c>
      <c r="C15" t="s">
        <v>214</v>
      </c>
      <c r="D15" s="20"/>
      <c r="E15" t="str">
        <f>_xlfn.TEXTJOIN(" ",TRUE,projects[[#This Row],[job number]],projects[[#This Row],[Project_Name]],projects[[#This Row],[Column1]])</f>
        <v xml:space="preserve">249980-13 Edmonton </v>
      </c>
      <c r="F15" t="s">
        <v>216</v>
      </c>
      <c r="G15" t="s">
        <v>5</v>
      </c>
    </row>
    <row r="16" spans="1:7" x14ac:dyDescent="0.25">
      <c r="A16" s="3" t="s">
        <v>486</v>
      </c>
      <c r="B16" t="s">
        <v>26</v>
      </c>
      <c r="C16" t="s">
        <v>25</v>
      </c>
      <c r="D16" s="20"/>
      <c r="E16" t="str">
        <f>_xlfn.TEXTJOIN(" ",TRUE,projects[[#This Row],[job number]],projects[[#This Row],[Project_Name]],projects[[#This Row],[Column1]])</f>
        <v>074103-30 Engagement cohort</v>
      </c>
      <c r="G16" t="s">
        <v>24</v>
      </c>
    </row>
    <row r="17" spans="1:7" x14ac:dyDescent="0.25">
      <c r="A17" s="3" t="s">
        <v>482</v>
      </c>
      <c r="B17" t="s">
        <v>28</v>
      </c>
      <c r="C17" t="s">
        <v>27</v>
      </c>
      <c r="D17" s="20"/>
      <c r="E17" t="str">
        <f>_xlfn.TEXTJOIN(" ",TRUE,projects[[#This Row],[job number]],projects[[#This Row],[Project_Name]],projects[[#This Row],[Column1]])</f>
        <v>260258-47 Galecopper</v>
      </c>
      <c r="G17" t="s">
        <v>24</v>
      </c>
    </row>
    <row r="18" spans="1:7" x14ac:dyDescent="0.25">
      <c r="A18" s="3" t="s">
        <v>479</v>
      </c>
      <c r="B18" t="s">
        <v>30</v>
      </c>
      <c r="C18" t="s">
        <v>29</v>
      </c>
      <c r="D18" s="20"/>
      <c r="E18" t="str">
        <f>_xlfn.TEXTJOIN(" ",TRUE,projects[[#This Row],[job number]],projects[[#This Row],[Project_Name]],projects[[#This Row],[Column1]])</f>
        <v>260258-41 Galecopper - joints and bearings</v>
      </c>
      <c r="G18" t="s">
        <v>24</v>
      </c>
    </row>
    <row r="19" spans="1:7" x14ac:dyDescent="0.25">
      <c r="A19" s="3" t="s">
        <v>473</v>
      </c>
      <c r="B19" t="s">
        <v>32</v>
      </c>
      <c r="C19" t="s">
        <v>31</v>
      </c>
      <c r="D19" s="20"/>
      <c r="E19" t="str">
        <f>_xlfn.TEXTJOIN(" ",TRUE,projects[[#This Row],[job number]],projects[[#This Row],[Project_Name]],projects[[#This Row],[Column1]])</f>
        <v>264520-00 Gatwick</v>
      </c>
      <c r="G19" t="s">
        <v>24</v>
      </c>
    </row>
    <row r="20" spans="1:7" x14ac:dyDescent="0.25">
      <c r="A20" s="3" t="s">
        <v>484</v>
      </c>
      <c r="B20" t="s">
        <v>34</v>
      </c>
      <c r="C20" t="s">
        <v>33</v>
      </c>
      <c r="D20" s="20"/>
      <c r="E20" t="str">
        <f>_xlfn.TEXTJOIN(" ",TRUE,projects[[#This Row],[job number]],projects[[#This Row],[Project_Name]],projects[[#This Row],[Column1]])</f>
        <v>77616-41 Hatta</v>
      </c>
      <c r="G20" t="s">
        <v>24</v>
      </c>
    </row>
    <row r="21" spans="1:7" x14ac:dyDescent="0.25">
      <c r="A21" s="3" t="s">
        <v>487</v>
      </c>
      <c r="B21" t="s">
        <v>36</v>
      </c>
      <c r="C21" t="s">
        <v>35</v>
      </c>
      <c r="D21" s="20" t="s">
        <v>612</v>
      </c>
      <c r="E21" t="str">
        <f>_xlfn.TEXTJOIN(" ",TRUE,projects[[#This Row],[job number]],projects[[#This Row],[Project_Name]],projects[[#This Row],[Column1]])</f>
        <v>254304-44 HCC - Asset management (01-382)</v>
      </c>
      <c r="G21" t="s">
        <v>24</v>
      </c>
    </row>
    <row r="22" spans="1:7" x14ac:dyDescent="0.25">
      <c r="A22" s="3" t="s">
        <v>449</v>
      </c>
      <c r="B22" t="s">
        <v>38</v>
      </c>
      <c r="C22" t="s">
        <v>613</v>
      </c>
      <c r="D22" s="20" t="s">
        <v>612</v>
      </c>
      <c r="E22" t="str">
        <f>_xlfn.TEXTJOIN(" ",TRUE,projects[[#This Row],[job number]],projects[[#This Row],[Project_Name]],projects[[#This Row],[Column1]])</f>
        <v>255670-17 LOWER KINGS ROAD ASSESSMENT (01-382)</v>
      </c>
      <c r="F22" t="s">
        <v>39</v>
      </c>
      <c r="G22" t="s">
        <v>5</v>
      </c>
    </row>
    <row r="23" spans="1:7" x14ac:dyDescent="0.25">
      <c r="A23" s="3" t="s">
        <v>461</v>
      </c>
      <c r="B23" t="s">
        <v>41</v>
      </c>
      <c r="C23" t="s">
        <v>40</v>
      </c>
      <c r="D23" s="20" t="s">
        <v>612</v>
      </c>
      <c r="E23" t="str">
        <f>_xlfn.TEXTJOIN(" ",TRUE,projects[[#This Row],[job number]],projects[[#This Row],[Project_Name]],projects[[#This Row],[Column1]])</f>
        <v>236808-69 HCC - Nazeing (01-382)</v>
      </c>
      <c r="F23" t="s">
        <v>168</v>
      </c>
      <c r="G23" t="s">
        <v>5</v>
      </c>
    </row>
    <row r="24" spans="1:7" x14ac:dyDescent="0.25">
      <c r="A24" s="3" t="s">
        <v>483</v>
      </c>
      <c r="B24" t="s">
        <v>43</v>
      </c>
      <c r="C24" t="s">
        <v>42</v>
      </c>
      <c r="D24" s="20" t="s">
        <v>612</v>
      </c>
      <c r="E24" t="str">
        <f>_xlfn.TEXTJOIN(" ",TRUE,projects[[#This Row],[job number]],projects[[#This Row],[Project_Name]],projects[[#This Row],[Column1]])</f>
        <v>254304-79 HCC - Nursery Ln (01-382)</v>
      </c>
      <c r="F24" t="s">
        <v>44</v>
      </c>
      <c r="G24" t="s">
        <v>5</v>
      </c>
    </row>
    <row r="25" spans="1:7" x14ac:dyDescent="0.25">
      <c r="A25" s="3" t="s">
        <v>452</v>
      </c>
      <c r="B25" t="s">
        <v>46</v>
      </c>
      <c r="C25" t="s">
        <v>45</v>
      </c>
      <c r="D25" s="20" t="s">
        <v>612</v>
      </c>
      <c r="E25" t="str">
        <f>_xlfn.TEXTJOIN(" ",TRUE,projects[[#This Row],[job number]],projects[[#This Row],[Project_Name]],projects[[#This Row],[Column1]])</f>
        <v>254304-96 HCC - Paul Cully (01-382)</v>
      </c>
      <c r="F25" t="s">
        <v>47</v>
      </c>
      <c r="G25" t="s">
        <v>5</v>
      </c>
    </row>
    <row r="26" spans="1:7" x14ac:dyDescent="0.25">
      <c r="A26" s="3" t="s">
        <v>450</v>
      </c>
      <c r="B26" t="s">
        <v>49</v>
      </c>
      <c r="C26" t="s">
        <v>48</v>
      </c>
      <c r="D26" s="20" t="s">
        <v>612</v>
      </c>
      <c r="E26" t="str">
        <f>_xlfn.TEXTJOIN(" ",TRUE,projects[[#This Row],[job number]],projects[[#This Row],[Project_Name]],projects[[#This Row],[Column1]])</f>
        <v>246233-56 HCC - Weston Hills Tunnel (01-382)</v>
      </c>
      <c r="G26" t="s">
        <v>5</v>
      </c>
    </row>
    <row r="27" spans="1:7" x14ac:dyDescent="0.25">
      <c r="A27" s="3" t="s">
        <v>488</v>
      </c>
      <c r="B27" t="s">
        <v>51</v>
      </c>
      <c r="C27" t="s">
        <v>50</v>
      </c>
      <c r="D27" s="20"/>
      <c r="E27" t="str">
        <f>_xlfn.TEXTJOIN(" ",TRUE,projects[[#This Row],[job number]],projects[[#This Row],[Project_Name]],projects[[#This Row],[Column1]])</f>
        <v>254841-07 HS2 Ph2b</v>
      </c>
      <c r="G27" t="s">
        <v>24</v>
      </c>
    </row>
    <row r="28" spans="1:7" x14ac:dyDescent="0.25">
      <c r="A28" s="3" t="s">
        <v>639</v>
      </c>
      <c r="B28" s="3" t="s">
        <v>638</v>
      </c>
      <c r="C28" s="3"/>
      <c r="D28" s="38"/>
      <c r="E28" s="39" t="str">
        <f>_xlfn.TEXTJOIN(" ",TRUE,projects[[#This Row],[job number]],projects[[#This Row],[Project_Name]],projects[[#This Row],[Column1]])</f>
        <v>ILLNESS</v>
      </c>
      <c r="F28" s="3"/>
      <c r="G28" s="3" t="s">
        <v>5</v>
      </c>
    </row>
    <row r="29" spans="1:7" x14ac:dyDescent="0.25">
      <c r="A29" s="3" t="s">
        <v>480</v>
      </c>
      <c r="B29" t="s">
        <v>53</v>
      </c>
      <c r="C29" t="s">
        <v>52</v>
      </c>
      <c r="D29" s="20"/>
      <c r="E29" t="str">
        <f>_xlfn.TEXTJOIN(" ",TRUE,projects[[#This Row],[job number]],projects[[#This Row],[Project_Name]],projects[[#This Row],[Column1]])</f>
        <v>077616-63 Infra BIM</v>
      </c>
      <c r="G29" t="s">
        <v>24</v>
      </c>
    </row>
    <row r="30" spans="1:7" x14ac:dyDescent="0.25">
      <c r="A30" s="3" t="s">
        <v>489</v>
      </c>
      <c r="B30" t="s">
        <v>55</v>
      </c>
      <c r="C30" t="s">
        <v>54</v>
      </c>
      <c r="D30" s="20"/>
      <c r="E30" t="str">
        <f>_xlfn.TEXTJOIN(" ",TRUE,projects[[#This Row],[job number]],projects[[#This Row],[Project_Name]],projects[[#This Row],[Column1]])</f>
        <v>074764-02 Infra Meetings (infra meeting, group meeting)</v>
      </c>
      <c r="F30" t="s">
        <v>56</v>
      </c>
      <c r="G30" t="s">
        <v>5</v>
      </c>
    </row>
    <row r="31" spans="1:7" x14ac:dyDescent="0.25">
      <c r="A31" s="3" t="s">
        <v>478</v>
      </c>
      <c r="C31" t="s">
        <v>57</v>
      </c>
      <c r="D31" s="20"/>
      <c r="E31" t="str">
        <f>_xlfn.TEXTJOIN(" ",TRUE,projects[[#This Row],[job number]],projects[[#This Row],[Project_Name]],projects[[#This Row],[Column1]])</f>
        <v>Interview</v>
      </c>
      <c r="G31" t="s">
        <v>24</v>
      </c>
    </row>
    <row r="32" spans="1:7" x14ac:dyDescent="0.25">
      <c r="A32" s="3" t="s">
        <v>454</v>
      </c>
      <c r="B32" t="s">
        <v>59</v>
      </c>
      <c r="C32" t="s">
        <v>58</v>
      </c>
      <c r="D32" s="20"/>
      <c r="E32" t="str">
        <f>_xlfn.TEXTJOIN(" ",TRUE,projects[[#This Row],[job number]],projects[[#This Row],[Project_Name]],projects[[#This Row],[Column1]])</f>
        <v>252076-05 Intro to bridges</v>
      </c>
      <c r="G32" t="s">
        <v>24</v>
      </c>
    </row>
    <row r="33" spans="1:7" x14ac:dyDescent="0.25">
      <c r="A33" s="3" t="s">
        <v>459</v>
      </c>
      <c r="B33" t="s">
        <v>61</v>
      </c>
      <c r="C33" t="s">
        <v>60</v>
      </c>
      <c r="D33" s="20"/>
      <c r="E33" t="str">
        <f>_xlfn.TEXTJOIN(" ",TRUE,projects[[#This Row],[job number]],projects[[#This Row],[Project_Name]],projects[[#This Row],[Column1]])</f>
        <v>268017-10 KSC - PM</v>
      </c>
      <c r="G33" t="s">
        <v>5</v>
      </c>
    </row>
    <row r="34" spans="1:7" x14ac:dyDescent="0.25">
      <c r="A34" s="3" t="s">
        <v>455</v>
      </c>
      <c r="B34" t="s">
        <v>63</v>
      </c>
      <c r="C34" t="s">
        <v>62</v>
      </c>
      <c r="D34" s="20"/>
      <c r="E34" t="str">
        <f>_xlfn.TEXTJOIN(" ",TRUE,projects[[#This Row],[job number]],projects[[#This Row],[Project_Name]],projects[[#This Row],[Column1]])</f>
        <v>268017-25  KSC - Tunnel</v>
      </c>
      <c r="F34" t="s">
        <v>64</v>
      </c>
      <c r="G34" t="s">
        <v>5</v>
      </c>
    </row>
    <row r="35" spans="1:7" x14ac:dyDescent="0.25">
      <c r="A35" s="3" t="s">
        <v>445</v>
      </c>
      <c r="B35" t="s">
        <v>66</v>
      </c>
      <c r="D35" s="20"/>
      <c r="E35" t="str">
        <f>_xlfn.TEXTJOIN(" ",TRUE,projects[[#This Row],[job number]],projects[[#This Row],[Project_Name]],projects[[#This Row],[Column1]])</f>
        <v>LEAVE</v>
      </c>
      <c r="G35" t="s">
        <v>5</v>
      </c>
    </row>
    <row r="36" spans="1:7" x14ac:dyDescent="0.25">
      <c r="A36" s="3" t="s">
        <v>457</v>
      </c>
      <c r="B36" t="s">
        <v>68</v>
      </c>
      <c r="C36" t="s">
        <v>67</v>
      </c>
      <c r="D36" s="20"/>
      <c r="E36" t="str">
        <f>_xlfn.TEXTJOIN(" ",TRUE,projects[[#This Row],[job number]],projects[[#This Row],[Project_Name]],projects[[#This Row],[Column1]])</f>
        <v>255375-00 M25 West MSA</v>
      </c>
      <c r="G36" t="s">
        <v>5</v>
      </c>
    </row>
    <row r="37" spans="1:7" x14ac:dyDescent="0.25">
      <c r="A37" s="3" t="s">
        <v>447</v>
      </c>
      <c r="B37" s="22" t="s">
        <v>166</v>
      </c>
      <c r="C37" t="s">
        <v>165</v>
      </c>
      <c r="D37" s="20"/>
      <c r="E37" t="str">
        <f>_xlfn.TEXTJOIN(" ",TRUE,projects[[#This Row],[job number]],projects[[#This Row],[Project_Name]],projects[[#This Row],[Column1]])</f>
        <v>257677-59  Melbourne Metro - Latrobe</v>
      </c>
      <c r="F37" t="s">
        <v>167</v>
      </c>
      <c r="G37" t="s">
        <v>5</v>
      </c>
    </row>
    <row r="38" spans="1:7" x14ac:dyDescent="0.25">
      <c r="A38" s="3" t="s">
        <v>615</v>
      </c>
      <c r="B38" s="37" t="s">
        <v>622</v>
      </c>
      <c r="C38" s="3"/>
      <c r="D38" s="38"/>
      <c r="E38" s="39" t="str">
        <f>_xlfn.TEXTJOIN(" ",TRUE,projects[[#This Row],[job number]],projects[[#This Row],[Project_Name]],projects[[#This Row],[Column1]])</f>
        <v>OTHERS</v>
      </c>
      <c r="F38" s="3"/>
      <c r="G38" s="3" t="s">
        <v>5</v>
      </c>
    </row>
    <row r="39" spans="1:7" x14ac:dyDescent="0.25">
      <c r="A39" s="3" t="s">
        <v>474</v>
      </c>
      <c r="B39" t="s">
        <v>70</v>
      </c>
      <c r="C39" t="s">
        <v>69</v>
      </c>
      <c r="D39" s="20"/>
      <c r="E39" t="str">
        <f>_xlfn.TEXTJOIN(" ",TRUE,projects[[#This Row],[job number]],projects[[#This Row],[Project_Name]],projects[[#This Row],[Column1]])</f>
        <v>239230-42 SHB - Existing</v>
      </c>
      <c r="G39" t="s">
        <v>24</v>
      </c>
    </row>
    <row r="40" spans="1:7" x14ac:dyDescent="0.25">
      <c r="A40" s="3" t="s">
        <v>471</v>
      </c>
      <c r="B40" t="s">
        <v>72</v>
      </c>
      <c r="C40" t="s">
        <v>71</v>
      </c>
      <c r="D40" s="20"/>
      <c r="E40" t="str">
        <f>_xlfn.TEXTJOIN(" ",TRUE,projects[[#This Row],[job number]],projects[[#This Row],[Project_Name]],projects[[#This Row],[Column1]])</f>
        <v>261723-02 SMP</v>
      </c>
      <c r="G40" t="s">
        <v>24</v>
      </c>
    </row>
    <row r="41" spans="1:7" x14ac:dyDescent="0.25">
      <c r="A41" s="3" t="s">
        <v>485</v>
      </c>
      <c r="B41" t="s">
        <v>74</v>
      </c>
      <c r="C41" t="s">
        <v>73</v>
      </c>
      <c r="D41" s="20"/>
      <c r="E41" t="str">
        <f>_xlfn.TEXTJOIN(" ",TRUE,projects[[#This Row],[job number]],projects[[#This Row],[Project_Name]],projects[[#This Row],[Column1]])</f>
        <v>239230-40 Suurhoffbrug</v>
      </c>
      <c r="G41" t="s">
        <v>24</v>
      </c>
    </row>
    <row r="42" spans="1:7" x14ac:dyDescent="0.25">
      <c r="A42" s="3" t="s">
        <v>75</v>
      </c>
      <c r="B42" t="s">
        <v>76</v>
      </c>
      <c r="C42" t="s">
        <v>75</v>
      </c>
      <c r="D42" s="20"/>
      <c r="E42" t="str">
        <f>_xlfn.TEXTJOIN(" ",TRUE,projects[[#This Row],[job number]],projects[[#This Row],[Project_Name]],projects[[#This Row],[Column1]])</f>
        <v>601701-23 swindon d&amp;b</v>
      </c>
      <c r="G42" t="s">
        <v>24</v>
      </c>
    </row>
    <row r="43" spans="1:7" x14ac:dyDescent="0.25">
      <c r="A43" s="3" t="s">
        <v>441</v>
      </c>
      <c r="C43" s="20" t="s">
        <v>389</v>
      </c>
      <c r="D43" s="20"/>
      <c r="E43" t="str">
        <f>_xlfn.TEXTJOIN(" ",TRUE,projects[[#This Row],[job number]],projects[[#This Row],[Project_Name]],projects[[#This Row],[Column1]])</f>
        <v>TRAINING (In-house training)</v>
      </c>
      <c r="G43" t="s">
        <v>5</v>
      </c>
    </row>
    <row r="44" spans="1:7" x14ac:dyDescent="0.25">
      <c r="A44" s="3" t="s">
        <v>470</v>
      </c>
      <c r="B44" t="s">
        <v>78</v>
      </c>
      <c r="C44" t="s">
        <v>77</v>
      </c>
      <c r="D44" s="20"/>
      <c r="E44" t="str">
        <f>_xlfn.TEXTJOIN(" ",TRUE,projects[[#This Row],[job number]],projects[[#This Row],[Project_Name]],projects[[#This Row],[Column1]])</f>
        <v>265720-01 VBB -  extra fatgiue work</v>
      </c>
      <c r="G44" t="s">
        <v>24</v>
      </c>
    </row>
    <row r="45" spans="1:7" x14ac:dyDescent="0.25">
      <c r="A45" s="3" t="s">
        <v>460</v>
      </c>
      <c r="B45" t="s">
        <v>80</v>
      </c>
      <c r="C45" t="s">
        <v>79</v>
      </c>
      <c r="D45" s="20"/>
      <c r="E45" t="str">
        <f>_xlfn.TEXTJOIN(" ",TRUE,projects[[#This Row],[job number]],projects[[#This Row],[Project_Name]],projects[[#This Row],[Column1]])</f>
        <v>265720-20 VBB - Assessment</v>
      </c>
      <c r="G45" t="s">
        <v>24</v>
      </c>
    </row>
    <row r="46" spans="1:7" x14ac:dyDescent="0.25">
      <c r="A46" s="3" t="s">
        <v>466</v>
      </c>
      <c r="B46" t="s">
        <v>82</v>
      </c>
      <c r="C46" t="s">
        <v>81</v>
      </c>
      <c r="D46" s="20"/>
      <c r="E46" t="str">
        <f>_xlfn.TEXTJOIN(" ",TRUE,projects[[#This Row],[job number]],projects[[#This Row],[Project_Name]],projects[[#This Row],[Column1]])</f>
        <v>265720-10 VBB - Design Basis</v>
      </c>
      <c r="G46" t="s">
        <v>24</v>
      </c>
    </row>
    <row r="47" spans="1:7" x14ac:dyDescent="0.25">
      <c r="A47" s="3" t="s">
        <v>456</v>
      </c>
      <c r="B47" t="s">
        <v>84</v>
      </c>
      <c r="C47" t="s">
        <v>83</v>
      </c>
      <c r="D47" s="20"/>
      <c r="E47" t="str">
        <f>_xlfn.TEXTJOIN(" ",TRUE,projects[[#This Row],[job number]],projects[[#This Row],[Project_Name]],projects[[#This Row],[Column1]])</f>
        <v>210035-51 VBB 3rd - new bridge</v>
      </c>
      <c r="G47" t="s">
        <v>24</v>
      </c>
    </row>
    <row r="48" spans="1:7" x14ac:dyDescent="0.25">
      <c r="A48" s="3" t="s">
        <v>442</v>
      </c>
      <c r="B48" t="s">
        <v>164</v>
      </c>
      <c r="C48" t="s">
        <v>363</v>
      </c>
      <c r="D48" s="20" t="s">
        <v>362</v>
      </c>
      <c r="E48" t="str">
        <f>_xlfn.TEXTJOIN(" ",TRUE,projects[[#This Row],[job number]],projects[[#This Row],[Project_Name]],projects[[#This Row],[Column1]])</f>
        <v>210035-65 MC VBB WP1: DO-nota West (25-050)</v>
      </c>
      <c r="G48" t="s">
        <v>5</v>
      </c>
    </row>
    <row r="49" spans="1:7" x14ac:dyDescent="0.25">
      <c r="A49" s="3" t="s">
        <v>453</v>
      </c>
      <c r="B49" t="s">
        <v>86</v>
      </c>
      <c r="C49" t="s">
        <v>85</v>
      </c>
      <c r="D49" s="20"/>
      <c r="E49" t="str">
        <f>_xlfn.TEXTJOIN(" ",TRUE,projects[[#This Row],[job number]],projects[[#This Row],[Project_Name]],projects[[#This Row],[Column1]])</f>
        <v>210035-64 VBB 3rd - new bridge VO</v>
      </c>
      <c r="G49" t="s">
        <v>5</v>
      </c>
    </row>
    <row r="50" spans="1:7" x14ac:dyDescent="0.25">
      <c r="A50" s="3" t="s">
        <v>458</v>
      </c>
      <c r="B50" t="s">
        <v>95</v>
      </c>
      <c r="C50" t="s">
        <v>94</v>
      </c>
      <c r="D50" s="20"/>
      <c r="E50" t="str">
        <f>_xlfn.TEXTJOIN(" ",TRUE,projects[[#This Row],[job number]],projects[[#This Row],[Project_Name]],projects[[#This Row],[Column1]])</f>
        <v>210035-58  VBB Afkeurmemo Oostbrug</v>
      </c>
      <c r="G50" t="s">
        <v>24</v>
      </c>
    </row>
    <row r="51" spans="1:7" x14ac:dyDescent="0.25">
      <c r="A51" s="3" t="s">
        <v>477</v>
      </c>
      <c r="B51" t="s">
        <v>88</v>
      </c>
      <c r="C51" t="s">
        <v>87</v>
      </c>
      <c r="D51" s="20"/>
      <c r="E51" t="str">
        <f>_xlfn.TEXTJOIN(" ",TRUE,projects[[#This Row],[job number]],projects[[#This Row],[Project_Name]],projects[[#This Row],[Column1]])</f>
        <v>259933-00 Waalbrug</v>
      </c>
      <c r="F51" t="s">
        <v>89</v>
      </c>
      <c r="G51" t="s">
        <v>24</v>
      </c>
    </row>
    <row r="52" spans="1:7" x14ac:dyDescent="0.25">
      <c r="A52" s="3" t="s">
        <v>475</v>
      </c>
      <c r="B52" t="s">
        <v>91</v>
      </c>
      <c r="C52" t="s">
        <v>90</v>
      </c>
      <c r="D52" s="20"/>
      <c r="E52" t="str">
        <f>_xlfn.TEXTJOIN(" ",TRUE,projects[[#This Row],[job number]],projects[[#This Row],[Project_Name]],projects[[#This Row],[Column1]])</f>
        <v>264744-00 WLW</v>
      </c>
      <c r="G52" t="s">
        <v>24</v>
      </c>
    </row>
    <row r="53" spans="1:7" x14ac:dyDescent="0.25">
      <c r="A53" s="3" t="s">
        <v>469</v>
      </c>
      <c r="B53" t="s">
        <v>93</v>
      </c>
      <c r="C53" t="s">
        <v>92</v>
      </c>
      <c r="D53" s="20"/>
      <c r="E53" t="str">
        <f>_xlfn.TEXTJOIN(" ",TRUE,projects[[#This Row],[job number]],projects[[#This Row],[Project_Name]],projects[[#This Row],[Column1]])</f>
        <v>601593-72 WMRE lot 6</v>
      </c>
      <c r="G53" t="s">
        <v>24</v>
      </c>
    </row>
  </sheetData>
  <conditionalFormatting sqref="E1:F1 E3:E53 B3:B27 F3:F35 B29:B30">
    <cfRule type="containsBlanks" dxfId="162" priority="3">
      <formula>LEN(TRIM(B1))=0</formula>
    </cfRule>
  </conditionalFormatting>
  <conditionalFormatting sqref="E2:F2">
    <cfRule type="containsBlanks" dxfId="161" priority="1">
      <formula>LEN(TRIM(E2))=0</formula>
    </cfRule>
  </conditionalFormatting>
  <dataValidations count="1">
    <dataValidation type="list" allowBlank="1" showInputMessage="1" showErrorMessage="1" sqref="G2:G53"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4"/>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60" x14ac:dyDescent="0.25">
      <c r="A2" s="7">
        <v>44155.584467592591</v>
      </c>
      <c r="B2" s="8" t="s">
        <v>106</v>
      </c>
      <c r="C2" s="8">
        <v>44155</v>
      </c>
      <c r="D2" s="1" t="s">
        <v>442</v>
      </c>
      <c r="E2" s="1" t="str">
        <f>INDEX(projects[Project_Name],MATCH(TimeEntry8[[#This Row],[Project_ID]], projects[Project_ID],0))</f>
        <v>MC VBB WP1: DO-nota West</v>
      </c>
      <c r="F2" s="16" t="s">
        <v>659</v>
      </c>
    </row>
    <row r="3" spans="1:6" ht="75" x14ac:dyDescent="0.25">
      <c r="A3" s="7">
        <v>44134.669259259259</v>
      </c>
      <c r="B3" s="8" t="s">
        <v>106</v>
      </c>
      <c r="C3" s="8">
        <v>44134</v>
      </c>
      <c r="D3" s="1" t="s">
        <v>442</v>
      </c>
      <c r="E3" s="1" t="str">
        <f>INDEX(projects[Project_Name],MATCH(TimeEntry8[[#This Row],[Project_ID]], projects[Project_ID],0))</f>
        <v>MC VBB WP1: DO-nota West</v>
      </c>
      <c r="F3" s="16" t="s">
        <v>628</v>
      </c>
    </row>
    <row r="4" spans="1:6" ht="45" x14ac:dyDescent="0.25">
      <c r="A4" s="7">
        <v>44125.671481481484</v>
      </c>
      <c r="B4" s="8" t="s">
        <v>100</v>
      </c>
      <c r="C4" s="8">
        <v>44125</v>
      </c>
      <c r="D4" s="1" t="s">
        <v>442</v>
      </c>
      <c r="E4" s="1" t="str">
        <f>INDEX(projects[Project_Name],MATCH(TimeEntry8[[#This Row],[Project_ID]], projects[Project_ID],0))</f>
        <v>MC VBB WP1: DO-nota West</v>
      </c>
      <c r="F4" s="16" t="s">
        <v>607</v>
      </c>
    </row>
    <row r="5" spans="1:6" ht="60" x14ac:dyDescent="0.25">
      <c r="A5" s="7">
        <v>44123.667881944442</v>
      </c>
      <c r="B5" s="8" t="s">
        <v>104</v>
      </c>
      <c r="C5" s="8">
        <v>44123</v>
      </c>
      <c r="D5" s="1" t="s">
        <v>442</v>
      </c>
      <c r="E5" s="1" t="str">
        <f>INDEX(projects[Project_Name],MATCH(TimeEntry8[[#This Row],[Project_ID]], projects[Project_ID],0))</f>
        <v>MC VBB WP1: DO-nota West</v>
      </c>
      <c r="F5" s="16" t="s">
        <v>506</v>
      </c>
    </row>
    <row r="6" spans="1:6" ht="30" x14ac:dyDescent="0.25">
      <c r="A6" s="7">
        <v>44120.669525462959</v>
      </c>
      <c r="B6" s="8" t="s">
        <v>106</v>
      </c>
      <c r="C6" s="8">
        <v>44120</v>
      </c>
      <c r="D6" s="1" t="s">
        <v>442</v>
      </c>
      <c r="E6" s="1" t="str">
        <f>INDEX(projects[Project_Name],MATCH(TimeEntry8[[#This Row],[Project_ID]], projects[Project_ID],0))</f>
        <v>MC VBB WP1: DO-nota West</v>
      </c>
      <c r="F6" s="16" t="s">
        <v>503</v>
      </c>
    </row>
    <row r="7" spans="1:6" ht="60" x14ac:dyDescent="0.25">
      <c r="A7" s="7">
        <v>44095.503888888888</v>
      </c>
      <c r="B7" s="8" t="s">
        <v>104</v>
      </c>
      <c r="C7" s="8">
        <v>44095</v>
      </c>
      <c r="D7" s="1" t="s">
        <v>350</v>
      </c>
      <c r="E7" s="1" t="str">
        <f>INDEX(projects[Project_Name],MATCH(TimeEntry8[[#This Row],[Project_ID]], projects[Project_ID],0))</f>
        <v>MC VBB WP1: DO-nota West</v>
      </c>
      <c r="F7" s="16" t="s">
        <v>323</v>
      </c>
    </row>
    <row r="8" spans="1:6" ht="45" x14ac:dyDescent="0.25">
      <c r="A8" s="7">
        <v>44091.670578703706</v>
      </c>
      <c r="B8" s="8" t="s">
        <v>102</v>
      </c>
      <c r="C8" s="8">
        <v>44091</v>
      </c>
      <c r="D8" s="1" t="s">
        <v>350</v>
      </c>
      <c r="E8" s="1" t="str">
        <f>INDEX(projects[Project_Name],MATCH(TimeEntry8[[#This Row],[Project_ID]], projects[Project_ID],0))</f>
        <v>MC VBB WP1: DO-nota West</v>
      </c>
      <c r="F8" s="16" t="s">
        <v>329</v>
      </c>
    </row>
    <row r="9" spans="1:6" ht="45" x14ac:dyDescent="0.25">
      <c r="A9" s="7">
        <v>44090.678622685184</v>
      </c>
      <c r="B9" s="8" t="s">
        <v>100</v>
      </c>
      <c r="C9" s="8">
        <v>44090</v>
      </c>
      <c r="D9" s="1" t="s">
        <v>350</v>
      </c>
      <c r="E9" s="1" t="str">
        <f>INDEX(projects[Project_Name],MATCH(TimeEntry8[[#This Row],[Project_ID]], projects[Project_ID],0))</f>
        <v>MC VBB WP1: DO-nota West</v>
      </c>
      <c r="F9" s="16" t="s">
        <v>318</v>
      </c>
    </row>
    <row r="10" spans="1:6" ht="45" x14ac:dyDescent="0.25">
      <c r="A10" s="7">
        <v>44089.50104166667</v>
      </c>
      <c r="B10" s="8" t="s">
        <v>101</v>
      </c>
      <c r="C10" s="8">
        <v>44089</v>
      </c>
      <c r="D10" s="1" t="s">
        <v>350</v>
      </c>
      <c r="E10" s="1" t="str">
        <f>INDEX(projects[Project_Name],MATCH(TimeEntry8[[#This Row],[Project_ID]], projects[Project_ID],0))</f>
        <v>MC VBB WP1: DO-nota West</v>
      </c>
      <c r="F10" s="16" t="s">
        <v>315</v>
      </c>
    </row>
    <row r="11" spans="1:6" ht="90" x14ac:dyDescent="0.25">
      <c r="A11" s="7">
        <v>44088.540810185186</v>
      </c>
      <c r="B11" s="8" t="s">
        <v>104</v>
      </c>
      <c r="C11" s="8">
        <v>44088</v>
      </c>
      <c r="D11" s="1" t="s">
        <v>350</v>
      </c>
      <c r="E11" s="1" t="str">
        <f>INDEX(projects[Project_Name],MATCH(TimeEntry8[[#This Row],[Project_ID]], projects[Project_ID],0))</f>
        <v>MC VBB WP1: DO-nota West</v>
      </c>
      <c r="F11" s="16" t="s">
        <v>313</v>
      </c>
    </row>
    <row r="12" spans="1:6" ht="45" x14ac:dyDescent="0.25">
      <c r="A12" s="7">
        <v>44083.504374999997</v>
      </c>
      <c r="B12" s="8" t="s">
        <v>100</v>
      </c>
      <c r="C12" s="8">
        <v>44083</v>
      </c>
      <c r="D12" s="1" t="s">
        <v>350</v>
      </c>
      <c r="E12" s="1" t="str">
        <f>INDEX(projects[Project_Name],MATCH(TimeEntry8[[#This Row],[Project_ID]], projects[Project_ID],0))</f>
        <v>MC VBB WP1: DO-nota West</v>
      </c>
      <c r="F12" s="16" t="s">
        <v>306</v>
      </c>
    </row>
    <row r="13" spans="1:6" ht="45" x14ac:dyDescent="0.25">
      <c r="A13" s="7">
        <v>44081.501886574071</v>
      </c>
      <c r="B13" s="8" t="s">
        <v>104</v>
      </c>
      <c r="C13" s="8">
        <v>44081</v>
      </c>
      <c r="D13" s="1" t="s">
        <v>350</v>
      </c>
      <c r="E13" s="1" t="str">
        <f>INDEX(projects[Project_Name],MATCH(TimeEntry8[[#This Row],[Project_ID]], projects[Project_ID],0))</f>
        <v>MC VBB WP1: DO-nota West</v>
      </c>
      <c r="F13" s="16" t="s">
        <v>302</v>
      </c>
    </row>
    <row r="14" spans="1:6" ht="45" x14ac:dyDescent="0.25">
      <c r="A14" s="7">
        <v>44081.681134259263</v>
      </c>
      <c r="B14" s="8" t="s">
        <v>104</v>
      </c>
      <c r="C14" s="8">
        <v>44081</v>
      </c>
      <c r="D14" s="1" t="s">
        <v>350</v>
      </c>
      <c r="E14" s="1" t="str">
        <f>INDEX(projects[Project_Name],MATCH(TimeEntry8[[#This Row],[Project_ID]], projects[Project_ID],0))</f>
        <v>MC VBB WP1: DO-nota West</v>
      </c>
      <c r="F14" s="16" t="s">
        <v>303</v>
      </c>
    </row>
    <row r="15" spans="1:6" ht="45" x14ac:dyDescent="0.25">
      <c r="A15" s="7">
        <v>44069.675509259258</v>
      </c>
      <c r="B15" s="8" t="s">
        <v>100</v>
      </c>
      <c r="C15" s="8">
        <v>44069</v>
      </c>
      <c r="D15" s="1" t="s">
        <v>350</v>
      </c>
      <c r="E15" s="1" t="str">
        <f>INDEX(projects[Project_Name],MATCH(TimeEntry8[[#This Row],[Project_ID]], projects[Project_ID],0))</f>
        <v>MC VBB WP1: DO-nota West</v>
      </c>
      <c r="F15" s="16" t="s">
        <v>287</v>
      </c>
    </row>
    <row r="16" spans="1:6" ht="30" x14ac:dyDescent="0.25">
      <c r="A16" s="7">
        <v>44067.501076388886</v>
      </c>
      <c r="B16" s="8" t="s">
        <v>104</v>
      </c>
      <c r="C16" s="8">
        <v>44067</v>
      </c>
      <c r="D16" s="1" t="s">
        <v>350</v>
      </c>
      <c r="E16" s="1" t="str">
        <f>INDEX(projects[Project_Name],MATCH(TimeEntry8[[#This Row],[Project_ID]], projects[Project_ID],0))</f>
        <v>MC VBB WP1: DO-nota West</v>
      </c>
      <c r="F16" s="16" t="s">
        <v>286</v>
      </c>
    </row>
    <row r="17" spans="1:6" ht="60" x14ac:dyDescent="0.25">
      <c r="A17" s="7">
        <v>44048.670601851853</v>
      </c>
      <c r="B17" s="8" t="s">
        <v>100</v>
      </c>
      <c r="C17" s="8">
        <v>44048</v>
      </c>
      <c r="D17" s="1" t="s">
        <v>350</v>
      </c>
      <c r="E17" s="1" t="str">
        <f>INDEX(projects[Project_Name],MATCH(TimeEntry8[[#This Row],[Project_ID]], projects[Project_ID],0))</f>
        <v>MC VBB WP1: DO-nota West</v>
      </c>
      <c r="F17" s="16" t="s">
        <v>269</v>
      </c>
    </row>
    <row r="18" spans="1:6" ht="45" x14ac:dyDescent="0.25">
      <c r="A18" s="7">
        <v>44035.668495370373</v>
      </c>
      <c r="B18" s="8" t="s">
        <v>102</v>
      </c>
      <c r="C18" s="8">
        <v>44035</v>
      </c>
      <c r="D18" s="1" t="s">
        <v>350</v>
      </c>
      <c r="E18" s="1" t="str">
        <f>INDEX(projects[Project_Name],MATCH(TimeEntry8[[#This Row],[Project_ID]], projects[Project_ID],0))</f>
        <v>MC VBB WP1: DO-nota West</v>
      </c>
      <c r="F18" s="16" t="s">
        <v>252</v>
      </c>
    </row>
    <row r="19" spans="1:6" ht="30" x14ac:dyDescent="0.25">
      <c r="A19" s="7">
        <v>44034.500914351855</v>
      </c>
      <c r="B19" s="8" t="s">
        <v>100</v>
      </c>
      <c r="C19" s="8">
        <v>44034</v>
      </c>
      <c r="D19" s="1" t="s">
        <v>350</v>
      </c>
      <c r="E19" s="1" t="str">
        <f>INDEX(projects[Project_Name],MATCH(TimeEntry8[[#This Row],[Project_ID]], projects[Project_ID],0))</f>
        <v>MC VBB WP1: DO-nota West</v>
      </c>
      <c r="F19" s="16" t="s">
        <v>257</v>
      </c>
    </row>
    <row r="20" spans="1:6" ht="45" x14ac:dyDescent="0.25">
      <c r="A20" s="7">
        <v>44029.500648148147</v>
      </c>
      <c r="B20" s="8" t="s">
        <v>106</v>
      </c>
      <c r="C20" s="8">
        <v>44029</v>
      </c>
      <c r="D20" s="1" t="s">
        <v>350</v>
      </c>
      <c r="E20" s="1" t="str">
        <f>INDEX(projects[Project_Name],MATCH(TimeEntry8[[#This Row],[Project_ID]], projects[Project_ID],0))</f>
        <v>MC VBB WP1: DO-nota West</v>
      </c>
      <c r="F20" s="16" t="s">
        <v>243</v>
      </c>
    </row>
    <row r="21" spans="1:6" ht="45" x14ac:dyDescent="0.25">
      <c r="A21" s="7">
        <v>44026.502349537041</v>
      </c>
      <c r="B21" s="8" t="s">
        <v>101</v>
      </c>
      <c r="C21" s="8">
        <v>44026</v>
      </c>
      <c r="D21" s="1" t="s">
        <v>350</v>
      </c>
      <c r="E21" s="1" t="str">
        <f>INDEX(projects[Project_Name],MATCH(TimeEntry8[[#This Row],[Project_ID]], projects[Project_ID],0))</f>
        <v>MC VBB WP1: DO-nota West</v>
      </c>
      <c r="F21" s="16" t="s">
        <v>241</v>
      </c>
    </row>
    <row r="22" spans="1:6" ht="60" x14ac:dyDescent="0.25">
      <c r="A22" s="7">
        <v>44015.439502314817</v>
      </c>
      <c r="B22" s="8" t="s">
        <v>106</v>
      </c>
      <c r="C22" s="8">
        <v>44015</v>
      </c>
      <c r="D22" s="1" t="s">
        <v>350</v>
      </c>
      <c r="E22" s="1" t="str">
        <f>INDEX(projects[Project_Name],MATCH(TimeEntry8[[#This Row],[Project_ID]], projects[Project_ID],0))</f>
        <v>MC VBB WP1: DO-nota West</v>
      </c>
      <c r="F22" s="16" t="s">
        <v>223</v>
      </c>
    </row>
    <row r="23" spans="1:6" ht="45" x14ac:dyDescent="0.25">
      <c r="A23" s="7">
        <v>44014.687638888892</v>
      </c>
      <c r="B23" s="8" t="s">
        <v>102</v>
      </c>
      <c r="C23" s="8">
        <v>44014</v>
      </c>
      <c r="D23" s="1" t="s">
        <v>350</v>
      </c>
      <c r="E23" s="1" t="str">
        <f>INDEX(projects[Project_Name],MATCH(TimeEntry8[[#This Row],[Project_ID]], projects[Project_ID],0))</f>
        <v>MC VBB WP1: DO-nota West</v>
      </c>
      <c r="F23" s="16" t="s">
        <v>222</v>
      </c>
    </row>
    <row r="24" spans="1:6" ht="30" x14ac:dyDescent="0.25">
      <c r="A24" s="7">
        <v>44014.56355324074</v>
      </c>
      <c r="B24" s="8" t="s">
        <v>102</v>
      </c>
      <c r="C24" s="8">
        <v>44014</v>
      </c>
      <c r="D24" s="1" t="s">
        <v>350</v>
      </c>
      <c r="E24" s="1" t="str">
        <f>INDEX(projects[Project_Name],MATCH(TimeEntry8[[#This Row],[Project_ID]], projects[Project_ID],0))</f>
        <v>MC VBB WP1: DO-nota West</v>
      </c>
      <c r="F24" s="16" t="s">
        <v>221</v>
      </c>
    </row>
    <row r="25" spans="1:6" ht="75" x14ac:dyDescent="0.25">
      <c r="A25" s="7"/>
      <c r="B25" s="8"/>
      <c r="C25" s="8">
        <v>44013</v>
      </c>
      <c r="D25" s="1" t="s">
        <v>350</v>
      </c>
      <c r="E25" s="1" t="str">
        <f>INDEX(projects[Project_Name],MATCH(TimeEntry8[[#This Row],[Project_ID]], projects[Project_ID],0))</f>
        <v>MC VBB WP1: DO-nota West</v>
      </c>
      <c r="F25" s="16" t="s">
        <v>220</v>
      </c>
    </row>
    <row r="26" spans="1:6" ht="60" x14ac:dyDescent="0.25">
      <c r="A26" s="7"/>
      <c r="B26" s="8"/>
      <c r="C26" s="8">
        <v>44012</v>
      </c>
      <c r="D26" s="1" t="s">
        <v>350</v>
      </c>
      <c r="E26" s="1" t="str">
        <f>INDEX(projects[Project_Name],MATCH(TimeEntry8[[#This Row],[Project_ID]], projects[Project_ID],0))</f>
        <v>MC VBB WP1: DO-nota West</v>
      </c>
      <c r="F26" s="16" t="s">
        <v>217</v>
      </c>
    </row>
    <row r="27" spans="1:6" ht="75" x14ac:dyDescent="0.25">
      <c r="A27" s="7"/>
      <c r="B27" s="8"/>
      <c r="C27" s="8">
        <v>44011</v>
      </c>
      <c r="D27" s="1" t="s">
        <v>350</v>
      </c>
      <c r="E27" s="1" t="str">
        <f>INDEX(projects[Project_Name],MATCH(TimeEntry8[[#This Row],[Project_ID]], projects[Project_ID],0))</f>
        <v>MC VBB WP1: DO-nota West</v>
      </c>
      <c r="F27" s="16" t="s">
        <v>213</v>
      </c>
    </row>
    <row r="28" spans="1:6" ht="60" x14ac:dyDescent="0.25">
      <c r="A28" s="7"/>
      <c r="B28" s="8"/>
      <c r="C28" s="8">
        <v>43993</v>
      </c>
      <c r="D28" s="1" t="s">
        <v>350</v>
      </c>
      <c r="E28" s="1" t="str">
        <f>INDEX(projects[Project_Name],MATCH(TimeEntry8[[#This Row],[Project_ID]], projects[Project_ID],0))</f>
        <v>MC VBB WP1: DO-nota West</v>
      </c>
      <c r="F28" s="16" t="s">
        <v>199</v>
      </c>
    </row>
    <row r="29" spans="1:6" ht="30" x14ac:dyDescent="0.25">
      <c r="A29" s="7"/>
      <c r="B29" s="8"/>
      <c r="C29" s="8">
        <v>43992</v>
      </c>
      <c r="D29" s="1" t="s">
        <v>350</v>
      </c>
      <c r="E29" s="1" t="str">
        <f>INDEX(projects[Project_Name],MATCH(TimeEntry8[[#This Row],[Project_ID]], projects[Project_ID],0))</f>
        <v>MC VBB WP1: DO-nota West</v>
      </c>
      <c r="F29" s="16" t="s">
        <v>202</v>
      </c>
    </row>
    <row r="30" spans="1:6" ht="60" x14ac:dyDescent="0.25">
      <c r="A30" s="7"/>
      <c r="B30" s="8"/>
      <c r="C30" s="8">
        <v>43990</v>
      </c>
      <c r="D30" s="1" t="s">
        <v>37</v>
      </c>
      <c r="E30" s="1" t="str">
        <f>INDEX(projects[Project_Name],MATCH(TimeEntry8[[#This Row],[Project_ID]], projects[Project_ID],0))</f>
        <v>LOWER KINGS ROAD ASSESSMENT</v>
      </c>
      <c r="F30" s="16" t="s">
        <v>206</v>
      </c>
    </row>
    <row r="31" spans="1:6" ht="90" x14ac:dyDescent="0.25">
      <c r="A31" s="7"/>
      <c r="B31" s="8"/>
      <c r="C31" s="8">
        <v>43990</v>
      </c>
      <c r="D31" s="1" t="s">
        <v>350</v>
      </c>
      <c r="E31" s="1" t="str">
        <f>INDEX(projects[Project_Name],MATCH(TimeEntry8[[#This Row],[Project_ID]], projects[Project_ID],0))</f>
        <v>MC VBB WP1: DO-nota West</v>
      </c>
      <c r="F31" s="16" t="s">
        <v>198</v>
      </c>
    </row>
    <row r="32" spans="1:6" ht="30" x14ac:dyDescent="0.25">
      <c r="A32" s="7"/>
      <c r="B32" s="8"/>
      <c r="C32" s="8">
        <v>43986</v>
      </c>
      <c r="D32" s="1" t="s">
        <v>350</v>
      </c>
      <c r="E32" s="1" t="str">
        <f>INDEX(projects[Project_Name],MATCH(TimeEntry8[[#This Row],[Project_ID]], projects[Project_ID],0))</f>
        <v>MC VBB WP1: DO-nota West</v>
      </c>
      <c r="F32" s="16" t="s">
        <v>195</v>
      </c>
    </row>
    <row r="33" spans="1:6" ht="60" x14ac:dyDescent="0.25">
      <c r="A33" s="7"/>
      <c r="B33" s="8"/>
      <c r="C33" s="8">
        <v>43984</v>
      </c>
      <c r="D33" s="1" t="s">
        <v>350</v>
      </c>
      <c r="E33" s="1" t="str">
        <f>INDEX(projects[Project_Name],MATCH(TimeEntry8[[#This Row],[Project_ID]], projects[Project_ID],0))</f>
        <v>MC VBB WP1: DO-nota West</v>
      </c>
      <c r="F33" s="16" t="s">
        <v>193</v>
      </c>
    </row>
    <row r="34" spans="1:6" ht="30" x14ac:dyDescent="0.25">
      <c r="A34" s="7"/>
      <c r="B34" s="8"/>
      <c r="C34" s="8">
        <v>43980</v>
      </c>
      <c r="D34" s="1" t="s">
        <v>350</v>
      </c>
      <c r="E34" s="1" t="str">
        <f>INDEX(projects[Project_Name],MATCH(TimeEntry8[[#This Row],[Project_ID]], projects[Project_ID],0))</f>
        <v>MC VBB WP1: DO-nota West</v>
      </c>
      <c r="F34" s="16" t="s">
        <v>189</v>
      </c>
    </row>
    <row r="35" spans="1:6" ht="60" x14ac:dyDescent="0.25">
      <c r="A35" s="7"/>
      <c r="B35" s="8"/>
      <c r="C35" s="8">
        <v>43979</v>
      </c>
      <c r="D35" s="1" t="s">
        <v>37</v>
      </c>
      <c r="E35" s="1" t="str">
        <f>INDEX(projects[Project_Name],MATCH(TimeEntry8[[#This Row],[Project_ID]], projects[Project_ID],0))</f>
        <v>LOWER KINGS ROAD ASSESSMENT</v>
      </c>
      <c r="F35" s="16" t="s">
        <v>185</v>
      </c>
    </row>
    <row r="36" spans="1:6" ht="45" x14ac:dyDescent="0.25">
      <c r="A36" s="7"/>
      <c r="B36" s="8"/>
      <c r="C36" s="8">
        <v>43979</v>
      </c>
      <c r="D36" s="1" t="s">
        <v>165</v>
      </c>
      <c r="E36" s="1" t="str">
        <f>INDEX(projects[Project_Name],MATCH(TimeEntry8[[#This Row],[Project_ID]], projects[Project_ID],0))</f>
        <v>Melbourne Metro - Latrobe</v>
      </c>
      <c r="F36" s="16" t="s">
        <v>183</v>
      </c>
    </row>
    <row r="37" spans="1:6" ht="45" x14ac:dyDescent="0.25">
      <c r="A37" s="7"/>
      <c r="B37" s="8"/>
      <c r="C37" s="8">
        <v>43978</v>
      </c>
      <c r="D37" s="1" t="s">
        <v>165</v>
      </c>
      <c r="E37" s="1" t="str">
        <f>INDEX(projects[Project_Name],MATCH(TimeEntry8[[#This Row],[Project_ID]], projects[Project_ID],0))</f>
        <v>Melbourne Metro - Latrobe</v>
      </c>
      <c r="F37" s="16" t="s">
        <v>182</v>
      </c>
    </row>
    <row r="38" spans="1:6" ht="45" x14ac:dyDescent="0.25">
      <c r="A38" s="7"/>
      <c r="B38" s="8"/>
      <c r="C38" s="8">
        <v>43978</v>
      </c>
      <c r="D38" s="1" t="s">
        <v>350</v>
      </c>
      <c r="E38" s="1" t="str">
        <f>INDEX(projects[Project_Name],MATCH(TimeEntry8[[#This Row],[Project_ID]], projects[Project_ID],0))</f>
        <v>MC VBB WP1: DO-nota West</v>
      </c>
      <c r="F38" s="16" t="s">
        <v>184</v>
      </c>
    </row>
    <row r="39" spans="1:6" ht="45" x14ac:dyDescent="0.25">
      <c r="A39" s="7"/>
      <c r="B39" s="8"/>
      <c r="C39" s="8">
        <v>43977</v>
      </c>
      <c r="D39" s="1" t="s">
        <v>165</v>
      </c>
      <c r="E39" s="1" t="str">
        <f>INDEX(projects[Project_Name],MATCH(TimeEntry8[[#This Row],[Project_ID]], projects[Project_ID],0))</f>
        <v>Melbourne Metro - Latrobe</v>
      </c>
      <c r="F39" s="16" t="s">
        <v>181</v>
      </c>
    </row>
    <row r="40" spans="1:6" ht="45" x14ac:dyDescent="0.25">
      <c r="A40" s="7"/>
      <c r="B40" s="8"/>
      <c r="C40" s="8">
        <v>43973</v>
      </c>
      <c r="D40" s="1" t="s">
        <v>165</v>
      </c>
      <c r="E40" s="1" t="str">
        <f>INDEX(projects[Project_Name],MATCH(TimeEntry8[[#This Row],[Project_ID]], projects[Project_ID],0))</f>
        <v>Melbourne Metro - Latrobe</v>
      </c>
      <c r="F40" s="16" t="s">
        <v>178</v>
      </c>
    </row>
    <row r="41" spans="1:6" ht="60" x14ac:dyDescent="0.25">
      <c r="A41" s="7"/>
      <c r="B41" s="8"/>
      <c r="C41" s="8">
        <v>43973</v>
      </c>
      <c r="D41" s="1" t="s">
        <v>350</v>
      </c>
      <c r="E41" s="1" t="str">
        <f>INDEX(projects[Project_Name],MATCH(TimeEntry8[[#This Row],[Project_ID]], projects[Project_ID],0))</f>
        <v>MC VBB WP1: DO-nota West</v>
      </c>
      <c r="F41" s="16" t="s">
        <v>179</v>
      </c>
    </row>
    <row r="42" spans="1:6" ht="60" x14ac:dyDescent="0.25">
      <c r="A42" s="7"/>
      <c r="B42" s="8"/>
      <c r="C42" s="8">
        <v>43972</v>
      </c>
      <c r="D42" s="1" t="s">
        <v>45</v>
      </c>
      <c r="E42" s="1" t="str">
        <f>INDEX(projects[Project_Name],MATCH(TimeEntry8[[#This Row],[Project_ID]], projects[Project_ID],0))</f>
        <v>HCC - Paul Cully</v>
      </c>
      <c r="F42" s="16" t="s">
        <v>175</v>
      </c>
    </row>
    <row r="43" spans="1:6" ht="45" x14ac:dyDescent="0.25">
      <c r="A43" s="7"/>
      <c r="B43" s="8"/>
      <c r="C43" s="8">
        <v>43972</v>
      </c>
      <c r="D43" s="1" t="s">
        <v>165</v>
      </c>
      <c r="E43" s="1" t="str">
        <f>INDEX(projects[Project_Name],MATCH(TimeEntry8[[#This Row],[Project_ID]], projects[Project_ID],0))</f>
        <v>Melbourne Metro - Latrobe</v>
      </c>
      <c r="F43" s="16" t="s">
        <v>176</v>
      </c>
    </row>
    <row r="44" spans="1:6" ht="75" x14ac:dyDescent="0.25">
      <c r="A44" s="7"/>
      <c r="B44" s="8"/>
      <c r="C44" s="8">
        <v>43972</v>
      </c>
      <c r="D44" s="1" t="s">
        <v>350</v>
      </c>
      <c r="E44" s="1" t="str">
        <f>INDEX(projects[Project_Name],MATCH(TimeEntry8[[#This Row],[Project_ID]], projects[Project_ID],0))</f>
        <v>MC VBB WP1: DO-nota West</v>
      </c>
      <c r="F44" s="16" t="s">
        <v>177</v>
      </c>
    </row>
  </sheetData>
  <phoneticPr fontId="2" type="noConversion"/>
  <conditionalFormatting sqref="A1:F1008">
    <cfRule type="expression" dxfId="151" priority="14">
      <formula>#REF!=1.1</formula>
    </cfRule>
  </conditionalFormatting>
  <conditionalFormatting sqref="D1:D44">
    <cfRule type="expression" dxfId="150" priority="4">
      <formula>#REF!=1.1</formula>
    </cfRule>
  </conditionalFormatting>
  <dataValidations count="1">
    <dataValidation type="list" allowBlank="1" showInputMessage="1" showErrorMessage="1" sqref="D1:D44"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837"/>
  <sheetViews>
    <sheetView tabSelected="1" topLeftCell="G1" zoomScaleNormal="100" workbookViewId="0">
      <selection activeCell="G3" sqref="G3:N11"/>
    </sheetView>
  </sheetViews>
  <sheetFormatPr defaultRowHeight="15" x14ac:dyDescent="0.25"/>
  <cols>
    <col min="1" max="1" width="4" style="3" customWidth="1"/>
    <col min="2" max="2" width="18.7109375" style="3" bestFit="1" customWidth="1"/>
    <col min="3" max="3" width="10.140625" style="14" bestFit="1" customWidth="1"/>
    <col min="4" max="4" width="3.42578125" style="3" bestFit="1" customWidth="1"/>
    <col min="5" max="5" width="12.7109375" style="3" bestFit="1" customWidth="1"/>
    <col min="6" max="6" width="10.140625" style="3" bestFit="1" customWidth="1"/>
    <col min="7" max="7" width="24.28515625" style="3" customWidth="1"/>
    <col min="8" max="8" width="12.42578125" style="3" bestFit="1" customWidth="1"/>
    <col min="9" max="9" width="60.7109375"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92"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44155.584467592591</v>
      </c>
      <c r="C3" s="8">
        <v>44155</v>
      </c>
      <c r="D3" s="8" t="s">
        <v>106</v>
      </c>
      <c r="E3" s="1" t="s">
        <v>442</v>
      </c>
      <c r="F3" s="8">
        <f>IF(TimeEntry[[#This Row],[Date]]=0,F2,C3+(7-Q3))</f>
        <v>44157</v>
      </c>
      <c r="G3" s="35" t="str">
        <f>INDEX(projects[Charge_Code],MATCH(TimeEntry[[#This Row],[Project_ID]],projects[Project_ID],0))</f>
        <v>210035-65 MC VBB WP1: DO-nota West (25-050)</v>
      </c>
      <c r="H3" s="1" t="str">
        <f t="shared" ref="H3:H9" si="1">"Normal Time"</f>
        <v>Normal Time</v>
      </c>
      <c r="I3" s="1" t="s">
        <v>660</v>
      </c>
      <c r="J3" s="15"/>
      <c r="K3" s="15"/>
      <c r="L3" s="15"/>
      <c r="M3" s="15"/>
      <c r="N3" s="15">
        <v>6.5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2020</v>
      </c>
      <c r="S3" s="9">
        <f>WEEKNUM(TimeEntry[[#This Row],[WkEnd]])</f>
        <v>48</v>
      </c>
      <c r="T3" s="9" t="str">
        <f>TimeEntry[[#This Row],[Year]]&amp;"-"&amp;TimeEntry[[#This Row],[WkNo]]</f>
        <v>2020-48</v>
      </c>
    </row>
    <row r="4" spans="1:20" x14ac:dyDescent="0.25">
      <c r="A4" s="6">
        <f>MOD(IF(ROW()=2,0.1,IF(INDEX(TimeEntry[WkEnd],ROW()-1)  =  INDEX(TimeEntry[WkEnd],ROW()-2),    INDEX(TimeEntry[format],ROW()-2),    INDEX(TimeEntry[format],ROW()-2)    +1)),2)</f>
        <v>1.1000000000000001</v>
      </c>
      <c r="B4" s="7">
        <v>44155.584467592591</v>
      </c>
      <c r="C4" s="8">
        <v>44155</v>
      </c>
      <c r="D4" s="8" t="s">
        <v>106</v>
      </c>
      <c r="E4" s="1" t="s">
        <v>443</v>
      </c>
      <c r="F4" s="8">
        <f>IF(TimeEntry[[#This Row],[Date]]=0,F2,C4+(7-Q4))</f>
        <v>44157</v>
      </c>
      <c r="G4" s="35" t="str">
        <f>INDEX(projects[Charge_Code],MATCH(TimeEntry[[#This Row],[Project_ID]],projects[Project_ID],0))</f>
        <v>074097-30 LEADERSHIP &amp; MANAGEMENT CC124 (01-124)</v>
      </c>
      <c r="H4" s="1" t="str">
        <f t="shared" si="1"/>
        <v>Normal Time</v>
      </c>
      <c r="I4" s="1" t="s">
        <v>203</v>
      </c>
      <c r="J4" s="15"/>
      <c r="K4" s="15"/>
      <c r="L4" s="15"/>
      <c r="M4" s="15"/>
      <c r="N4" s="15">
        <v>1</v>
      </c>
      <c r="O4" s="15" t="str">
        <f>INDEX(projects[job number],MATCH(TimeEntry[[#This Row],[Project_ID]], projects[Project_ID],0))</f>
        <v>074097-30</v>
      </c>
      <c r="P4" s="15" t="str">
        <f>INDEX(projects[Project_Name],MATCH(TimeEntry[[#This Row],[Project_ID]], projects[Project_ID],0))</f>
        <v>LEADERSHIP &amp; MANAGEMENT CC124</v>
      </c>
      <c r="Q4" s="6">
        <f>IF(TimeEntry[[#This Row],[Date]]=0,"",WEEKDAY(C4,2))</f>
        <v>5</v>
      </c>
      <c r="R4" s="9">
        <f>YEAR(TimeEntry[[#This Row],[WkEnd]])</f>
        <v>2020</v>
      </c>
      <c r="S4" s="9">
        <f>WEEKNUM(TimeEntry[[#This Row],[WkEnd]])</f>
        <v>48</v>
      </c>
      <c r="T4" s="9" t="str">
        <f>TimeEntry[[#This Row],[Year]]&amp;"-"&amp;TimeEntry[[#This Row],[WkNo]]</f>
        <v>2020-48</v>
      </c>
    </row>
    <row r="5" spans="1:20" x14ac:dyDescent="0.25">
      <c r="A5" s="6">
        <f>MOD(IF(ROW()=2,0.1,IF(INDEX(TimeEntry[WkEnd],ROW()-1)  =  INDEX(TimeEntry[WkEnd],ROW()-2),    INDEX(TimeEntry[format],ROW()-2),    INDEX(TimeEntry[format],ROW()-2)    +1)),2)</f>
        <v>1.1000000000000001</v>
      </c>
      <c r="B5" s="7">
        <v>44154.667118055557</v>
      </c>
      <c r="C5" s="8">
        <v>44154</v>
      </c>
      <c r="D5" s="8" t="s">
        <v>102</v>
      </c>
      <c r="E5" s="1" t="s">
        <v>442</v>
      </c>
      <c r="F5" s="8">
        <f>IF(TimeEntry[[#This Row],[Date]]=0,F2,C5+(7-Q5))</f>
        <v>44157</v>
      </c>
      <c r="G5" s="35" t="str">
        <f>INDEX(projects[Charge_Code],MATCH(TimeEntry[[#This Row],[Project_ID]],projects[Project_ID],0))</f>
        <v>210035-65 MC VBB WP1: DO-nota West (25-050)</v>
      </c>
      <c r="H5" s="1" t="str">
        <f t="shared" si="1"/>
        <v>Normal Time</v>
      </c>
      <c r="I5" s="1" t="s">
        <v>658</v>
      </c>
      <c r="J5" s="15"/>
      <c r="K5" s="15"/>
      <c r="L5" s="15"/>
      <c r="M5" s="15">
        <v>3</v>
      </c>
      <c r="N5" s="15"/>
      <c r="O5" s="15" t="str">
        <f>INDEX(projects[job number],MATCH(TimeEntry[[#This Row],[Project_ID]], projects[Project_ID],0))</f>
        <v>210035-65</v>
      </c>
      <c r="P5" s="15" t="str">
        <f>INDEX(projects[Project_Name],MATCH(TimeEntry[[#This Row],[Project_ID]], projects[Project_ID],0))</f>
        <v>MC VBB WP1: DO-nota West</v>
      </c>
      <c r="Q5" s="6">
        <f>IF(TimeEntry[[#This Row],[Date]]=0,"",WEEKDAY(C5,2))</f>
        <v>4</v>
      </c>
      <c r="R5" s="9">
        <f>YEAR(TimeEntry[[#This Row],[WkEnd]])</f>
        <v>2020</v>
      </c>
      <c r="S5" s="9">
        <f>WEEKNUM(TimeEntry[[#This Row],[WkEnd]])</f>
        <v>48</v>
      </c>
      <c r="T5" s="9" t="str">
        <f>TimeEntry[[#This Row],[Year]]&amp;"-"&amp;TimeEntry[[#This Row],[WkNo]]</f>
        <v>2020-48</v>
      </c>
    </row>
    <row r="6" spans="1:20" x14ac:dyDescent="0.25">
      <c r="A6" s="6">
        <f>MOD(IF(ROW()=2,0.1,IF(INDEX(TimeEntry[WkEnd],ROW()-1)  =  INDEX(TimeEntry[WkEnd],ROW()-2),    INDEX(TimeEntry[format],ROW()-2),    INDEX(TimeEntry[format],ROW()-2)    +1)),2)</f>
        <v>1.1000000000000001</v>
      </c>
      <c r="B6" s="7">
        <v>44154.500555555554</v>
      </c>
      <c r="C6" s="8">
        <v>44154</v>
      </c>
      <c r="D6" s="8" t="s">
        <v>102</v>
      </c>
      <c r="E6" s="1" t="s">
        <v>442</v>
      </c>
      <c r="F6" s="8">
        <f>IF(TimeEntry[[#This Row],[Date]]=0,F2,C6+(7-Q6))</f>
        <v>44157</v>
      </c>
      <c r="G6" s="35" t="str">
        <f>INDEX(projects[Charge_Code],MATCH(TimeEntry[[#This Row],[Project_ID]],projects[Project_ID],0))</f>
        <v>210035-65 MC VBB WP1: DO-nota West (25-050)</v>
      </c>
      <c r="H6" s="1" t="str">
        <f t="shared" si="1"/>
        <v>Normal Time</v>
      </c>
      <c r="I6" s="1" t="s">
        <v>657</v>
      </c>
      <c r="J6" s="15"/>
      <c r="K6" s="15"/>
      <c r="L6" s="15"/>
      <c r="M6" s="15">
        <v>4.5</v>
      </c>
      <c r="N6" s="15"/>
      <c r="O6" s="15" t="str">
        <f>INDEX(projects[job number],MATCH(TimeEntry[[#This Row],[Project_ID]], projects[Project_ID],0))</f>
        <v>210035-65</v>
      </c>
      <c r="P6" s="15" t="str">
        <f>INDEX(projects[Project_Name],MATCH(TimeEntry[[#This Row],[Project_ID]], projects[Project_ID],0))</f>
        <v>MC VBB WP1: DO-nota West</v>
      </c>
      <c r="Q6" s="6">
        <f>IF(TimeEntry[[#This Row],[Date]]=0,"",WEEKDAY(C6,2))</f>
        <v>4</v>
      </c>
      <c r="R6" s="9">
        <f>YEAR(TimeEntry[[#This Row],[WkEnd]])</f>
        <v>2020</v>
      </c>
      <c r="S6" s="9">
        <f>WEEKNUM(TimeEntry[[#This Row],[WkEnd]])</f>
        <v>48</v>
      </c>
      <c r="T6" s="9" t="str">
        <f>TimeEntry[[#This Row],[Year]]&amp;"-"&amp;TimeEntry[[#This Row],[WkNo]]</f>
        <v>2020-48</v>
      </c>
    </row>
    <row r="7" spans="1:20" x14ac:dyDescent="0.25">
      <c r="A7" s="6">
        <f>MOD(IF(ROW()=2,0.1,IF(INDEX(TimeEntry[WkEnd],ROW()-1)  =  INDEX(TimeEntry[WkEnd],ROW()-2),    INDEX(TimeEntry[format],ROW()-2),    INDEX(TimeEntry[format],ROW()-2)    +1)),2)</f>
        <v>1.1000000000000001</v>
      </c>
      <c r="B7" s="7">
        <v>44153.51421296296</v>
      </c>
      <c r="C7" s="8">
        <v>44153</v>
      </c>
      <c r="D7" s="8" t="s">
        <v>100</v>
      </c>
      <c r="E7" s="1" t="s">
        <v>442</v>
      </c>
      <c r="F7" s="8">
        <f>IF(TimeEntry[[#This Row],[Date]]=0,F2,C7+(7-Q7))</f>
        <v>44157</v>
      </c>
      <c r="G7" s="35" t="str">
        <f>INDEX(projects[Charge_Code],MATCH(TimeEntry[[#This Row],[Project_ID]],projects[Project_ID],0))</f>
        <v>210035-65 MC VBB WP1: DO-nota West (25-050)</v>
      </c>
      <c r="H7" s="1" t="str">
        <f t="shared" si="1"/>
        <v>Normal Time</v>
      </c>
      <c r="I7" s="1" t="s">
        <v>656</v>
      </c>
      <c r="J7" s="15"/>
      <c r="K7" s="15">
        <v>3.5</v>
      </c>
      <c r="L7" s="15">
        <v>6.5</v>
      </c>
      <c r="M7" s="15"/>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3</v>
      </c>
      <c r="R7" s="9">
        <f>YEAR(TimeEntry[[#This Row],[WkEnd]])</f>
        <v>2020</v>
      </c>
      <c r="S7" s="9">
        <f>WEEKNUM(TimeEntry[[#This Row],[WkEnd]])</f>
        <v>48</v>
      </c>
      <c r="T7" s="9" t="str">
        <f>TimeEntry[[#This Row],[Year]]&amp;"-"&amp;TimeEntry[[#This Row],[WkNo]]</f>
        <v>2020-48</v>
      </c>
    </row>
    <row r="8" spans="1:20" x14ac:dyDescent="0.25">
      <c r="A8" s="6">
        <f>MOD(IF(ROW()=2,0.1,IF(INDEX(TimeEntry[WkEnd],ROW()-1)  =  INDEX(TimeEntry[WkEnd],ROW()-2),    INDEX(TimeEntry[format],ROW()-2),    INDEX(TimeEntry[format],ROW()-2)    +1)),2)</f>
        <v>1.1000000000000001</v>
      </c>
      <c r="B8" s="7">
        <v>44153.51421296296</v>
      </c>
      <c r="C8" s="8">
        <v>44153</v>
      </c>
      <c r="D8" s="8" t="s">
        <v>100</v>
      </c>
      <c r="E8" s="1" t="s">
        <v>442</v>
      </c>
      <c r="F8" s="8">
        <f>IF(TimeEntry[[#This Row],[Date]]=0,F2,C8+(7-Q8))</f>
        <v>44157</v>
      </c>
      <c r="G8" s="35" t="str">
        <f>INDEX(projects[Charge_Code],MATCH(TimeEntry[[#This Row],[Project_ID]],projects[Project_ID],0))</f>
        <v>210035-65 MC VBB WP1: DO-nota West (25-050)</v>
      </c>
      <c r="H8" s="1" t="str">
        <f t="shared" si="1"/>
        <v>Normal Time</v>
      </c>
      <c r="I8" s="1" t="s">
        <v>655</v>
      </c>
      <c r="J8" s="15"/>
      <c r="K8" s="15"/>
      <c r="L8" s="15">
        <v>1</v>
      </c>
      <c r="M8" s="15"/>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3</v>
      </c>
      <c r="R8" s="9">
        <f>YEAR(TimeEntry[[#This Row],[WkEnd]])</f>
        <v>2020</v>
      </c>
      <c r="S8" s="9">
        <f>WEEKNUM(TimeEntry[[#This Row],[WkEnd]])</f>
        <v>48</v>
      </c>
      <c r="T8" s="9" t="str">
        <f>TimeEntry[[#This Row],[Year]]&amp;"-"&amp;TimeEntry[[#This Row],[WkNo]]</f>
        <v>2020-48</v>
      </c>
    </row>
    <row r="9" spans="1:20" x14ac:dyDescent="0.25">
      <c r="A9" s="6">
        <f>MOD(IF(ROW()=2,0.1,IF(INDEX(TimeEntry[WkEnd],ROW()-1)  =  INDEX(TimeEntry[WkEnd],ROW()-2),    INDEX(TimeEntry[format],ROW()-2),    INDEX(TimeEntry[format],ROW()-2)    +1)),2)</f>
        <v>1.1000000000000001</v>
      </c>
      <c r="B9" s="7">
        <v>44151.671620370369</v>
      </c>
      <c r="C9" s="8">
        <v>44151</v>
      </c>
      <c r="D9" s="8" t="s">
        <v>104</v>
      </c>
      <c r="E9" s="1" t="s">
        <v>442</v>
      </c>
      <c r="F9" s="8">
        <f>IF(TimeEntry[[#This Row],[Date]]=0,F2,C9+(7-Q9))</f>
        <v>44157</v>
      </c>
      <c r="G9" s="35" t="str">
        <f>INDEX(projects[Charge_Code],MATCH(TimeEntry[[#This Row],[Project_ID]],projects[Project_ID],0))</f>
        <v>210035-65 MC VBB WP1: DO-nota West (25-050)</v>
      </c>
      <c r="H9" s="1" t="str">
        <f t="shared" si="1"/>
        <v>Normal Time</v>
      </c>
      <c r="I9" s="1" t="s">
        <v>654</v>
      </c>
      <c r="J9" s="15">
        <v>1.5</v>
      </c>
      <c r="K9" s="15">
        <v>2</v>
      </c>
      <c r="L9" s="15"/>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1</v>
      </c>
      <c r="R9" s="9">
        <f>YEAR(TimeEntry[[#This Row],[WkEnd]])</f>
        <v>2020</v>
      </c>
      <c r="S9" s="9">
        <f>WEEKNUM(TimeEntry[[#This Row],[WkEnd]])</f>
        <v>48</v>
      </c>
      <c r="T9" s="9" t="str">
        <f>TimeEntry[[#This Row],[Year]]&amp;"-"&amp;TimeEntry[[#This Row],[WkNo]]</f>
        <v>2020-48</v>
      </c>
    </row>
    <row r="10" spans="1:20" x14ac:dyDescent="0.25">
      <c r="A10" s="6">
        <f>MOD(IF(ROW()=2,0.1,IF(INDEX(TimeEntry[WkEnd],ROW()-1)  =  INDEX(TimeEntry[WkEnd],ROW()-2),    INDEX(TimeEntry[format],ROW()-2),    INDEX(TimeEntry[format],ROW()-2)    +1)),2)</f>
        <v>1.1000000000000001</v>
      </c>
      <c r="B10" s="7">
        <v>44151.500555555554</v>
      </c>
      <c r="C10" s="8">
        <v>44151</v>
      </c>
      <c r="D10" s="8" t="s">
        <v>104</v>
      </c>
      <c r="E10" s="1" t="s">
        <v>442</v>
      </c>
      <c r="F10" s="8">
        <f>IF(TimeEntry[[#This Row],[Date]]=0,F2,C10+(7-Q10))</f>
        <v>44157</v>
      </c>
      <c r="G10" s="35" t="str">
        <f>INDEX(projects[Charge_Code],MATCH(TimeEntry[[#This Row],[Project_ID]],projects[Project_ID],0))</f>
        <v>210035-65 MC VBB WP1: DO-nota West (25-050)</v>
      </c>
      <c r="H10" s="1" t="str">
        <f t="shared" ref="H10:H16" si="2">"Normal Time"</f>
        <v>Normal Time</v>
      </c>
      <c r="I10" s="1" t="s">
        <v>653</v>
      </c>
      <c r="J10" s="15">
        <v>4</v>
      </c>
      <c r="K10" s="15">
        <v>2</v>
      </c>
      <c r="L10" s="15"/>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1</v>
      </c>
      <c r="R10" s="9">
        <f>YEAR(TimeEntry[[#This Row],[WkEnd]])</f>
        <v>2020</v>
      </c>
      <c r="S10" s="9">
        <f>WEEKNUM(TimeEntry[[#This Row],[WkEnd]])</f>
        <v>48</v>
      </c>
      <c r="T10" s="9" t="str">
        <f>TimeEntry[[#This Row],[Year]]&amp;"-"&amp;TimeEntry[[#This Row],[WkNo]]</f>
        <v>2020-48</v>
      </c>
    </row>
    <row r="11" spans="1:20" x14ac:dyDescent="0.25">
      <c r="A11" s="6">
        <f>MOD(IF(ROW()=2,0.1,IF(INDEX(TimeEntry[WkEnd],ROW()-1)  =  INDEX(TimeEntry[WkEnd],ROW()-2),    INDEX(TimeEntry[format],ROW()-2),    INDEX(TimeEntry[format],ROW()-2)    +1)),2)</f>
        <v>1.1000000000000001</v>
      </c>
      <c r="B11" s="7">
        <v>44151.500555555554</v>
      </c>
      <c r="C11" s="8">
        <v>44151</v>
      </c>
      <c r="D11" s="8" t="s">
        <v>104</v>
      </c>
      <c r="E11" s="1" t="s">
        <v>442</v>
      </c>
      <c r="F11" s="8">
        <f>IF(TimeEntry[[#This Row],[Date]]=0,F2,C11+(7-Q11))</f>
        <v>44157</v>
      </c>
      <c r="G11" s="35" t="str">
        <f>INDEX(projects[Charge_Code],MATCH(TimeEntry[[#This Row],[Project_ID]],projects[Project_ID],0))</f>
        <v>210035-65 MC VBB WP1: DO-nota West (25-050)</v>
      </c>
      <c r="H11" s="1" t="str">
        <f t="shared" si="2"/>
        <v>Normal Time</v>
      </c>
      <c r="I11" s="1" t="s">
        <v>652</v>
      </c>
      <c r="J11" s="15">
        <v>2</v>
      </c>
      <c r="K11" s="15"/>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1</v>
      </c>
      <c r="R11" s="9">
        <f>YEAR(TimeEntry[[#This Row],[WkEnd]])</f>
        <v>2020</v>
      </c>
      <c r="S11" s="9">
        <f>WEEKNUM(TimeEntry[[#This Row],[WkEnd]])</f>
        <v>48</v>
      </c>
      <c r="T11" s="9" t="str">
        <f>TimeEntry[[#This Row],[Year]]&amp;"-"&amp;TimeEntry[[#This Row],[WkNo]]</f>
        <v>2020-48</v>
      </c>
    </row>
    <row r="12" spans="1:20" x14ac:dyDescent="0.25">
      <c r="A12" s="6">
        <f>MOD(IF(ROW()=2,0.1,IF(INDEX(TimeEntry[WkEnd],ROW()-1)  =  INDEX(TimeEntry[WkEnd],ROW()-2),    INDEX(TimeEntry[format],ROW()-2),    INDEX(TimeEntry[format],ROW()-2)    +1)),2)</f>
        <v>0.10000000000000009</v>
      </c>
      <c r="B12" s="7">
        <v>44148.669131944444</v>
      </c>
      <c r="C12" s="8">
        <v>44148</v>
      </c>
      <c r="D12" s="8" t="s">
        <v>106</v>
      </c>
      <c r="E12" s="1" t="s">
        <v>442</v>
      </c>
      <c r="F12" s="8">
        <f>IF(TimeEntry[[#This Row],[Date]]=0,F2,C12+(7-Q12))</f>
        <v>44150</v>
      </c>
      <c r="G12" s="35" t="str">
        <f>INDEX(projects[Charge_Code],MATCH(TimeEntry[[#This Row],[Project_ID]],projects[Project_ID],0))</f>
        <v>210035-65 MC VBB WP1: DO-nota West (25-050)</v>
      </c>
      <c r="H12" s="1" t="str">
        <f t="shared" si="2"/>
        <v>Normal Time</v>
      </c>
      <c r="I12" s="1" t="s">
        <v>651</v>
      </c>
      <c r="J12" s="15"/>
      <c r="K12" s="15"/>
      <c r="L12" s="15"/>
      <c r="M12" s="15"/>
      <c r="N12" s="15">
        <v>3.5</v>
      </c>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5</v>
      </c>
      <c r="R12" s="9">
        <f>YEAR(TimeEntry[[#This Row],[WkEnd]])</f>
        <v>2020</v>
      </c>
      <c r="S12" s="9">
        <f>WEEKNUM(TimeEntry[[#This Row],[WkEnd]])</f>
        <v>47</v>
      </c>
      <c r="T12" s="9" t="str">
        <f>TimeEntry[[#This Row],[Year]]&amp;"-"&amp;TimeEntry[[#This Row],[WkNo]]</f>
        <v>2020-47</v>
      </c>
    </row>
    <row r="13" spans="1:20" x14ac:dyDescent="0.25">
      <c r="A13" s="6">
        <f>MOD(IF(ROW()=2,0.1,IF(INDEX(TimeEntry[WkEnd],ROW()-1)  =  INDEX(TimeEntry[WkEnd],ROW()-2),    INDEX(TimeEntry[format],ROW()-2),    INDEX(TimeEntry[format],ROW()-2)    +1)),2)</f>
        <v>0.10000000000000009</v>
      </c>
      <c r="B13" s="7">
        <v>44148.500810185185</v>
      </c>
      <c r="C13" s="8">
        <v>44148</v>
      </c>
      <c r="D13" s="8" t="s">
        <v>106</v>
      </c>
      <c r="E13" s="1" t="s">
        <v>442</v>
      </c>
      <c r="F13" s="8">
        <f>IF(TimeEntry[[#This Row],[Date]]=0,F2,C13+(7-Q13))</f>
        <v>44150</v>
      </c>
      <c r="G13" s="35" t="str">
        <f>INDEX(projects[Charge_Code],MATCH(TimeEntry[[#This Row],[Project_ID]],projects[Project_ID],0))</f>
        <v>210035-65 MC VBB WP1: DO-nota West (25-050)</v>
      </c>
      <c r="H13" s="1" t="str">
        <f t="shared" si="2"/>
        <v>Normal Time</v>
      </c>
      <c r="I13" s="1" t="s">
        <v>650</v>
      </c>
      <c r="J13" s="15"/>
      <c r="K13" s="15"/>
      <c r="L13" s="15"/>
      <c r="M13" s="15"/>
      <c r="N13" s="15">
        <v>3</v>
      </c>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5</v>
      </c>
      <c r="R13" s="9">
        <f>YEAR(TimeEntry[[#This Row],[WkEnd]])</f>
        <v>2020</v>
      </c>
      <c r="S13" s="9">
        <f>WEEKNUM(TimeEntry[[#This Row],[WkEnd]])</f>
        <v>47</v>
      </c>
      <c r="T13" s="9" t="str">
        <f>TimeEntry[[#This Row],[Year]]&amp;"-"&amp;TimeEntry[[#This Row],[WkNo]]</f>
        <v>2020-47</v>
      </c>
    </row>
    <row r="14" spans="1:20" x14ac:dyDescent="0.25">
      <c r="A14" s="6">
        <f>MOD(IF(ROW()=2,0.1,IF(INDEX(TimeEntry[WkEnd],ROW()-1)  =  INDEX(TimeEntry[WkEnd],ROW()-2),    INDEX(TimeEntry[format],ROW()-2),    INDEX(TimeEntry[format],ROW()-2)    +1)),2)</f>
        <v>0.10000000000000009</v>
      </c>
      <c r="B14" s="7">
        <v>44148.500810185185</v>
      </c>
      <c r="C14" s="8">
        <v>44148</v>
      </c>
      <c r="D14" s="8" t="s">
        <v>106</v>
      </c>
      <c r="E14" s="1" t="s">
        <v>443</v>
      </c>
      <c r="F14" s="8">
        <f>IF(TimeEntry[[#This Row],[Date]]=0,F2,C14+(7-Q14))</f>
        <v>44150</v>
      </c>
      <c r="G14" s="35" t="str">
        <f>INDEX(projects[Charge_Code],MATCH(TimeEntry[[#This Row],[Project_ID]],projects[Project_ID],0))</f>
        <v>074097-30 LEADERSHIP &amp; MANAGEMENT CC124 (01-124)</v>
      </c>
      <c r="H14" s="1" t="str">
        <f t="shared" si="2"/>
        <v>Normal Time</v>
      </c>
      <c r="I14" s="1" t="s">
        <v>649</v>
      </c>
      <c r="J14" s="15"/>
      <c r="K14" s="15"/>
      <c r="L14" s="15"/>
      <c r="M14" s="15"/>
      <c r="N14" s="15">
        <v>1</v>
      </c>
      <c r="O14" s="15" t="str">
        <f>INDEX(projects[job number],MATCH(TimeEntry[[#This Row],[Project_ID]], projects[Project_ID],0))</f>
        <v>074097-30</v>
      </c>
      <c r="P14" s="15" t="str">
        <f>INDEX(projects[Project_Name],MATCH(TimeEntry[[#This Row],[Project_ID]], projects[Project_ID],0))</f>
        <v>LEADERSHIP &amp; MANAGEMENT CC124</v>
      </c>
      <c r="Q14" s="6">
        <f>IF(TimeEntry[[#This Row],[Date]]=0,"",WEEKDAY(C14,2))</f>
        <v>5</v>
      </c>
      <c r="R14" s="9">
        <f>YEAR(TimeEntry[[#This Row],[WkEnd]])</f>
        <v>2020</v>
      </c>
      <c r="S14" s="9">
        <f>WEEKNUM(TimeEntry[[#This Row],[WkEnd]])</f>
        <v>47</v>
      </c>
      <c r="T14" s="9" t="str">
        <f>TimeEntry[[#This Row],[Year]]&amp;"-"&amp;TimeEntry[[#This Row],[WkNo]]</f>
        <v>2020-47</v>
      </c>
    </row>
    <row r="15" spans="1:20" x14ac:dyDescent="0.25">
      <c r="A15" s="6">
        <f>MOD(IF(ROW()=2,0.1,IF(INDEX(TimeEntry[WkEnd],ROW()-1)  =  INDEX(TimeEntry[WkEnd],ROW()-2),    INDEX(TimeEntry[format],ROW()-2),    INDEX(TimeEntry[format],ROW()-2)    +1)),2)</f>
        <v>0.10000000000000009</v>
      </c>
      <c r="B15" s="7">
        <v>44147.669722222221</v>
      </c>
      <c r="C15" s="8">
        <v>44147</v>
      </c>
      <c r="D15" s="8" t="s">
        <v>102</v>
      </c>
      <c r="E15" s="1" t="s">
        <v>442</v>
      </c>
      <c r="F15" s="8">
        <f>IF(TimeEntry[[#This Row],[Date]]=0,F2,C15+(7-Q15))</f>
        <v>44150</v>
      </c>
      <c r="G15" s="35" t="str">
        <f>INDEX(projects[Charge_Code],MATCH(TimeEntry[[#This Row],[Project_ID]],projects[Project_ID],0))</f>
        <v>210035-65 MC VBB WP1: DO-nota West (25-050)</v>
      </c>
      <c r="H15" s="1" t="str">
        <f t="shared" si="2"/>
        <v>Normal Time</v>
      </c>
      <c r="I15" s="1" t="s">
        <v>648</v>
      </c>
      <c r="J15" s="15"/>
      <c r="K15" s="15"/>
      <c r="L15" s="15"/>
      <c r="M15" s="15">
        <v>4.5</v>
      </c>
      <c r="N15" s="15"/>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4</v>
      </c>
      <c r="R15" s="9">
        <f>YEAR(TimeEntry[[#This Row],[WkEnd]])</f>
        <v>2020</v>
      </c>
      <c r="S15" s="9">
        <f>WEEKNUM(TimeEntry[[#This Row],[WkEnd]])</f>
        <v>47</v>
      </c>
      <c r="T15" s="9" t="str">
        <f>TimeEntry[[#This Row],[Year]]&amp;"-"&amp;TimeEntry[[#This Row],[WkNo]]</f>
        <v>2020-47</v>
      </c>
    </row>
    <row r="16" spans="1:20" x14ac:dyDescent="0.25">
      <c r="A16" s="6">
        <f>MOD(IF(ROW()=2,0.1,IF(INDEX(TimeEntry[WkEnd],ROW()-1)  =  INDEX(TimeEntry[WkEnd],ROW()-2),    INDEX(TimeEntry[format],ROW()-2),    INDEX(TimeEntry[format],ROW()-2)    +1)),2)</f>
        <v>0.10000000000000009</v>
      </c>
      <c r="B16" s="7">
        <v>44147.522129629629</v>
      </c>
      <c r="C16" s="8">
        <v>44147</v>
      </c>
      <c r="D16" s="8" t="s">
        <v>102</v>
      </c>
      <c r="E16" s="1" t="s">
        <v>442</v>
      </c>
      <c r="F16" s="8">
        <f>IF(TimeEntry[[#This Row],[Date]]=0,F2,C16+(7-Q16))</f>
        <v>44150</v>
      </c>
      <c r="G16" s="35" t="str">
        <f>INDEX(projects[Charge_Code],MATCH(TimeEntry[[#This Row],[Project_ID]],projects[Project_ID],0))</f>
        <v>210035-65 MC VBB WP1: DO-nota West (25-050)</v>
      </c>
      <c r="H16" s="1" t="str">
        <f t="shared" si="2"/>
        <v>Normal Time</v>
      </c>
      <c r="I16" s="1" t="s">
        <v>647</v>
      </c>
      <c r="J16" s="15"/>
      <c r="K16" s="15"/>
      <c r="L16" s="15"/>
      <c r="M16" s="15">
        <v>3</v>
      </c>
      <c r="N16" s="15"/>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4</v>
      </c>
      <c r="R16" s="9">
        <f>YEAR(TimeEntry[[#This Row],[WkEnd]])</f>
        <v>2020</v>
      </c>
      <c r="S16" s="9">
        <f>WEEKNUM(TimeEntry[[#This Row],[WkEnd]])</f>
        <v>47</v>
      </c>
      <c r="T16" s="9" t="str">
        <f>TimeEntry[[#This Row],[Year]]&amp;"-"&amp;TimeEntry[[#This Row],[WkNo]]</f>
        <v>2020-47</v>
      </c>
    </row>
    <row r="17" spans="1:22" x14ac:dyDescent="0.25">
      <c r="A17" s="6">
        <f>MOD(IF(ROW()=2,0.1,IF(INDEX(TimeEntry[WkEnd],ROW()-1)  =  INDEX(TimeEntry[WkEnd],ROW()-2),    INDEX(TimeEntry[format],ROW()-2),    INDEX(TimeEntry[format],ROW()-2)    +1)),2)</f>
        <v>0.10000000000000009</v>
      </c>
      <c r="B17" s="7">
        <v>44146.699548611112</v>
      </c>
      <c r="C17" s="8">
        <v>44146</v>
      </c>
      <c r="D17" s="8" t="s">
        <v>100</v>
      </c>
      <c r="E17" s="1" t="s">
        <v>443</v>
      </c>
      <c r="F17" s="8">
        <f>IF(TimeEntry[[#This Row],[Date]]=0,F2,C17+(7-Q17))</f>
        <v>44150</v>
      </c>
      <c r="G17" s="35" t="str">
        <f>INDEX(projects[Charge_Code],MATCH(TimeEntry[[#This Row],[Project_ID]],projects[Project_ID],0))</f>
        <v>074097-30 LEADERSHIP &amp; MANAGEMENT CC124 (01-124)</v>
      </c>
      <c r="H17" s="1" t="str">
        <f t="shared" ref="H17:H23" si="3">"Normal Time"</f>
        <v>Normal Time</v>
      </c>
      <c r="I17" s="1" t="s">
        <v>646</v>
      </c>
      <c r="J17" s="15"/>
      <c r="K17" s="15"/>
      <c r="L17" s="15">
        <v>1</v>
      </c>
      <c r="M17" s="15"/>
      <c r="N17" s="15"/>
      <c r="O17" s="15" t="str">
        <f>INDEX(projects[job number],MATCH(TimeEntry[[#This Row],[Project_ID]], projects[Project_ID],0))</f>
        <v>074097-30</v>
      </c>
      <c r="P17" s="15" t="str">
        <f>INDEX(projects[Project_Name],MATCH(TimeEntry[[#This Row],[Project_ID]], projects[Project_ID],0))</f>
        <v>LEADERSHIP &amp; MANAGEMENT CC124</v>
      </c>
      <c r="Q17" s="6">
        <f>IF(TimeEntry[[#This Row],[Date]]=0,"",WEEKDAY(C17,2))</f>
        <v>3</v>
      </c>
      <c r="R17" s="9">
        <f>YEAR(TimeEntry[[#This Row],[WkEnd]])</f>
        <v>2020</v>
      </c>
      <c r="S17" s="9">
        <f>WEEKNUM(TimeEntry[[#This Row],[WkEnd]])</f>
        <v>47</v>
      </c>
      <c r="T17" s="9" t="str">
        <f>TimeEntry[[#This Row],[Year]]&amp;"-"&amp;TimeEntry[[#This Row],[WkNo]]</f>
        <v>2020-47</v>
      </c>
    </row>
    <row r="18" spans="1:22" x14ac:dyDescent="0.25">
      <c r="A18" s="6">
        <f>MOD(IF(ROW()=2,0.1,IF(INDEX(TimeEntry[WkEnd],ROW()-1)  =  INDEX(TimeEntry[WkEnd],ROW()-2),    INDEX(TimeEntry[format],ROW()-2),    INDEX(TimeEntry[format],ROW()-2)    +1)),2)</f>
        <v>0.10000000000000009</v>
      </c>
      <c r="B18" s="7">
        <v>44146.699548611112</v>
      </c>
      <c r="C18" s="8">
        <v>44146</v>
      </c>
      <c r="D18" s="8" t="s">
        <v>100</v>
      </c>
      <c r="E18" s="1" t="s">
        <v>442</v>
      </c>
      <c r="F18" s="8">
        <f>IF(TimeEntry[[#This Row],[Date]]=0,F2,C18+(7-Q18))</f>
        <v>44150</v>
      </c>
      <c r="G18" s="35" t="str">
        <f>INDEX(projects[Charge_Code],MATCH(TimeEntry[[#This Row],[Project_ID]],projects[Project_ID],0))</f>
        <v>210035-65 MC VBB WP1: DO-nota West (25-050)</v>
      </c>
      <c r="H18" s="1" t="str">
        <f t="shared" si="3"/>
        <v>Normal Time</v>
      </c>
      <c r="I18" s="1" t="s">
        <v>645</v>
      </c>
      <c r="J18" s="15"/>
      <c r="K18" s="15"/>
      <c r="L18" s="15">
        <v>3.5</v>
      </c>
      <c r="M18" s="15"/>
      <c r="N18" s="15"/>
      <c r="O18" s="15" t="str">
        <f>INDEX(projects[job number],MATCH(TimeEntry[[#This Row],[Project_ID]], projects[Project_ID],0))</f>
        <v>210035-65</v>
      </c>
      <c r="P18" s="15" t="str">
        <f>INDEX(projects[Project_Name],MATCH(TimeEntry[[#This Row],[Project_ID]], projects[Project_ID],0))</f>
        <v>MC VBB WP1: DO-nota West</v>
      </c>
      <c r="Q18" s="6">
        <f>IF(TimeEntry[[#This Row],[Date]]=0,"",WEEKDAY(C18,2))</f>
        <v>3</v>
      </c>
      <c r="R18" s="9">
        <f>YEAR(TimeEntry[[#This Row],[WkEnd]])</f>
        <v>2020</v>
      </c>
      <c r="S18" s="9">
        <f>WEEKNUM(TimeEntry[[#This Row],[WkEnd]])</f>
        <v>47</v>
      </c>
      <c r="T18" s="9" t="str">
        <f>TimeEntry[[#This Row],[Year]]&amp;"-"&amp;TimeEntry[[#This Row],[WkNo]]</f>
        <v>2020-47</v>
      </c>
    </row>
    <row r="19" spans="1:22" x14ac:dyDescent="0.25">
      <c r="A19" s="6">
        <f>MOD(IF(ROW()=2,0.1,IF(INDEX(TimeEntry[WkEnd],ROW()-1)  =  INDEX(TimeEntry[WkEnd],ROW()-2),    INDEX(TimeEntry[format],ROW()-2),    INDEX(TimeEntry[format],ROW()-2)    +1)),2)</f>
        <v>0.10000000000000009</v>
      </c>
      <c r="B19" s="7">
        <v>44146.501342592594</v>
      </c>
      <c r="C19" s="8">
        <v>44146</v>
      </c>
      <c r="D19" s="8" t="s">
        <v>100</v>
      </c>
      <c r="E19" s="1" t="s">
        <v>442</v>
      </c>
      <c r="F19" s="8">
        <f>IF(TimeEntry[[#This Row],[Date]]=0,F2,C19+(7-Q19))</f>
        <v>44150</v>
      </c>
      <c r="G19" s="35" t="str">
        <f>INDEX(projects[Charge_Code],MATCH(TimeEntry[[#This Row],[Project_ID]],projects[Project_ID],0))</f>
        <v>210035-65 MC VBB WP1: DO-nota West (25-050)</v>
      </c>
      <c r="H19" s="1" t="str">
        <f t="shared" si="3"/>
        <v>Normal Time</v>
      </c>
      <c r="I19" s="1" t="s">
        <v>644</v>
      </c>
      <c r="J19" s="15"/>
      <c r="K19" s="15"/>
      <c r="L19" s="15">
        <v>3</v>
      </c>
      <c r="M19" s="15"/>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3</v>
      </c>
      <c r="R19" s="9">
        <f>YEAR(TimeEntry[[#This Row],[WkEnd]])</f>
        <v>2020</v>
      </c>
      <c r="S19" s="9">
        <f>WEEKNUM(TimeEntry[[#This Row],[WkEnd]])</f>
        <v>47</v>
      </c>
      <c r="T19" s="9" t="str">
        <f>TimeEntry[[#This Row],[Year]]&amp;"-"&amp;TimeEntry[[#This Row],[WkNo]]</f>
        <v>2020-47</v>
      </c>
    </row>
    <row r="20" spans="1:22" x14ac:dyDescent="0.25">
      <c r="A20" s="6">
        <f>MOD(IF(ROW()=2,0.1,IF(INDEX(TimeEntry[WkEnd],ROW()-1)  =  INDEX(TimeEntry[WkEnd],ROW()-2),    INDEX(TimeEntry[format],ROW()-2),    INDEX(TimeEntry[format],ROW()-2)    +1)),2)</f>
        <v>0.10000000000000009</v>
      </c>
      <c r="B20" s="7">
        <v>44145.669756944444</v>
      </c>
      <c r="C20" s="8">
        <v>44145</v>
      </c>
      <c r="D20" s="8" t="s">
        <v>101</v>
      </c>
      <c r="E20" s="1" t="s">
        <v>442</v>
      </c>
      <c r="F20" s="8">
        <f>IF(TimeEntry[[#This Row],[Date]]=0,F2,C20+(7-Q20))</f>
        <v>44150</v>
      </c>
      <c r="G20" s="35" t="str">
        <f>INDEX(projects[Charge_Code],MATCH(TimeEntry[[#This Row],[Project_ID]],projects[Project_ID],0))</f>
        <v>210035-65 MC VBB WP1: DO-nota West (25-050)</v>
      </c>
      <c r="H20" s="1" t="str">
        <f t="shared" si="3"/>
        <v>Normal Time</v>
      </c>
      <c r="I20" s="1" t="s">
        <v>643</v>
      </c>
      <c r="J20" s="15"/>
      <c r="K20" s="15">
        <v>3.5</v>
      </c>
      <c r="L20" s="15"/>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2</v>
      </c>
      <c r="R20" s="9">
        <f>YEAR(TimeEntry[[#This Row],[WkEnd]])</f>
        <v>2020</v>
      </c>
      <c r="S20" s="9">
        <f>WEEKNUM(TimeEntry[[#This Row],[WkEnd]])</f>
        <v>47</v>
      </c>
      <c r="T20" s="9" t="str">
        <f>TimeEntry[[#This Row],[Year]]&amp;"-"&amp;TimeEntry[[#This Row],[WkNo]]</f>
        <v>2020-47</v>
      </c>
      <c r="V20" s="28"/>
    </row>
    <row r="21" spans="1:22" x14ac:dyDescent="0.25">
      <c r="A21" s="6">
        <f>MOD(IF(ROW()=2,0.1,IF(INDEX(TimeEntry[WkEnd],ROW()-1)  =  INDEX(TimeEntry[WkEnd],ROW()-2),    INDEX(TimeEntry[format],ROW()-2),    INDEX(TimeEntry[format],ROW()-2)    +1)),2)</f>
        <v>0.10000000000000009</v>
      </c>
      <c r="B21" s="7">
        <v>44145.506365740737</v>
      </c>
      <c r="C21" s="8">
        <v>44145</v>
      </c>
      <c r="D21" s="8" t="s">
        <v>101</v>
      </c>
      <c r="E21" s="1" t="s">
        <v>442</v>
      </c>
      <c r="F21" s="8">
        <f>IF(TimeEntry[[#This Row],[Date]]=0,F2,C21+(7-Q21))</f>
        <v>44150</v>
      </c>
      <c r="G21" s="35" t="str">
        <f>INDEX(projects[Charge_Code],MATCH(TimeEntry[[#This Row],[Project_ID]],projects[Project_ID],0))</f>
        <v>210035-65 MC VBB WP1: DO-nota West (25-050)</v>
      </c>
      <c r="H21" s="1" t="str">
        <f t="shared" si="3"/>
        <v>Normal Time</v>
      </c>
      <c r="I21" s="1" t="s">
        <v>642</v>
      </c>
      <c r="J21" s="15"/>
      <c r="K21" s="15">
        <v>4</v>
      </c>
      <c r="L21" s="15"/>
      <c r="M21" s="15"/>
      <c r="N21" s="15"/>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2</v>
      </c>
      <c r="R21" s="9">
        <f>YEAR(TimeEntry[[#This Row],[WkEnd]])</f>
        <v>2020</v>
      </c>
      <c r="S21" s="9">
        <f>WEEKNUM(TimeEntry[[#This Row],[WkEnd]])</f>
        <v>47</v>
      </c>
      <c r="T21" s="9" t="str">
        <f>TimeEntry[[#This Row],[Year]]&amp;"-"&amp;TimeEntry[[#This Row],[WkNo]]</f>
        <v>2020-47</v>
      </c>
    </row>
    <row r="22" spans="1:22" x14ac:dyDescent="0.25">
      <c r="A22" s="6">
        <f>MOD(IF(ROW()=2,0.1,IF(INDEX(TimeEntry[WkEnd],ROW()-1)  =  INDEX(TimeEntry[WkEnd],ROW()-2),    INDEX(TimeEntry[format],ROW()-2),    INDEX(TimeEntry[format],ROW()-2)    +1)),2)</f>
        <v>0.10000000000000009</v>
      </c>
      <c r="B22" s="7">
        <v>44144.500752314816</v>
      </c>
      <c r="C22" s="8">
        <v>44144</v>
      </c>
      <c r="D22" s="8" t="s">
        <v>104</v>
      </c>
      <c r="E22" s="1" t="s">
        <v>442</v>
      </c>
      <c r="F22" s="8">
        <f>IF(TimeEntry[[#This Row],[Date]]=0,F2,C22+(7-Q22))</f>
        <v>44150</v>
      </c>
      <c r="G22" s="35" t="str">
        <f>INDEX(projects[Charge_Code],MATCH(TimeEntry[[#This Row],[Project_ID]],projects[Project_ID],0))</f>
        <v>210035-65 MC VBB WP1: DO-nota West (25-050)</v>
      </c>
      <c r="H22" s="1" t="str">
        <f t="shared" si="3"/>
        <v>Normal Time</v>
      </c>
      <c r="I22" s="1" t="s">
        <v>641</v>
      </c>
      <c r="J22" s="15">
        <v>6.5</v>
      </c>
      <c r="K22" s="15"/>
      <c r="L22" s="15"/>
      <c r="M22" s="15"/>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1</v>
      </c>
      <c r="R22" s="9">
        <f>YEAR(TimeEntry[[#This Row],[WkEnd]])</f>
        <v>2020</v>
      </c>
      <c r="S22" s="9">
        <f>WEEKNUM(TimeEntry[[#This Row],[WkEnd]])</f>
        <v>47</v>
      </c>
      <c r="T22" s="9" t="str">
        <f>TimeEntry[[#This Row],[Year]]&amp;"-"&amp;TimeEntry[[#This Row],[WkNo]]</f>
        <v>2020-47</v>
      </c>
    </row>
    <row r="23" spans="1:22" x14ac:dyDescent="0.25">
      <c r="A23" s="6">
        <f>MOD(IF(ROW()=2,0.1,IF(INDEX(TimeEntry[WkEnd],ROW()-1)  =  INDEX(TimeEntry[WkEnd],ROW()-2),    INDEX(TimeEntry[format],ROW()-2),    INDEX(TimeEntry[format],ROW()-2)    +1)),2)</f>
        <v>0.10000000000000009</v>
      </c>
      <c r="B23" s="7">
        <v>44144.500752314816</v>
      </c>
      <c r="C23" s="8">
        <v>44144</v>
      </c>
      <c r="D23" s="8" t="s">
        <v>104</v>
      </c>
      <c r="E23" s="1" t="s">
        <v>442</v>
      </c>
      <c r="F23" s="8">
        <f>IF(TimeEntry[[#This Row],[Date]]=0,F2,C23+(7-Q23))</f>
        <v>44150</v>
      </c>
      <c r="G23" s="35" t="str">
        <f>INDEX(projects[Charge_Code],MATCH(TimeEntry[[#This Row],[Project_ID]],projects[Project_ID],0))</f>
        <v>210035-65 MC VBB WP1: DO-nota West (25-050)</v>
      </c>
      <c r="H23" s="1" t="str">
        <f t="shared" si="3"/>
        <v>Normal Time</v>
      </c>
      <c r="I23" s="1" t="s">
        <v>640</v>
      </c>
      <c r="J23" s="15">
        <v>1</v>
      </c>
      <c r="K23" s="15"/>
      <c r="L23" s="15"/>
      <c r="M23" s="15"/>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1</v>
      </c>
      <c r="R23" s="9">
        <f>YEAR(TimeEntry[[#This Row],[WkEnd]])</f>
        <v>2020</v>
      </c>
      <c r="S23" s="9">
        <f>WEEKNUM(TimeEntry[[#This Row],[WkEnd]])</f>
        <v>47</v>
      </c>
      <c r="T23" s="9" t="str">
        <f>TimeEntry[[#This Row],[Year]]&amp;"-"&amp;TimeEntry[[#This Row],[WkNo]]</f>
        <v>2020-47</v>
      </c>
    </row>
    <row r="24" spans="1:22" x14ac:dyDescent="0.25">
      <c r="A24" s="6">
        <f>MOD(IF(ROW()=2,0.1,IF(INDEX(TimeEntry[WkEnd],ROW()-1)  =  INDEX(TimeEntry[WkEnd],ROW()-2),    INDEX(TimeEntry[format],ROW()-2),    INDEX(TimeEntry[format],ROW()-2)    +1)),2)</f>
        <v>1.1000000000000001</v>
      </c>
      <c r="B24" s="7">
        <v>44141.667719907404</v>
      </c>
      <c r="C24" s="8">
        <v>44141</v>
      </c>
      <c r="D24" s="8" t="s">
        <v>106</v>
      </c>
      <c r="E24" s="1" t="s">
        <v>442</v>
      </c>
      <c r="F24" s="8">
        <f>IF(TimeEntry[[#This Row],[Date]]=0,F2,C24+(7-Q24))</f>
        <v>44143</v>
      </c>
      <c r="G24" s="35" t="str">
        <f>INDEX(projects[Charge_Code],MATCH(TimeEntry[[#This Row],[Project_ID]],projects[Project_ID],0))</f>
        <v>210035-65 MC VBB WP1: DO-nota West (25-050)</v>
      </c>
      <c r="H24" s="1" t="str">
        <f t="shared" ref="H24:H29" si="4">"Normal Time"</f>
        <v>Normal Time</v>
      </c>
      <c r="I24" s="1" t="s">
        <v>637</v>
      </c>
      <c r="J24" s="15"/>
      <c r="K24" s="15"/>
      <c r="L24" s="15"/>
      <c r="M24" s="15"/>
      <c r="N24" s="15">
        <v>3.5</v>
      </c>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5</v>
      </c>
      <c r="R24" s="9">
        <f>YEAR(TimeEntry[[#This Row],[WkEnd]])</f>
        <v>2020</v>
      </c>
      <c r="S24" s="9">
        <f>WEEKNUM(TimeEntry[[#This Row],[WkEnd]])</f>
        <v>46</v>
      </c>
      <c r="T24" s="9" t="str">
        <f>TimeEntry[[#This Row],[Year]]&amp;"-"&amp;TimeEntry[[#This Row],[WkNo]]</f>
        <v>2020-46</v>
      </c>
    </row>
    <row r="25" spans="1:22" x14ac:dyDescent="0.25">
      <c r="A25" s="6">
        <f>MOD(IF(ROW()=2,0.1,IF(INDEX(TimeEntry[WkEnd],ROW()-1)  =  INDEX(TimeEntry[WkEnd],ROW()-2),    INDEX(TimeEntry[format],ROW()-2),    INDEX(TimeEntry[format],ROW()-2)    +1)),2)</f>
        <v>1.1000000000000001</v>
      </c>
      <c r="B25" s="7">
        <v>44141.667719907404</v>
      </c>
      <c r="C25" s="8">
        <v>44141</v>
      </c>
      <c r="D25" s="8" t="s">
        <v>106</v>
      </c>
      <c r="E25" s="1" t="s">
        <v>443</v>
      </c>
      <c r="F25" s="8">
        <f>IF(TimeEntry[[#This Row],[Date]]=0,F2,C25+(7-Q25))</f>
        <v>44143</v>
      </c>
      <c r="G25" s="35" t="str">
        <f>INDEX(projects[Charge_Code],MATCH(TimeEntry[[#This Row],[Project_ID]],projects[Project_ID],0))</f>
        <v>074097-30 LEADERSHIP &amp; MANAGEMENT CC124 (01-124)</v>
      </c>
      <c r="H25" s="1" t="str">
        <f t="shared" si="4"/>
        <v>Normal Time</v>
      </c>
      <c r="I25" s="1" t="s">
        <v>636</v>
      </c>
      <c r="J25" s="15"/>
      <c r="K25" s="15"/>
      <c r="L25" s="15"/>
      <c r="M25" s="15"/>
      <c r="N25" s="15">
        <v>1</v>
      </c>
      <c r="O25" s="15" t="str">
        <f>INDEX(projects[job number],MATCH(TimeEntry[[#This Row],[Project_ID]], projects[Project_ID],0))</f>
        <v>074097-30</v>
      </c>
      <c r="P25" s="15" t="str">
        <f>INDEX(projects[Project_Name],MATCH(TimeEntry[[#This Row],[Project_ID]], projects[Project_ID],0))</f>
        <v>LEADERSHIP &amp; MANAGEMENT CC124</v>
      </c>
      <c r="Q25" s="6">
        <f>IF(TimeEntry[[#This Row],[Date]]=0,"",WEEKDAY(C25,2))</f>
        <v>5</v>
      </c>
      <c r="R25" s="9">
        <f>YEAR(TimeEntry[[#This Row],[WkEnd]])</f>
        <v>2020</v>
      </c>
      <c r="S25" s="9">
        <f>WEEKNUM(TimeEntry[[#This Row],[WkEnd]])</f>
        <v>46</v>
      </c>
      <c r="T25" s="9" t="str">
        <f>TimeEntry[[#This Row],[Year]]&amp;"-"&amp;TimeEntry[[#This Row],[WkNo]]</f>
        <v>2020-46</v>
      </c>
    </row>
    <row r="26" spans="1:22" x14ac:dyDescent="0.25">
      <c r="A26" s="6">
        <f>MOD(IF(ROW()=2,0.1,IF(INDEX(TimeEntry[WkEnd],ROW()-1)  =  INDEX(TimeEntry[WkEnd],ROW()-2),    INDEX(TimeEntry[format],ROW()-2),    INDEX(TimeEntry[format],ROW()-2)    +1)),2)</f>
        <v>1.1000000000000001</v>
      </c>
      <c r="B26" s="7">
        <v>44141.50136574074</v>
      </c>
      <c r="C26" s="8">
        <v>44141</v>
      </c>
      <c r="D26" s="8" t="s">
        <v>106</v>
      </c>
      <c r="E26" s="1" t="s">
        <v>443</v>
      </c>
      <c r="F26" s="8">
        <f>IF(TimeEntry[[#This Row],[Date]]=0,F2,C26+(7-Q26))</f>
        <v>44143</v>
      </c>
      <c r="G26" s="35" t="str">
        <f>INDEX(projects[Charge_Code],MATCH(TimeEntry[[#This Row],[Project_ID]],projects[Project_ID],0))</f>
        <v>074097-30 LEADERSHIP &amp; MANAGEMENT CC124 (01-124)</v>
      </c>
      <c r="H26" s="1" t="str">
        <f t="shared" si="4"/>
        <v>Normal Time</v>
      </c>
      <c r="I26" s="1" t="s">
        <v>386</v>
      </c>
      <c r="J26" s="15"/>
      <c r="K26" s="15"/>
      <c r="L26" s="15"/>
      <c r="M26" s="15"/>
      <c r="N26" s="15">
        <v>1.5</v>
      </c>
      <c r="O26" s="15" t="str">
        <f>INDEX(projects[job number],MATCH(TimeEntry[[#This Row],[Project_ID]], projects[Project_ID],0))</f>
        <v>074097-30</v>
      </c>
      <c r="P26" s="15" t="str">
        <f>INDEX(projects[Project_Name],MATCH(TimeEntry[[#This Row],[Project_ID]], projects[Project_ID],0))</f>
        <v>LEADERSHIP &amp; MANAGEMENT CC124</v>
      </c>
      <c r="Q26" s="6">
        <f>IF(TimeEntry[[#This Row],[Date]]=0,"",WEEKDAY(C26,2))</f>
        <v>5</v>
      </c>
      <c r="R26" s="9">
        <f>YEAR(TimeEntry[[#This Row],[WkEnd]])</f>
        <v>2020</v>
      </c>
      <c r="S26" s="9">
        <f>WEEKNUM(TimeEntry[[#This Row],[WkEnd]])</f>
        <v>46</v>
      </c>
      <c r="T26" s="9" t="str">
        <f>TimeEntry[[#This Row],[Year]]&amp;"-"&amp;TimeEntry[[#This Row],[WkNo]]</f>
        <v>2020-46</v>
      </c>
    </row>
    <row r="27" spans="1:22" x14ac:dyDescent="0.25">
      <c r="A27" s="6">
        <f>MOD(IF(ROW()=2,0.1,IF(INDEX(TimeEntry[WkEnd],ROW()-1)  =  INDEX(TimeEntry[WkEnd],ROW()-2),    INDEX(TimeEntry[format],ROW()-2),    INDEX(TimeEntry[format],ROW()-2)    +1)),2)</f>
        <v>1.1000000000000001</v>
      </c>
      <c r="B27" s="7">
        <v>44141.50136574074</v>
      </c>
      <c r="C27" s="8">
        <v>44141</v>
      </c>
      <c r="D27" s="8" t="s">
        <v>106</v>
      </c>
      <c r="E27" s="1" t="s">
        <v>442</v>
      </c>
      <c r="F27" s="8">
        <f>IF(TimeEntry[[#This Row],[Date]]=0,F2,C27+(7-Q27))</f>
        <v>44143</v>
      </c>
      <c r="G27" s="35" t="str">
        <f>INDEX(projects[Charge_Code],MATCH(TimeEntry[[#This Row],[Project_ID]],projects[Project_ID],0))</f>
        <v>210035-65 MC VBB WP1: DO-nota West (25-050)</v>
      </c>
      <c r="H27" s="1" t="str">
        <f t="shared" si="4"/>
        <v>Normal Time</v>
      </c>
      <c r="I27" s="1" t="s">
        <v>635</v>
      </c>
      <c r="J27" s="15"/>
      <c r="K27" s="15"/>
      <c r="L27" s="15"/>
      <c r="M27" s="15"/>
      <c r="N27" s="15">
        <v>2</v>
      </c>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5</v>
      </c>
      <c r="R27" s="9">
        <f>YEAR(TimeEntry[[#This Row],[WkEnd]])</f>
        <v>2020</v>
      </c>
      <c r="S27" s="9">
        <f>WEEKNUM(TimeEntry[[#This Row],[WkEnd]])</f>
        <v>46</v>
      </c>
      <c r="T27" s="9" t="str">
        <f>TimeEntry[[#This Row],[Year]]&amp;"-"&amp;TimeEntry[[#This Row],[WkNo]]</f>
        <v>2020-46</v>
      </c>
    </row>
    <row r="28" spans="1:22" x14ac:dyDescent="0.25">
      <c r="A28" s="6">
        <f>MOD(IF(ROW()=2,0.1,IF(INDEX(TimeEntry[WkEnd],ROW()-1)  =  INDEX(TimeEntry[WkEnd],ROW()-2),    INDEX(TimeEntry[format],ROW()-2),    INDEX(TimeEntry[format],ROW()-2)    +1)),2)</f>
        <v>1.1000000000000001</v>
      </c>
      <c r="B28" s="7">
        <v>44140.667268518519</v>
      </c>
      <c r="C28" s="8">
        <v>44140</v>
      </c>
      <c r="D28" s="8" t="s">
        <v>102</v>
      </c>
      <c r="E28" s="1" t="s">
        <v>442</v>
      </c>
      <c r="F28" s="8">
        <f>IF(TimeEntry[[#This Row],[Date]]=0,F2,C28+(7-Q28))</f>
        <v>44143</v>
      </c>
      <c r="G28" s="35" t="str">
        <f>INDEX(projects[Charge_Code],MATCH(TimeEntry[[#This Row],[Project_ID]],projects[Project_ID],0))</f>
        <v>210035-65 MC VBB WP1: DO-nota West (25-050)</v>
      </c>
      <c r="H28" s="1" t="str">
        <f t="shared" si="4"/>
        <v>Normal Time</v>
      </c>
      <c r="I28" s="1" t="s">
        <v>634</v>
      </c>
      <c r="J28" s="15"/>
      <c r="K28" s="15"/>
      <c r="L28" s="15"/>
      <c r="M28" s="15">
        <v>3.5</v>
      </c>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4</v>
      </c>
      <c r="R28" s="9">
        <f>YEAR(TimeEntry[[#This Row],[WkEnd]])</f>
        <v>2020</v>
      </c>
      <c r="S28" s="9">
        <f>WEEKNUM(TimeEntry[[#This Row],[WkEnd]])</f>
        <v>46</v>
      </c>
      <c r="T28" s="9" t="str">
        <f>TimeEntry[[#This Row],[Year]]&amp;"-"&amp;TimeEntry[[#This Row],[WkNo]]</f>
        <v>2020-46</v>
      </c>
    </row>
    <row r="29" spans="1:22" x14ac:dyDescent="0.25">
      <c r="A29" s="6">
        <f>MOD(IF(ROW()=2,0.1,IF(INDEX(TimeEntry[WkEnd],ROW()-1)  =  INDEX(TimeEntry[WkEnd],ROW()-2),    INDEX(TimeEntry[format],ROW()-2),    INDEX(TimeEntry[format],ROW()-2)    +1)),2)</f>
        <v>1.1000000000000001</v>
      </c>
      <c r="B29" s="7">
        <v>44140.500324074077</v>
      </c>
      <c r="C29" s="8">
        <v>44140</v>
      </c>
      <c r="D29" s="8" t="s">
        <v>102</v>
      </c>
      <c r="E29" s="1" t="s">
        <v>442</v>
      </c>
      <c r="F29" s="8">
        <f>IF(TimeEntry[[#This Row],[Date]]=0,F2,C29+(7-Q29))</f>
        <v>44143</v>
      </c>
      <c r="G29" s="35" t="str">
        <f>INDEX(projects[Charge_Code],MATCH(TimeEntry[[#This Row],[Project_ID]],projects[Project_ID],0))</f>
        <v>210035-65 MC VBB WP1: DO-nota West (25-050)</v>
      </c>
      <c r="H29" s="1" t="str">
        <f t="shared" si="4"/>
        <v>Normal Time</v>
      </c>
      <c r="I29" s="1" t="s">
        <v>633</v>
      </c>
      <c r="J29" s="15"/>
      <c r="K29" s="15"/>
      <c r="L29" s="15"/>
      <c r="M29" s="15">
        <v>4</v>
      </c>
      <c r="N29" s="15"/>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4</v>
      </c>
      <c r="R29" s="9">
        <f>YEAR(TimeEntry[[#This Row],[WkEnd]])</f>
        <v>2020</v>
      </c>
      <c r="S29" s="9">
        <f>WEEKNUM(TimeEntry[[#This Row],[WkEnd]])</f>
        <v>46</v>
      </c>
      <c r="T29" s="9" t="str">
        <f>TimeEntry[[#This Row],[Year]]&amp;"-"&amp;TimeEntry[[#This Row],[WkNo]]</f>
        <v>2020-46</v>
      </c>
    </row>
    <row r="30" spans="1:22" x14ac:dyDescent="0.25">
      <c r="A30" s="6">
        <f>MOD(IF(ROW()=2,0.1,IF(INDEX(TimeEntry[WkEnd],ROW()-1)  =  INDEX(TimeEntry[WkEnd],ROW()-2),    INDEX(TimeEntry[format],ROW()-2),    INDEX(TimeEntry[format],ROW()-2)    +1)),2)</f>
        <v>1.1000000000000001</v>
      </c>
      <c r="B30" s="7">
        <v>44139.686331018522</v>
      </c>
      <c r="C30" s="8">
        <v>44139</v>
      </c>
      <c r="D30" s="8" t="s">
        <v>100</v>
      </c>
      <c r="E30" s="1" t="s">
        <v>442</v>
      </c>
      <c r="F30" s="8">
        <f>IF(TimeEntry[[#This Row],[Date]]=0,F1,C30+(7-Q30))</f>
        <v>44143</v>
      </c>
      <c r="G30" s="35" t="str">
        <f>INDEX(projects[Charge_Code],MATCH(TimeEntry[[#This Row],[Project_ID]],projects[Project_ID],0))</f>
        <v>210035-65 MC VBB WP1: DO-nota West (25-050)</v>
      </c>
      <c r="H30" s="1" t="str">
        <f t="shared" si="0"/>
        <v>Normal Time</v>
      </c>
      <c r="I30" s="1" t="s">
        <v>632</v>
      </c>
      <c r="J30" s="15"/>
      <c r="K30" s="15"/>
      <c r="L30" s="15">
        <v>7.5</v>
      </c>
      <c r="M30" s="15"/>
      <c r="N30" s="15"/>
      <c r="O30" s="15" t="str">
        <f>INDEX(projects[job number],MATCH(TimeEntry[[#This Row],[Project_ID]], projects[Project_ID],0))</f>
        <v>210035-65</v>
      </c>
      <c r="P30" s="15" t="str">
        <f>INDEX(projects[Project_Name],MATCH(TimeEntry[[#This Row],[Project_ID]], projects[Project_ID],0))</f>
        <v>MC VBB WP1: DO-nota West</v>
      </c>
      <c r="Q30" s="6">
        <f>IF(TimeEntry[[#This Row],[Date]]=0,"",WEEKDAY(C30,2))</f>
        <v>3</v>
      </c>
      <c r="R30" s="9">
        <f>YEAR(TimeEntry[[#This Row],[WkEnd]])</f>
        <v>2020</v>
      </c>
      <c r="S30" s="9">
        <f>WEEKNUM(TimeEntry[[#This Row],[WkEnd]])</f>
        <v>46</v>
      </c>
      <c r="T30" s="9" t="str">
        <f>TimeEntry[[#This Row],[Year]]&amp;"-"&amp;TimeEntry[[#This Row],[WkNo]]</f>
        <v>2020-46</v>
      </c>
    </row>
    <row r="31" spans="1:22" x14ac:dyDescent="0.25">
      <c r="A31" s="6">
        <f>MOD(IF(ROW()=2,0.1,IF(INDEX(TimeEntry[WkEnd],ROW()-1)  =  INDEX(TimeEntry[WkEnd],ROW()-2),    INDEX(TimeEntry[format],ROW()-2),    INDEX(TimeEntry[format],ROW()-2)    +1)),2)</f>
        <v>1.1000000000000001</v>
      </c>
      <c r="B31" s="7">
        <v>44138.686331018522</v>
      </c>
      <c r="C31" s="8">
        <v>44138</v>
      </c>
      <c r="D31" s="8" t="s">
        <v>101</v>
      </c>
      <c r="E31" s="1" t="s">
        <v>442</v>
      </c>
      <c r="F31" s="8">
        <f>IF(TimeEntry[[#This Row],[Date]]=0,F2,C31+(7-Q31))</f>
        <v>44143</v>
      </c>
      <c r="G31" s="35" t="str">
        <f>INDEX(projects[Charge_Code],MATCH(TimeEntry[[#This Row],[Project_ID]],projects[Project_ID],0))</f>
        <v>210035-65 MC VBB WP1: DO-nota West (25-050)</v>
      </c>
      <c r="H31" s="1" t="str">
        <f t="shared" si="0"/>
        <v>Normal Time</v>
      </c>
      <c r="I31" s="1" t="s">
        <v>631</v>
      </c>
      <c r="J31" s="15"/>
      <c r="K31" s="15">
        <v>2.5</v>
      </c>
      <c r="L31" s="15"/>
      <c r="M31" s="15"/>
      <c r="N31" s="15"/>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2</v>
      </c>
      <c r="R31" s="9">
        <f>YEAR(TimeEntry[[#This Row],[WkEnd]])</f>
        <v>2020</v>
      </c>
      <c r="S31" s="9">
        <f>WEEKNUM(TimeEntry[[#This Row],[WkEnd]])</f>
        <v>46</v>
      </c>
      <c r="T31" s="9" t="str">
        <f>TimeEntry[[#This Row],[Year]]&amp;"-"&amp;TimeEntry[[#This Row],[WkNo]]</f>
        <v>2020-46</v>
      </c>
    </row>
    <row r="32" spans="1:22" x14ac:dyDescent="0.25">
      <c r="A32" s="6">
        <f>MOD(IF(ROW()=2,0.1,IF(INDEX(TimeEntry[WkEnd],ROW()-1)  =  INDEX(TimeEntry[WkEnd],ROW()-2),    INDEX(TimeEntry[format],ROW()-2),    INDEX(TimeEntry[format],ROW()-2)    +1)),2)</f>
        <v>1.1000000000000001</v>
      </c>
      <c r="B32" s="7">
        <v>44138.686331018522</v>
      </c>
      <c r="C32" s="8">
        <v>44138</v>
      </c>
      <c r="D32" s="8" t="s">
        <v>101</v>
      </c>
      <c r="E32" s="1" t="s">
        <v>442</v>
      </c>
      <c r="F32" s="8">
        <f>IF(TimeEntry[[#This Row],[Date]]=0,F2,C32+(7-Q32))</f>
        <v>44143</v>
      </c>
      <c r="G32" s="35" t="str">
        <f>INDEX(projects[Charge_Code],MATCH(TimeEntry[[#This Row],[Project_ID]],projects[Project_ID],0))</f>
        <v>210035-65 MC VBB WP1: DO-nota West (25-050)</v>
      </c>
      <c r="H32" s="1" t="str">
        <f t="shared" si="0"/>
        <v>Normal Time</v>
      </c>
      <c r="I32" s="1" t="s">
        <v>494</v>
      </c>
      <c r="J32" s="15"/>
      <c r="K32" s="15">
        <v>1</v>
      </c>
      <c r="L32" s="15"/>
      <c r="M32" s="15"/>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2</v>
      </c>
      <c r="R32" s="9">
        <f>YEAR(TimeEntry[[#This Row],[WkEnd]])</f>
        <v>2020</v>
      </c>
      <c r="S32" s="9">
        <f>WEEKNUM(TimeEntry[[#This Row],[WkEnd]])</f>
        <v>46</v>
      </c>
      <c r="T32" s="9" t="str">
        <f>TimeEntry[[#This Row],[Year]]&amp;"-"&amp;TimeEntry[[#This Row],[WkNo]]</f>
        <v>2020-46</v>
      </c>
    </row>
    <row r="33" spans="1:20" x14ac:dyDescent="0.25">
      <c r="A33" s="6">
        <f>MOD(IF(ROW()=2,0.1,IF(INDEX(TimeEntry[WkEnd],ROW()-1)  =  INDEX(TimeEntry[WkEnd],ROW()-2),    INDEX(TimeEntry[format],ROW()-2),    INDEX(TimeEntry[format],ROW()-2)    +1)),2)</f>
        <v>1.1000000000000001</v>
      </c>
      <c r="B33" s="7">
        <v>44138.541898148149</v>
      </c>
      <c r="C33" s="8">
        <v>44138</v>
      </c>
      <c r="D33" s="8" t="s">
        <v>101</v>
      </c>
      <c r="E33" s="1" t="s">
        <v>442</v>
      </c>
      <c r="F33" s="8">
        <f>IF(TimeEntry[[#This Row],[Date]]=0,F2,C33+(7-Q33))</f>
        <v>44143</v>
      </c>
      <c r="G33" s="35" t="str">
        <f>INDEX(projects[Charge_Code],MATCH(TimeEntry[[#This Row],[Project_ID]],projects[Project_ID],0))</f>
        <v>210035-65 MC VBB WP1: DO-nota West (25-050)</v>
      </c>
      <c r="H33" s="1" t="str">
        <f t="shared" si="0"/>
        <v>Normal Time</v>
      </c>
      <c r="I33" s="1" t="s">
        <v>630</v>
      </c>
      <c r="J33" s="15"/>
      <c r="K33" s="15">
        <v>4</v>
      </c>
      <c r="L33" s="15"/>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2</v>
      </c>
      <c r="R33" s="9">
        <f>YEAR(TimeEntry[[#This Row],[WkEnd]])</f>
        <v>2020</v>
      </c>
      <c r="S33" s="9">
        <f>WEEKNUM(TimeEntry[[#This Row],[WkEnd]])</f>
        <v>46</v>
      </c>
      <c r="T33" s="9" t="str">
        <f>TimeEntry[[#This Row],[Year]]&amp;"-"&amp;TimeEntry[[#This Row],[WkNo]]</f>
        <v>2020-46</v>
      </c>
    </row>
    <row r="34" spans="1:20" x14ac:dyDescent="0.25">
      <c r="A34" s="6">
        <f>MOD(IF(ROW()=2,0.1,IF(INDEX(TimeEntry[WkEnd],ROW()-1)  =  INDEX(TimeEntry[WkEnd],ROW()-2),    INDEX(TimeEntry[format],ROW()-2),    INDEX(TimeEntry[format],ROW()-2)    +1)),2)</f>
        <v>1.1000000000000001</v>
      </c>
      <c r="B34" s="7">
        <v>44137.667233796295</v>
      </c>
      <c r="C34" s="8">
        <v>44137</v>
      </c>
      <c r="D34" s="8" t="s">
        <v>104</v>
      </c>
      <c r="E34" s="1" t="s">
        <v>445</v>
      </c>
      <c r="F34" s="8">
        <f>IF(TimeEntry[[#This Row],[Date]]=0,F2,C34+(7-Q34))</f>
        <v>44143</v>
      </c>
      <c r="G34" s="35" t="str">
        <f>INDEX(projects[Charge_Code],MATCH(TimeEntry[[#This Row],[Project_ID]],projects[Project_ID],0))</f>
        <v>LEAVE</v>
      </c>
      <c r="H34" s="1" t="str">
        <f t="shared" si="0"/>
        <v>Normal Time</v>
      </c>
      <c r="I34" s="1"/>
      <c r="J34" s="15">
        <v>3.75</v>
      </c>
      <c r="K34" s="15"/>
      <c r="L34" s="15"/>
      <c r="M34" s="15"/>
      <c r="N34" s="15"/>
      <c r="O34" s="15" t="str">
        <f>INDEX(projects[job number],MATCH(TimeEntry[[#This Row],[Project_ID]], projects[Project_ID],0))</f>
        <v>LEAVE</v>
      </c>
      <c r="P34" s="15">
        <f>INDEX(projects[Project_Name],MATCH(TimeEntry[[#This Row],[Project_ID]], projects[Project_ID],0))</f>
        <v>0</v>
      </c>
      <c r="Q34" s="6">
        <f>IF(TimeEntry[[#This Row],[Date]]=0,"",WEEKDAY(C34,2))</f>
        <v>1</v>
      </c>
      <c r="R34" s="9">
        <f>YEAR(TimeEntry[[#This Row],[WkEnd]])</f>
        <v>2020</v>
      </c>
      <c r="S34" s="9">
        <f>WEEKNUM(TimeEntry[[#This Row],[WkEnd]])</f>
        <v>46</v>
      </c>
      <c r="T34" s="9" t="str">
        <f>TimeEntry[[#This Row],[Year]]&amp;"-"&amp;TimeEntry[[#This Row],[WkNo]]</f>
        <v>2020-46</v>
      </c>
    </row>
    <row r="35" spans="1:20" x14ac:dyDescent="0.25">
      <c r="A35" s="6">
        <f>MOD(IF(ROW()=2,0.1,IF(INDEX(TimeEntry[WkEnd],ROW()-1)  =  INDEX(TimeEntry[WkEnd],ROW()-2),    INDEX(TimeEntry[format],ROW()-2),    INDEX(TimeEntry[format],ROW()-2)    +1)),2)</f>
        <v>1.1000000000000001</v>
      </c>
      <c r="B35" s="7">
        <v>44137.667233796295</v>
      </c>
      <c r="C35" s="8">
        <v>44137</v>
      </c>
      <c r="D35" s="8" t="s">
        <v>104</v>
      </c>
      <c r="E35" s="1" t="s">
        <v>442</v>
      </c>
      <c r="F35" s="8">
        <f>IF(TimeEntry[[#This Row],[Date]]=0,F2,C35+(7-Q35))</f>
        <v>44143</v>
      </c>
      <c r="G35" s="35" t="str">
        <f>INDEX(projects[Charge_Code],MATCH(TimeEntry[[#This Row],[Project_ID]],projects[Project_ID],0))</f>
        <v>210035-65 MC VBB WP1: DO-nota West (25-050)</v>
      </c>
      <c r="H35" s="1" t="str">
        <f t="shared" si="0"/>
        <v>Normal Time</v>
      </c>
      <c r="I35" s="1" t="s">
        <v>629</v>
      </c>
      <c r="J35" s="15">
        <v>3.75</v>
      </c>
      <c r="K35" s="15"/>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1</v>
      </c>
      <c r="R35" s="9">
        <f>YEAR(TimeEntry[[#This Row],[WkEnd]])</f>
        <v>2020</v>
      </c>
      <c r="S35" s="9">
        <f>WEEKNUM(TimeEntry[[#This Row],[WkEnd]])</f>
        <v>46</v>
      </c>
      <c r="T35" s="9" t="str">
        <f>TimeEntry[[#This Row],[Year]]&amp;"-"&amp;TimeEntry[[#This Row],[WkNo]]</f>
        <v>2020-46</v>
      </c>
    </row>
    <row r="36" spans="1:20" x14ac:dyDescent="0.25">
      <c r="A36" s="6">
        <f>MOD(IF(ROW()=2,0.1,IF(INDEX(TimeEntry[WkEnd],ROW()-1)  =  INDEX(TimeEntry[WkEnd],ROW()-2),    INDEX(TimeEntry[format],ROW()-2),    INDEX(TimeEntry[format],ROW()-2)    +1)),2)</f>
        <v>0.10000000000000009</v>
      </c>
      <c r="B36" s="7">
        <v>44134.669259259259</v>
      </c>
      <c r="C36" s="8">
        <v>44134</v>
      </c>
      <c r="D36" s="8" t="s">
        <v>106</v>
      </c>
      <c r="E36" s="1" t="s">
        <v>442</v>
      </c>
      <c r="F36" s="8">
        <f>IF(TimeEntry[[#This Row],[Date]]=0,F2,C36+(7-Q36))</f>
        <v>44136</v>
      </c>
      <c r="G36" s="35" t="str">
        <f>INDEX(projects[Charge_Code],MATCH(TimeEntry[[#This Row],[Project_ID]],projects[Project_ID],0))</f>
        <v>210035-65 MC VBB WP1: DO-nota West (25-050)</v>
      </c>
      <c r="H36" s="1" t="str">
        <f t="shared" si="0"/>
        <v>Normal Time</v>
      </c>
      <c r="I36" s="1" t="s">
        <v>627</v>
      </c>
      <c r="J36" s="15"/>
      <c r="K36" s="15"/>
      <c r="L36" s="15"/>
      <c r="M36" s="15"/>
      <c r="N36" s="15">
        <v>5.5</v>
      </c>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5</v>
      </c>
      <c r="R36" s="9">
        <f>YEAR(TimeEntry[[#This Row],[WkEnd]])</f>
        <v>2020</v>
      </c>
      <c r="S36" s="9">
        <f>WEEKNUM(TimeEntry[[#This Row],[WkEnd]])</f>
        <v>45</v>
      </c>
      <c r="T36" s="9" t="str">
        <f>TimeEntry[[#This Row],[Year]]&amp;"-"&amp;TimeEntry[[#This Row],[WkNo]]</f>
        <v>2020-45</v>
      </c>
    </row>
    <row r="37" spans="1:20" x14ac:dyDescent="0.25">
      <c r="A37" s="6">
        <f>MOD(IF(ROW()=2,0.1,IF(INDEX(TimeEntry[WkEnd],ROW()-1)  =  INDEX(TimeEntry[WkEnd],ROW()-2),    INDEX(TimeEntry[format],ROW()-2),    INDEX(TimeEntry[format],ROW()-2)    +1)),2)</f>
        <v>0.10000000000000009</v>
      </c>
      <c r="B37" s="7">
        <v>44134.500706018516</v>
      </c>
      <c r="C37" s="8">
        <v>44134</v>
      </c>
      <c r="D37" s="8" t="s">
        <v>106</v>
      </c>
      <c r="E37" s="1" t="s">
        <v>443</v>
      </c>
      <c r="F37" s="8">
        <f>IF(TimeEntry[[#This Row],[Date]]=0,F2,C37+(7-Q37))</f>
        <v>44136</v>
      </c>
      <c r="G37" s="35" t="str">
        <f>INDEX(projects[Charge_Code],MATCH(TimeEntry[[#This Row],[Project_ID]],projects[Project_ID],0))</f>
        <v>074097-30 LEADERSHIP &amp; MANAGEMENT CC124 (01-124)</v>
      </c>
      <c r="H37" s="1" t="str">
        <f t="shared" si="0"/>
        <v>Normal Time</v>
      </c>
      <c r="I37" s="1" t="s">
        <v>203</v>
      </c>
      <c r="J37" s="15"/>
      <c r="K37" s="15"/>
      <c r="L37" s="15"/>
      <c r="M37" s="15"/>
      <c r="N37" s="15">
        <v>1</v>
      </c>
      <c r="O37" s="15" t="str">
        <f>INDEX(projects[job number],MATCH(TimeEntry[[#This Row],[Project_ID]], projects[Project_ID],0))</f>
        <v>074097-30</v>
      </c>
      <c r="P37" s="15" t="str">
        <f>INDEX(projects[Project_Name],MATCH(TimeEntry[[#This Row],[Project_ID]], projects[Project_ID],0))</f>
        <v>LEADERSHIP &amp; MANAGEMENT CC124</v>
      </c>
      <c r="Q37" s="6">
        <f>IF(TimeEntry[[#This Row],[Date]]=0,"",WEEKDAY(C37,2))</f>
        <v>5</v>
      </c>
      <c r="R37" s="9">
        <f>YEAR(TimeEntry[[#This Row],[WkEnd]])</f>
        <v>2020</v>
      </c>
      <c r="S37" s="9">
        <f>WEEKNUM(TimeEntry[[#This Row],[WkEnd]])</f>
        <v>45</v>
      </c>
      <c r="T37" s="9" t="str">
        <f>TimeEntry[[#This Row],[Year]]&amp;"-"&amp;TimeEntry[[#This Row],[WkNo]]</f>
        <v>2020-45</v>
      </c>
    </row>
    <row r="38" spans="1:20" x14ac:dyDescent="0.25">
      <c r="A38" s="6">
        <f>MOD(IF(ROW()=2,0.1,IF(INDEX(TimeEntry[WkEnd],ROW()-1)  =  INDEX(TimeEntry[WkEnd],ROW()-2),    INDEX(TimeEntry[format],ROW()-2),    INDEX(TimeEntry[format],ROW()-2)    +1)),2)</f>
        <v>0.10000000000000009</v>
      </c>
      <c r="B38" s="7">
        <v>44134.500706018516</v>
      </c>
      <c r="C38" s="8">
        <v>44134</v>
      </c>
      <c r="D38" s="8" t="s">
        <v>106</v>
      </c>
      <c r="E38" s="1" t="s">
        <v>442</v>
      </c>
      <c r="F38" s="8">
        <f>IF(TimeEntry[[#This Row],[Date]]=0,F2,C38+(7-Q38))</f>
        <v>44136</v>
      </c>
      <c r="G38" s="35" t="str">
        <f>INDEX(projects[Charge_Code],MATCH(TimeEntry[[#This Row],[Project_ID]],projects[Project_ID],0))</f>
        <v>210035-65 MC VBB WP1: DO-nota West (25-050)</v>
      </c>
      <c r="H38" s="1" t="str">
        <f t="shared" si="0"/>
        <v>Normal Time</v>
      </c>
      <c r="I38" s="1" t="s">
        <v>626</v>
      </c>
      <c r="J38" s="15"/>
      <c r="K38" s="15"/>
      <c r="L38" s="15"/>
      <c r="M38" s="15"/>
      <c r="N38" s="15">
        <v>1</v>
      </c>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5</v>
      </c>
      <c r="R38" s="9">
        <f>YEAR(TimeEntry[[#This Row],[WkEnd]])</f>
        <v>2020</v>
      </c>
      <c r="S38" s="9">
        <f>WEEKNUM(TimeEntry[[#This Row],[WkEnd]])</f>
        <v>45</v>
      </c>
      <c r="T38" s="9" t="str">
        <f>TimeEntry[[#This Row],[Year]]&amp;"-"&amp;TimeEntry[[#This Row],[WkNo]]</f>
        <v>2020-45</v>
      </c>
    </row>
    <row r="39" spans="1:20" x14ac:dyDescent="0.25">
      <c r="A39" s="6">
        <f>MOD(IF(ROW()=2,0.1,IF(INDEX(TimeEntry[WkEnd],ROW()-1)  =  INDEX(TimeEntry[WkEnd],ROW()-2),    INDEX(TimeEntry[format],ROW()-2),    INDEX(TimeEntry[format],ROW()-2)    +1)),2)</f>
        <v>0.10000000000000009</v>
      </c>
      <c r="B39" s="7">
        <v>44133.667291666665</v>
      </c>
      <c r="C39" s="8">
        <v>44133</v>
      </c>
      <c r="D39" s="8" t="s">
        <v>102</v>
      </c>
      <c r="E39" s="1" t="s">
        <v>443</v>
      </c>
      <c r="F39" s="8">
        <f>IF(TimeEntry[[#This Row],[Date]]=0,F2,C39+(7-Q39))</f>
        <v>44136</v>
      </c>
      <c r="G39" s="35" t="str">
        <f>INDEX(projects[Charge_Code],MATCH(TimeEntry[[#This Row],[Project_ID]],projects[Project_ID],0))</f>
        <v>074097-30 LEADERSHIP &amp; MANAGEMENT CC124 (01-124)</v>
      </c>
      <c r="H39" s="1" t="str">
        <f t="shared" si="0"/>
        <v>Normal Time</v>
      </c>
      <c r="I39" s="1" t="s">
        <v>625</v>
      </c>
      <c r="J39" s="15"/>
      <c r="K39" s="15"/>
      <c r="L39" s="15"/>
      <c r="M39" s="15">
        <v>1</v>
      </c>
      <c r="N39" s="15"/>
      <c r="O39" s="15" t="str">
        <f>INDEX(projects[job number],MATCH(TimeEntry[[#This Row],[Project_ID]], projects[Project_ID],0))</f>
        <v>074097-30</v>
      </c>
      <c r="P39" s="15" t="str">
        <f>INDEX(projects[Project_Name],MATCH(TimeEntry[[#This Row],[Project_ID]], projects[Project_ID],0))</f>
        <v>LEADERSHIP &amp; MANAGEMENT CC124</v>
      </c>
      <c r="Q39" s="6">
        <f>IF(TimeEntry[[#This Row],[Date]]=0,"",WEEKDAY(C39,2))</f>
        <v>4</v>
      </c>
      <c r="R39" s="9">
        <f>YEAR(TimeEntry[[#This Row],[WkEnd]])</f>
        <v>2020</v>
      </c>
      <c r="S39" s="9">
        <f>WEEKNUM(TimeEntry[[#This Row],[WkEnd]])</f>
        <v>45</v>
      </c>
      <c r="T39" s="9" t="str">
        <f>TimeEntry[[#This Row],[Year]]&amp;"-"&amp;TimeEntry[[#This Row],[WkNo]]</f>
        <v>2020-45</v>
      </c>
    </row>
    <row r="40" spans="1:20" x14ac:dyDescent="0.25">
      <c r="A40" s="6">
        <f>MOD(IF(ROW()=2,0.1,IF(INDEX(TimeEntry[WkEnd],ROW()-1)  =  INDEX(TimeEntry[WkEnd],ROW()-2),    INDEX(TimeEntry[format],ROW()-2),    INDEX(TimeEntry[format],ROW()-2)    +1)),2)</f>
        <v>0.10000000000000009</v>
      </c>
      <c r="B40" s="7">
        <v>44133.667291666665</v>
      </c>
      <c r="C40" s="8">
        <v>44133</v>
      </c>
      <c r="D40" s="8" t="s">
        <v>102</v>
      </c>
      <c r="E40" s="1" t="s">
        <v>442</v>
      </c>
      <c r="F40" s="8">
        <f>IF(TimeEntry[[#This Row],[Date]]=0,F2,C40+(7-Q40))</f>
        <v>44136</v>
      </c>
      <c r="G40" s="35" t="str">
        <f>INDEX(projects[Charge_Code],MATCH(TimeEntry[[#This Row],[Project_ID]],projects[Project_ID],0))</f>
        <v>210035-65 MC VBB WP1: DO-nota West (25-050)</v>
      </c>
      <c r="H40" s="1" t="str">
        <f t="shared" si="0"/>
        <v>Normal Time</v>
      </c>
      <c r="I40" s="1" t="s">
        <v>624</v>
      </c>
      <c r="J40" s="15"/>
      <c r="K40" s="15"/>
      <c r="L40" s="15"/>
      <c r="M40" s="15">
        <v>2</v>
      </c>
      <c r="N40" s="15"/>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4</v>
      </c>
      <c r="R40" s="9">
        <f>YEAR(TimeEntry[[#This Row],[WkEnd]])</f>
        <v>2020</v>
      </c>
      <c r="S40" s="9">
        <f>WEEKNUM(TimeEntry[[#This Row],[WkEnd]])</f>
        <v>45</v>
      </c>
      <c r="T40" s="9" t="str">
        <f>TimeEntry[[#This Row],[Year]]&amp;"-"&amp;TimeEntry[[#This Row],[WkNo]]</f>
        <v>2020-45</v>
      </c>
    </row>
    <row r="41" spans="1:20" x14ac:dyDescent="0.25">
      <c r="A41" s="6">
        <f>MOD(IF(ROW()=2,0.1,IF(INDEX(TimeEntry[WkEnd],ROW()-1)  =  INDEX(TimeEntry[WkEnd],ROW()-2),    INDEX(TimeEntry[format],ROW()-2),    INDEX(TimeEntry[format],ROW()-2)    +1)),2)</f>
        <v>0.10000000000000009</v>
      </c>
      <c r="B41" s="7">
        <v>44133.525277777779</v>
      </c>
      <c r="C41" s="8">
        <v>44133</v>
      </c>
      <c r="D41" s="8" t="s">
        <v>102</v>
      </c>
      <c r="E41" s="1" t="s">
        <v>442</v>
      </c>
      <c r="F41" s="8">
        <f>IF(TimeEntry[[#This Row],[Date]]=0,F2,C41+(7-Q41))</f>
        <v>44136</v>
      </c>
      <c r="G41" s="35" t="str">
        <f>INDEX(projects[Charge_Code],MATCH(TimeEntry[[#This Row],[Project_ID]],projects[Project_ID],0))</f>
        <v>210035-65 MC VBB WP1: DO-nota West (25-050)</v>
      </c>
      <c r="H41" s="1" t="str">
        <f t="shared" si="0"/>
        <v>Normal Time</v>
      </c>
      <c r="I41" s="1" t="s">
        <v>623</v>
      </c>
      <c r="J41" s="15"/>
      <c r="K41" s="15"/>
      <c r="L41" s="15"/>
      <c r="M41" s="15">
        <v>4.5</v>
      </c>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4</v>
      </c>
      <c r="R41" s="9">
        <f>YEAR(TimeEntry[[#This Row],[WkEnd]])</f>
        <v>2020</v>
      </c>
      <c r="S41" s="9">
        <f>WEEKNUM(TimeEntry[[#This Row],[WkEnd]])</f>
        <v>45</v>
      </c>
      <c r="T41" s="9" t="str">
        <f>TimeEntry[[#This Row],[Year]]&amp;"-"&amp;TimeEntry[[#This Row],[WkNo]]</f>
        <v>2020-45</v>
      </c>
    </row>
    <row r="42" spans="1:20" x14ac:dyDescent="0.25">
      <c r="A42" s="6">
        <f>MOD(IF(ROW()=2,0.1,IF(INDEX(TimeEntry[WkEnd],ROW()-1)  =  INDEX(TimeEntry[WkEnd],ROW()-2),    INDEX(TimeEntry[format],ROW()-2),    INDEX(TimeEntry[format],ROW()-2)    +1)),2)</f>
        <v>0.10000000000000009</v>
      </c>
      <c r="B42" s="7">
        <v>44132.5003125</v>
      </c>
      <c r="C42" s="8">
        <v>44132</v>
      </c>
      <c r="D42" s="8" t="s">
        <v>100</v>
      </c>
      <c r="E42" s="1" t="s">
        <v>442</v>
      </c>
      <c r="F42" s="8">
        <f>IF(TimeEntry[[#This Row],[Date]]=0,F2,C42+(7-Q42))</f>
        <v>44136</v>
      </c>
      <c r="G42" s="35" t="str">
        <f>INDEX(projects[Charge_Code],MATCH(TimeEntry[[#This Row],[Project_ID]],projects[Project_ID],0))</f>
        <v>210035-65 MC VBB WP1: DO-nota West (25-050)</v>
      </c>
      <c r="H42" s="1" t="str">
        <f t="shared" si="0"/>
        <v>Normal Time</v>
      </c>
      <c r="I42" s="1" t="s">
        <v>618</v>
      </c>
      <c r="J42" s="15"/>
      <c r="K42" s="15"/>
      <c r="L42" s="15">
        <v>7.5</v>
      </c>
      <c r="M42" s="15"/>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3</v>
      </c>
      <c r="R42" s="9">
        <f>YEAR(TimeEntry[[#This Row],[WkEnd]])</f>
        <v>2020</v>
      </c>
      <c r="S42" s="9">
        <f>WEEKNUM(TimeEntry[[#This Row],[WkEnd]])</f>
        <v>45</v>
      </c>
      <c r="T42" s="9" t="str">
        <f>TimeEntry[[#This Row],[Year]]&amp;"-"&amp;TimeEntry[[#This Row],[WkNo]]</f>
        <v>2020-45</v>
      </c>
    </row>
    <row r="43" spans="1:20" x14ac:dyDescent="0.25">
      <c r="A43" s="6">
        <f>MOD(IF(ROW()=2,0.1,IF(INDEX(TimeEntry[WkEnd],ROW()-1)  =  INDEX(TimeEntry[WkEnd],ROW()-2),    INDEX(TimeEntry[format],ROW()-2),    INDEX(TimeEntry[format],ROW()-2)    +1)),2)</f>
        <v>0.10000000000000009</v>
      </c>
      <c r="B43" s="7">
        <v>44131.667222222219</v>
      </c>
      <c r="C43" s="8">
        <v>44131</v>
      </c>
      <c r="D43" s="8" t="s">
        <v>101</v>
      </c>
      <c r="E43" s="1" t="s">
        <v>442</v>
      </c>
      <c r="F43" s="8">
        <f>IF(TimeEntry[[#This Row],[Date]]=0,F2,C43+(7-Q43))</f>
        <v>44136</v>
      </c>
      <c r="G43" s="35" t="str">
        <f>INDEX(projects[Charge_Code],MATCH(TimeEntry[[#This Row],[Project_ID]],projects[Project_ID],0))</f>
        <v>210035-65 MC VBB WP1: DO-nota West (25-050)</v>
      </c>
      <c r="H43" s="1" t="str">
        <f t="shared" si="0"/>
        <v>Normal Time</v>
      </c>
      <c r="I43" s="1" t="s">
        <v>621</v>
      </c>
      <c r="J43" s="15"/>
      <c r="K43" s="15">
        <v>2</v>
      </c>
      <c r="L43" s="15"/>
      <c r="M43" s="15"/>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2</v>
      </c>
      <c r="R43" s="9">
        <f>YEAR(TimeEntry[[#This Row],[WkEnd]])</f>
        <v>2020</v>
      </c>
      <c r="S43" s="9">
        <f>WEEKNUM(TimeEntry[[#This Row],[WkEnd]])</f>
        <v>45</v>
      </c>
      <c r="T43" s="9" t="str">
        <f>TimeEntry[[#This Row],[Year]]&amp;"-"&amp;TimeEntry[[#This Row],[WkNo]]</f>
        <v>2020-45</v>
      </c>
    </row>
    <row r="44" spans="1:20" x14ac:dyDescent="0.25">
      <c r="A44" s="6">
        <f>MOD(IF(ROW()=2,0.1,IF(INDEX(TimeEntry[WkEnd],ROW()-1)  =  INDEX(TimeEntry[WkEnd],ROW()-2),    INDEX(TimeEntry[format],ROW()-2),    INDEX(TimeEntry[format],ROW()-2)    +1)),2)</f>
        <v>0.10000000000000009</v>
      </c>
      <c r="B44" s="7">
        <v>44131.667222222219</v>
      </c>
      <c r="C44" s="8">
        <v>44131</v>
      </c>
      <c r="D44" s="8" t="s">
        <v>101</v>
      </c>
      <c r="E44" s="1" t="s">
        <v>442</v>
      </c>
      <c r="F44" s="8">
        <f>IF(TimeEntry[[#This Row],[Date]]=0,F2,C44+(7-Q44))</f>
        <v>44136</v>
      </c>
      <c r="G44" s="35" t="str">
        <f>INDEX(projects[Charge_Code],MATCH(TimeEntry[[#This Row],[Project_ID]],projects[Project_ID],0))</f>
        <v>210035-65 MC VBB WP1: DO-nota West (25-050)</v>
      </c>
      <c r="H44" s="1" t="str">
        <f t="shared" si="0"/>
        <v>Normal Time</v>
      </c>
      <c r="I44" s="1" t="s">
        <v>620</v>
      </c>
      <c r="J44" s="15"/>
      <c r="K44" s="15">
        <v>1</v>
      </c>
      <c r="L44" s="15"/>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2</v>
      </c>
      <c r="R44" s="9">
        <f>YEAR(TimeEntry[[#This Row],[WkEnd]])</f>
        <v>2020</v>
      </c>
      <c r="S44" s="9">
        <f>WEEKNUM(TimeEntry[[#This Row],[WkEnd]])</f>
        <v>45</v>
      </c>
      <c r="T44" s="9" t="str">
        <f>TimeEntry[[#This Row],[Year]]&amp;"-"&amp;TimeEntry[[#This Row],[WkNo]]</f>
        <v>2020-45</v>
      </c>
    </row>
    <row r="45" spans="1:20" x14ac:dyDescent="0.25">
      <c r="A45" s="6">
        <f>MOD(IF(ROW()=2,0.1,IF(INDEX(TimeEntry[WkEnd],ROW()-1)  =  INDEX(TimeEntry[WkEnd],ROW()-2),    INDEX(TimeEntry[format],ROW()-2),    INDEX(TimeEntry[format],ROW()-2)    +1)),2)</f>
        <v>0.10000000000000009</v>
      </c>
      <c r="B45" s="7">
        <v>44131.500462962962</v>
      </c>
      <c r="C45" s="8">
        <v>44131</v>
      </c>
      <c r="D45" s="8" t="s">
        <v>101</v>
      </c>
      <c r="E45" s="1" t="s">
        <v>442</v>
      </c>
      <c r="F45" s="8">
        <f>IF(TimeEntry[[#This Row],[Date]]=0,F2,C45+(7-Q45))</f>
        <v>44136</v>
      </c>
      <c r="G45" s="35" t="str">
        <f>INDEX(projects[Charge_Code],MATCH(TimeEntry[[#This Row],[Project_ID]],projects[Project_ID],0))</f>
        <v>210035-65 MC VBB WP1: DO-nota West (25-050)</v>
      </c>
      <c r="H45" s="1" t="str">
        <f t="shared" si="0"/>
        <v>Normal Time</v>
      </c>
      <c r="I45" s="1" t="s">
        <v>619</v>
      </c>
      <c r="J45" s="15"/>
      <c r="K45" s="15">
        <v>1.5</v>
      </c>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2</v>
      </c>
      <c r="R45" s="9">
        <f>YEAR(TimeEntry[[#This Row],[WkEnd]])</f>
        <v>2020</v>
      </c>
      <c r="S45" s="9">
        <f>WEEKNUM(TimeEntry[[#This Row],[WkEnd]])</f>
        <v>45</v>
      </c>
      <c r="T45" s="9" t="str">
        <f>TimeEntry[[#This Row],[Year]]&amp;"-"&amp;TimeEntry[[#This Row],[WkNo]]</f>
        <v>2020-45</v>
      </c>
    </row>
    <row r="46" spans="1:20" x14ac:dyDescent="0.25">
      <c r="A46" s="6">
        <f>MOD(IF(ROW()=2,0.1,IF(INDEX(TimeEntry[WkEnd],ROW()-1)  =  INDEX(TimeEntry[WkEnd],ROW()-2),    INDEX(TimeEntry[format],ROW()-2),    INDEX(TimeEntry[format],ROW()-2)    +1)),2)</f>
        <v>0.10000000000000009</v>
      </c>
      <c r="B46" s="7">
        <v>44131.500462962962</v>
      </c>
      <c r="C46" s="8">
        <v>44131</v>
      </c>
      <c r="D46" s="8" t="s">
        <v>101</v>
      </c>
      <c r="E46" s="1" t="s">
        <v>442</v>
      </c>
      <c r="F46" s="8">
        <f>IF(TimeEntry[[#This Row],[Date]]=0,F2,C46+(7-Q46))</f>
        <v>44136</v>
      </c>
      <c r="G46" s="35" t="str">
        <f>INDEX(projects[Charge_Code],MATCH(TimeEntry[[#This Row],[Project_ID]],projects[Project_ID],0))</f>
        <v>210035-65 MC VBB WP1: DO-nota West (25-050)</v>
      </c>
      <c r="H46" s="1" t="str">
        <f t="shared" si="0"/>
        <v>Normal Time</v>
      </c>
      <c r="I46" s="1" t="s">
        <v>618</v>
      </c>
      <c r="J46" s="15"/>
      <c r="K46" s="15">
        <v>3</v>
      </c>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2</v>
      </c>
      <c r="R46" s="9">
        <f>YEAR(TimeEntry[[#This Row],[WkEnd]])</f>
        <v>2020</v>
      </c>
      <c r="S46" s="9">
        <f>WEEKNUM(TimeEntry[[#This Row],[WkEnd]])</f>
        <v>45</v>
      </c>
      <c r="T46" s="9" t="str">
        <f>TimeEntry[[#This Row],[Year]]&amp;"-"&amp;TimeEntry[[#This Row],[WkNo]]</f>
        <v>2020-45</v>
      </c>
    </row>
    <row r="47" spans="1:20" x14ac:dyDescent="0.25">
      <c r="A47" s="6">
        <f>MOD(IF(ROW()=2,0.1,IF(INDEX(TimeEntry[WkEnd],ROW()-1)  =  INDEX(TimeEntry[WkEnd],ROW()-2),    INDEX(TimeEntry[format],ROW()-2),    INDEX(TimeEntry[format],ROW()-2)    +1)),2)</f>
        <v>0.10000000000000009</v>
      </c>
      <c r="B47" s="7">
        <v>44130.667060185187</v>
      </c>
      <c r="C47" s="8">
        <v>44130</v>
      </c>
      <c r="D47" s="8" t="s">
        <v>104</v>
      </c>
      <c r="E47" s="1" t="s">
        <v>442</v>
      </c>
      <c r="F47" s="8">
        <f>IF(TimeEntry[[#This Row],[Date]]=0,F2,C47+(7-Q47))</f>
        <v>44136</v>
      </c>
      <c r="G47" s="35" t="str">
        <f>INDEX(projects[Charge_Code],MATCH(TimeEntry[[#This Row],[Project_ID]],projects[Project_ID],0))</f>
        <v>210035-65 MC VBB WP1: DO-nota West (25-050)</v>
      </c>
      <c r="H47" s="1" t="str">
        <f t="shared" si="0"/>
        <v>Normal Time</v>
      </c>
      <c r="I47" s="1" t="s">
        <v>508</v>
      </c>
      <c r="J47" s="15">
        <v>6.5</v>
      </c>
      <c r="K47" s="15"/>
      <c r="L47" s="15"/>
      <c r="M47" s="15"/>
      <c r="N47" s="15"/>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1</v>
      </c>
      <c r="R47" s="9">
        <f>YEAR(TimeEntry[[#This Row],[WkEnd]])</f>
        <v>2020</v>
      </c>
      <c r="S47" s="9">
        <f>WEEKNUM(TimeEntry[[#This Row],[WkEnd]])</f>
        <v>45</v>
      </c>
      <c r="T47" s="9" t="str">
        <f>TimeEntry[[#This Row],[Year]]&amp;"-"&amp;TimeEntry[[#This Row],[WkNo]]</f>
        <v>2020-45</v>
      </c>
    </row>
    <row r="48" spans="1:20" x14ac:dyDescent="0.25">
      <c r="A48" s="6">
        <f>MOD(IF(ROW()=2,0.1,IF(INDEX(TimeEntry[WkEnd],ROW()-1)  =  INDEX(TimeEntry[WkEnd],ROW()-2),    INDEX(TimeEntry[format],ROW()-2),    INDEX(TimeEntry[format],ROW()-2)    +1)),2)</f>
        <v>0.10000000000000009</v>
      </c>
      <c r="B48" s="7">
        <v>44130.667060185187</v>
      </c>
      <c r="C48" s="8">
        <v>44130</v>
      </c>
      <c r="D48" s="8" t="s">
        <v>104</v>
      </c>
      <c r="E48" s="1" t="s">
        <v>442</v>
      </c>
      <c r="F48" s="8">
        <f>IF(TimeEntry[[#This Row],[Date]]=0,F2,C48+(7-Q48))</f>
        <v>44136</v>
      </c>
      <c r="G48" s="35" t="str">
        <f>INDEX(projects[Charge_Code],MATCH(TimeEntry[[#This Row],[Project_ID]],projects[Project_ID],0))</f>
        <v>210035-65 MC VBB WP1: DO-nota West (25-050)</v>
      </c>
      <c r="H48" s="1" t="str">
        <f t="shared" si="0"/>
        <v>Normal Time</v>
      </c>
      <c r="I48" s="1" t="s">
        <v>617</v>
      </c>
      <c r="J48" s="15">
        <v>1</v>
      </c>
      <c r="K48" s="15"/>
      <c r="L48" s="15"/>
      <c r="M48" s="15"/>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1</v>
      </c>
      <c r="R48" s="9">
        <f>YEAR(TimeEntry[[#This Row],[WkEnd]])</f>
        <v>2020</v>
      </c>
      <c r="S48" s="9">
        <f>WEEKNUM(TimeEntry[[#This Row],[WkEnd]])</f>
        <v>45</v>
      </c>
      <c r="T48" s="9" t="str">
        <f>TimeEntry[[#This Row],[Year]]&amp;"-"&amp;TimeEntry[[#This Row],[WkNo]]</f>
        <v>2020-45</v>
      </c>
    </row>
    <row r="49" spans="1:20" x14ac:dyDescent="0.25">
      <c r="A49" s="6">
        <f>MOD(IF(ROW()=2,0.1,IF(INDEX(TimeEntry[WkEnd],ROW()-1)  =  INDEX(TimeEntry[WkEnd],ROW()-2),    INDEX(TimeEntry[format],ROW()-2),    INDEX(TimeEntry[format],ROW()-2)    +1)),2)</f>
        <v>0.10000000000000009</v>
      </c>
      <c r="B49" s="7">
        <v>44130.500555555554</v>
      </c>
      <c r="C49" s="8">
        <v>44130</v>
      </c>
      <c r="D49" s="8" t="s">
        <v>104</v>
      </c>
      <c r="E49" s="1" t="s">
        <v>615</v>
      </c>
      <c r="F49" s="8">
        <f>IF(TimeEntry[[#This Row],[Date]]=0,F2,C49+(7-Q49))</f>
        <v>44136</v>
      </c>
      <c r="G49" s="35" t="str">
        <f>INDEX(projects[Charge_Code],MATCH(TimeEntry[[#This Row],[Project_ID]],projects[Project_ID],0))</f>
        <v>OTHERS</v>
      </c>
      <c r="H49" s="1" t="str">
        <f t="shared" si="0"/>
        <v>Normal Time</v>
      </c>
      <c r="I49" s="1" t="s">
        <v>616</v>
      </c>
      <c r="J49" s="15"/>
      <c r="K49" s="15"/>
      <c r="L49" s="15"/>
      <c r="M49" s="15"/>
      <c r="N49" s="15"/>
      <c r="O49" s="15" t="str">
        <f>INDEX(projects[job number],MATCH(TimeEntry[[#This Row],[Project_ID]], projects[Project_ID],0))</f>
        <v>OTHERS</v>
      </c>
      <c r="P49" s="15">
        <f>INDEX(projects[Project_Name],MATCH(TimeEntry[[#This Row],[Project_ID]], projects[Project_ID],0))</f>
        <v>0</v>
      </c>
      <c r="Q49" s="6">
        <f>IF(TimeEntry[[#This Row],[Date]]=0,"",WEEKDAY(C49,2))</f>
        <v>1</v>
      </c>
      <c r="R49" s="9">
        <f>YEAR(TimeEntry[[#This Row],[WkEnd]])</f>
        <v>2020</v>
      </c>
      <c r="S49" s="9">
        <f>WEEKNUM(TimeEntry[[#This Row],[WkEnd]])</f>
        <v>45</v>
      </c>
      <c r="T49" s="9" t="str">
        <f>TimeEntry[[#This Row],[Year]]&amp;"-"&amp;TimeEntry[[#This Row],[WkNo]]</f>
        <v>2020-45</v>
      </c>
    </row>
    <row r="50" spans="1:20" x14ac:dyDescent="0.25">
      <c r="A50" s="6">
        <f>MOD(IF(ROW()=2,0.1,IF(INDEX(TimeEntry[WkEnd],ROW()-1)  =  INDEX(TimeEntry[WkEnd],ROW()-2),    INDEX(TimeEntry[format],ROW()-2),    INDEX(TimeEntry[format],ROW()-2)    +1)),2)</f>
        <v>1.1000000000000001</v>
      </c>
      <c r="B50" s="7">
        <v>44127.500578703701</v>
      </c>
      <c r="C50" s="8">
        <v>44127</v>
      </c>
      <c r="D50" s="8" t="s">
        <v>106</v>
      </c>
      <c r="E50" s="1" t="s">
        <v>442</v>
      </c>
      <c r="F50" s="8">
        <f>IF(TimeEntry[[#This Row],[Date]]=0,F2,C50+(7-Q50))</f>
        <v>44129</v>
      </c>
      <c r="G50" s="35" t="str">
        <f>INDEX(projects[Charge_Code],MATCH(TimeEntry[[#This Row],[Project_ID]],projects[Project_ID],0))</f>
        <v>210035-65 MC VBB WP1: DO-nota West (25-050)</v>
      </c>
      <c r="H50" s="1" t="str">
        <f t="shared" si="0"/>
        <v>Normal Time</v>
      </c>
      <c r="I50" s="1" t="s">
        <v>614</v>
      </c>
      <c r="J50" s="15"/>
      <c r="K50" s="15"/>
      <c r="L50" s="15"/>
      <c r="M50" s="15"/>
      <c r="N50" s="15">
        <v>5.5</v>
      </c>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5</v>
      </c>
      <c r="R50" s="9">
        <f>YEAR(TimeEntry[[#This Row],[WkEnd]])</f>
        <v>2020</v>
      </c>
      <c r="S50" s="9">
        <f>WEEKNUM(TimeEntry[[#This Row],[WkEnd]])</f>
        <v>44</v>
      </c>
      <c r="T50" s="9" t="str">
        <f>TimeEntry[[#This Row],[Year]]&amp;"-"&amp;TimeEntry[[#This Row],[WkNo]]</f>
        <v>2020-44</v>
      </c>
    </row>
    <row r="51" spans="1:20" x14ac:dyDescent="0.25">
      <c r="A51" s="6">
        <f>MOD(IF(ROW()=2,0.1,IF(INDEX(TimeEntry[WkEnd],ROW()-1)  =  INDEX(TimeEntry[WkEnd],ROW()-2),    INDEX(TimeEntry[format],ROW()-2),    INDEX(TimeEntry[format],ROW()-2)    +1)),2)</f>
        <v>1.1000000000000001</v>
      </c>
      <c r="B51" s="7">
        <v>44127.500578703701</v>
      </c>
      <c r="C51" s="8">
        <v>44127</v>
      </c>
      <c r="D51" s="8" t="s">
        <v>106</v>
      </c>
      <c r="E51" s="1" t="s">
        <v>449</v>
      </c>
      <c r="F51" s="8">
        <f>IF(TimeEntry[[#This Row],[Date]]=0,F50,C51+(7-Q51))</f>
        <v>44129</v>
      </c>
      <c r="G51" s="35" t="str">
        <f>INDEX(projects[Charge_Code],MATCH(TimeEntry[[#This Row],[Project_ID]],projects[Project_ID],0))</f>
        <v>255670-17 LOWER KINGS ROAD ASSESSMENT (01-382)</v>
      </c>
      <c r="H51" s="1" t="str">
        <f t="shared" si="0"/>
        <v>Normal Time</v>
      </c>
      <c r="I51" s="1" t="s">
        <v>611</v>
      </c>
      <c r="J51" s="15"/>
      <c r="K51" s="15"/>
      <c r="L51" s="15"/>
      <c r="M51" s="15"/>
      <c r="N51" s="15">
        <v>1</v>
      </c>
      <c r="O51" s="15" t="str">
        <f>INDEX(projects[job number],MATCH(TimeEntry[[#This Row],[Project_ID]], projects[Project_ID],0))</f>
        <v>255670-17</v>
      </c>
      <c r="P51" s="15" t="str">
        <f>INDEX(projects[Project_Name],MATCH(TimeEntry[[#This Row],[Project_ID]], projects[Project_ID],0))</f>
        <v>LOWER KINGS ROAD ASSESSMENT</v>
      </c>
      <c r="Q51" s="6">
        <f>IF(TimeEntry[[#This Row],[Date]]=0,"",WEEKDAY(C51,2))</f>
        <v>5</v>
      </c>
      <c r="R51" s="9">
        <f>YEAR(TimeEntry[[#This Row],[WkEnd]])</f>
        <v>2020</v>
      </c>
      <c r="S51" s="9">
        <f>WEEKNUM(TimeEntry[[#This Row],[WkEnd]])</f>
        <v>44</v>
      </c>
      <c r="T51" s="9" t="str">
        <f>TimeEntry[[#This Row],[Year]]&amp;"-"&amp;TimeEntry[[#This Row],[WkNo]]</f>
        <v>2020-44</v>
      </c>
    </row>
    <row r="52" spans="1:20" x14ac:dyDescent="0.25">
      <c r="A52" s="6">
        <f>MOD(IF(ROW()=2,0.1,IF(INDEX(TimeEntry[WkEnd],ROW()-1)  =  INDEX(TimeEntry[WkEnd],ROW()-2),    INDEX(TimeEntry[format],ROW()-2),    INDEX(TimeEntry[format],ROW()-2)    +1)),2)</f>
        <v>1.1000000000000001</v>
      </c>
      <c r="B52" s="7">
        <v>44127.500578703701</v>
      </c>
      <c r="C52" s="8">
        <v>44127</v>
      </c>
      <c r="D52" s="8" t="s">
        <v>106</v>
      </c>
      <c r="E52" s="1" t="s">
        <v>443</v>
      </c>
      <c r="F52" s="8">
        <f>IF(TimeEntry[[#This Row],[Date]]=0,F2,C52+(7-Q52))</f>
        <v>44129</v>
      </c>
      <c r="G52" s="35" t="str">
        <f>INDEX(projects[Charge_Code],MATCH(TimeEntry[[#This Row],[Project_ID]],projects[Project_ID],0))</f>
        <v>074097-30 LEADERSHIP &amp; MANAGEMENT CC124 (01-124)</v>
      </c>
      <c r="H52" s="1" t="str">
        <f t="shared" si="0"/>
        <v>Normal Time</v>
      </c>
      <c r="I52" s="1" t="s">
        <v>385</v>
      </c>
      <c r="J52" s="15"/>
      <c r="K52" s="15"/>
      <c r="L52" s="15"/>
      <c r="M52" s="15"/>
      <c r="N52" s="15">
        <v>1</v>
      </c>
      <c r="O52" s="15" t="str">
        <f>INDEX(projects[job number],MATCH(TimeEntry[[#This Row],[Project_ID]], projects[Project_ID],0))</f>
        <v>074097-30</v>
      </c>
      <c r="P52" s="15" t="str">
        <f>INDEX(projects[Project_Name],MATCH(TimeEntry[[#This Row],[Project_ID]], projects[Project_ID],0))</f>
        <v>LEADERSHIP &amp; MANAGEMENT CC124</v>
      </c>
      <c r="Q52" s="6">
        <f>IF(TimeEntry[[#This Row],[Date]]=0,"",WEEKDAY(C52,2))</f>
        <v>5</v>
      </c>
      <c r="R52" s="9">
        <f>YEAR(TimeEntry[[#This Row],[WkEnd]])</f>
        <v>2020</v>
      </c>
      <c r="S52" s="9">
        <f>WEEKNUM(TimeEntry[[#This Row],[WkEnd]])</f>
        <v>44</v>
      </c>
      <c r="T52" s="9" t="str">
        <f>TimeEntry[[#This Row],[Year]]&amp;"-"&amp;TimeEntry[[#This Row],[WkNo]]</f>
        <v>2020-44</v>
      </c>
    </row>
    <row r="53" spans="1:20" x14ac:dyDescent="0.25">
      <c r="A53" s="6">
        <f>MOD(IF(ROW()=2,0.1,IF(INDEX(TimeEntry[WkEnd],ROW()-1)  =  INDEX(TimeEntry[WkEnd],ROW()-2),    INDEX(TimeEntry[format],ROW()-2),    INDEX(TimeEntry[format],ROW()-2)    +1)),2)</f>
        <v>1.1000000000000001</v>
      </c>
      <c r="B53" s="7">
        <v>44126.668391203704</v>
      </c>
      <c r="C53" s="8">
        <v>44126</v>
      </c>
      <c r="D53" s="8" t="s">
        <v>102</v>
      </c>
      <c r="E53" s="1" t="s">
        <v>443</v>
      </c>
      <c r="F53" s="8">
        <f>IF(TimeEntry[[#This Row],[Date]]=0,F2,C53+(7-Q53))</f>
        <v>44129</v>
      </c>
      <c r="G53" s="35" t="str">
        <f>INDEX(projects[Charge_Code],MATCH(TimeEntry[[#This Row],[Project_ID]],projects[Project_ID],0))</f>
        <v>074097-30 LEADERSHIP &amp; MANAGEMENT CC124 (01-124)</v>
      </c>
      <c r="H53" s="1" t="str">
        <f t="shared" si="0"/>
        <v>Normal Time</v>
      </c>
      <c r="I53" s="1" t="s">
        <v>609</v>
      </c>
      <c r="J53" s="15"/>
      <c r="K53" s="15"/>
      <c r="L53" s="15"/>
      <c r="M53" s="15">
        <v>1</v>
      </c>
      <c r="N53" s="15"/>
      <c r="O53" s="15" t="str">
        <f>INDEX(projects[job number],MATCH(TimeEntry[[#This Row],[Project_ID]], projects[Project_ID],0))</f>
        <v>074097-30</v>
      </c>
      <c r="P53" s="15" t="str">
        <f>INDEX(projects[Project_Name],MATCH(TimeEntry[[#This Row],[Project_ID]], projects[Project_ID],0))</f>
        <v>LEADERSHIP &amp; MANAGEMENT CC124</v>
      </c>
      <c r="Q53" s="6">
        <f>IF(TimeEntry[[#This Row],[Date]]=0,"",WEEKDAY(C53,2))</f>
        <v>4</v>
      </c>
      <c r="R53" s="9">
        <f>YEAR(TimeEntry[[#This Row],[WkEnd]])</f>
        <v>2020</v>
      </c>
      <c r="S53" s="9">
        <f>WEEKNUM(TimeEntry[[#This Row],[WkEnd]])</f>
        <v>44</v>
      </c>
      <c r="T53" s="9" t="str">
        <f>TimeEntry[[#This Row],[Year]]&amp;"-"&amp;TimeEntry[[#This Row],[WkNo]]</f>
        <v>2020-44</v>
      </c>
    </row>
    <row r="54" spans="1:20" x14ac:dyDescent="0.25">
      <c r="A54" s="6">
        <f>MOD(IF(ROW()=2,0.1,IF(INDEX(TimeEntry[WkEnd],ROW()-1)  =  INDEX(TimeEntry[WkEnd],ROW()-2),    INDEX(TimeEntry[format],ROW()-2),    INDEX(TimeEntry[format],ROW()-2)    +1)),2)</f>
        <v>1.1000000000000001</v>
      </c>
      <c r="B54" s="7">
        <v>44126.500428240739</v>
      </c>
      <c r="C54" s="8">
        <v>44126</v>
      </c>
      <c r="D54" s="8" t="s">
        <v>102</v>
      </c>
      <c r="E54" s="1" t="s">
        <v>442</v>
      </c>
      <c r="F54" s="8">
        <f>IF(TimeEntry[[#This Row],[Date]]=0,F2,C54+(7-Q54))</f>
        <v>44129</v>
      </c>
      <c r="G54" s="35" t="str">
        <f>INDEX(projects[Charge_Code],MATCH(TimeEntry[[#This Row],[Project_ID]],projects[Project_ID],0))</f>
        <v>210035-65 MC VBB WP1: DO-nota West (25-050)</v>
      </c>
      <c r="H54" s="1" t="str">
        <f t="shared" si="0"/>
        <v>Normal Time</v>
      </c>
      <c r="I54" s="1" t="s">
        <v>608</v>
      </c>
      <c r="J54" s="15"/>
      <c r="K54" s="15"/>
      <c r="L54" s="15"/>
      <c r="M54" s="15">
        <v>5.5</v>
      </c>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4</v>
      </c>
      <c r="R54" s="9">
        <f>YEAR(TimeEntry[[#This Row],[WkEnd]])</f>
        <v>2020</v>
      </c>
      <c r="S54" s="9">
        <f>WEEKNUM(TimeEntry[[#This Row],[WkEnd]])</f>
        <v>44</v>
      </c>
      <c r="T54" s="9" t="str">
        <f>TimeEntry[[#This Row],[Year]]&amp;"-"&amp;TimeEntry[[#This Row],[WkNo]]</f>
        <v>2020-44</v>
      </c>
    </row>
    <row r="55" spans="1:20" x14ac:dyDescent="0.25">
      <c r="A55" s="6">
        <f>MOD(IF(ROW()=2,0.1,IF(INDEX(TimeEntry[WkEnd],ROW()-1)  =  INDEX(TimeEntry[WkEnd],ROW()-2),    INDEX(TimeEntry[format],ROW()-2),    INDEX(TimeEntry[format],ROW()-2)    +1)),2)</f>
        <v>1.1000000000000001</v>
      </c>
      <c r="B55" s="7">
        <v>44125.671481481484</v>
      </c>
      <c r="C55" s="8">
        <v>44125</v>
      </c>
      <c r="D55" s="8" t="s">
        <v>102</v>
      </c>
      <c r="E55" s="1" t="s">
        <v>442</v>
      </c>
      <c r="F55" s="8">
        <f>IF(TimeEntry[[#This Row],[Date]]=0,F2,C55+(7-Q55))</f>
        <v>44129</v>
      </c>
      <c r="G55" s="35" t="str">
        <f>INDEX(projects[Charge_Code],MATCH(TimeEntry[[#This Row],[Project_ID]],projects[Project_ID],0))</f>
        <v>210035-65 MC VBB WP1: DO-nota West (25-050)</v>
      </c>
      <c r="H55" s="1" t="str">
        <f t="shared" si="0"/>
        <v>Normal Time</v>
      </c>
      <c r="I55" s="1" t="s">
        <v>610</v>
      </c>
      <c r="J55" s="15"/>
      <c r="K55" s="15"/>
      <c r="L55" s="15"/>
      <c r="M55" s="15">
        <v>1</v>
      </c>
      <c r="N55" s="15"/>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3</v>
      </c>
      <c r="R55" s="9">
        <f>YEAR(TimeEntry[[#This Row],[WkEnd]])</f>
        <v>2020</v>
      </c>
      <c r="S55" s="9">
        <f>WEEKNUM(TimeEntry[[#This Row],[WkEnd]])</f>
        <v>44</v>
      </c>
      <c r="T55" s="9" t="str">
        <f>TimeEntry[[#This Row],[Year]]&amp;"-"&amp;TimeEntry[[#This Row],[WkNo]]</f>
        <v>2020-44</v>
      </c>
    </row>
    <row r="56" spans="1:20" x14ac:dyDescent="0.25">
      <c r="A56" s="6">
        <f>MOD(IF(ROW()=2,0.1,IF(INDEX(TimeEntry[WkEnd],ROW()-1)  =  INDEX(TimeEntry[WkEnd],ROW()-2),    INDEX(TimeEntry[format],ROW()-2),    INDEX(TimeEntry[format],ROW()-2)    +1)),2)</f>
        <v>1.1000000000000001</v>
      </c>
      <c r="B56" s="7">
        <v>44125.500578703701</v>
      </c>
      <c r="C56" s="8">
        <v>44125</v>
      </c>
      <c r="D56" s="8" t="s">
        <v>100</v>
      </c>
      <c r="E56" s="1" t="s">
        <v>442</v>
      </c>
      <c r="F56" s="8">
        <f>IF(TimeEntry[[#This Row],[Date]]=0,F2,C56+(7-Q56))</f>
        <v>44129</v>
      </c>
      <c r="G56" s="35" t="str">
        <f>INDEX(projects[Charge_Code],MATCH(TimeEntry[[#This Row],[Project_ID]],projects[Project_ID],0))</f>
        <v>210035-65 MC VBB WP1: DO-nota West (25-050)</v>
      </c>
      <c r="H56" s="1" t="str">
        <f t="shared" si="0"/>
        <v>Normal Time</v>
      </c>
      <c r="I56" s="1" t="s">
        <v>507</v>
      </c>
      <c r="J56" s="15"/>
      <c r="K56" s="15"/>
      <c r="L56" s="15">
        <v>5.5</v>
      </c>
      <c r="M56" s="15"/>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3</v>
      </c>
      <c r="R56" s="9">
        <f>YEAR(TimeEntry[[#This Row],[WkEnd]])</f>
        <v>2020</v>
      </c>
      <c r="S56" s="9">
        <f>WEEKNUM(TimeEntry[[#This Row],[WkEnd]])</f>
        <v>44</v>
      </c>
      <c r="T56" s="9" t="str">
        <f>TimeEntry[[#This Row],[Year]]&amp;"-"&amp;TimeEntry[[#This Row],[WkNo]]</f>
        <v>2020-44</v>
      </c>
    </row>
    <row r="57" spans="1:20" x14ac:dyDescent="0.25">
      <c r="A57" s="6">
        <f>MOD(IF(ROW()=2,0.1,IF(INDEX(TimeEntry[WkEnd],ROW()-1)  =  INDEX(TimeEntry[WkEnd],ROW()-2),    INDEX(TimeEntry[format],ROW()-2),    INDEX(TimeEntry[format],ROW()-2)    +1)),2)</f>
        <v>1.1000000000000001</v>
      </c>
      <c r="B57" s="7">
        <v>44125.500578703701</v>
      </c>
      <c r="C57" s="8">
        <v>44125</v>
      </c>
      <c r="D57" s="8" t="s">
        <v>100</v>
      </c>
      <c r="E57" s="1" t="s">
        <v>442</v>
      </c>
      <c r="F57" s="8">
        <f>IF(TimeEntry[[#This Row],[Date]]=0,F2,C57+(7-Q57))</f>
        <v>44129</v>
      </c>
      <c r="G57" s="35" t="str">
        <f>INDEX(projects[Charge_Code],MATCH(TimeEntry[[#This Row],[Project_ID]],projects[Project_ID],0))</f>
        <v>210035-65 MC VBB WP1: DO-nota West (25-050)</v>
      </c>
      <c r="H57" s="1" t="str">
        <f t="shared" si="0"/>
        <v>Normal Time</v>
      </c>
      <c r="I57" s="1" t="s">
        <v>606</v>
      </c>
      <c r="J57" s="15"/>
      <c r="K57" s="15"/>
      <c r="L57" s="15">
        <v>2</v>
      </c>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3</v>
      </c>
      <c r="R57" s="9">
        <f>YEAR(TimeEntry[[#This Row],[WkEnd]])</f>
        <v>2020</v>
      </c>
      <c r="S57" s="9">
        <f>WEEKNUM(TimeEntry[[#This Row],[WkEnd]])</f>
        <v>44</v>
      </c>
      <c r="T57" s="9" t="str">
        <f>TimeEntry[[#This Row],[Year]]&amp;"-"&amp;TimeEntry[[#This Row],[WkNo]]</f>
        <v>2020-44</v>
      </c>
    </row>
    <row r="58" spans="1:20" x14ac:dyDescent="0.25">
      <c r="A58" s="6">
        <f>MOD(IF(ROW()=2,0.1,IF(INDEX(TimeEntry[WkEnd],ROW()-1)  =  INDEX(TimeEntry[WkEnd],ROW()-2),    INDEX(TimeEntry[format],ROW()-2),    INDEX(TimeEntry[format],ROW()-2)    +1)),2)</f>
        <v>1.1000000000000001</v>
      </c>
      <c r="B58" s="7">
        <v>44124.508252314816</v>
      </c>
      <c r="C58" s="8">
        <v>44124</v>
      </c>
      <c r="D58" s="8" t="s">
        <v>101</v>
      </c>
      <c r="E58" s="1" t="s">
        <v>442</v>
      </c>
      <c r="F58" s="8">
        <f>IF(TimeEntry[[#This Row],[Date]]=0,F2,C58+(7-Q58))</f>
        <v>44129</v>
      </c>
      <c r="G58" s="35" t="str">
        <f>INDEX(projects[Charge_Code],MATCH(TimeEntry[[#This Row],[Project_ID]],projects[Project_ID],0))</f>
        <v>210035-65 MC VBB WP1: DO-nota West (25-050)</v>
      </c>
      <c r="H58" s="1" t="str">
        <f t="shared" si="0"/>
        <v>Normal Time</v>
      </c>
      <c r="I58" s="1" t="s">
        <v>508</v>
      </c>
      <c r="J58" s="15"/>
      <c r="K58" s="15">
        <v>2</v>
      </c>
      <c r="L58" s="15"/>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2</v>
      </c>
      <c r="R58" s="9">
        <f>YEAR(TimeEntry[[#This Row],[WkEnd]])</f>
        <v>2020</v>
      </c>
      <c r="S58" s="9">
        <f>WEEKNUM(TimeEntry[[#This Row],[WkEnd]])</f>
        <v>44</v>
      </c>
      <c r="T58" s="9" t="str">
        <f>TimeEntry[[#This Row],[Year]]&amp;"-"&amp;TimeEntry[[#This Row],[WkNo]]</f>
        <v>2020-44</v>
      </c>
    </row>
    <row r="59" spans="1:20" x14ac:dyDescent="0.25">
      <c r="A59" s="6">
        <f>MOD(IF(ROW()=2,0.1,IF(INDEX(TimeEntry[WkEnd],ROW()-1)  =  INDEX(TimeEntry[WkEnd],ROW()-2),    INDEX(TimeEntry[format],ROW()-2),    INDEX(TimeEntry[format],ROW()-2)    +1)),2)</f>
        <v>1.1000000000000001</v>
      </c>
      <c r="B59" s="7">
        <v>44124.508252314816</v>
      </c>
      <c r="C59" s="8">
        <v>44124</v>
      </c>
      <c r="D59" s="8" t="s">
        <v>101</v>
      </c>
      <c r="E59" s="1" t="s">
        <v>442</v>
      </c>
      <c r="F59" s="8">
        <f>IF(TimeEntry[[#This Row],[Date]]=0,F2,C59+(7-Q59))</f>
        <v>44129</v>
      </c>
      <c r="G59" s="35" t="str">
        <f>INDEX(projects[Charge_Code],MATCH(TimeEntry[[#This Row],[Project_ID]],projects[Project_ID],0))</f>
        <v>210035-65 MC VBB WP1: DO-nota West (25-050)</v>
      </c>
      <c r="H59" s="1" t="str">
        <f t="shared" si="0"/>
        <v>Normal Time</v>
      </c>
      <c r="I59" s="1" t="s">
        <v>507</v>
      </c>
      <c r="J59" s="15"/>
      <c r="K59" s="15">
        <v>5.5</v>
      </c>
      <c r="L59" s="15"/>
      <c r="M59" s="15"/>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2</v>
      </c>
      <c r="R59" s="9">
        <f>YEAR(TimeEntry[[#This Row],[WkEnd]])</f>
        <v>2020</v>
      </c>
      <c r="S59" s="9">
        <f>WEEKNUM(TimeEntry[[#This Row],[WkEnd]])</f>
        <v>44</v>
      </c>
      <c r="T59" s="9" t="str">
        <f>TimeEntry[[#This Row],[Year]]&amp;"-"&amp;TimeEntry[[#This Row],[WkNo]]</f>
        <v>2020-44</v>
      </c>
    </row>
    <row r="60" spans="1:20" x14ac:dyDescent="0.25">
      <c r="A60" s="6">
        <f>MOD(IF(ROW()=2,0.1,IF(INDEX(TimeEntry[WkEnd],ROW()-1)  =  INDEX(TimeEntry[WkEnd],ROW()-2),    INDEX(TimeEntry[format],ROW()-2),    INDEX(TimeEntry[format],ROW()-2)    +1)),2)</f>
        <v>1.1000000000000001</v>
      </c>
      <c r="B60" s="7">
        <v>44123.501180555555</v>
      </c>
      <c r="C60" s="8">
        <v>44123</v>
      </c>
      <c r="D60" s="8" t="s">
        <v>104</v>
      </c>
      <c r="E60" s="1" t="s">
        <v>442</v>
      </c>
      <c r="F60" s="8">
        <f>IF(TimeEntry[[#This Row],[Date]]=0,F2,C60+(7-Q60))</f>
        <v>44129</v>
      </c>
      <c r="G60" s="35" t="str">
        <f>INDEX(projects[Charge_Code],MATCH(TimeEntry[[#This Row],[Project_ID]],projects[Project_ID],0))</f>
        <v>210035-65 MC VBB WP1: DO-nota West (25-050)</v>
      </c>
      <c r="H60" s="1" t="str">
        <f t="shared" si="0"/>
        <v>Normal Time</v>
      </c>
      <c r="I60" s="1" t="s">
        <v>505</v>
      </c>
      <c r="J60" s="15">
        <v>5</v>
      </c>
      <c r="K60" s="15"/>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1</v>
      </c>
      <c r="R60" s="9">
        <f>YEAR(TimeEntry[[#This Row],[WkEnd]])</f>
        <v>2020</v>
      </c>
      <c r="S60" s="9">
        <f>WEEKNUM(TimeEntry[[#This Row],[WkEnd]])</f>
        <v>44</v>
      </c>
      <c r="T60" s="9" t="str">
        <f>TimeEntry[[#This Row],[Year]]&amp;"-"&amp;TimeEntry[[#This Row],[WkNo]]</f>
        <v>2020-44</v>
      </c>
    </row>
    <row r="61" spans="1:20" x14ac:dyDescent="0.25">
      <c r="A61" s="6">
        <f>MOD(IF(ROW()=2,0.1,IF(INDEX(TimeEntry[WkEnd],ROW()-1)  =  INDEX(TimeEntry[WkEnd],ROW()-2),    INDEX(TimeEntry[format],ROW()-2),    INDEX(TimeEntry[format],ROW()-2)    +1)),2)</f>
        <v>1.1000000000000001</v>
      </c>
      <c r="B61" s="7">
        <v>44123.501180555555</v>
      </c>
      <c r="C61" s="8">
        <v>44123</v>
      </c>
      <c r="D61" s="8" t="s">
        <v>104</v>
      </c>
      <c r="E61" s="1" t="s">
        <v>442</v>
      </c>
      <c r="F61" s="8">
        <f>IF(TimeEntry[[#This Row],[Date]]=0,F2,C61+(7-Q61))</f>
        <v>44129</v>
      </c>
      <c r="G61" s="35" t="str">
        <f>INDEX(projects[Charge_Code],MATCH(TimeEntry[[#This Row],[Project_ID]],projects[Project_ID],0))</f>
        <v>210035-65 MC VBB WP1: DO-nota West (25-050)</v>
      </c>
      <c r="H61" s="1" t="str">
        <f t="shared" si="0"/>
        <v>Normal Time</v>
      </c>
      <c r="I61" s="1" t="s">
        <v>504</v>
      </c>
      <c r="J61" s="15">
        <v>2.5</v>
      </c>
      <c r="K61" s="15"/>
      <c r="L61" s="15"/>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1</v>
      </c>
      <c r="R61" s="9">
        <f>YEAR(TimeEntry[[#This Row],[WkEnd]])</f>
        <v>2020</v>
      </c>
      <c r="S61" s="9">
        <f>WEEKNUM(TimeEntry[[#This Row],[WkEnd]])</f>
        <v>44</v>
      </c>
      <c r="T61" s="9" t="str">
        <f>TimeEntry[[#This Row],[Year]]&amp;"-"&amp;TimeEntry[[#This Row],[WkNo]]</f>
        <v>2020-44</v>
      </c>
    </row>
    <row r="62" spans="1:20" x14ac:dyDescent="0.25">
      <c r="A62" s="6">
        <f>MOD(IF(ROW()=2,0.1,IF(INDEX(TimeEntry[WkEnd],ROW()-1)  =  INDEX(TimeEntry[WkEnd],ROW()-2),    INDEX(TimeEntry[format],ROW()-2),    INDEX(TimeEntry[format],ROW()-2)    +1)),2)</f>
        <v>0.10000000000000009</v>
      </c>
      <c r="B62" s="7">
        <v>44120.669525462959</v>
      </c>
      <c r="C62" s="8">
        <v>44120</v>
      </c>
      <c r="D62" s="8" t="s">
        <v>106</v>
      </c>
      <c r="E62" s="1" t="s">
        <v>442</v>
      </c>
      <c r="F62" s="8">
        <f>IF(TimeEntry[[#This Row],[Date]]=0,F2,C62+(7-Q62))</f>
        <v>44122</v>
      </c>
      <c r="G62" s="35" t="str">
        <f>INDEX(projects[Charge_Code],MATCH(TimeEntry[[#This Row],[Project_ID]],projects[Project_ID],0))</f>
        <v>210035-65 MC VBB WP1: DO-nota West (25-050)</v>
      </c>
      <c r="H62" s="1" t="str">
        <f t="shared" si="0"/>
        <v>Normal Time</v>
      </c>
      <c r="I62" s="1" t="s">
        <v>502</v>
      </c>
      <c r="J62" s="15"/>
      <c r="K62" s="15"/>
      <c r="L62" s="15"/>
      <c r="M62" s="15"/>
      <c r="N62" s="15">
        <v>4</v>
      </c>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5</v>
      </c>
      <c r="R62" s="9">
        <f>YEAR(TimeEntry[[#This Row],[WkEnd]])</f>
        <v>2020</v>
      </c>
      <c r="S62" s="9">
        <f>WEEKNUM(TimeEntry[[#This Row],[WkEnd]])</f>
        <v>43</v>
      </c>
      <c r="T62" s="9" t="str">
        <f>TimeEntry[[#This Row],[Year]]&amp;"-"&amp;TimeEntry[[#This Row],[WkNo]]</f>
        <v>2020-43</v>
      </c>
    </row>
    <row r="63" spans="1:20" x14ac:dyDescent="0.25">
      <c r="A63" s="6">
        <f>MOD(IF(ROW()=2,0.1,IF(INDEX(TimeEntry[WkEnd],ROW()-1)  =  INDEX(TimeEntry[WkEnd],ROW()-2),    INDEX(TimeEntry[format],ROW()-2),    INDEX(TimeEntry[format],ROW()-2)    +1)),2)</f>
        <v>0.10000000000000009</v>
      </c>
      <c r="B63" s="7">
        <v>44120.500648148147</v>
      </c>
      <c r="C63" s="8">
        <v>44120</v>
      </c>
      <c r="D63" s="8" t="s">
        <v>106</v>
      </c>
      <c r="E63" s="1" t="s">
        <v>443</v>
      </c>
      <c r="F63" s="8">
        <f>IF(TimeEntry[[#This Row],[Date]]=0,F2,C63+(7-Q63))</f>
        <v>44122</v>
      </c>
      <c r="G63" s="35" t="str">
        <f>INDEX(projects[Charge_Code],MATCH(TimeEntry[[#This Row],[Project_ID]],projects[Project_ID],0))</f>
        <v>074097-30 LEADERSHIP &amp; MANAGEMENT CC124 (01-124)</v>
      </c>
      <c r="H63" s="1" t="str">
        <f t="shared" si="0"/>
        <v>Normal Time</v>
      </c>
      <c r="I63" s="1" t="s">
        <v>501</v>
      </c>
      <c r="J63" s="15"/>
      <c r="K63" s="15"/>
      <c r="L63" s="15"/>
      <c r="M63" s="15"/>
      <c r="N63" s="15"/>
      <c r="O63" s="15" t="str">
        <f>INDEX(projects[job number],MATCH(TimeEntry[[#This Row],[Project_ID]], projects[Project_ID],0))</f>
        <v>074097-30</v>
      </c>
      <c r="P63" s="15" t="str">
        <f>INDEX(projects[Project_Name],MATCH(TimeEntry[[#This Row],[Project_ID]], projects[Project_ID],0))</f>
        <v>LEADERSHIP &amp; MANAGEMENT CC124</v>
      </c>
      <c r="Q63" s="6">
        <f>IF(TimeEntry[[#This Row],[Date]]=0,"",WEEKDAY(C63,2))</f>
        <v>5</v>
      </c>
      <c r="R63" s="9">
        <f>YEAR(TimeEntry[[#This Row],[WkEnd]])</f>
        <v>2020</v>
      </c>
      <c r="S63" s="9">
        <f>WEEKNUM(TimeEntry[[#This Row],[WkEnd]])</f>
        <v>43</v>
      </c>
      <c r="T63" s="9" t="str">
        <f>TimeEntry[[#This Row],[Year]]&amp;"-"&amp;TimeEntry[[#This Row],[WkNo]]</f>
        <v>2020-43</v>
      </c>
    </row>
    <row r="64" spans="1:20" x14ac:dyDescent="0.25">
      <c r="A64" s="6">
        <f>MOD(IF(ROW()=2,0.1,IF(INDEX(TimeEntry[WkEnd],ROW()-1)  =  INDEX(TimeEntry[WkEnd],ROW()-2),    INDEX(TimeEntry[format],ROW()-2),    INDEX(TimeEntry[format],ROW()-2)    +1)),2)</f>
        <v>0.10000000000000009</v>
      </c>
      <c r="B64" s="7">
        <v>44120.500648148147</v>
      </c>
      <c r="C64" s="8">
        <v>44120</v>
      </c>
      <c r="D64" s="8" t="s">
        <v>106</v>
      </c>
      <c r="E64" s="1" t="s">
        <v>442</v>
      </c>
      <c r="F64" s="8">
        <f>IF(TimeEntry[[#This Row],[Date]]=0,F2,C64+(7-Q64))</f>
        <v>44122</v>
      </c>
      <c r="G64" s="35" t="str">
        <f>INDEX(projects[Charge_Code],MATCH(TimeEntry[[#This Row],[Project_ID]],projects[Project_ID],0))</f>
        <v>210035-65 MC VBB WP1: DO-nota West (25-050)</v>
      </c>
      <c r="H64" s="1" t="str">
        <f t="shared" si="0"/>
        <v>Normal Time</v>
      </c>
      <c r="I64" s="1" t="s">
        <v>500</v>
      </c>
      <c r="J64" s="15"/>
      <c r="K64" s="15"/>
      <c r="L64" s="15"/>
      <c r="M64" s="15"/>
      <c r="N64" s="15">
        <v>3.5</v>
      </c>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5</v>
      </c>
      <c r="R64" s="9">
        <f>YEAR(TimeEntry[[#This Row],[WkEnd]])</f>
        <v>2020</v>
      </c>
      <c r="S64" s="9">
        <f>WEEKNUM(TimeEntry[[#This Row],[WkEnd]])</f>
        <v>43</v>
      </c>
      <c r="T64" s="9" t="str">
        <f>TimeEntry[[#This Row],[Year]]&amp;"-"&amp;TimeEntry[[#This Row],[WkNo]]</f>
        <v>2020-43</v>
      </c>
    </row>
    <row r="65" spans="1:20" x14ac:dyDescent="0.25">
      <c r="A65" s="6">
        <f>MOD(IF(ROW()=2,0.1,IF(INDEX(TimeEntry[WkEnd],ROW()-1)  =  INDEX(TimeEntry[WkEnd],ROW()-2),    INDEX(TimeEntry[format],ROW()-2),    INDEX(TimeEntry[format],ROW()-2)    +1)),2)</f>
        <v>0.10000000000000009</v>
      </c>
      <c r="B65" s="7">
        <v>44119.667025462964</v>
      </c>
      <c r="C65" s="8">
        <v>44119</v>
      </c>
      <c r="D65" s="8" t="s">
        <v>102</v>
      </c>
      <c r="E65" s="1" t="s">
        <v>442</v>
      </c>
      <c r="F65" s="8">
        <f>IF(TimeEntry[[#This Row],[Date]]=0,F2,C65+(7-Q65))</f>
        <v>44122</v>
      </c>
      <c r="G65" s="35" t="str">
        <f>INDEX(projects[Charge_Code],MATCH(TimeEntry[[#This Row],[Project_ID]],projects[Project_ID],0))</f>
        <v>210035-65 MC VBB WP1: DO-nota West (25-050)</v>
      </c>
      <c r="H65" s="1" t="str">
        <f t="shared" si="0"/>
        <v>Normal Time</v>
      </c>
      <c r="I65" s="1" t="s">
        <v>499</v>
      </c>
      <c r="J65" s="15"/>
      <c r="K65" s="15"/>
      <c r="L65" s="15"/>
      <c r="M65" s="15">
        <v>4.5</v>
      </c>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4</v>
      </c>
      <c r="R65" s="9">
        <f>YEAR(TimeEntry[[#This Row],[WkEnd]])</f>
        <v>2020</v>
      </c>
      <c r="S65" s="9">
        <f>WEEKNUM(TimeEntry[[#This Row],[WkEnd]])</f>
        <v>43</v>
      </c>
      <c r="T65" s="9" t="str">
        <f>TimeEntry[[#This Row],[Year]]&amp;"-"&amp;TimeEntry[[#This Row],[WkNo]]</f>
        <v>2020-43</v>
      </c>
    </row>
    <row r="66" spans="1:20" x14ac:dyDescent="0.25">
      <c r="A66" s="6">
        <f>MOD(IF(ROW()=2,0.1,IF(INDEX(TimeEntry[WkEnd],ROW()-1)  =  INDEX(TimeEntry[WkEnd],ROW()-2),    INDEX(TimeEntry[format],ROW()-2),    INDEX(TimeEntry[format],ROW()-2)    +1)),2)</f>
        <v>0.10000000000000009</v>
      </c>
      <c r="B66" s="7">
        <v>44119.507719907408</v>
      </c>
      <c r="C66" s="8">
        <v>44119</v>
      </c>
      <c r="D66" s="8" t="s">
        <v>102</v>
      </c>
      <c r="E66" s="1" t="s">
        <v>442</v>
      </c>
      <c r="F66" s="8">
        <f>IF(TimeEntry[[#This Row],[Date]]=0,F2,C66+(7-Q66))</f>
        <v>44122</v>
      </c>
      <c r="G66" s="35" t="str">
        <f>INDEX(projects[Charge_Code],MATCH(TimeEntry[[#This Row],[Project_ID]],projects[Project_ID],0))</f>
        <v>210035-65 MC VBB WP1: DO-nota West (25-050)</v>
      </c>
      <c r="H66" s="1" t="str">
        <f t="shared" si="0"/>
        <v>Normal Time</v>
      </c>
      <c r="I66" s="1" t="s">
        <v>498</v>
      </c>
      <c r="J66" s="15"/>
      <c r="K66" s="15"/>
      <c r="L66" s="15"/>
      <c r="M66" s="15">
        <v>3</v>
      </c>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4</v>
      </c>
      <c r="R66" s="9">
        <f>YEAR(TimeEntry[[#This Row],[WkEnd]])</f>
        <v>2020</v>
      </c>
      <c r="S66" s="9">
        <f>WEEKNUM(TimeEntry[[#This Row],[WkEnd]])</f>
        <v>43</v>
      </c>
      <c r="T66" s="9" t="str">
        <f>TimeEntry[[#This Row],[Year]]&amp;"-"&amp;TimeEntry[[#This Row],[WkNo]]</f>
        <v>2020-43</v>
      </c>
    </row>
    <row r="67" spans="1:20" x14ac:dyDescent="0.25">
      <c r="A67" s="6">
        <f>MOD(IF(ROW()=2,0.1,IF(INDEX(TimeEntry[WkEnd],ROW()-1)  =  INDEX(TimeEntry[WkEnd],ROW()-2),    INDEX(TimeEntry[format],ROW()-2),    INDEX(TimeEntry[format],ROW()-2)    +1)),2)</f>
        <v>0.10000000000000009</v>
      </c>
      <c r="B67" s="7">
        <v>44119.507719907408</v>
      </c>
      <c r="C67" s="8">
        <v>44119</v>
      </c>
      <c r="D67" s="8" t="s">
        <v>102</v>
      </c>
      <c r="E67" s="1" t="s">
        <v>442</v>
      </c>
      <c r="F67" s="8">
        <f>IF(TimeEntry[[#This Row],[Date]]=0,F2,C67+(7-Q67))</f>
        <v>44122</v>
      </c>
      <c r="G67" s="35" t="str">
        <f>INDEX(projects[Charge_Code],MATCH(TimeEntry[[#This Row],[Project_ID]],projects[Project_ID],0))</f>
        <v>210035-65 MC VBB WP1: DO-nota West (25-050)</v>
      </c>
      <c r="H67" s="1" t="str">
        <f t="shared" si="0"/>
        <v>Normal Time</v>
      </c>
      <c r="I67" s="1" t="s">
        <v>497</v>
      </c>
      <c r="J67" s="15"/>
      <c r="K67" s="15"/>
      <c r="L67" s="15">
        <v>5.5</v>
      </c>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4</v>
      </c>
      <c r="R67" s="9">
        <f>YEAR(TimeEntry[[#This Row],[WkEnd]])</f>
        <v>2020</v>
      </c>
      <c r="S67" s="9">
        <f>WEEKNUM(TimeEntry[[#This Row],[WkEnd]])</f>
        <v>43</v>
      </c>
      <c r="T67" s="9" t="str">
        <f>TimeEntry[[#This Row],[Year]]&amp;"-"&amp;TimeEntry[[#This Row],[WkNo]]</f>
        <v>2020-43</v>
      </c>
    </row>
    <row r="68" spans="1:20" x14ac:dyDescent="0.25">
      <c r="A68" s="6">
        <f>MOD(IF(ROW()=2,0.1,IF(INDEX(TimeEntry[WkEnd],ROW()-1)  =  INDEX(TimeEntry[WkEnd],ROW()-2),    INDEX(TimeEntry[format],ROW()-2),    INDEX(TimeEntry[format],ROW()-2)    +1)),2)</f>
        <v>0.10000000000000009</v>
      </c>
      <c r="B68" s="7">
        <v>44118.501157407409</v>
      </c>
      <c r="C68" s="8">
        <v>44118</v>
      </c>
      <c r="D68" s="8" t="s">
        <v>100</v>
      </c>
      <c r="E68" s="1" t="s">
        <v>442</v>
      </c>
      <c r="F68" s="8">
        <f>IF(TimeEntry[[#This Row],[Date]]=0,F2,C68+(7-Q68))</f>
        <v>44122</v>
      </c>
      <c r="G68" s="35" t="str">
        <f>INDEX(projects[Charge_Code],MATCH(TimeEntry[[#This Row],[Project_ID]],projects[Project_ID],0))</f>
        <v>210035-65 MC VBB WP1: DO-nota West (25-050)</v>
      </c>
      <c r="H68" s="1" t="str">
        <f t="shared" si="0"/>
        <v>Normal Time</v>
      </c>
      <c r="I68" s="1" t="s">
        <v>496</v>
      </c>
      <c r="J68" s="15"/>
      <c r="K68" s="15"/>
      <c r="L68" s="15">
        <v>2</v>
      </c>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3</v>
      </c>
      <c r="R68" s="9">
        <f>YEAR(TimeEntry[[#This Row],[WkEnd]])</f>
        <v>2020</v>
      </c>
      <c r="S68" s="9">
        <f>WEEKNUM(TimeEntry[[#This Row],[WkEnd]])</f>
        <v>43</v>
      </c>
      <c r="T68" s="9" t="str">
        <f>TimeEntry[[#This Row],[Year]]&amp;"-"&amp;TimeEntry[[#This Row],[WkNo]]</f>
        <v>2020-43</v>
      </c>
    </row>
    <row r="69" spans="1:20" x14ac:dyDescent="0.25">
      <c r="A69" s="6">
        <f>MOD(IF(ROW()=2,0.1,IF(INDEX(TimeEntry[WkEnd],ROW()-1)  =  INDEX(TimeEntry[WkEnd],ROW()-2),    INDEX(TimeEntry[format],ROW()-2),    INDEX(TimeEntry[format],ROW()-2)    +1)),2)</f>
        <v>0.10000000000000009</v>
      </c>
      <c r="B69" s="7">
        <v>44118.501157407409</v>
      </c>
      <c r="C69" s="8">
        <v>44118</v>
      </c>
      <c r="D69" s="8" t="s">
        <v>100</v>
      </c>
      <c r="E69" s="1" t="s">
        <v>442</v>
      </c>
      <c r="F69" s="8">
        <f>IF(TimeEntry[[#This Row],[Date]]=0,F2,C69+(7-Q69))</f>
        <v>44122</v>
      </c>
      <c r="G69" s="35" t="str">
        <f>INDEX(projects[Charge_Code],MATCH(TimeEntry[[#This Row],[Project_ID]],projects[Project_ID],0))</f>
        <v>210035-65 MC VBB WP1: DO-nota West (25-050)</v>
      </c>
      <c r="H69" s="1" t="str">
        <f t="shared" si="0"/>
        <v>Normal Time</v>
      </c>
      <c r="I69" s="1" t="s">
        <v>495</v>
      </c>
      <c r="J69" s="15"/>
      <c r="K69" s="15">
        <v>3</v>
      </c>
      <c r="L69" s="15"/>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3</v>
      </c>
      <c r="R69" s="9">
        <f>YEAR(TimeEntry[[#This Row],[WkEnd]])</f>
        <v>2020</v>
      </c>
      <c r="S69" s="9">
        <f>WEEKNUM(TimeEntry[[#This Row],[WkEnd]])</f>
        <v>43</v>
      </c>
      <c r="T69" s="9" t="str">
        <f>TimeEntry[[#This Row],[Year]]&amp;"-"&amp;TimeEntry[[#This Row],[WkNo]]</f>
        <v>2020-43</v>
      </c>
    </row>
    <row r="70" spans="1:20" x14ac:dyDescent="0.25">
      <c r="A70" s="6">
        <f>MOD(IF(ROW()=2,0.1,IF(INDEX(TimeEntry[WkEnd],ROW()-1)  =  INDEX(TimeEntry[WkEnd],ROW()-2),    INDEX(TimeEntry[format],ROW()-2),    INDEX(TimeEntry[format],ROW()-2)    +1)),2)</f>
        <v>0.10000000000000009</v>
      </c>
      <c r="B70" s="7">
        <v>44117.667199074072</v>
      </c>
      <c r="C70" s="8">
        <v>44117</v>
      </c>
      <c r="D70" s="8" t="s">
        <v>101</v>
      </c>
      <c r="E70" s="1" t="s">
        <v>442</v>
      </c>
      <c r="F70" s="8">
        <f>IF(TimeEntry[[#This Row],[Date]]=0,F2,C70+(7-Q70))</f>
        <v>44122</v>
      </c>
      <c r="G70" s="35" t="str">
        <f>INDEX(projects[Charge_Code],MATCH(TimeEntry[[#This Row],[Project_ID]],projects[Project_ID],0))</f>
        <v>210035-65 MC VBB WP1: DO-nota West (25-050)</v>
      </c>
      <c r="H70" s="1" t="str">
        <f t="shared" si="0"/>
        <v>Normal Time</v>
      </c>
      <c r="I70" s="1" t="s">
        <v>494</v>
      </c>
      <c r="J70" s="15"/>
      <c r="K70" s="15">
        <v>1</v>
      </c>
      <c r="L70" s="15"/>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2</v>
      </c>
      <c r="R70" s="9">
        <f>YEAR(TimeEntry[[#This Row],[WkEnd]])</f>
        <v>2020</v>
      </c>
      <c r="S70" s="9">
        <f>WEEKNUM(TimeEntry[[#This Row],[WkEnd]])</f>
        <v>43</v>
      </c>
      <c r="T70" s="9" t="str">
        <f>TimeEntry[[#This Row],[Year]]&amp;"-"&amp;TimeEntry[[#This Row],[WkNo]]</f>
        <v>2020-43</v>
      </c>
    </row>
    <row r="71" spans="1:20" x14ac:dyDescent="0.25">
      <c r="A71" s="6">
        <f>MOD(IF(ROW()=2,0.1,IF(INDEX(TimeEntry[WkEnd],ROW()-1)  =  INDEX(TimeEntry[WkEnd],ROW()-2),    INDEX(TimeEntry[format],ROW()-2),    INDEX(TimeEntry[format],ROW()-2)    +1)),2)</f>
        <v>0.10000000000000009</v>
      </c>
      <c r="B71" s="7">
        <v>44117.667199074072</v>
      </c>
      <c r="C71" s="8">
        <v>44117</v>
      </c>
      <c r="D71" s="8" t="s">
        <v>101</v>
      </c>
      <c r="E71" s="1" t="s">
        <v>442</v>
      </c>
      <c r="F71" s="8">
        <f>IF(TimeEntry[[#This Row],[Date]]=0,F2,C71+(7-Q71))</f>
        <v>44122</v>
      </c>
      <c r="G71" s="35" t="str">
        <f>INDEX(projects[Charge_Code],MATCH(TimeEntry[[#This Row],[Project_ID]],projects[Project_ID],0))</f>
        <v>210035-65 MC VBB WP1: DO-nota West (25-050)</v>
      </c>
      <c r="H71" s="1" t="str">
        <f t="shared" si="0"/>
        <v>Normal Time</v>
      </c>
      <c r="I71" s="1" t="s">
        <v>493</v>
      </c>
      <c r="J71" s="15"/>
      <c r="K71" s="15">
        <v>3.5</v>
      </c>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2</v>
      </c>
      <c r="R71" s="9">
        <f>YEAR(TimeEntry[[#This Row],[WkEnd]])</f>
        <v>2020</v>
      </c>
      <c r="S71" s="9">
        <f>WEEKNUM(TimeEntry[[#This Row],[WkEnd]])</f>
        <v>43</v>
      </c>
      <c r="T71" s="9" t="str">
        <f>TimeEntry[[#This Row],[Year]]&amp;"-"&amp;TimeEntry[[#This Row],[WkNo]]</f>
        <v>2020-43</v>
      </c>
    </row>
    <row r="72" spans="1:20" x14ac:dyDescent="0.25">
      <c r="A72" s="6">
        <f>MOD(IF(ROW()=2,0.1,IF(INDEX(TimeEntry[WkEnd],ROW()-1)  =  INDEX(TimeEntry[WkEnd],ROW()-2),    INDEX(TimeEntry[format],ROW()-2),    INDEX(TimeEntry[format],ROW()-2)    +1)),2)</f>
        <v>0.10000000000000009</v>
      </c>
      <c r="B72" s="7">
        <v>44117.500590277778</v>
      </c>
      <c r="C72" s="8">
        <v>44117</v>
      </c>
      <c r="D72" s="8" t="s">
        <v>101</v>
      </c>
      <c r="E72" s="1" t="s">
        <v>442</v>
      </c>
      <c r="F72" s="8">
        <f>IF(TimeEntry[[#This Row],[Date]]=0,F2,C72+(7-Q72))</f>
        <v>44122</v>
      </c>
      <c r="G72" s="35" t="str">
        <f>INDEX(projects[Charge_Code],MATCH(TimeEntry[[#This Row],[Project_ID]],projects[Project_ID],0))</f>
        <v>210035-65 MC VBB WP1: DO-nota West (25-050)</v>
      </c>
      <c r="H72" s="1" t="str">
        <f t="shared" si="0"/>
        <v>Normal Time</v>
      </c>
      <c r="I72" s="1" t="s">
        <v>492</v>
      </c>
      <c r="J72" s="15">
        <v>3.5</v>
      </c>
      <c r="K72" s="15"/>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2</v>
      </c>
      <c r="R72" s="9">
        <f>YEAR(TimeEntry[[#This Row],[WkEnd]])</f>
        <v>2020</v>
      </c>
      <c r="S72" s="9">
        <f>WEEKNUM(TimeEntry[[#This Row],[WkEnd]])</f>
        <v>43</v>
      </c>
      <c r="T72" s="9" t="str">
        <f>TimeEntry[[#This Row],[Year]]&amp;"-"&amp;TimeEntry[[#This Row],[WkNo]]</f>
        <v>2020-43</v>
      </c>
    </row>
    <row r="73" spans="1:20" x14ac:dyDescent="0.25">
      <c r="A73" s="6">
        <f>MOD(IF(ROW()=2,0.1,IF(INDEX(TimeEntry[WkEnd],ROW()-1)  =  INDEX(TimeEntry[WkEnd],ROW()-2),    INDEX(TimeEntry[format],ROW()-2),    INDEX(TimeEntry[format],ROW()-2)    +1)),2)</f>
        <v>0.10000000000000009</v>
      </c>
      <c r="B73" s="7">
        <v>44116.681018518517</v>
      </c>
      <c r="C73" s="8">
        <v>44116</v>
      </c>
      <c r="D73" s="8" t="s">
        <v>104</v>
      </c>
      <c r="E73" s="1" t="s">
        <v>442</v>
      </c>
      <c r="F73" s="8">
        <f>IF(TimeEntry[[#This Row],[Date]]=0,F2,C73+(7-Q73))</f>
        <v>44122</v>
      </c>
      <c r="G73" s="35" t="str">
        <f>INDEX(projects[Charge_Code],MATCH(TimeEntry[[#This Row],[Project_ID]],projects[Project_ID],0))</f>
        <v>210035-65 MC VBB WP1: DO-nota West (25-050)</v>
      </c>
      <c r="H73" s="1" t="str">
        <f t="shared" si="0"/>
        <v>Normal Time</v>
      </c>
      <c r="I73" s="1" t="s">
        <v>491</v>
      </c>
      <c r="J73" s="15">
        <v>2</v>
      </c>
      <c r="K73" s="15"/>
      <c r="L73" s="15"/>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1</v>
      </c>
      <c r="R73" s="9">
        <f>YEAR(TimeEntry[[#This Row],[WkEnd]])</f>
        <v>2020</v>
      </c>
      <c r="S73" s="9">
        <f>WEEKNUM(TimeEntry[[#This Row],[WkEnd]])</f>
        <v>43</v>
      </c>
      <c r="T73" s="9" t="str">
        <f>TimeEntry[[#This Row],[Year]]&amp;"-"&amp;TimeEntry[[#This Row],[WkNo]]</f>
        <v>2020-43</v>
      </c>
    </row>
    <row r="74" spans="1:20" x14ac:dyDescent="0.25">
      <c r="A74" s="6">
        <f>MOD(IF(ROW()=2,0.1,IF(INDEX(TimeEntry[WkEnd],ROW()-1)  =  INDEX(TimeEntry[WkEnd],ROW()-2),    INDEX(TimeEntry[format],ROW()-2),    INDEX(TimeEntry[format],ROW()-2)    +1)),2)</f>
        <v>0.10000000000000009</v>
      </c>
      <c r="B74" s="7">
        <v>44116.50199074074</v>
      </c>
      <c r="C74" s="8">
        <v>44116</v>
      </c>
      <c r="D74" s="8" t="s">
        <v>104</v>
      </c>
      <c r="E74" s="1" t="s">
        <v>442</v>
      </c>
      <c r="F74" s="8">
        <f>IF(TimeEntry[[#This Row],[Date]]=0,F2,C74+(7-Q74))</f>
        <v>44122</v>
      </c>
      <c r="G74" s="35" t="str">
        <f>INDEX(projects[Charge_Code],MATCH(TimeEntry[[#This Row],[Project_ID]],projects[Project_ID],0))</f>
        <v>210035-65 MC VBB WP1: DO-nota West (25-050)</v>
      </c>
      <c r="H74" s="1" t="str">
        <f t="shared" si="0"/>
        <v>Normal Time</v>
      </c>
      <c r="I74" s="1" t="s">
        <v>490</v>
      </c>
      <c r="J74" s="15">
        <v>2</v>
      </c>
      <c r="K74" s="15"/>
      <c r="L74" s="15"/>
      <c r="M74" s="15"/>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1</v>
      </c>
      <c r="R74" s="9">
        <f>YEAR(TimeEntry[[#This Row],[WkEnd]])</f>
        <v>2020</v>
      </c>
      <c r="S74" s="9">
        <f>WEEKNUM(TimeEntry[[#This Row],[WkEnd]])</f>
        <v>43</v>
      </c>
      <c r="T74" s="9" t="str">
        <f>TimeEntry[[#This Row],[Year]]&amp;"-"&amp;TimeEntry[[#This Row],[WkNo]]</f>
        <v>2020-43</v>
      </c>
    </row>
    <row r="75" spans="1:20" x14ac:dyDescent="0.25">
      <c r="A75" s="6">
        <f>MOD(IF(ROW()=2,0.1,IF(INDEX(TimeEntry[WkEnd],ROW()-1)  =  INDEX(TimeEntry[WkEnd],ROW()-2),    INDEX(TimeEntry[format],ROW()-2),    INDEX(TimeEntry[format],ROW()-2)    +1)),2)</f>
        <v>1.1000000000000001</v>
      </c>
      <c r="B75" s="7">
        <v>44113.667025462964</v>
      </c>
      <c r="C75" s="8">
        <v>44113</v>
      </c>
      <c r="D75" s="8" t="s">
        <v>106</v>
      </c>
      <c r="E75" s="1" t="s">
        <v>442</v>
      </c>
      <c r="F75" s="8">
        <f>IF(TimeEntry[[#This Row],[Date]]=0,F2,C75+(7-Q75))</f>
        <v>44115</v>
      </c>
      <c r="G75" s="35" t="str">
        <f>INDEX(projects[Charge_Code],MATCH(TimeEntry[[#This Row],[Project_ID]],projects[Project_ID],0))</f>
        <v>210035-65 MC VBB WP1: DO-nota West (25-050)</v>
      </c>
      <c r="H75" s="1" t="str">
        <f t="shared" si="0"/>
        <v>Normal Time</v>
      </c>
      <c r="I75" s="1" t="s">
        <v>387</v>
      </c>
      <c r="J75" s="15">
        <v>5</v>
      </c>
      <c r="K75" s="15"/>
      <c r="L75" s="15"/>
      <c r="M75" s="15"/>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5</v>
      </c>
      <c r="R75" s="9">
        <f>YEAR(TimeEntry[[#This Row],[WkEnd]])</f>
        <v>2020</v>
      </c>
      <c r="S75" s="9">
        <f>WEEKNUM(TimeEntry[[#This Row],[WkEnd]])</f>
        <v>42</v>
      </c>
      <c r="T75" s="9" t="str">
        <f>TimeEntry[[#This Row],[Year]]&amp;"-"&amp;TimeEntry[[#This Row],[WkNo]]</f>
        <v>2020-42</v>
      </c>
    </row>
    <row r="76" spans="1:20" x14ac:dyDescent="0.25">
      <c r="A76" s="6">
        <f>MOD(IF(ROW()=2,0.1,IF(INDEX(TimeEntry[WkEnd],ROW()-1)  =  INDEX(TimeEntry[WkEnd],ROW()-2),    INDEX(TimeEntry[format],ROW()-2),    INDEX(TimeEntry[format],ROW()-2)    +1)),2)</f>
        <v>1.1000000000000001</v>
      </c>
      <c r="B76" s="7">
        <v>44113.504895833335</v>
      </c>
      <c r="C76" s="8">
        <v>44113</v>
      </c>
      <c r="D76" s="8" t="s">
        <v>106</v>
      </c>
      <c r="E76" s="1" t="s">
        <v>443</v>
      </c>
      <c r="F76" s="8">
        <f>IF(TimeEntry[[#This Row],[Date]]=0,F75,C76+(7-Q76))</f>
        <v>44115</v>
      </c>
      <c r="G76" s="35" t="str">
        <f>INDEX(projects[Charge_Code],MATCH(TimeEntry[[#This Row],[Project_ID]],projects[Project_ID],0))</f>
        <v>074097-30 LEADERSHIP &amp; MANAGEMENT CC124 (01-124)</v>
      </c>
      <c r="H76" s="1" t="str">
        <f t="shared" si="0"/>
        <v>Normal Time</v>
      </c>
      <c r="I76" s="1" t="s">
        <v>385</v>
      </c>
      <c r="J76" s="15">
        <v>1</v>
      </c>
      <c r="K76" s="15"/>
      <c r="L76" s="15"/>
      <c r="M76" s="15"/>
      <c r="N76" s="15"/>
      <c r="O76" s="15" t="str">
        <f>INDEX(projects[job number],MATCH(TimeEntry[[#This Row],[Project_ID]], projects[Project_ID],0))</f>
        <v>074097-30</v>
      </c>
      <c r="P76" s="15" t="str">
        <f>INDEX(projects[Project_Name],MATCH(TimeEntry[[#This Row],[Project_ID]], projects[Project_ID],0))</f>
        <v>LEADERSHIP &amp; MANAGEMENT CC124</v>
      </c>
      <c r="Q76" s="6">
        <f>IF(TimeEntry[[#This Row],[Date]]=0,"",WEEKDAY(C76,2))</f>
        <v>5</v>
      </c>
      <c r="R76" s="9">
        <f>YEAR(TimeEntry[[#This Row],[WkEnd]])</f>
        <v>2020</v>
      </c>
      <c r="S76" s="9">
        <f>WEEKNUM(TimeEntry[[#This Row],[WkEnd]])</f>
        <v>42</v>
      </c>
      <c r="T76" s="9" t="str">
        <f>TimeEntry[[#This Row],[Year]]&amp;"-"&amp;TimeEntry[[#This Row],[WkNo]]</f>
        <v>2020-42</v>
      </c>
    </row>
    <row r="77" spans="1:20" x14ac:dyDescent="0.25">
      <c r="A77" s="6">
        <f>MOD(IF(ROW()=2,0.1,IF(INDEX(TimeEntry[WkEnd],ROW()-1)  =  INDEX(TimeEntry[WkEnd],ROW()-2),    INDEX(TimeEntry[format],ROW()-2),    INDEX(TimeEntry[format],ROW()-2)    +1)),2)</f>
        <v>1.1000000000000001</v>
      </c>
      <c r="B77" s="7">
        <v>44113.504895833335</v>
      </c>
      <c r="C77" s="8">
        <v>44113</v>
      </c>
      <c r="D77" s="8" t="s">
        <v>106</v>
      </c>
      <c r="E77" s="1" t="s">
        <v>443</v>
      </c>
      <c r="F77" s="8">
        <f>IF(TimeEntry[[#This Row],[Date]]=0,F76,C77+(7-Q77))</f>
        <v>44115</v>
      </c>
      <c r="G77" s="35" t="str">
        <f>INDEX(projects[Charge_Code],MATCH(TimeEntry[[#This Row],[Project_ID]],projects[Project_ID],0))</f>
        <v>074097-30 LEADERSHIP &amp; MANAGEMENT CC124 (01-124)</v>
      </c>
      <c r="H77" s="1" t="str">
        <f t="shared" si="0"/>
        <v>Normal Time</v>
      </c>
      <c r="I77" s="1" t="s">
        <v>386</v>
      </c>
      <c r="J77" s="15">
        <v>1.5</v>
      </c>
      <c r="K77" s="15"/>
      <c r="L77" s="15"/>
      <c r="M77" s="15"/>
      <c r="N77" s="15"/>
      <c r="O77" s="15" t="str">
        <f>INDEX(projects[job number],MATCH(TimeEntry[[#This Row],[Project_ID]], projects[Project_ID],0))</f>
        <v>074097-30</v>
      </c>
      <c r="P77" s="15" t="str">
        <f>INDEX(projects[Project_Name],MATCH(TimeEntry[[#This Row],[Project_ID]], projects[Project_ID],0))</f>
        <v>LEADERSHIP &amp; MANAGEMENT CC124</v>
      </c>
      <c r="Q77" s="6">
        <f>IF(TimeEntry[[#This Row],[Date]]=0,"",WEEKDAY(C77,2))</f>
        <v>5</v>
      </c>
      <c r="R77" s="9">
        <f>YEAR(TimeEntry[[#This Row],[WkEnd]])</f>
        <v>2020</v>
      </c>
      <c r="S77" s="9">
        <f>WEEKNUM(TimeEntry[[#This Row],[WkEnd]])</f>
        <v>42</v>
      </c>
      <c r="T77" s="9" t="str">
        <f>TimeEntry[[#This Row],[Year]]&amp;"-"&amp;TimeEntry[[#This Row],[WkNo]]</f>
        <v>2020-42</v>
      </c>
    </row>
    <row r="78" spans="1:20" x14ac:dyDescent="0.25">
      <c r="A78" s="6">
        <f>MOD(IF(ROW()=2,0.1,IF(INDEX(TimeEntry[WkEnd],ROW()-1)  =  INDEX(TimeEntry[WkEnd],ROW()-2),    INDEX(TimeEntry[format],ROW()-2),    INDEX(TimeEntry[format],ROW()-2)    +1)),2)</f>
        <v>1.1000000000000001</v>
      </c>
      <c r="B78" s="7">
        <v>44112.559513888889</v>
      </c>
      <c r="C78" s="8">
        <v>44112</v>
      </c>
      <c r="D78" s="8" t="s">
        <v>102</v>
      </c>
      <c r="E78" s="1" t="s">
        <v>442</v>
      </c>
      <c r="F78" s="8">
        <f>IF(TimeEntry[[#This Row],[Date]]=0,F77,C78+(7-Q78))</f>
        <v>44115</v>
      </c>
      <c r="G78" s="35" t="str">
        <f>INDEX(projects[Charge_Code],MATCH(TimeEntry[[#This Row],[Project_ID]],projects[Project_ID],0))</f>
        <v>210035-65 MC VBB WP1: DO-nota West (25-050)</v>
      </c>
      <c r="H78" s="1" t="str">
        <f t="shared" si="0"/>
        <v>Normal Time</v>
      </c>
      <c r="I78" s="1" t="s">
        <v>383</v>
      </c>
      <c r="J78" s="15">
        <v>2</v>
      </c>
      <c r="K78" s="15"/>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4</v>
      </c>
      <c r="R78" s="9">
        <f>YEAR(TimeEntry[[#This Row],[WkEnd]])</f>
        <v>2020</v>
      </c>
      <c r="S78" s="9">
        <f>WEEKNUM(TimeEntry[[#This Row],[WkEnd]])</f>
        <v>42</v>
      </c>
      <c r="T78" s="9" t="str">
        <f>TimeEntry[[#This Row],[Year]]&amp;"-"&amp;TimeEntry[[#This Row],[WkNo]]</f>
        <v>2020-42</v>
      </c>
    </row>
    <row r="79" spans="1:20" x14ac:dyDescent="0.25">
      <c r="A79" s="6">
        <f>MOD(IF(ROW()=2,0.1,IF(INDEX(TimeEntry[WkEnd],ROW()-1)  =  INDEX(TimeEntry[WkEnd],ROW()-2),    INDEX(TimeEntry[format],ROW()-2),    INDEX(TimeEntry[format],ROW()-2)    +1)),2)</f>
        <v>1.1000000000000001</v>
      </c>
      <c r="B79" s="7">
        <v>44112.559513888889</v>
      </c>
      <c r="C79" s="8">
        <v>44112</v>
      </c>
      <c r="D79" s="8" t="s">
        <v>102</v>
      </c>
      <c r="E79" s="1" t="s">
        <v>442</v>
      </c>
      <c r="F79" s="8">
        <f>IF(TimeEntry[[#This Row],[Date]]=0,F78,C79+(7-Q79))</f>
        <v>44115</v>
      </c>
      <c r="G79" s="35" t="str">
        <f>INDEX(projects[Charge_Code],MATCH(TimeEntry[[#This Row],[Project_ID]],projects[Project_ID],0))</f>
        <v>210035-65 MC VBB WP1: DO-nota West (25-050)</v>
      </c>
      <c r="H79" s="1" t="str">
        <f t="shared" si="0"/>
        <v>Normal Time</v>
      </c>
      <c r="I79" s="1" t="s">
        <v>384</v>
      </c>
      <c r="J79" s="15">
        <v>5.5</v>
      </c>
      <c r="K79" s="15"/>
      <c r="L79" s="15"/>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4</v>
      </c>
      <c r="R79" s="9">
        <f>YEAR(TimeEntry[[#This Row],[WkEnd]])</f>
        <v>2020</v>
      </c>
      <c r="S79" s="9">
        <f>WEEKNUM(TimeEntry[[#This Row],[WkEnd]])</f>
        <v>42</v>
      </c>
      <c r="T79" s="9" t="str">
        <f>TimeEntry[[#This Row],[Year]]&amp;"-"&amp;TimeEntry[[#This Row],[WkNo]]</f>
        <v>2020-42</v>
      </c>
    </row>
    <row r="80" spans="1:20" x14ac:dyDescent="0.25">
      <c r="A80" s="6">
        <f>MOD(IF(ROW()=2,0.1,IF(INDEX(TimeEntry[WkEnd],ROW()-1)  =  INDEX(TimeEntry[WkEnd],ROW()-2),    INDEX(TimeEntry[format],ROW()-2),    INDEX(TimeEntry[format],ROW()-2)    +1)),2)</f>
        <v>1.1000000000000001</v>
      </c>
      <c r="B80" s="7">
        <v>44111.667094907411</v>
      </c>
      <c r="C80" s="8">
        <v>44111</v>
      </c>
      <c r="D80" s="8" t="s">
        <v>100</v>
      </c>
      <c r="E80" s="1" t="s">
        <v>442</v>
      </c>
      <c r="F80" s="8">
        <f>IF(TimeEntry[[#This Row],[Date]]=0,F79,C80+(7-Q80))</f>
        <v>44115</v>
      </c>
      <c r="G80" s="35" t="str">
        <f>INDEX(projects[Charge_Code],MATCH(TimeEntry[[#This Row],[Project_ID]],projects[Project_ID],0))</f>
        <v>210035-65 MC VBB WP1: DO-nota West (25-050)</v>
      </c>
      <c r="H80" s="1" t="str">
        <f t="shared" si="0"/>
        <v>Normal Time</v>
      </c>
      <c r="I80" s="1" t="s">
        <v>358</v>
      </c>
      <c r="J80" s="15">
        <v>4</v>
      </c>
      <c r="K80" s="15"/>
      <c r="L80" s="15"/>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3</v>
      </c>
      <c r="R80" s="9">
        <f>YEAR(TimeEntry[[#This Row],[WkEnd]])</f>
        <v>2020</v>
      </c>
      <c r="S80" s="9">
        <f>WEEKNUM(TimeEntry[[#This Row],[WkEnd]])</f>
        <v>42</v>
      </c>
      <c r="T80" s="9" t="str">
        <f>TimeEntry[[#This Row],[Year]]&amp;"-"&amp;TimeEntry[[#This Row],[WkNo]]</f>
        <v>2020-42</v>
      </c>
    </row>
    <row r="81" spans="1:20" x14ac:dyDescent="0.25">
      <c r="A81" s="6">
        <f>MOD(IF(ROW()=2,0.1,IF(INDEX(TimeEntry[WkEnd],ROW()-1)  =  INDEX(TimeEntry[WkEnd],ROW()-2),    INDEX(TimeEntry[format],ROW()-2),    INDEX(TimeEntry[format],ROW()-2)    +1)),2)</f>
        <v>1.1000000000000001</v>
      </c>
      <c r="B81" s="7">
        <v>44111.51489583333</v>
      </c>
      <c r="C81" s="8">
        <v>44111</v>
      </c>
      <c r="D81" s="8" t="s">
        <v>100</v>
      </c>
      <c r="E81" s="1" t="s">
        <v>442</v>
      </c>
      <c r="F81" s="8">
        <f>IF(TimeEntry[[#This Row],[Date]]=0,F80,C81+(7-Q81))</f>
        <v>44115</v>
      </c>
      <c r="G81" s="35" t="str">
        <f>INDEX(projects[Charge_Code],MATCH(TimeEntry[[#This Row],[Project_ID]],projects[Project_ID],0))</f>
        <v>210035-65 MC VBB WP1: DO-nota West (25-050)</v>
      </c>
      <c r="H81" s="1" t="str">
        <f t="shared" si="0"/>
        <v>Normal Time</v>
      </c>
      <c r="I81" s="1" t="s">
        <v>358</v>
      </c>
      <c r="J81" s="15">
        <v>1.5</v>
      </c>
      <c r="K81" s="15"/>
      <c r="L81" s="15"/>
      <c r="M81" s="15"/>
      <c r="N81" s="15"/>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3</v>
      </c>
      <c r="R81" s="9">
        <f>YEAR(TimeEntry[[#This Row],[WkEnd]])</f>
        <v>2020</v>
      </c>
      <c r="S81" s="9">
        <f>WEEKNUM(TimeEntry[[#This Row],[WkEnd]])</f>
        <v>42</v>
      </c>
      <c r="T81" s="9" t="str">
        <f>TimeEntry[[#This Row],[Year]]&amp;"-"&amp;TimeEntry[[#This Row],[WkNo]]</f>
        <v>2020-42</v>
      </c>
    </row>
    <row r="82" spans="1:20" x14ac:dyDescent="0.25">
      <c r="A82" s="6">
        <f>MOD(IF(ROW()=2,0.1,IF(INDEX(TimeEntry[WkEnd],ROW()-1)  =  INDEX(TimeEntry[WkEnd],ROW()-2),    INDEX(TimeEntry[format],ROW()-2),    INDEX(TimeEntry[format],ROW()-2)    +1)),2)</f>
        <v>1.1000000000000001</v>
      </c>
      <c r="B82" s="7">
        <v>44111.51489583333</v>
      </c>
      <c r="C82" s="8">
        <v>44111</v>
      </c>
      <c r="D82" s="8" t="s">
        <v>100</v>
      </c>
      <c r="E82" s="1" t="s">
        <v>442</v>
      </c>
      <c r="F82" s="8">
        <f>IF(TimeEntry[[#This Row],[Date]]=0,F81,C82+(7-Q82))</f>
        <v>44115</v>
      </c>
      <c r="G82" s="35" t="str">
        <f>INDEX(projects[Charge_Code],MATCH(TimeEntry[[#This Row],[Project_ID]],projects[Project_ID],0))</f>
        <v>210035-65 MC VBB WP1: DO-nota West (25-050)</v>
      </c>
      <c r="H82" s="1" t="str">
        <f t="shared" si="0"/>
        <v>Normal Time</v>
      </c>
      <c r="I82" s="1" t="s">
        <v>357</v>
      </c>
      <c r="J82" s="15">
        <v>2</v>
      </c>
      <c r="K82" s="15"/>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3</v>
      </c>
      <c r="R82" s="9">
        <f>YEAR(TimeEntry[[#This Row],[WkEnd]])</f>
        <v>2020</v>
      </c>
      <c r="S82" s="9">
        <f>WEEKNUM(TimeEntry[[#This Row],[WkEnd]])</f>
        <v>42</v>
      </c>
      <c r="T82" s="9" t="str">
        <f>TimeEntry[[#This Row],[Year]]&amp;"-"&amp;TimeEntry[[#This Row],[WkNo]]</f>
        <v>2020-42</v>
      </c>
    </row>
    <row r="83" spans="1:20" x14ac:dyDescent="0.25">
      <c r="A83" s="6">
        <f>MOD(IF(ROW()=2,0.1,IF(INDEX(TimeEntry[WkEnd],ROW()-1)  =  INDEX(TimeEntry[WkEnd],ROW()-2),    INDEX(TimeEntry[format],ROW()-2),    INDEX(TimeEntry[format],ROW()-2)    +1)),2)</f>
        <v>1.1000000000000001</v>
      </c>
      <c r="B83" s="7">
        <v>44110.688402777778</v>
      </c>
      <c r="C83" s="8">
        <v>44110</v>
      </c>
      <c r="D83" s="8" t="s">
        <v>101</v>
      </c>
      <c r="E83" s="1" t="s">
        <v>442</v>
      </c>
      <c r="F83" s="8">
        <f>IF(TimeEntry[[#This Row],[Date]]=0,F82,C83+(7-Q83))</f>
        <v>44115</v>
      </c>
      <c r="G83" s="35" t="str">
        <f>INDEX(projects[Charge_Code],MATCH(TimeEntry[[#This Row],[Project_ID]],projects[Project_ID],0))</f>
        <v>210035-65 MC VBB WP1: DO-nota West (25-050)</v>
      </c>
      <c r="H83" s="1" t="str">
        <f t="shared" si="0"/>
        <v>Normal Time</v>
      </c>
      <c r="I83" s="1" t="s">
        <v>356</v>
      </c>
      <c r="J83" s="15">
        <v>4</v>
      </c>
      <c r="K83" s="15"/>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2</v>
      </c>
      <c r="R83" s="9">
        <f>YEAR(TimeEntry[[#This Row],[WkEnd]])</f>
        <v>2020</v>
      </c>
      <c r="S83" s="9">
        <f>WEEKNUM(TimeEntry[[#This Row],[WkEnd]])</f>
        <v>42</v>
      </c>
      <c r="T83" s="9" t="str">
        <f>TimeEntry[[#This Row],[Year]]&amp;"-"&amp;TimeEntry[[#This Row],[WkNo]]</f>
        <v>2020-42</v>
      </c>
    </row>
    <row r="84" spans="1:20" x14ac:dyDescent="0.25">
      <c r="A84" s="6">
        <f>MOD(IF(ROW()=2,0.1,IF(INDEX(TimeEntry[WkEnd],ROW()-1)  =  INDEX(TimeEntry[WkEnd],ROW()-2),    INDEX(TimeEntry[format],ROW()-2),    INDEX(TimeEntry[format],ROW()-2)    +1)),2)</f>
        <v>1.1000000000000001</v>
      </c>
      <c r="B84" s="7">
        <v>44110.516932870371</v>
      </c>
      <c r="C84" s="8">
        <v>44110</v>
      </c>
      <c r="D84" s="8" t="s">
        <v>101</v>
      </c>
      <c r="E84" s="1" t="s">
        <v>442</v>
      </c>
      <c r="F84" s="8">
        <f>IF(TimeEntry[[#This Row],[Date]]=0,F83,C84+(7-Q84))</f>
        <v>44115</v>
      </c>
      <c r="G84" s="35" t="str">
        <f>INDEX(projects[Charge_Code],MATCH(TimeEntry[[#This Row],[Project_ID]],projects[Project_ID],0))</f>
        <v>210035-65 MC VBB WP1: DO-nota West (25-050)</v>
      </c>
      <c r="H84" s="1" t="str">
        <f t="shared" si="0"/>
        <v>Normal Time</v>
      </c>
      <c r="I84" s="1" t="s">
        <v>355</v>
      </c>
      <c r="J84" s="15">
        <v>1.5</v>
      </c>
      <c r="K84" s="15"/>
      <c r="L84" s="15"/>
      <c r="M84" s="15"/>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2</v>
      </c>
      <c r="R84" s="9">
        <f>YEAR(TimeEntry[[#This Row],[WkEnd]])</f>
        <v>2020</v>
      </c>
      <c r="S84" s="9">
        <f>WEEKNUM(TimeEntry[[#This Row],[WkEnd]])</f>
        <v>42</v>
      </c>
      <c r="T84" s="9" t="str">
        <f>TimeEntry[[#This Row],[Year]]&amp;"-"&amp;TimeEntry[[#This Row],[WkNo]]</f>
        <v>2020-42</v>
      </c>
    </row>
    <row r="85" spans="1:20" x14ac:dyDescent="0.25">
      <c r="A85" s="6">
        <f>MOD(IF(ROW()=2,0.1,IF(INDEX(TimeEntry[WkEnd],ROW()-1)  =  INDEX(TimeEntry[WkEnd],ROW()-2),    INDEX(TimeEntry[format],ROW()-2),    INDEX(TimeEntry[format],ROW()-2)    +1)),2)</f>
        <v>1.1000000000000001</v>
      </c>
      <c r="B85" s="7">
        <v>44110.516932870371</v>
      </c>
      <c r="C85" s="8">
        <v>44110</v>
      </c>
      <c r="D85" s="8" t="s">
        <v>101</v>
      </c>
      <c r="E85" s="1" t="s">
        <v>441</v>
      </c>
      <c r="F85" s="8">
        <f>IF(TimeEntry[[#This Row],[Date]]=0,F84,C85+(7-Q85))</f>
        <v>44115</v>
      </c>
      <c r="G85" s="35" t="str">
        <f>INDEX(projects[Charge_Code],MATCH(TimeEntry[[#This Row],[Project_ID]],projects[Project_ID],0))</f>
        <v>TRAINING (In-house training)</v>
      </c>
      <c r="H85" s="1" t="str">
        <f t="shared" si="0"/>
        <v>Normal Time</v>
      </c>
      <c r="I85" s="1" t="s">
        <v>354</v>
      </c>
      <c r="J85" s="15">
        <v>2</v>
      </c>
      <c r="K85" s="15"/>
      <c r="L85" s="15"/>
      <c r="M85" s="15"/>
      <c r="N85" s="15"/>
      <c r="O85" s="15">
        <f>INDEX(projects[job number],MATCH(TimeEntry[[#This Row],[Project_ID]], projects[Project_ID],0))</f>
        <v>0</v>
      </c>
      <c r="P85" s="15" t="str">
        <f>INDEX(projects[Project_Name],MATCH(TimeEntry[[#This Row],[Project_ID]], projects[Project_ID],0))</f>
        <v>TRAINING (In-house training)</v>
      </c>
      <c r="Q85" s="6">
        <f>IF(TimeEntry[[#This Row],[Date]]=0,"",WEEKDAY(C85,2))</f>
        <v>2</v>
      </c>
      <c r="R85" s="9">
        <f>YEAR(TimeEntry[[#This Row],[WkEnd]])</f>
        <v>2020</v>
      </c>
      <c r="S85" s="9">
        <f>WEEKNUM(TimeEntry[[#This Row],[WkEnd]])</f>
        <v>42</v>
      </c>
      <c r="T85" s="9" t="str">
        <f>TimeEntry[[#This Row],[Year]]&amp;"-"&amp;TimeEntry[[#This Row],[WkNo]]</f>
        <v>2020-42</v>
      </c>
    </row>
    <row r="86" spans="1:20" x14ac:dyDescent="0.25">
      <c r="A86" s="6">
        <f>MOD(IF(ROW()=2,0.1,IF(INDEX(TimeEntry[WkEnd],ROW()-1)  =  INDEX(TimeEntry[WkEnd],ROW()-2),    INDEX(TimeEntry[format],ROW()-2),    INDEX(TimeEntry[format],ROW()-2)    +1)),2)</f>
        <v>1.1000000000000001</v>
      </c>
      <c r="B86" s="7">
        <v>44109.676030092596</v>
      </c>
      <c r="C86" s="8">
        <v>44109</v>
      </c>
      <c r="D86" s="8" t="s">
        <v>104</v>
      </c>
      <c r="E86" s="1" t="s">
        <v>442</v>
      </c>
      <c r="F86" s="8">
        <f>IF(TimeEntry[[#This Row],[Date]]=0,F85,C86+(7-Q86))</f>
        <v>44115</v>
      </c>
      <c r="G86" s="35" t="str">
        <f>INDEX(projects[Charge_Code],MATCH(TimeEntry[[#This Row],[Project_ID]],projects[Project_ID],0))</f>
        <v>210035-65 MC VBB WP1: DO-nota West (25-050)</v>
      </c>
      <c r="H86" s="1" t="str">
        <f t="shared" si="0"/>
        <v>Normal Time</v>
      </c>
      <c r="I86" s="1" t="s">
        <v>352</v>
      </c>
      <c r="J86" s="15">
        <v>1.5</v>
      </c>
      <c r="K86" s="15"/>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1</v>
      </c>
      <c r="R86" s="9">
        <f>YEAR(TimeEntry[[#This Row],[WkEnd]])</f>
        <v>2020</v>
      </c>
      <c r="S86" s="9">
        <f>WEEKNUM(TimeEntry[[#This Row],[WkEnd]])</f>
        <v>42</v>
      </c>
      <c r="T86" s="9" t="str">
        <f>TimeEntry[[#This Row],[Year]]&amp;"-"&amp;TimeEntry[[#This Row],[WkNo]]</f>
        <v>2020-42</v>
      </c>
    </row>
    <row r="87" spans="1:20" x14ac:dyDescent="0.25">
      <c r="A87" s="6">
        <f>MOD(IF(ROW()=2,0.1,IF(INDEX(TimeEntry[WkEnd],ROW()-1)  =  INDEX(TimeEntry[WkEnd],ROW()-2),    INDEX(TimeEntry[format],ROW()-2),    INDEX(TimeEntry[format],ROW()-2)    +1)),2)</f>
        <v>1.1000000000000001</v>
      </c>
      <c r="B87" s="7">
        <v>44109.676030092596</v>
      </c>
      <c r="C87" s="8">
        <v>44109</v>
      </c>
      <c r="D87" s="8" t="s">
        <v>104</v>
      </c>
      <c r="E87" s="1" t="s">
        <v>442</v>
      </c>
      <c r="F87" s="8">
        <f>IF(TimeEntry[[#This Row],[Date]]=0,F86,C87+(7-Q87))</f>
        <v>44115</v>
      </c>
      <c r="G87" s="35" t="str">
        <f>INDEX(projects[Charge_Code],MATCH(TimeEntry[[#This Row],[Project_ID]],projects[Project_ID],0))</f>
        <v>210035-65 MC VBB WP1: DO-nota West (25-050)</v>
      </c>
      <c r="H87" s="1" t="str">
        <f t="shared" si="0"/>
        <v>Normal Time</v>
      </c>
      <c r="I87" s="1" t="s">
        <v>351</v>
      </c>
      <c r="J87" s="15">
        <v>6</v>
      </c>
      <c r="K87" s="15"/>
      <c r="L87" s="15"/>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1</v>
      </c>
      <c r="R87" s="9">
        <f>YEAR(TimeEntry[[#This Row],[WkEnd]])</f>
        <v>2020</v>
      </c>
      <c r="S87" s="9">
        <f>WEEKNUM(TimeEntry[[#This Row],[WkEnd]])</f>
        <v>42</v>
      </c>
      <c r="T87" s="9" t="str">
        <f>TimeEntry[[#This Row],[Year]]&amp;"-"&amp;TimeEntry[[#This Row],[WkNo]]</f>
        <v>2020-42</v>
      </c>
    </row>
    <row r="88" spans="1:20" x14ac:dyDescent="0.25">
      <c r="A88" s="6">
        <f>MOD(IF(ROW()=2,0.1,IF(INDEX(TimeEntry[WkEnd],ROW()-1)  =  INDEX(TimeEntry[WkEnd],ROW()-2),    INDEX(TimeEntry[format],ROW()-2),    INDEX(TimeEntry[format],ROW()-2)    +1)),2)</f>
        <v>0.10000000000000009</v>
      </c>
      <c r="B88" s="7">
        <v>44106.667013888888</v>
      </c>
      <c r="C88" s="8">
        <v>44106</v>
      </c>
      <c r="D88" s="8" t="s">
        <v>106</v>
      </c>
      <c r="E88" s="1" t="s">
        <v>442</v>
      </c>
      <c r="F88" s="8">
        <f>IF(TimeEntry[[#This Row],[Date]]=0,F87,C88+(7-Q88))</f>
        <v>44108</v>
      </c>
      <c r="G88" s="35" t="str">
        <f>INDEX(projects[Charge_Code],MATCH(TimeEntry[[#This Row],[Project_ID]],projects[Project_ID],0))</f>
        <v>210035-65 MC VBB WP1: DO-nota West (25-050)</v>
      </c>
      <c r="H88" s="1" t="str">
        <f t="shared" si="0"/>
        <v>Normal Time</v>
      </c>
      <c r="I88" s="1" t="s">
        <v>347</v>
      </c>
      <c r="J88" s="15">
        <v>3</v>
      </c>
      <c r="K88" s="15"/>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5</v>
      </c>
      <c r="R88" s="9">
        <f>YEAR(TimeEntry[[#This Row],[WkEnd]])</f>
        <v>2020</v>
      </c>
      <c r="S88" s="9">
        <f>WEEKNUM(TimeEntry[[#This Row],[WkEnd]])</f>
        <v>41</v>
      </c>
      <c r="T88" s="9" t="str">
        <f>TimeEntry[[#This Row],[Year]]&amp;"-"&amp;TimeEntry[[#This Row],[WkNo]]</f>
        <v>2020-41</v>
      </c>
    </row>
    <row r="89" spans="1:20" x14ac:dyDescent="0.25">
      <c r="A89" s="6">
        <f>MOD(IF(ROW()=2,0.1,IF(INDEX(TimeEntry[WkEnd],ROW()-1)  =  INDEX(TimeEntry[WkEnd],ROW()-2),    INDEX(TimeEntry[format],ROW()-2),    INDEX(TimeEntry[format],ROW()-2)    +1)),2)</f>
        <v>0.10000000000000009</v>
      </c>
      <c r="B89" s="7">
        <v>44106.510613425926</v>
      </c>
      <c r="C89" s="8">
        <v>44106</v>
      </c>
      <c r="D89" s="8" t="s">
        <v>106</v>
      </c>
      <c r="E89" s="1" t="s">
        <v>442</v>
      </c>
      <c r="F89" s="8">
        <f>IF(TimeEntry[[#This Row],[Date]]=0,F88,C89+(7-Q89))</f>
        <v>44108</v>
      </c>
      <c r="G89" s="35" t="str">
        <f>INDEX(projects[Charge_Code],MATCH(TimeEntry[[#This Row],[Project_ID]],projects[Project_ID],0))</f>
        <v>210035-65 MC VBB WP1: DO-nota West (25-050)</v>
      </c>
      <c r="H89" s="1" t="str">
        <f t="shared" si="0"/>
        <v>Normal Time</v>
      </c>
      <c r="I89" s="1" t="s">
        <v>346</v>
      </c>
      <c r="J89" s="15">
        <v>4.5</v>
      </c>
      <c r="K89" s="15"/>
      <c r="L89" s="15"/>
      <c r="M89" s="15"/>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5</v>
      </c>
      <c r="R89" s="9">
        <f>YEAR(TimeEntry[[#This Row],[WkEnd]])</f>
        <v>2020</v>
      </c>
      <c r="S89" s="9">
        <f>WEEKNUM(TimeEntry[[#This Row],[WkEnd]])</f>
        <v>41</v>
      </c>
      <c r="T89" s="9" t="str">
        <f>TimeEntry[[#This Row],[Year]]&amp;"-"&amp;TimeEntry[[#This Row],[WkNo]]</f>
        <v>2020-41</v>
      </c>
    </row>
    <row r="90" spans="1:20" x14ac:dyDescent="0.25">
      <c r="A90" s="6">
        <f>MOD(IF(ROW()=2,0.1,IF(INDEX(TimeEntry[WkEnd],ROW()-1)  =  INDEX(TimeEntry[WkEnd],ROW()-2),    INDEX(TimeEntry[format],ROW()-2),    INDEX(TimeEntry[format],ROW()-2)    +1)),2)</f>
        <v>0.10000000000000009</v>
      </c>
      <c r="B90" s="7">
        <v>44105.667986111112</v>
      </c>
      <c r="C90" s="8">
        <v>44105</v>
      </c>
      <c r="D90" s="8" t="s">
        <v>102</v>
      </c>
      <c r="E90" s="1" t="s">
        <v>442</v>
      </c>
      <c r="F90" s="8">
        <f>IF(TimeEntry[[#This Row],[Date]]=0,F89,C90+(7-Q90))</f>
        <v>44108</v>
      </c>
      <c r="G90" s="35" t="str">
        <f>INDEX(projects[Charge_Code],MATCH(TimeEntry[[#This Row],[Project_ID]],projects[Project_ID],0))</f>
        <v>210035-65 MC VBB WP1: DO-nota West (25-050)</v>
      </c>
      <c r="H90" s="1" t="str">
        <f t="shared" si="0"/>
        <v>Normal Time</v>
      </c>
      <c r="I90" s="1" t="s">
        <v>345</v>
      </c>
      <c r="J90" s="15">
        <v>7.5</v>
      </c>
      <c r="K90" s="15"/>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4</v>
      </c>
      <c r="R90" s="9">
        <f>YEAR(TimeEntry[[#This Row],[WkEnd]])</f>
        <v>2020</v>
      </c>
      <c r="S90" s="9">
        <f>WEEKNUM(TimeEntry[[#This Row],[WkEnd]])</f>
        <v>41</v>
      </c>
      <c r="T90" s="9" t="str">
        <f>TimeEntry[[#This Row],[Year]]&amp;"-"&amp;TimeEntry[[#This Row],[WkNo]]</f>
        <v>2020-41</v>
      </c>
    </row>
    <row r="91" spans="1:20" x14ac:dyDescent="0.25">
      <c r="A91" s="6">
        <f>MOD(IF(ROW()=2,0.1,IF(INDEX(TimeEntry[WkEnd],ROW()-1)  =  INDEX(TimeEntry[WkEnd],ROW()-2),    INDEX(TimeEntry[format],ROW()-2),    INDEX(TimeEntry[format],ROW()-2)    +1)),2)</f>
        <v>0.10000000000000009</v>
      </c>
      <c r="B91" s="7">
        <v>44105.53943287037</v>
      </c>
      <c r="C91" s="8">
        <v>44105</v>
      </c>
      <c r="D91" s="8" t="s">
        <v>102</v>
      </c>
      <c r="E91" s="1" t="s">
        <v>442</v>
      </c>
      <c r="F91" s="8">
        <f>IF(TimeEntry[[#This Row],[Date]]=0,F90,C91+(7-Q91))</f>
        <v>44108</v>
      </c>
      <c r="G91" s="35" t="str">
        <f>INDEX(projects[Charge_Code],MATCH(TimeEntry[[#This Row],[Project_ID]],projects[Project_ID],0))</f>
        <v>210035-65 MC VBB WP1: DO-nota West (25-050)</v>
      </c>
      <c r="H91" s="1" t="str">
        <f t="shared" si="0"/>
        <v>Normal Time</v>
      </c>
      <c r="I91" s="1" t="s">
        <v>344</v>
      </c>
      <c r="J91" s="15"/>
      <c r="K91" s="15"/>
      <c r="L91" s="15"/>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4</v>
      </c>
      <c r="R91" s="9">
        <f>YEAR(TimeEntry[[#This Row],[WkEnd]])</f>
        <v>2020</v>
      </c>
      <c r="S91" s="9">
        <f>WEEKNUM(TimeEntry[[#This Row],[WkEnd]])</f>
        <v>41</v>
      </c>
      <c r="T91" s="9" t="str">
        <f>TimeEntry[[#This Row],[Year]]&amp;"-"&amp;TimeEntry[[#This Row],[WkNo]]</f>
        <v>2020-41</v>
      </c>
    </row>
    <row r="92" spans="1:20" x14ac:dyDescent="0.25">
      <c r="A92" s="6">
        <f>MOD(IF(ROW()=2,0.1,IF(INDEX(TimeEntry[WkEnd],ROW()-1)  =  INDEX(TimeEntry[WkEnd],ROW()-2),    INDEX(TimeEntry[format],ROW()-2),    INDEX(TimeEntry[format],ROW()-2)    +1)),2)</f>
        <v>0.10000000000000009</v>
      </c>
      <c r="B92" s="7">
        <v>44104.667974537035</v>
      </c>
      <c r="C92" s="8">
        <v>44104</v>
      </c>
      <c r="D92" s="8" t="s">
        <v>100</v>
      </c>
      <c r="E92" s="1" t="s">
        <v>442</v>
      </c>
      <c r="F92" s="8">
        <f>IF(TimeEntry[[#This Row],[Date]]=0,F91,C92+(7-Q92))</f>
        <v>44108</v>
      </c>
      <c r="G92" s="35" t="str">
        <f>INDEX(projects[Charge_Code],MATCH(TimeEntry[[#This Row],[Project_ID]],projects[Project_ID],0))</f>
        <v>210035-65 MC VBB WP1: DO-nota West (25-050)</v>
      </c>
      <c r="H92" s="1" t="str">
        <f t="shared" si="0"/>
        <v>Normal Time</v>
      </c>
      <c r="I92" s="1" t="s">
        <v>343</v>
      </c>
      <c r="J92" s="15"/>
      <c r="K92" s="15"/>
      <c r="L92" s="15"/>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3</v>
      </c>
      <c r="R92" s="9">
        <f>YEAR(TimeEntry[[#This Row],[WkEnd]])</f>
        <v>2020</v>
      </c>
      <c r="S92" s="9">
        <f>WEEKNUM(TimeEntry[[#This Row],[WkEnd]])</f>
        <v>41</v>
      </c>
      <c r="T92" s="9" t="str">
        <f>TimeEntry[[#This Row],[Year]]&amp;"-"&amp;TimeEntry[[#This Row],[WkNo]]</f>
        <v>2020-41</v>
      </c>
    </row>
    <row r="93" spans="1:20" x14ac:dyDescent="0.25">
      <c r="A93" s="6">
        <f>MOD(IF(ROW()=2,0.1,IF(INDEX(TimeEntry[WkEnd],ROW()-1)  =  INDEX(TimeEntry[WkEnd],ROW()-2),    INDEX(TimeEntry[format],ROW()-2),    INDEX(TimeEntry[format],ROW()-2)    +1)),2)</f>
        <v>0.10000000000000009</v>
      </c>
      <c r="B93" s="7">
        <v>44104.502071759256</v>
      </c>
      <c r="C93" s="8">
        <v>44104</v>
      </c>
      <c r="D93" s="8" t="s">
        <v>100</v>
      </c>
      <c r="E93" s="1" t="s">
        <v>442</v>
      </c>
      <c r="F93" s="8">
        <f>IF(TimeEntry[[#This Row],[Date]]=0,F92,C93+(7-Q93))</f>
        <v>44108</v>
      </c>
      <c r="G93" s="35" t="str">
        <f>INDEX(projects[Charge_Code],MATCH(TimeEntry[[#This Row],[Project_ID]],projects[Project_ID],0))</f>
        <v>210035-65 MC VBB WP1: DO-nota West (25-050)</v>
      </c>
      <c r="H93" s="1" t="str">
        <f t="shared" ref="H93:H156" si="5">"Normal Time"</f>
        <v>Normal Time</v>
      </c>
      <c r="I93" s="1" t="s">
        <v>342</v>
      </c>
      <c r="J93" s="15">
        <v>7.5</v>
      </c>
      <c r="K93" s="15"/>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3</v>
      </c>
      <c r="R93" s="9">
        <f>YEAR(TimeEntry[[#This Row],[WkEnd]])</f>
        <v>2020</v>
      </c>
      <c r="S93" s="9">
        <f>WEEKNUM(TimeEntry[[#This Row],[WkEnd]])</f>
        <v>41</v>
      </c>
      <c r="T93" s="9" t="str">
        <f>TimeEntry[[#This Row],[Year]]&amp;"-"&amp;TimeEntry[[#This Row],[WkNo]]</f>
        <v>2020-41</v>
      </c>
    </row>
    <row r="94" spans="1:20" x14ac:dyDescent="0.25">
      <c r="A94" s="6">
        <f>MOD(IF(ROW()=2,0.1,IF(INDEX(TimeEntry[WkEnd],ROW()-1)  =  INDEX(TimeEntry[WkEnd],ROW()-2),    INDEX(TimeEntry[format],ROW()-2),    INDEX(TimeEntry[format],ROW()-2)    +1)),2)</f>
        <v>0.10000000000000009</v>
      </c>
      <c r="B94" s="7">
        <v>44103.67359953704</v>
      </c>
      <c r="C94" s="8">
        <v>44103</v>
      </c>
      <c r="D94" s="8" t="s">
        <v>101</v>
      </c>
      <c r="E94" s="1" t="s">
        <v>442</v>
      </c>
      <c r="F94" s="8">
        <f>IF(TimeEntry[[#This Row],[Date]]=0,F93,C94+(7-Q94))</f>
        <v>44108</v>
      </c>
      <c r="G94" s="35" t="str">
        <f>INDEX(projects[Charge_Code],MATCH(TimeEntry[[#This Row],[Project_ID]],projects[Project_ID],0))</f>
        <v>210035-65 MC VBB WP1: DO-nota West (25-050)</v>
      </c>
      <c r="H94" s="1" t="str">
        <f t="shared" si="5"/>
        <v>Normal Time</v>
      </c>
      <c r="I94" s="1" t="s">
        <v>341</v>
      </c>
      <c r="J94" s="15">
        <v>7.5</v>
      </c>
      <c r="K94" s="15"/>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2</v>
      </c>
      <c r="R94" s="9">
        <f>YEAR(TimeEntry[[#This Row],[WkEnd]])</f>
        <v>2020</v>
      </c>
      <c r="S94" s="9">
        <f>WEEKNUM(TimeEntry[[#This Row],[WkEnd]])</f>
        <v>41</v>
      </c>
      <c r="T94" s="9" t="str">
        <f>TimeEntry[[#This Row],[Year]]&amp;"-"&amp;TimeEntry[[#This Row],[WkNo]]</f>
        <v>2020-41</v>
      </c>
    </row>
    <row r="95" spans="1:20" x14ac:dyDescent="0.25">
      <c r="A95" s="6">
        <f>MOD(IF(ROW()=2,0.1,IF(INDEX(TimeEntry[WkEnd],ROW()-1)  =  INDEX(TimeEntry[WkEnd],ROW()-2),    INDEX(TimeEntry[format],ROW()-2),    INDEX(TimeEntry[format],ROW()-2)    +1)),2)</f>
        <v>0.10000000000000009</v>
      </c>
      <c r="B95" s="7">
        <v>44103.503020833334</v>
      </c>
      <c r="C95" s="8">
        <v>44103</v>
      </c>
      <c r="D95" s="8" t="s">
        <v>101</v>
      </c>
      <c r="E95" s="1" t="s">
        <v>442</v>
      </c>
      <c r="F95" s="8">
        <f>IF(TimeEntry[[#This Row],[Date]]=0,F94,C95+(7-Q95))</f>
        <v>44108</v>
      </c>
      <c r="G95" s="35" t="str">
        <f>INDEX(projects[Charge_Code],MATCH(TimeEntry[[#This Row],[Project_ID]],projects[Project_ID],0))</f>
        <v>210035-65 MC VBB WP1: DO-nota West (25-050)</v>
      </c>
      <c r="H95" s="1" t="str">
        <f t="shared" si="5"/>
        <v>Normal Time</v>
      </c>
      <c r="I95" s="1" t="s">
        <v>340</v>
      </c>
      <c r="J95" s="15"/>
      <c r="K95" s="15"/>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2</v>
      </c>
      <c r="R95" s="9">
        <f>YEAR(TimeEntry[[#This Row],[WkEnd]])</f>
        <v>2020</v>
      </c>
      <c r="S95" s="9">
        <f>WEEKNUM(TimeEntry[[#This Row],[WkEnd]])</f>
        <v>41</v>
      </c>
      <c r="T95" s="9" t="str">
        <f>TimeEntry[[#This Row],[Year]]&amp;"-"&amp;TimeEntry[[#This Row],[WkNo]]</f>
        <v>2020-41</v>
      </c>
    </row>
    <row r="96" spans="1:20" x14ac:dyDescent="0.25">
      <c r="A96" s="6">
        <f>MOD(IF(ROW()=2,0.1,IF(INDEX(TimeEntry[WkEnd],ROW()-1)  =  INDEX(TimeEntry[WkEnd],ROW()-2),    INDEX(TimeEntry[format],ROW()-2),    INDEX(TimeEntry[format],ROW()-2)    +1)),2)</f>
        <v>0.10000000000000009</v>
      </c>
      <c r="B96" s="7">
        <v>44102.667546296296</v>
      </c>
      <c r="C96" s="8">
        <v>44102</v>
      </c>
      <c r="D96" s="8" t="s">
        <v>104</v>
      </c>
      <c r="E96" s="1" t="s">
        <v>442</v>
      </c>
      <c r="F96" s="8">
        <f>IF(TimeEntry[[#This Row],[Date]]=0,F95,C96+(7-Q96))</f>
        <v>44108</v>
      </c>
      <c r="G96" s="35" t="str">
        <f>INDEX(projects[Charge_Code],MATCH(TimeEntry[[#This Row],[Project_ID]],projects[Project_ID],0))</f>
        <v>210035-65 MC VBB WP1: DO-nota West (25-050)</v>
      </c>
      <c r="H96" s="1" t="str">
        <f t="shared" si="5"/>
        <v>Normal Time</v>
      </c>
      <c r="I96" s="1" t="s">
        <v>332</v>
      </c>
      <c r="J96" s="15">
        <v>3</v>
      </c>
      <c r="K96" s="15"/>
      <c r="L96" s="15"/>
      <c r="M96" s="15"/>
      <c r="N96" s="15"/>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1</v>
      </c>
      <c r="R96" s="9">
        <f>YEAR(TimeEntry[[#This Row],[WkEnd]])</f>
        <v>2020</v>
      </c>
      <c r="S96" s="9">
        <f>WEEKNUM(TimeEntry[[#This Row],[WkEnd]])</f>
        <v>41</v>
      </c>
      <c r="T96" s="9" t="str">
        <f>TimeEntry[[#This Row],[Year]]&amp;"-"&amp;TimeEntry[[#This Row],[WkNo]]</f>
        <v>2020-41</v>
      </c>
    </row>
    <row r="97" spans="1:20" x14ac:dyDescent="0.25">
      <c r="A97" s="6">
        <f>MOD(IF(ROW()=2,0.1,IF(INDEX(TimeEntry[WkEnd],ROW()-1)  =  INDEX(TimeEntry[WkEnd],ROW()-2),    INDEX(TimeEntry[format],ROW()-2),    INDEX(TimeEntry[format],ROW()-2)    +1)),2)</f>
        <v>0.10000000000000009</v>
      </c>
      <c r="B97" s="7">
        <v>44102.500347222223</v>
      </c>
      <c r="C97" s="8">
        <v>44102</v>
      </c>
      <c r="D97" s="8" t="s">
        <v>104</v>
      </c>
      <c r="E97" s="1" t="s">
        <v>442</v>
      </c>
      <c r="F97" s="8">
        <f>IF(TimeEntry[[#This Row],[Date]]=0,F96,C97+(7-Q97))</f>
        <v>44108</v>
      </c>
      <c r="G97" s="35" t="str">
        <f>INDEX(projects[Charge_Code],MATCH(TimeEntry[[#This Row],[Project_ID]],projects[Project_ID],0))</f>
        <v>210035-65 MC VBB WP1: DO-nota West (25-050)</v>
      </c>
      <c r="H97" s="1" t="str">
        <f t="shared" si="5"/>
        <v>Normal Time</v>
      </c>
      <c r="I97" s="1" t="s">
        <v>331</v>
      </c>
      <c r="J97" s="15">
        <v>4.5</v>
      </c>
      <c r="K97" s="15"/>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1</v>
      </c>
      <c r="R97" s="9">
        <f>YEAR(TimeEntry[[#This Row],[WkEnd]])</f>
        <v>2020</v>
      </c>
      <c r="S97" s="9">
        <f>WEEKNUM(TimeEntry[[#This Row],[WkEnd]])</f>
        <v>41</v>
      </c>
      <c r="T97" s="9" t="str">
        <f>TimeEntry[[#This Row],[Year]]&amp;"-"&amp;TimeEntry[[#This Row],[WkNo]]</f>
        <v>2020-41</v>
      </c>
    </row>
    <row r="98" spans="1:20" x14ac:dyDescent="0.25">
      <c r="A98" s="6">
        <f>MOD(IF(ROW()=2,0.1,IF(INDEX(TimeEntry[WkEnd],ROW()-1)  =  INDEX(TimeEntry[WkEnd],ROW()-2),    INDEX(TimeEntry[format],ROW()-2),    INDEX(TimeEntry[format],ROW()-2)    +1)),2)</f>
        <v>1.1000000000000001</v>
      </c>
      <c r="B98" s="7">
        <v>44099.703553240739</v>
      </c>
      <c r="C98" s="8">
        <v>44099</v>
      </c>
      <c r="D98" s="8" t="s">
        <v>106</v>
      </c>
      <c r="E98" s="1" t="s">
        <v>442</v>
      </c>
      <c r="F98" s="8">
        <f>IF(TimeEntry[[#This Row],[Date]]=0,F97,C98+(7-Q98))</f>
        <v>44101</v>
      </c>
      <c r="G98" s="35" t="str">
        <f>INDEX(projects[Charge_Code],MATCH(TimeEntry[[#This Row],[Project_ID]],projects[Project_ID],0))</f>
        <v>210035-65 MC VBB WP1: DO-nota West (25-050)</v>
      </c>
      <c r="H98" s="1" t="str">
        <f t="shared" si="5"/>
        <v>Normal Time</v>
      </c>
      <c r="I98" s="1" t="s">
        <v>330</v>
      </c>
      <c r="J98" s="15">
        <v>7.5</v>
      </c>
      <c r="K98" s="15"/>
      <c r="L98" s="15"/>
      <c r="M98" s="15"/>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5</v>
      </c>
      <c r="R98" s="9">
        <f>YEAR(TimeEntry[[#This Row],[WkEnd]])</f>
        <v>2020</v>
      </c>
      <c r="S98" s="9">
        <f>WEEKNUM(TimeEntry[[#This Row],[WkEnd]])</f>
        <v>40</v>
      </c>
      <c r="T98" s="9" t="str">
        <f>TimeEntry[[#This Row],[Year]]&amp;"-"&amp;TimeEntry[[#This Row],[WkNo]]</f>
        <v>2020-40</v>
      </c>
    </row>
    <row r="99" spans="1:20" x14ac:dyDescent="0.25">
      <c r="A99" s="6">
        <f>MOD(IF(ROW()=2,0.1,IF(INDEX(TimeEntry[WkEnd],ROW()-1)  =  INDEX(TimeEntry[WkEnd],ROW()-2),    INDEX(TimeEntry[format],ROW()-2),    INDEX(TimeEntry[format],ROW()-2)    +1)),2)</f>
        <v>1.1000000000000001</v>
      </c>
      <c r="B99" s="7">
        <v>44099.551122685189</v>
      </c>
      <c r="C99" s="8">
        <v>44099</v>
      </c>
      <c r="D99" s="8" t="s">
        <v>106</v>
      </c>
      <c r="E99" s="1" t="s">
        <v>442</v>
      </c>
      <c r="F99" s="8">
        <f>IF(TimeEntry[[#This Row],[Date]]=0,F98,C99+(7-Q99))</f>
        <v>44101</v>
      </c>
      <c r="G99" s="35" t="str">
        <f>INDEX(projects[Charge_Code],MATCH(TimeEntry[[#This Row],[Project_ID]],projects[Project_ID],0))</f>
        <v>210035-65 MC VBB WP1: DO-nota West (25-050)</v>
      </c>
      <c r="H99" s="1" t="str">
        <f t="shared" si="5"/>
        <v>Normal Time</v>
      </c>
      <c r="I99" s="1" t="s">
        <v>336</v>
      </c>
      <c r="J99" s="15"/>
      <c r="K99" s="15"/>
      <c r="L99" s="15"/>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5</v>
      </c>
      <c r="R99" s="9">
        <f>YEAR(TimeEntry[[#This Row],[WkEnd]])</f>
        <v>2020</v>
      </c>
      <c r="S99" s="9">
        <f>WEEKNUM(TimeEntry[[#This Row],[WkEnd]])</f>
        <v>40</v>
      </c>
      <c r="T99" s="9" t="str">
        <f>TimeEntry[[#This Row],[Year]]&amp;"-"&amp;TimeEntry[[#This Row],[WkNo]]</f>
        <v>2020-40</v>
      </c>
    </row>
    <row r="100" spans="1:20" x14ac:dyDescent="0.25">
      <c r="A100" s="6">
        <f>MOD(IF(ROW()=2,0.1,IF(INDEX(TimeEntry[WkEnd],ROW()-1)  =  INDEX(TimeEntry[WkEnd],ROW()-2),    INDEX(TimeEntry[format],ROW()-2),    INDEX(TimeEntry[format],ROW()-2)    +1)),2)</f>
        <v>1.1000000000000001</v>
      </c>
      <c r="B100" s="7">
        <v>44099.551122685189</v>
      </c>
      <c r="C100" s="8">
        <v>44099</v>
      </c>
      <c r="D100" s="8" t="s">
        <v>106</v>
      </c>
      <c r="E100" s="1" t="s">
        <v>442</v>
      </c>
      <c r="F100" s="8">
        <f>IF(TimeEntry[[#This Row],[Date]]=0,F99,C100+(7-Q100))</f>
        <v>44101</v>
      </c>
      <c r="G100" s="35" t="str">
        <f>INDEX(projects[Charge_Code],MATCH(TimeEntry[[#This Row],[Project_ID]],projects[Project_ID],0))</f>
        <v>210035-65 MC VBB WP1: DO-nota West (25-050)</v>
      </c>
      <c r="H100" s="1" t="str">
        <f t="shared" si="5"/>
        <v>Normal Time</v>
      </c>
      <c r="I100" s="1" t="s">
        <v>335</v>
      </c>
      <c r="J100" s="15"/>
      <c r="K100" s="15"/>
      <c r="L100" s="15"/>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5</v>
      </c>
      <c r="R100" s="9">
        <f>YEAR(TimeEntry[[#This Row],[WkEnd]])</f>
        <v>2020</v>
      </c>
      <c r="S100" s="9">
        <f>WEEKNUM(TimeEntry[[#This Row],[WkEnd]])</f>
        <v>40</v>
      </c>
      <c r="T100" s="9" t="str">
        <f>TimeEntry[[#This Row],[Year]]&amp;"-"&amp;TimeEntry[[#This Row],[WkNo]]</f>
        <v>2020-40</v>
      </c>
    </row>
    <row r="101" spans="1:20" x14ac:dyDescent="0.25">
      <c r="A101" s="6">
        <f>MOD(IF(ROW()=2,0.1,IF(INDEX(TimeEntry[WkEnd],ROW()-1)  =  INDEX(TimeEntry[WkEnd],ROW()-2),    INDEX(TimeEntry[format],ROW()-2),    INDEX(TimeEntry[format],ROW()-2)    +1)),2)</f>
        <v>1.1000000000000001</v>
      </c>
      <c r="B101" s="7">
        <v>44098.667025462964</v>
      </c>
      <c r="C101" s="8">
        <v>44098</v>
      </c>
      <c r="D101" s="8" t="s">
        <v>102</v>
      </c>
      <c r="E101" s="1" t="s">
        <v>442</v>
      </c>
      <c r="F101" s="8">
        <f>IF(TimeEntry[[#This Row],[Date]]=0,F100,C101+(7-Q101))</f>
        <v>44101</v>
      </c>
      <c r="G101" s="35" t="str">
        <f>INDEX(projects[Charge_Code],MATCH(TimeEntry[[#This Row],[Project_ID]],projects[Project_ID],0))</f>
        <v>210035-65 MC VBB WP1: DO-nota West (25-050)</v>
      </c>
      <c r="H101" s="1" t="str">
        <f t="shared" si="5"/>
        <v>Normal Time</v>
      </c>
      <c r="I101" s="1" t="s">
        <v>328</v>
      </c>
      <c r="J101" s="15">
        <v>5.5</v>
      </c>
      <c r="K101" s="15"/>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4</v>
      </c>
      <c r="R101" s="9">
        <f>YEAR(TimeEntry[[#This Row],[WkEnd]])</f>
        <v>2020</v>
      </c>
      <c r="S101" s="9">
        <f>WEEKNUM(TimeEntry[[#This Row],[WkEnd]])</f>
        <v>40</v>
      </c>
      <c r="T101" s="9" t="str">
        <f>TimeEntry[[#This Row],[Year]]&amp;"-"&amp;TimeEntry[[#This Row],[WkNo]]</f>
        <v>2020-40</v>
      </c>
    </row>
    <row r="102" spans="1:20" x14ac:dyDescent="0.25">
      <c r="A102" s="6">
        <f>MOD(IF(ROW()=2,0.1,IF(INDEX(TimeEntry[WkEnd],ROW()-1)  =  INDEX(TimeEntry[WkEnd],ROW()-2),    INDEX(TimeEntry[format],ROW()-2),    INDEX(TimeEntry[format],ROW()-2)    +1)),2)</f>
        <v>1.1000000000000001</v>
      </c>
      <c r="B102" s="7">
        <v>44098.501018518517</v>
      </c>
      <c r="C102" s="8">
        <v>44098</v>
      </c>
      <c r="D102" s="8" t="s">
        <v>102</v>
      </c>
      <c r="E102" s="1" t="s">
        <v>441</v>
      </c>
      <c r="F102" s="8">
        <f>IF(TimeEntry[[#This Row],[Date]]=0,F101,C102+(7-Q102))</f>
        <v>44101</v>
      </c>
      <c r="G102" s="35" t="str">
        <f>INDEX(projects[Charge_Code],MATCH(TimeEntry[[#This Row],[Project_ID]],projects[Project_ID],0))</f>
        <v>TRAINING (In-house training)</v>
      </c>
      <c r="H102" s="1" t="str">
        <f t="shared" si="5"/>
        <v>Normal Time</v>
      </c>
      <c r="I102" s="1" t="s">
        <v>337</v>
      </c>
      <c r="J102" s="15">
        <v>2</v>
      </c>
      <c r="K102" s="15"/>
      <c r="L102" s="15"/>
      <c r="M102" s="15"/>
      <c r="N102" s="15"/>
      <c r="O102" s="15">
        <f>INDEX(projects[job number],MATCH(TimeEntry[[#This Row],[Project_ID]], projects[Project_ID],0))</f>
        <v>0</v>
      </c>
      <c r="P102" s="15" t="str">
        <f>INDEX(projects[Project_Name],MATCH(TimeEntry[[#This Row],[Project_ID]], projects[Project_ID],0))</f>
        <v>TRAINING (In-house training)</v>
      </c>
      <c r="Q102" s="6">
        <f>IF(TimeEntry[[#This Row],[Date]]=0,"",WEEKDAY(C102,2))</f>
        <v>4</v>
      </c>
      <c r="R102" s="9">
        <f>YEAR(TimeEntry[[#This Row],[WkEnd]])</f>
        <v>2020</v>
      </c>
      <c r="S102" s="9">
        <f>WEEKNUM(TimeEntry[[#This Row],[WkEnd]])</f>
        <v>40</v>
      </c>
      <c r="T102" s="9" t="str">
        <f>TimeEntry[[#This Row],[Year]]&amp;"-"&amp;TimeEntry[[#This Row],[WkNo]]</f>
        <v>2020-40</v>
      </c>
    </row>
    <row r="103" spans="1:20" x14ac:dyDescent="0.25">
      <c r="A103" s="6">
        <f>MOD(IF(ROW()=2,0.1,IF(INDEX(TimeEntry[WkEnd],ROW()-1)  =  INDEX(TimeEntry[WkEnd],ROW()-2),    INDEX(TimeEntry[format],ROW()-2),    INDEX(TimeEntry[format],ROW()-2)    +1)),2)</f>
        <v>1.1000000000000001</v>
      </c>
      <c r="B103" s="7">
        <v>44097.667326388888</v>
      </c>
      <c r="C103" s="8">
        <v>44097</v>
      </c>
      <c r="D103" s="8" t="s">
        <v>100</v>
      </c>
      <c r="E103" s="1" t="s">
        <v>442</v>
      </c>
      <c r="F103" s="8">
        <f>IF(TimeEntry[[#This Row],[Date]]=0,F102,C103+(7-Q103))</f>
        <v>44101</v>
      </c>
      <c r="G103" s="35" t="str">
        <f>INDEX(projects[Charge_Code],MATCH(TimeEntry[[#This Row],[Project_ID]],projects[Project_ID],0))</f>
        <v>210035-65 MC VBB WP1: DO-nota West (25-050)</v>
      </c>
      <c r="H103" s="1" t="str">
        <f t="shared" si="5"/>
        <v>Normal Time</v>
      </c>
      <c r="I103" s="1" t="s">
        <v>327</v>
      </c>
      <c r="J103" s="15">
        <v>3.5</v>
      </c>
      <c r="K103" s="15"/>
      <c r="L103" s="15"/>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3</v>
      </c>
      <c r="R103" s="9">
        <f>YEAR(TimeEntry[[#This Row],[WkEnd]])</f>
        <v>2020</v>
      </c>
      <c r="S103" s="9">
        <f>WEEKNUM(TimeEntry[[#This Row],[WkEnd]])</f>
        <v>40</v>
      </c>
      <c r="T103" s="9" t="str">
        <f>TimeEntry[[#This Row],[Year]]&amp;"-"&amp;TimeEntry[[#This Row],[WkNo]]</f>
        <v>2020-40</v>
      </c>
    </row>
    <row r="104" spans="1:20" x14ac:dyDescent="0.25">
      <c r="A104" s="6">
        <f>MOD(IF(ROW()=2,0.1,IF(INDEX(TimeEntry[WkEnd],ROW()-1)  =  INDEX(TimeEntry[WkEnd],ROW()-2),    INDEX(TimeEntry[format],ROW()-2),    INDEX(TimeEntry[format],ROW()-2)    +1)),2)</f>
        <v>1.1000000000000001</v>
      </c>
      <c r="B104" s="7">
        <v>44097.500543981485</v>
      </c>
      <c r="C104" s="8">
        <v>44097</v>
      </c>
      <c r="D104" s="8" t="s">
        <v>100</v>
      </c>
      <c r="E104" s="1" t="s">
        <v>442</v>
      </c>
      <c r="F104" s="8">
        <f>IF(TimeEntry[[#This Row],[Date]]=0,F103,C104+(7-Q104))</f>
        <v>44101</v>
      </c>
      <c r="G104" s="35" t="str">
        <f>INDEX(projects[Charge_Code],MATCH(TimeEntry[[#This Row],[Project_ID]],projects[Project_ID],0))</f>
        <v>210035-65 MC VBB WP1: DO-nota West (25-050)</v>
      </c>
      <c r="H104" s="1" t="str">
        <f t="shared" si="5"/>
        <v>Normal Time</v>
      </c>
      <c r="I104" s="1" t="s">
        <v>326</v>
      </c>
      <c r="J104" s="15">
        <v>4</v>
      </c>
      <c r="K104" s="15"/>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3</v>
      </c>
      <c r="R104" s="9">
        <f>YEAR(TimeEntry[[#This Row],[WkEnd]])</f>
        <v>2020</v>
      </c>
      <c r="S104" s="9">
        <f>WEEKNUM(TimeEntry[[#This Row],[WkEnd]])</f>
        <v>40</v>
      </c>
      <c r="T104" s="9" t="str">
        <f>TimeEntry[[#This Row],[Year]]&amp;"-"&amp;TimeEntry[[#This Row],[WkNo]]</f>
        <v>2020-40</v>
      </c>
    </row>
    <row r="105" spans="1:20" x14ac:dyDescent="0.25">
      <c r="A105" s="6">
        <f>MOD(IF(ROW()=2,0.1,IF(INDEX(TimeEntry[WkEnd],ROW()-1)  =  INDEX(TimeEntry[WkEnd],ROW()-2),    INDEX(TimeEntry[format],ROW()-2),    INDEX(TimeEntry[format],ROW()-2)    +1)),2)</f>
        <v>1.1000000000000001</v>
      </c>
      <c r="B105" s="7">
        <v>44096.667650462965</v>
      </c>
      <c r="C105" s="8">
        <v>44096</v>
      </c>
      <c r="D105" s="8" t="s">
        <v>101</v>
      </c>
      <c r="E105" s="1" t="s">
        <v>442</v>
      </c>
      <c r="F105" s="8">
        <f>IF(TimeEntry[[#This Row],[Date]]=0,F104,C105+(7-Q105))</f>
        <v>44101</v>
      </c>
      <c r="G105" s="35" t="str">
        <f>INDEX(projects[Charge_Code],MATCH(TimeEntry[[#This Row],[Project_ID]],projects[Project_ID],0))</f>
        <v>210035-65 MC VBB WP1: DO-nota West (25-050)</v>
      </c>
      <c r="H105" s="1" t="str">
        <f t="shared" si="5"/>
        <v>Normal Time</v>
      </c>
      <c r="I105" s="1" t="s">
        <v>325</v>
      </c>
      <c r="J105" s="15">
        <v>4.5</v>
      </c>
      <c r="K105" s="15"/>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2</v>
      </c>
      <c r="R105" s="9">
        <f>YEAR(TimeEntry[[#This Row],[WkEnd]])</f>
        <v>2020</v>
      </c>
      <c r="S105" s="9">
        <f>WEEKNUM(TimeEntry[[#This Row],[WkEnd]])</f>
        <v>40</v>
      </c>
      <c r="T105" s="9" t="str">
        <f>TimeEntry[[#This Row],[Year]]&amp;"-"&amp;TimeEntry[[#This Row],[WkNo]]</f>
        <v>2020-40</v>
      </c>
    </row>
    <row r="106" spans="1:20" x14ac:dyDescent="0.25">
      <c r="A106" s="6">
        <f>MOD(IF(ROW()=2,0.1,IF(INDEX(TimeEntry[WkEnd],ROW()-1)  =  INDEX(TimeEntry[WkEnd],ROW()-2),    INDEX(TimeEntry[format],ROW()-2),    INDEX(TimeEntry[format],ROW()-2)    +1)),2)</f>
        <v>1.1000000000000001</v>
      </c>
      <c r="B106" s="7">
        <v>44096.500983796293</v>
      </c>
      <c r="C106" s="8">
        <v>44096</v>
      </c>
      <c r="D106" s="8" t="s">
        <v>101</v>
      </c>
      <c r="E106" s="1" t="s">
        <v>442</v>
      </c>
      <c r="F106" s="8">
        <f>IF(TimeEntry[[#This Row],[Date]]=0,F105,C106+(7-Q106))</f>
        <v>44101</v>
      </c>
      <c r="G106" s="35" t="str">
        <f>INDEX(projects[Charge_Code],MATCH(TimeEntry[[#This Row],[Project_ID]],projects[Project_ID],0))</f>
        <v>210035-65 MC VBB WP1: DO-nota West (25-050)</v>
      </c>
      <c r="H106" s="1" t="str">
        <f t="shared" si="5"/>
        <v>Normal Time</v>
      </c>
      <c r="I106" s="1" t="s">
        <v>324</v>
      </c>
      <c r="J106" s="15">
        <v>3</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2</v>
      </c>
      <c r="R106" s="9">
        <f>YEAR(TimeEntry[[#This Row],[WkEnd]])</f>
        <v>2020</v>
      </c>
      <c r="S106" s="9">
        <f>WEEKNUM(TimeEntry[[#This Row],[WkEnd]])</f>
        <v>40</v>
      </c>
      <c r="T106" s="9" t="str">
        <f>TimeEntry[[#This Row],[Year]]&amp;"-"&amp;TimeEntry[[#This Row],[WkNo]]</f>
        <v>2020-40</v>
      </c>
    </row>
    <row r="107" spans="1:20" x14ac:dyDescent="0.25">
      <c r="A107" s="6">
        <f>MOD(IF(ROW()=2,0.1,IF(INDEX(TimeEntry[WkEnd],ROW()-1)  =  INDEX(TimeEntry[WkEnd],ROW()-2),    INDEX(TimeEntry[format],ROW()-2),    INDEX(TimeEntry[format],ROW()-2)    +1)),2)</f>
        <v>1.1000000000000001</v>
      </c>
      <c r="B107" s="7">
        <v>44095.669606481482</v>
      </c>
      <c r="C107" s="8">
        <v>44095</v>
      </c>
      <c r="D107" s="8" t="s">
        <v>104</v>
      </c>
      <c r="E107" s="1" t="s">
        <v>442</v>
      </c>
      <c r="F107" s="8">
        <f>IF(TimeEntry[[#This Row],[Date]]=0,F106,C107+(7-Q107))</f>
        <v>44101</v>
      </c>
      <c r="G107" s="35" t="str">
        <f>INDEX(projects[Charge_Code],MATCH(TimeEntry[[#This Row],[Project_ID]],projects[Project_ID],0))</f>
        <v>210035-65 MC VBB WP1: DO-nota West (25-050)</v>
      </c>
      <c r="H107" s="1" t="str">
        <f t="shared" si="5"/>
        <v>Normal Time</v>
      </c>
      <c r="I107" s="1" t="s">
        <v>333</v>
      </c>
      <c r="J107" s="15">
        <v>2</v>
      </c>
      <c r="K107" s="15"/>
      <c r="L107" s="15"/>
      <c r="M107" s="15"/>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1</v>
      </c>
      <c r="R107" s="9">
        <f>YEAR(TimeEntry[[#This Row],[WkEnd]])</f>
        <v>2020</v>
      </c>
      <c r="S107" s="9">
        <f>WEEKNUM(TimeEntry[[#This Row],[WkEnd]])</f>
        <v>40</v>
      </c>
      <c r="T107" s="9" t="str">
        <f>TimeEntry[[#This Row],[Year]]&amp;"-"&amp;TimeEntry[[#This Row],[WkNo]]</f>
        <v>2020-40</v>
      </c>
    </row>
    <row r="108" spans="1:20" x14ac:dyDescent="0.25">
      <c r="A108" s="6">
        <f>MOD(IF(ROW()=2,0.1,IF(INDEX(TimeEntry[WkEnd],ROW()-1)  =  INDEX(TimeEntry[WkEnd],ROW()-2),    INDEX(TimeEntry[format],ROW()-2),    INDEX(TimeEntry[format],ROW()-2)    +1)),2)</f>
        <v>1.1000000000000001</v>
      </c>
      <c r="B108" s="7">
        <v>44095.669606481482</v>
      </c>
      <c r="C108" s="8">
        <v>44095</v>
      </c>
      <c r="D108" s="8" t="s">
        <v>104</v>
      </c>
      <c r="E108" s="1" t="s">
        <v>444</v>
      </c>
      <c r="F108" s="8">
        <f>IF(TimeEntry[[#This Row],[Date]]=0,F107,C108+(7-Q108))</f>
        <v>44101</v>
      </c>
      <c r="G108" s="35" t="str">
        <f>INDEX(projects[Charge_Code],MATCH(TimeEntry[[#This Row],[Project_ID]],projects[Project_ID],0))</f>
        <v>071945-07 BCS - management (01-124)</v>
      </c>
      <c r="H108" s="1" t="str">
        <f t="shared" si="5"/>
        <v>Normal Time</v>
      </c>
      <c r="I108" s="1" t="s">
        <v>334</v>
      </c>
      <c r="J108" s="15">
        <v>2</v>
      </c>
      <c r="K108" s="15"/>
      <c r="L108" s="15"/>
      <c r="M108" s="15"/>
      <c r="N108" s="15"/>
      <c r="O108" s="15" t="str">
        <f>INDEX(projects[job number],MATCH(TimeEntry[[#This Row],[Project_ID]], projects[Project_ID],0))</f>
        <v>071945-07</v>
      </c>
      <c r="P108" s="15" t="str">
        <f>INDEX(projects[Project_Name],MATCH(TimeEntry[[#This Row],[Project_ID]], projects[Project_ID],0))</f>
        <v>BCS - management</v>
      </c>
      <c r="Q108" s="6">
        <f>IF(TimeEntry[[#This Row],[Date]]=0,"",WEEKDAY(C108,2))</f>
        <v>1</v>
      </c>
      <c r="R108" s="9">
        <f>YEAR(TimeEntry[[#This Row],[WkEnd]])</f>
        <v>2020</v>
      </c>
      <c r="S108" s="9">
        <f>WEEKNUM(TimeEntry[[#This Row],[WkEnd]])</f>
        <v>40</v>
      </c>
      <c r="T108" s="9" t="str">
        <f>TimeEntry[[#This Row],[Year]]&amp;"-"&amp;TimeEntry[[#This Row],[WkNo]]</f>
        <v>2020-40</v>
      </c>
    </row>
    <row r="109" spans="1:20" x14ac:dyDescent="0.25">
      <c r="A109" s="6">
        <f>MOD(IF(ROW()=2,0.1,IF(INDEX(TimeEntry[WkEnd],ROW()-1)  =  INDEX(TimeEntry[WkEnd],ROW()-2),    INDEX(TimeEntry[format],ROW()-2),    INDEX(TimeEntry[format],ROW()-2)    +1)),2)</f>
        <v>1.1000000000000001</v>
      </c>
      <c r="B109" s="7">
        <v>44095.503888888888</v>
      </c>
      <c r="C109" s="8">
        <v>44095</v>
      </c>
      <c r="D109" s="8" t="s">
        <v>104</v>
      </c>
      <c r="E109" s="1" t="s">
        <v>442</v>
      </c>
      <c r="F109" s="8">
        <f>IF(TimeEntry[[#This Row],[Date]]=0,F108,C109+(7-Q109))</f>
        <v>44101</v>
      </c>
      <c r="G109" s="35" t="str">
        <f>INDEX(projects[Charge_Code],MATCH(TimeEntry[[#This Row],[Project_ID]],projects[Project_ID],0))</f>
        <v>210035-65 MC VBB WP1: DO-nota West (25-050)</v>
      </c>
      <c r="H109" s="1" t="str">
        <f t="shared" si="5"/>
        <v>Normal Time</v>
      </c>
      <c r="I109" s="1" t="s">
        <v>323</v>
      </c>
      <c r="J109" s="15">
        <v>3.5</v>
      </c>
      <c r="K109" s="15"/>
      <c r="L109" s="15"/>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1</v>
      </c>
      <c r="R109" s="9">
        <f>YEAR(TimeEntry[[#This Row],[WkEnd]])</f>
        <v>2020</v>
      </c>
      <c r="S109" s="9">
        <f>WEEKNUM(TimeEntry[[#This Row],[WkEnd]])</f>
        <v>40</v>
      </c>
      <c r="T109" s="9" t="str">
        <f>TimeEntry[[#This Row],[Year]]&amp;"-"&amp;TimeEntry[[#This Row],[WkNo]]</f>
        <v>2020-40</v>
      </c>
    </row>
    <row r="110" spans="1:20" x14ac:dyDescent="0.25">
      <c r="A110" s="6">
        <f>MOD(IF(ROW()=2,0.1,IF(INDEX(TimeEntry[WkEnd],ROW()-1)  =  INDEX(TimeEntry[WkEnd],ROW()-2),    INDEX(TimeEntry[format],ROW()-2),    INDEX(TimeEntry[format],ROW()-2)    +1)),2)</f>
        <v>0.10000000000000009</v>
      </c>
      <c r="B110" s="7">
        <v>44092.679606481484</v>
      </c>
      <c r="C110" s="8">
        <v>44092</v>
      </c>
      <c r="D110" s="8" t="s">
        <v>106</v>
      </c>
      <c r="E110" s="1" t="s">
        <v>442</v>
      </c>
      <c r="F110" s="8">
        <f>IF(TimeEntry[[#This Row],[Date]]=0,F109,C110+(7-Q110))</f>
        <v>44094</v>
      </c>
      <c r="G110" s="35" t="str">
        <f>INDEX(projects[Charge_Code],MATCH(TimeEntry[[#This Row],[Project_ID]],projects[Project_ID],0))</f>
        <v>210035-65 MC VBB WP1: DO-nota West (25-050)</v>
      </c>
      <c r="H110" s="1" t="str">
        <f t="shared" si="5"/>
        <v>Normal Time</v>
      </c>
      <c r="I110" s="1" t="s">
        <v>321</v>
      </c>
      <c r="J110" s="15">
        <v>3.75</v>
      </c>
      <c r="K110" s="15"/>
      <c r="L110" s="15"/>
      <c r="M110" s="15"/>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5</v>
      </c>
      <c r="R110" s="9">
        <f>YEAR(TimeEntry[[#This Row],[WkEnd]])</f>
        <v>2020</v>
      </c>
      <c r="S110" s="9">
        <f>WEEKNUM(TimeEntry[[#This Row],[WkEnd]])</f>
        <v>39</v>
      </c>
      <c r="T110" s="9" t="str">
        <f>TimeEntry[[#This Row],[Year]]&amp;"-"&amp;TimeEntry[[#This Row],[WkNo]]</f>
        <v>2020-39</v>
      </c>
    </row>
    <row r="111" spans="1:20" x14ac:dyDescent="0.25">
      <c r="A111" s="6">
        <f>MOD(IF(ROW()=2,0.1,IF(INDEX(TimeEntry[WkEnd],ROW()-1)  =  INDEX(TimeEntry[WkEnd],ROW()-2),    INDEX(TimeEntry[format],ROW()-2),    INDEX(TimeEntry[format],ROW()-2)    +1)),2)</f>
        <v>0.10000000000000009</v>
      </c>
      <c r="B111" s="7">
        <v>44092.503159722219</v>
      </c>
      <c r="C111" s="8">
        <v>44092</v>
      </c>
      <c r="D111" s="8" t="s">
        <v>106</v>
      </c>
      <c r="E111" s="1" t="s">
        <v>442</v>
      </c>
      <c r="F111" s="8">
        <f>IF(TimeEntry[[#This Row],[Date]]=0,F110,C111+(7-Q111))</f>
        <v>44094</v>
      </c>
      <c r="G111" s="35" t="str">
        <f>INDEX(projects[Charge_Code],MATCH(TimeEntry[[#This Row],[Project_ID]],projects[Project_ID],0))</f>
        <v>210035-65 MC VBB WP1: DO-nota West (25-050)</v>
      </c>
      <c r="H111" s="1" t="str">
        <f t="shared" si="5"/>
        <v>Normal Time</v>
      </c>
      <c r="I111" s="1" t="s">
        <v>320</v>
      </c>
      <c r="J111" s="15">
        <v>3.75</v>
      </c>
      <c r="K111" s="15"/>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5</v>
      </c>
      <c r="R111" s="9">
        <f>YEAR(TimeEntry[[#This Row],[WkEnd]])</f>
        <v>2020</v>
      </c>
      <c r="S111" s="9">
        <f>WEEKNUM(TimeEntry[[#This Row],[WkEnd]])</f>
        <v>39</v>
      </c>
      <c r="T111" s="9" t="str">
        <f>TimeEntry[[#This Row],[Year]]&amp;"-"&amp;TimeEntry[[#This Row],[WkNo]]</f>
        <v>2020-39</v>
      </c>
    </row>
    <row r="112" spans="1:20" x14ac:dyDescent="0.25">
      <c r="A112" s="6">
        <f>MOD(IF(ROW()=2,0.1,IF(INDEX(TimeEntry[WkEnd],ROW()-1)  =  INDEX(TimeEntry[WkEnd],ROW()-2),    INDEX(TimeEntry[format],ROW()-2),    INDEX(TimeEntry[format],ROW()-2)    +1)),2)</f>
        <v>0.10000000000000009</v>
      </c>
      <c r="B112" s="7">
        <v>44091.670578703706</v>
      </c>
      <c r="C112" s="8">
        <v>44091</v>
      </c>
      <c r="D112" s="8" t="s">
        <v>102</v>
      </c>
      <c r="E112" s="1" t="s">
        <v>442</v>
      </c>
      <c r="F112" s="8">
        <f>IF(TimeEntry[[#This Row],[Date]]=0,F111,C112+(7-Q112))</f>
        <v>44094</v>
      </c>
      <c r="G112" s="35" t="str">
        <f>INDEX(projects[Charge_Code],MATCH(TimeEntry[[#This Row],[Project_ID]],projects[Project_ID],0))</f>
        <v>210035-65 MC VBB WP1: DO-nota West (25-050)</v>
      </c>
      <c r="H112" s="1" t="str">
        <f t="shared" si="5"/>
        <v>Normal Time</v>
      </c>
      <c r="I112" s="1" t="s">
        <v>329</v>
      </c>
      <c r="J112" s="15">
        <v>5</v>
      </c>
      <c r="K112" s="15"/>
      <c r="L112" s="15"/>
      <c r="M112" s="15"/>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4</v>
      </c>
      <c r="R112" s="9">
        <f>YEAR(TimeEntry[[#This Row],[WkEnd]])</f>
        <v>2020</v>
      </c>
      <c r="S112" s="9">
        <f>WEEKNUM(TimeEntry[[#This Row],[WkEnd]])</f>
        <v>39</v>
      </c>
      <c r="T112" s="9" t="str">
        <f>TimeEntry[[#This Row],[Year]]&amp;"-"&amp;TimeEntry[[#This Row],[WkNo]]</f>
        <v>2020-39</v>
      </c>
    </row>
    <row r="113" spans="1:20" x14ac:dyDescent="0.25">
      <c r="A113" s="6">
        <f>MOD(IF(ROW()=2,0.1,IF(INDEX(TimeEntry[WkEnd],ROW()-1)  =  INDEX(TimeEntry[WkEnd],ROW()-2),    INDEX(TimeEntry[format],ROW()-2),    INDEX(TimeEntry[format],ROW()-2)    +1)),2)</f>
        <v>0.10000000000000009</v>
      </c>
      <c r="B113" s="7">
        <v>44091.504756944443</v>
      </c>
      <c r="C113" s="8">
        <v>44091</v>
      </c>
      <c r="D113" s="8" t="s">
        <v>102</v>
      </c>
      <c r="E113" s="1" t="s">
        <v>442</v>
      </c>
      <c r="F113" s="8">
        <f>IF(TimeEntry[[#This Row],[Date]]=0,F112,C113+(7-Q113))</f>
        <v>44094</v>
      </c>
      <c r="G113" s="35" t="str">
        <f>INDEX(projects[Charge_Code],MATCH(TimeEntry[[#This Row],[Project_ID]],projects[Project_ID],0))</f>
        <v>210035-65 MC VBB WP1: DO-nota West (25-050)</v>
      </c>
      <c r="H113" s="1" t="str">
        <f t="shared" si="5"/>
        <v>Normal Time</v>
      </c>
      <c r="I113" s="1" t="s">
        <v>319</v>
      </c>
      <c r="J113" s="15">
        <v>2.5</v>
      </c>
      <c r="K113" s="15"/>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4</v>
      </c>
      <c r="R113" s="9">
        <f>YEAR(TimeEntry[[#This Row],[WkEnd]])</f>
        <v>2020</v>
      </c>
      <c r="S113" s="9">
        <f>WEEKNUM(TimeEntry[[#This Row],[WkEnd]])</f>
        <v>39</v>
      </c>
      <c r="T113" s="9" t="str">
        <f>TimeEntry[[#This Row],[Year]]&amp;"-"&amp;TimeEntry[[#This Row],[WkNo]]</f>
        <v>2020-39</v>
      </c>
    </row>
    <row r="114" spans="1:20" x14ac:dyDescent="0.25">
      <c r="A114" s="6">
        <f>MOD(IF(ROW()=2,0.1,IF(INDEX(TimeEntry[WkEnd],ROW()-1)  =  INDEX(TimeEntry[WkEnd],ROW()-2),    INDEX(TimeEntry[format],ROW()-2),    INDEX(TimeEntry[format],ROW()-2)    +1)),2)</f>
        <v>0.10000000000000009</v>
      </c>
      <c r="B114" s="7">
        <v>44090.678622685184</v>
      </c>
      <c r="C114" s="8">
        <v>44090</v>
      </c>
      <c r="D114" s="8" t="s">
        <v>100</v>
      </c>
      <c r="E114" s="1" t="s">
        <v>442</v>
      </c>
      <c r="F114" s="8">
        <f>IF(TimeEntry[[#This Row],[Date]]=0,F113,C114+(7-Q114))</f>
        <v>44094</v>
      </c>
      <c r="G114" s="35" t="str">
        <f>INDEX(projects[Charge_Code],MATCH(TimeEntry[[#This Row],[Project_ID]],projects[Project_ID],0))</f>
        <v>210035-65 MC VBB WP1: DO-nota West (25-050)</v>
      </c>
      <c r="H114" s="1" t="str">
        <f t="shared" si="5"/>
        <v>Normal Time</v>
      </c>
      <c r="I114" s="1" t="s">
        <v>318</v>
      </c>
      <c r="J114" s="15">
        <v>2</v>
      </c>
      <c r="K114" s="15"/>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3</v>
      </c>
      <c r="R114" s="9">
        <f>YEAR(TimeEntry[[#This Row],[WkEnd]])</f>
        <v>2020</v>
      </c>
      <c r="S114" s="9">
        <f>WEEKNUM(TimeEntry[[#This Row],[WkEnd]])</f>
        <v>39</v>
      </c>
      <c r="T114" s="9" t="str">
        <f>TimeEntry[[#This Row],[Year]]&amp;"-"&amp;TimeEntry[[#This Row],[WkNo]]</f>
        <v>2020-39</v>
      </c>
    </row>
    <row r="115" spans="1:20" x14ac:dyDescent="0.25">
      <c r="A115" s="6">
        <f>MOD(IF(ROW()=2,0.1,IF(INDEX(TimeEntry[WkEnd],ROW()-1)  =  INDEX(TimeEntry[WkEnd],ROW()-2),    INDEX(TimeEntry[format],ROW()-2),    INDEX(TimeEntry[format],ROW()-2)    +1)),2)</f>
        <v>0.10000000000000009</v>
      </c>
      <c r="B115" s="7">
        <v>44090.500868055555</v>
      </c>
      <c r="C115" s="8">
        <v>44090</v>
      </c>
      <c r="D115" s="8" t="s">
        <v>100</v>
      </c>
      <c r="E115" s="1" t="s">
        <v>442</v>
      </c>
      <c r="F115" s="8">
        <f>IF(TimeEntry[[#This Row],[Date]]=0,F114,C115+(7-Q115))</f>
        <v>44094</v>
      </c>
      <c r="G115" s="35" t="str">
        <f>INDEX(projects[Charge_Code],MATCH(TimeEntry[[#This Row],[Project_ID]],projects[Project_ID],0))</f>
        <v>210035-65 MC VBB WP1: DO-nota West (25-050)</v>
      </c>
      <c r="H115" s="1" t="str">
        <f t="shared" si="5"/>
        <v>Normal Time</v>
      </c>
      <c r="I115" s="1" t="s">
        <v>317</v>
      </c>
      <c r="J115" s="15">
        <v>5.5</v>
      </c>
      <c r="K115" s="15"/>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3</v>
      </c>
      <c r="R115" s="9">
        <f>YEAR(TimeEntry[[#This Row],[WkEnd]])</f>
        <v>2020</v>
      </c>
      <c r="S115" s="9">
        <f>WEEKNUM(TimeEntry[[#This Row],[WkEnd]])</f>
        <v>39</v>
      </c>
      <c r="T115" s="9" t="str">
        <f>TimeEntry[[#This Row],[Year]]&amp;"-"&amp;TimeEntry[[#This Row],[WkNo]]</f>
        <v>2020-39</v>
      </c>
    </row>
    <row r="116" spans="1:20" x14ac:dyDescent="0.25">
      <c r="A116" s="6">
        <f>MOD(IF(ROW()=2,0.1,IF(INDEX(TimeEntry[WkEnd],ROW()-1)  =  INDEX(TimeEntry[WkEnd],ROW()-2),    INDEX(TimeEntry[format],ROW()-2),    INDEX(TimeEntry[format],ROW()-2)    +1)),2)</f>
        <v>0.10000000000000009</v>
      </c>
      <c r="B116" s="7">
        <v>44089.706678240742</v>
      </c>
      <c r="C116" s="8">
        <v>44089</v>
      </c>
      <c r="D116" s="8" t="s">
        <v>101</v>
      </c>
      <c r="E116" s="1" t="s">
        <v>442</v>
      </c>
      <c r="F116" s="8">
        <f>IF(TimeEntry[[#This Row],[Date]]=0,F115,C116+(7-Q116))</f>
        <v>44094</v>
      </c>
      <c r="G116" s="35" t="str">
        <f>INDEX(projects[Charge_Code],MATCH(TimeEntry[[#This Row],[Project_ID]],projects[Project_ID],0))</f>
        <v>210035-65 MC VBB WP1: DO-nota West (25-050)</v>
      </c>
      <c r="H116" s="1" t="str">
        <f t="shared" si="5"/>
        <v>Normal Time</v>
      </c>
      <c r="I116" s="1" t="s">
        <v>316</v>
      </c>
      <c r="J116" s="15">
        <v>3</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2</v>
      </c>
      <c r="R116" s="9">
        <f>YEAR(TimeEntry[[#This Row],[WkEnd]])</f>
        <v>2020</v>
      </c>
      <c r="S116" s="9">
        <f>WEEKNUM(TimeEntry[[#This Row],[WkEnd]])</f>
        <v>39</v>
      </c>
      <c r="T116" s="9" t="str">
        <f>TimeEntry[[#This Row],[Year]]&amp;"-"&amp;TimeEntry[[#This Row],[WkNo]]</f>
        <v>2020-39</v>
      </c>
    </row>
    <row r="117" spans="1:20" x14ac:dyDescent="0.25">
      <c r="A117" s="6">
        <f>MOD(IF(ROW()=2,0.1,IF(INDEX(TimeEntry[WkEnd],ROW()-1)  =  INDEX(TimeEntry[WkEnd],ROW()-2),    INDEX(TimeEntry[format],ROW()-2),    INDEX(TimeEntry[format],ROW()-2)    +1)),2)</f>
        <v>0.10000000000000009</v>
      </c>
      <c r="B117" s="7">
        <v>44089.50104166667</v>
      </c>
      <c r="C117" s="8">
        <v>44089</v>
      </c>
      <c r="D117" s="8" t="s">
        <v>101</v>
      </c>
      <c r="E117" s="1" t="s">
        <v>442</v>
      </c>
      <c r="F117" s="8">
        <f>IF(TimeEntry[[#This Row],[Date]]=0,F116,C117+(7-Q117))</f>
        <v>44094</v>
      </c>
      <c r="G117" s="35" t="str">
        <f>INDEX(projects[Charge_Code],MATCH(TimeEntry[[#This Row],[Project_ID]],projects[Project_ID],0))</f>
        <v>210035-65 MC VBB WP1: DO-nota West (25-050)</v>
      </c>
      <c r="H117" s="1" t="str">
        <f t="shared" si="5"/>
        <v>Normal Time</v>
      </c>
      <c r="I117" s="1" t="s">
        <v>315</v>
      </c>
      <c r="J117" s="15">
        <v>4.5</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2</v>
      </c>
      <c r="R117" s="9">
        <f>YEAR(TimeEntry[[#This Row],[WkEnd]])</f>
        <v>2020</v>
      </c>
      <c r="S117" s="9">
        <f>WEEKNUM(TimeEntry[[#This Row],[WkEnd]])</f>
        <v>39</v>
      </c>
      <c r="T117" s="9" t="str">
        <f>TimeEntry[[#This Row],[Year]]&amp;"-"&amp;TimeEntry[[#This Row],[WkNo]]</f>
        <v>2020-39</v>
      </c>
    </row>
    <row r="118" spans="1:20" x14ac:dyDescent="0.25">
      <c r="A118" s="6">
        <f>MOD(IF(ROW()=2,0.1,IF(INDEX(TimeEntry[WkEnd],ROW()-1)  =  INDEX(TimeEntry[WkEnd],ROW()-2),    INDEX(TimeEntry[format],ROW()-2),    INDEX(TimeEntry[format],ROW()-2)    +1)),2)</f>
        <v>0.10000000000000009</v>
      </c>
      <c r="B118" s="7">
        <v>44088.674490740741</v>
      </c>
      <c r="C118" s="8">
        <v>44088</v>
      </c>
      <c r="D118" s="8" t="s">
        <v>104</v>
      </c>
      <c r="E118" s="1" t="s">
        <v>442</v>
      </c>
      <c r="F118" s="8">
        <f>IF(TimeEntry[[#This Row],[Date]]=0,F117,C118+(7-Q118))</f>
        <v>44094</v>
      </c>
      <c r="G118" s="35" t="str">
        <f>INDEX(projects[Charge_Code],MATCH(TimeEntry[[#This Row],[Project_ID]],projects[Project_ID],0))</f>
        <v>210035-65 MC VBB WP1: DO-nota West (25-050)</v>
      </c>
      <c r="H118" s="1" t="str">
        <f t="shared" si="5"/>
        <v>Normal Time</v>
      </c>
      <c r="I118" s="1" t="s">
        <v>314</v>
      </c>
      <c r="J118" s="15">
        <v>2</v>
      </c>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1</v>
      </c>
      <c r="R118" s="9">
        <f>YEAR(TimeEntry[[#This Row],[WkEnd]])</f>
        <v>2020</v>
      </c>
      <c r="S118" s="9">
        <f>WEEKNUM(TimeEntry[[#This Row],[WkEnd]])</f>
        <v>39</v>
      </c>
      <c r="T118" s="9" t="str">
        <f>TimeEntry[[#This Row],[Year]]&amp;"-"&amp;TimeEntry[[#This Row],[WkNo]]</f>
        <v>2020-39</v>
      </c>
    </row>
    <row r="119" spans="1:20" x14ac:dyDescent="0.25">
      <c r="A119" s="6">
        <f>MOD(IF(ROW()=2,0.1,IF(INDEX(TimeEntry[WkEnd],ROW()-1)  =  INDEX(TimeEntry[WkEnd],ROW()-2),    INDEX(TimeEntry[format],ROW()-2),    INDEX(TimeEntry[format],ROW()-2)    +1)),2)</f>
        <v>0.10000000000000009</v>
      </c>
      <c r="B119" s="7">
        <v>44088.540810185186</v>
      </c>
      <c r="C119" s="8">
        <v>44088</v>
      </c>
      <c r="D119" s="8" t="s">
        <v>104</v>
      </c>
      <c r="E119" s="1" t="s">
        <v>442</v>
      </c>
      <c r="F119" s="8">
        <f>IF(TimeEntry[[#This Row],[Date]]=0,F118,C119+(7-Q119))</f>
        <v>44094</v>
      </c>
      <c r="G119" s="35" t="str">
        <f>INDEX(projects[Charge_Code],MATCH(TimeEntry[[#This Row],[Project_ID]],projects[Project_ID],0))</f>
        <v>210035-65 MC VBB WP1: DO-nota West (25-050)</v>
      </c>
      <c r="H119" s="1" t="str">
        <f t="shared" si="5"/>
        <v>Normal Time</v>
      </c>
      <c r="I119" s="1" t="s">
        <v>313</v>
      </c>
      <c r="J119" s="15">
        <v>5.5</v>
      </c>
      <c r="K119" s="15"/>
      <c r="L119" s="15"/>
      <c r="M119" s="15"/>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1</v>
      </c>
      <c r="R119" s="9">
        <f>YEAR(TimeEntry[[#This Row],[WkEnd]])</f>
        <v>2020</v>
      </c>
      <c r="S119" s="9">
        <f>WEEKNUM(TimeEntry[[#This Row],[WkEnd]])</f>
        <v>39</v>
      </c>
      <c r="T119" s="9" t="str">
        <f>TimeEntry[[#This Row],[Year]]&amp;"-"&amp;TimeEntry[[#This Row],[WkNo]]</f>
        <v>2020-39</v>
      </c>
    </row>
    <row r="120" spans="1:20" x14ac:dyDescent="0.25">
      <c r="A120" s="6">
        <f>MOD(IF(ROW()=2,0.1,IF(INDEX(TimeEntry[WkEnd],ROW()-1)  =  INDEX(TimeEntry[WkEnd],ROW()-2),    INDEX(TimeEntry[format],ROW()-2),    INDEX(TimeEntry[format],ROW()-2)    +1)),2)</f>
        <v>1.1000000000000001</v>
      </c>
      <c r="B120" s="7">
        <v>44085.667094907411</v>
      </c>
      <c r="C120" s="8">
        <v>44085</v>
      </c>
      <c r="D120" s="8" t="s">
        <v>106</v>
      </c>
      <c r="E120" s="1" t="s">
        <v>442</v>
      </c>
      <c r="F120" s="8">
        <f>IF(TimeEntry[[#This Row],[Date]]=0,F119,C120+(7-Q120))</f>
        <v>44087</v>
      </c>
      <c r="G120" s="35" t="str">
        <f>INDEX(projects[Charge_Code],MATCH(TimeEntry[[#This Row],[Project_ID]],projects[Project_ID],0))</f>
        <v>210035-65 MC VBB WP1: DO-nota West (25-050)</v>
      </c>
      <c r="H120" s="1" t="str">
        <f t="shared" si="5"/>
        <v>Normal Time</v>
      </c>
      <c r="I120" s="1" t="s">
        <v>311</v>
      </c>
      <c r="J120" s="15">
        <v>4.5</v>
      </c>
      <c r="K120" s="15"/>
      <c r="L120" s="15"/>
      <c r="M120" s="15"/>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5</v>
      </c>
      <c r="R120" s="9">
        <f>YEAR(TimeEntry[[#This Row],[WkEnd]])</f>
        <v>2020</v>
      </c>
      <c r="S120" s="9">
        <f>WEEKNUM(TimeEntry[[#This Row],[WkEnd]])</f>
        <v>38</v>
      </c>
      <c r="T120" s="9" t="str">
        <f>TimeEntry[[#This Row],[Year]]&amp;"-"&amp;TimeEntry[[#This Row],[WkNo]]</f>
        <v>2020-38</v>
      </c>
    </row>
    <row r="121" spans="1:20" x14ac:dyDescent="0.25">
      <c r="A121" s="6">
        <f>MOD(IF(ROW()=2,0.1,IF(INDEX(TimeEntry[WkEnd],ROW()-1)  =  INDEX(TimeEntry[WkEnd],ROW()-2),    INDEX(TimeEntry[format],ROW()-2),    INDEX(TimeEntry[format],ROW()-2)    +1)),2)</f>
        <v>1.1000000000000001</v>
      </c>
      <c r="B121" s="7">
        <v>44085.501574074071</v>
      </c>
      <c r="C121" s="8">
        <v>44085</v>
      </c>
      <c r="D121" s="8" t="s">
        <v>106</v>
      </c>
      <c r="E121" s="1" t="s">
        <v>442</v>
      </c>
      <c r="F121" s="8">
        <f>IF(TimeEntry[[#This Row],[Date]]=0,F120,C121+(7-Q121))</f>
        <v>44087</v>
      </c>
      <c r="G121" s="35" t="str">
        <f>INDEX(projects[Charge_Code],MATCH(TimeEntry[[#This Row],[Project_ID]],projects[Project_ID],0))</f>
        <v>210035-65 MC VBB WP1: DO-nota West (25-050)</v>
      </c>
      <c r="H121" s="1" t="str">
        <f t="shared" si="5"/>
        <v>Normal Time</v>
      </c>
      <c r="I121" s="1" t="s">
        <v>310</v>
      </c>
      <c r="J121" s="15">
        <v>3</v>
      </c>
      <c r="K121" s="15"/>
      <c r="L121" s="15"/>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5</v>
      </c>
      <c r="R121" s="9">
        <f>YEAR(TimeEntry[[#This Row],[WkEnd]])</f>
        <v>2020</v>
      </c>
      <c r="S121" s="9">
        <f>WEEKNUM(TimeEntry[[#This Row],[WkEnd]])</f>
        <v>38</v>
      </c>
      <c r="T121" s="9" t="str">
        <f>TimeEntry[[#This Row],[Year]]&amp;"-"&amp;TimeEntry[[#This Row],[WkNo]]</f>
        <v>2020-38</v>
      </c>
    </row>
    <row r="122" spans="1:20" x14ac:dyDescent="0.25">
      <c r="A122" s="6">
        <f>MOD(IF(ROW()=2,0.1,IF(INDEX(TimeEntry[WkEnd],ROW()-1)  =  INDEX(TimeEntry[WkEnd],ROW()-2),    INDEX(TimeEntry[format],ROW()-2),    INDEX(TimeEntry[format],ROW()-2)    +1)),2)</f>
        <v>1.1000000000000001</v>
      </c>
      <c r="B122" s="7">
        <v>44084.668067129627</v>
      </c>
      <c r="C122" s="8">
        <v>44084</v>
      </c>
      <c r="D122" s="8" t="s">
        <v>102</v>
      </c>
      <c r="E122" s="1" t="s">
        <v>442</v>
      </c>
      <c r="F122" s="8">
        <f>IF(TimeEntry[[#This Row],[Date]]=0,F121,C122+(7-Q122))</f>
        <v>44087</v>
      </c>
      <c r="G122" s="35" t="str">
        <f>INDEX(projects[Charge_Code],MATCH(TimeEntry[[#This Row],[Project_ID]],projects[Project_ID],0))</f>
        <v>210035-65 MC VBB WP1: DO-nota West (25-050)</v>
      </c>
      <c r="H122" s="1" t="str">
        <f t="shared" si="5"/>
        <v>Normal Time</v>
      </c>
      <c r="I122" s="1" t="s">
        <v>309</v>
      </c>
      <c r="J122" s="15">
        <v>3</v>
      </c>
      <c r="K122" s="15"/>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4</v>
      </c>
      <c r="R122" s="9">
        <f>YEAR(TimeEntry[[#This Row],[WkEnd]])</f>
        <v>2020</v>
      </c>
      <c r="S122" s="9">
        <f>WEEKNUM(TimeEntry[[#This Row],[WkEnd]])</f>
        <v>38</v>
      </c>
      <c r="T122" s="9" t="str">
        <f>TimeEntry[[#This Row],[Year]]&amp;"-"&amp;TimeEntry[[#This Row],[WkNo]]</f>
        <v>2020-38</v>
      </c>
    </row>
    <row r="123" spans="1:20" x14ac:dyDescent="0.25">
      <c r="A123" s="6">
        <f>MOD(IF(ROW()=2,0.1,IF(INDEX(TimeEntry[WkEnd],ROW()-1)  =  INDEX(TimeEntry[WkEnd],ROW()-2),    INDEX(TimeEntry[format],ROW()-2),    INDEX(TimeEntry[format],ROW()-2)    +1)),2)</f>
        <v>1.1000000000000001</v>
      </c>
      <c r="B123" s="7">
        <v>44084.508125</v>
      </c>
      <c r="C123" s="8">
        <v>44084</v>
      </c>
      <c r="D123" s="8" t="s">
        <v>102</v>
      </c>
      <c r="E123" s="1" t="s">
        <v>442</v>
      </c>
      <c r="F123" s="8">
        <f>IF(TimeEntry[[#This Row],[Date]]=0,F122,C123+(7-Q123))</f>
        <v>44087</v>
      </c>
      <c r="G123" s="35" t="str">
        <f>INDEX(projects[Charge_Code],MATCH(TimeEntry[[#This Row],[Project_ID]],projects[Project_ID],0))</f>
        <v>210035-65 MC VBB WP1: DO-nota West (25-050)</v>
      </c>
      <c r="H123" s="1" t="str">
        <f t="shared" si="5"/>
        <v>Normal Time</v>
      </c>
      <c r="I123" s="1" t="s">
        <v>308</v>
      </c>
      <c r="J123" s="15">
        <v>4.5</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4</v>
      </c>
      <c r="R123" s="9">
        <f>YEAR(TimeEntry[[#This Row],[WkEnd]])</f>
        <v>2020</v>
      </c>
      <c r="S123" s="9">
        <f>WEEKNUM(TimeEntry[[#This Row],[WkEnd]])</f>
        <v>38</v>
      </c>
      <c r="T123" s="9" t="str">
        <f>TimeEntry[[#This Row],[Year]]&amp;"-"&amp;TimeEntry[[#This Row],[WkNo]]</f>
        <v>2020-38</v>
      </c>
    </row>
    <row r="124" spans="1:20" x14ac:dyDescent="0.25">
      <c r="A124" s="6">
        <f>MOD(IF(ROW()=2,0.1,IF(INDEX(TimeEntry[WkEnd],ROW()-1)  =  INDEX(TimeEntry[WkEnd],ROW()-2),    INDEX(TimeEntry[format],ROW()-2),    INDEX(TimeEntry[format],ROW()-2)    +1)),2)</f>
        <v>1.1000000000000001</v>
      </c>
      <c r="B124" s="7">
        <v>44083.672326388885</v>
      </c>
      <c r="C124" s="8">
        <v>44083</v>
      </c>
      <c r="D124" s="8" t="s">
        <v>100</v>
      </c>
      <c r="E124" s="1" t="s">
        <v>442</v>
      </c>
      <c r="F124" s="8">
        <f>IF(TimeEntry[[#This Row],[Date]]=0,F123,C124+(7-Q124))</f>
        <v>44087</v>
      </c>
      <c r="G124" s="35" t="str">
        <f>INDEX(projects[Charge_Code],MATCH(TimeEntry[[#This Row],[Project_ID]],projects[Project_ID],0))</f>
        <v>210035-65 MC VBB WP1: DO-nota West (25-050)</v>
      </c>
      <c r="H124" s="1" t="str">
        <f t="shared" si="5"/>
        <v>Normal Time</v>
      </c>
      <c r="I124" s="1" t="s">
        <v>307</v>
      </c>
      <c r="J124" s="15">
        <v>2.5</v>
      </c>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3</v>
      </c>
      <c r="R124" s="9">
        <f>YEAR(TimeEntry[[#This Row],[WkEnd]])</f>
        <v>2020</v>
      </c>
      <c r="S124" s="9">
        <f>WEEKNUM(TimeEntry[[#This Row],[WkEnd]])</f>
        <v>38</v>
      </c>
      <c r="T124" s="9" t="str">
        <f>TimeEntry[[#This Row],[Year]]&amp;"-"&amp;TimeEntry[[#This Row],[WkNo]]</f>
        <v>2020-38</v>
      </c>
    </row>
    <row r="125" spans="1:20" x14ac:dyDescent="0.25">
      <c r="A125" s="6">
        <f>MOD(IF(ROW()=2,0.1,IF(INDEX(TimeEntry[WkEnd],ROW()-1)  =  INDEX(TimeEntry[WkEnd],ROW()-2),    INDEX(TimeEntry[format],ROW()-2),    INDEX(TimeEntry[format],ROW()-2)    +1)),2)</f>
        <v>1.1000000000000001</v>
      </c>
      <c r="B125" s="7">
        <v>44083.504374999997</v>
      </c>
      <c r="C125" s="8">
        <v>44083</v>
      </c>
      <c r="D125" s="8" t="s">
        <v>100</v>
      </c>
      <c r="E125" s="1" t="s">
        <v>442</v>
      </c>
      <c r="F125" s="8">
        <f>IF(TimeEntry[[#This Row],[Date]]=0,F124,C125+(7-Q125))</f>
        <v>44087</v>
      </c>
      <c r="G125" s="35" t="str">
        <f>INDEX(projects[Charge_Code],MATCH(TimeEntry[[#This Row],[Project_ID]],projects[Project_ID],0))</f>
        <v>210035-65 MC VBB WP1: DO-nota West (25-050)</v>
      </c>
      <c r="H125" s="1" t="str">
        <f t="shared" si="5"/>
        <v>Normal Time</v>
      </c>
      <c r="I125" s="1" t="s">
        <v>306</v>
      </c>
      <c r="J125" s="15">
        <v>5</v>
      </c>
      <c r="K125" s="15"/>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3</v>
      </c>
      <c r="R125" s="9">
        <f>YEAR(TimeEntry[[#This Row],[WkEnd]])</f>
        <v>2020</v>
      </c>
      <c r="S125" s="9">
        <f>WEEKNUM(TimeEntry[[#This Row],[WkEnd]])</f>
        <v>38</v>
      </c>
      <c r="T125" s="9" t="str">
        <f>TimeEntry[[#This Row],[Year]]&amp;"-"&amp;TimeEntry[[#This Row],[WkNo]]</f>
        <v>2020-38</v>
      </c>
    </row>
    <row r="126" spans="1:20" x14ac:dyDescent="0.25">
      <c r="A126" s="6">
        <f>MOD(IF(ROW()=2,0.1,IF(INDEX(TimeEntry[WkEnd],ROW()-1)  =  INDEX(TimeEntry[WkEnd],ROW()-2),    INDEX(TimeEntry[format],ROW()-2),    INDEX(TimeEntry[format],ROW()-2)    +1)),2)</f>
        <v>1.1000000000000001</v>
      </c>
      <c r="B126" s="7">
        <v>44082.675891203704</v>
      </c>
      <c r="C126" s="8">
        <v>44082</v>
      </c>
      <c r="D126" s="8" t="s">
        <v>101</v>
      </c>
      <c r="E126" s="1" t="s">
        <v>442</v>
      </c>
      <c r="F126" s="8">
        <f>IF(TimeEntry[[#This Row],[Date]]=0,F125,C126+(7-Q126))</f>
        <v>44087</v>
      </c>
      <c r="G126" s="35" t="str">
        <f>INDEX(projects[Charge_Code],MATCH(TimeEntry[[#This Row],[Project_ID]],projects[Project_ID],0))</f>
        <v>210035-65 MC VBB WP1: DO-nota West (25-050)</v>
      </c>
      <c r="H126" s="1" t="str">
        <f t="shared" si="5"/>
        <v>Normal Time</v>
      </c>
      <c r="I126" s="1" t="s">
        <v>305</v>
      </c>
      <c r="J126" s="15">
        <v>3.5</v>
      </c>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2</v>
      </c>
      <c r="R126" s="9">
        <f>YEAR(TimeEntry[[#This Row],[WkEnd]])</f>
        <v>2020</v>
      </c>
      <c r="S126" s="9">
        <f>WEEKNUM(TimeEntry[[#This Row],[WkEnd]])</f>
        <v>38</v>
      </c>
      <c r="T126" s="9" t="str">
        <f>TimeEntry[[#This Row],[Year]]&amp;"-"&amp;TimeEntry[[#This Row],[WkNo]]</f>
        <v>2020-38</v>
      </c>
    </row>
    <row r="127" spans="1:20" x14ac:dyDescent="0.25">
      <c r="A127" s="6">
        <f>MOD(IF(ROW()=2,0.1,IF(INDEX(TimeEntry[WkEnd],ROW()-1)  =  INDEX(TimeEntry[WkEnd],ROW()-2),    INDEX(TimeEntry[format],ROW()-2),    INDEX(TimeEntry[format],ROW()-2)    +1)),2)</f>
        <v>1.1000000000000001</v>
      </c>
      <c r="B127" s="7">
        <v>44082.500578703701</v>
      </c>
      <c r="C127" s="8">
        <v>44082</v>
      </c>
      <c r="D127" s="8" t="s">
        <v>101</v>
      </c>
      <c r="E127" s="1" t="s">
        <v>442</v>
      </c>
      <c r="F127" s="8">
        <f>IF(TimeEntry[[#This Row],[Date]]=0,F126,C127+(7-Q127))</f>
        <v>44087</v>
      </c>
      <c r="G127" s="35" t="str">
        <f>INDEX(projects[Charge_Code],MATCH(TimeEntry[[#This Row],[Project_ID]],projects[Project_ID],0))</f>
        <v>210035-65 MC VBB WP1: DO-nota West (25-050)</v>
      </c>
      <c r="H127" s="1" t="str">
        <f t="shared" si="5"/>
        <v>Normal Time</v>
      </c>
      <c r="I127" s="1" t="s">
        <v>304</v>
      </c>
      <c r="J127" s="15">
        <v>4</v>
      </c>
      <c r="K127" s="15"/>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2</v>
      </c>
      <c r="R127" s="9">
        <f>YEAR(TimeEntry[[#This Row],[WkEnd]])</f>
        <v>2020</v>
      </c>
      <c r="S127" s="9">
        <f>WEEKNUM(TimeEntry[[#This Row],[WkEnd]])</f>
        <v>38</v>
      </c>
      <c r="T127" s="9" t="str">
        <f>TimeEntry[[#This Row],[Year]]&amp;"-"&amp;TimeEntry[[#This Row],[WkNo]]</f>
        <v>2020-38</v>
      </c>
    </row>
    <row r="128" spans="1:20" x14ac:dyDescent="0.25">
      <c r="A128" s="6">
        <f>MOD(IF(ROW()=2,0.1,IF(INDEX(TimeEntry[WkEnd],ROW()-1)  =  INDEX(TimeEntry[WkEnd],ROW()-2),    INDEX(TimeEntry[format],ROW()-2),    INDEX(TimeEntry[format],ROW()-2)    +1)),2)</f>
        <v>1.1000000000000001</v>
      </c>
      <c r="B128" s="7">
        <v>44081.681134259263</v>
      </c>
      <c r="C128" s="8">
        <v>44081</v>
      </c>
      <c r="D128" s="8" t="s">
        <v>104</v>
      </c>
      <c r="E128" s="1" t="s">
        <v>442</v>
      </c>
      <c r="F128" s="8">
        <f>IF(TimeEntry[[#This Row],[Date]]=0,F127,C128+(7-Q128))</f>
        <v>44087</v>
      </c>
      <c r="G128" s="35" t="str">
        <f>INDEX(projects[Charge_Code],MATCH(TimeEntry[[#This Row],[Project_ID]],projects[Project_ID],0))</f>
        <v>210035-65 MC VBB WP1: DO-nota West (25-050)</v>
      </c>
      <c r="H128" s="1" t="str">
        <f t="shared" si="5"/>
        <v>Normal Time</v>
      </c>
      <c r="I128" s="1" t="s">
        <v>303</v>
      </c>
      <c r="J128" s="15">
        <v>4.5</v>
      </c>
      <c r="K128" s="15"/>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1</v>
      </c>
      <c r="R128" s="9">
        <f>YEAR(TimeEntry[[#This Row],[WkEnd]])</f>
        <v>2020</v>
      </c>
      <c r="S128" s="9">
        <f>WEEKNUM(TimeEntry[[#This Row],[WkEnd]])</f>
        <v>38</v>
      </c>
      <c r="T128" s="9" t="str">
        <f>TimeEntry[[#This Row],[Year]]&amp;"-"&amp;TimeEntry[[#This Row],[WkNo]]</f>
        <v>2020-38</v>
      </c>
    </row>
    <row r="129" spans="1:20" x14ac:dyDescent="0.25">
      <c r="A129" s="6">
        <f>MOD(IF(ROW()=2,0.1,IF(INDEX(TimeEntry[WkEnd],ROW()-1)  =  INDEX(TimeEntry[WkEnd],ROW()-2),    INDEX(TimeEntry[format],ROW()-2),    INDEX(TimeEntry[format],ROW()-2)    +1)),2)</f>
        <v>1.1000000000000001</v>
      </c>
      <c r="B129" s="7">
        <v>44081.501886574071</v>
      </c>
      <c r="C129" s="8">
        <v>44081</v>
      </c>
      <c r="D129" s="8" t="s">
        <v>104</v>
      </c>
      <c r="E129" s="1" t="s">
        <v>442</v>
      </c>
      <c r="F129" s="8">
        <f>IF(TimeEntry[[#This Row],[Date]]=0,F128,C129+(7-Q129))</f>
        <v>44087</v>
      </c>
      <c r="G129" s="35" t="str">
        <f>INDEX(projects[Charge_Code],MATCH(TimeEntry[[#This Row],[Project_ID]],projects[Project_ID],0))</f>
        <v>210035-65 MC VBB WP1: DO-nota West (25-050)</v>
      </c>
      <c r="H129" s="1" t="str">
        <f t="shared" si="5"/>
        <v>Normal Time</v>
      </c>
      <c r="I129" s="1" t="s">
        <v>302</v>
      </c>
      <c r="J129" s="15">
        <v>3</v>
      </c>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1</v>
      </c>
      <c r="R129" s="9">
        <f>YEAR(TimeEntry[[#This Row],[WkEnd]])</f>
        <v>2020</v>
      </c>
      <c r="S129" s="9">
        <f>WEEKNUM(TimeEntry[[#This Row],[WkEnd]])</f>
        <v>38</v>
      </c>
      <c r="T129" s="9" t="str">
        <f>TimeEntry[[#This Row],[Year]]&amp;"-"&amp;TimeEntry[[#This Row],[WkNo]]</f>
        <v>2020-38</v>
      </c>
    </row>
    <row r="130" spans="1:20" x14ac:dyDescent="0.25">
      <c r="A130" s="6">
        <f>MOD(IF(ROW()=2,0.1,IF(INDEX(TimeEntry[WkEnd],ROW()-1)  =  INDEX(TimeEntry[WkEnd],ROW()-2),    INDEX(TimeEntry[format],ROW()-2),    INDEX(TimeEntry[format],ROW()-2)    +1)),2)</f>
        <v>0.10000000000000009</v>
      </c>
      <c r="B130" s="7">
        <v>44078.667766203704</v>
      </c>
      <c r="C130" s="8">
        <v>44078</v>
      </c>
      <c r="D130" s="8" t="s">
        <v>106</v>
      </c>
      <c r="E130" s="1" t="s">
        <v>442</v>
      </c>
      <c r="F130" s="8">
        <f>IF(TimeEntry[[#This Row],[Date]]=0,F129,C130+(7-Q130))</f>
        <v>44080</v>
      </c>
      <c r="G130" s="35" t="str">
        <f>INDEX(projects[Charge_Code],MATCH(TimeEntry[[#This Row],[Project_ID]],projects[Project_ID],0))</f>
        <v>210035-65 MC VBB WP1: DO-nota West (25-050)</v>
      </c>
      <c r="H130" s="1" t="str">
        <f t="shared" si="5"/>
        <v>Normal Time</v>
      </c>
      <c r="I130" s="1" t="s">
        <v>300</v>
      </c>
      <c r="J130" s="15">
        <v>3.75</v>
      </c>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5</v>
      </c>
      <c r="R130" s="9">
        <f>YEAR(TimeEntry[[#This Row],[WkEnd]])</f>
        <v>2020</v>
      </c>
      <c r="S130" s="9">
        <f>WEEKNUM(TimeEntry[[#This Row],[WkEnd]])</f>
        <v>37</v>
      </c>
      <c r="T130" s="9" t="str">
        <f>TimeEntry[[#This Row],[Year]]&amp;"-"&amp;TimeEntry[[#This Row],[WkNo]]</f>
        <v>2020-37</v>
      </c>
    </row>
    <row r="131" spans="1:20" x14ac:dyDescent="0.25">
      <c r="A131" s="6">
        <f>MOD(IF(ROW()=2,0.1,IF(INDEX(TimeEntry[WkEnd],ROW()-1)  =  INDEX(TimeEntry[WkEnd],ROW()-2),    INDEX(TimeEntry[format],ROW()-2),    INDEX(TimeEntry[format],ROW()-2)    +1)),2)</f>
        <v>0.10000000000000009</v>
      </c>
      <c r="B131" s="7">
        <v>44078.501168981478</v>
      </c>
      <c r="C131" s="8">
        <v>44078</v>
      </c>
      <c r="D131" s="8" t="s">
        <v>106</v>
      </c>
      <c r="E131" s="1" t="s">
        <v>442</v>
      </c>
      <c r="F131" s="8">
        <f>IF(TimeEntry[[#This Row],[Date]]=0,F130,C131+(7-Q131))</f>
        <v>44080</v>
      </c>
      <c r="G131" s="35" t="str">
        <f>INDEX(projects[Charge_Code],MATCH(TimeEntry[[#This Row],[Project_ID]],projects[Project_ID],0))</f>
        <v>210035-65 MC VBB WP1: DO-nota West (25-050)</v>
      </c>
      <c r="H131" s="1" t="str">
        <f t="shared" si="5"/>
        <v>Normal Time</v>
      </c>
      <c r="I131" s="1" t="s">
        <v>299</v>
      </c>
      <c r="J131" s="15">
        <v>3.75</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5</v>
      </c>
      <c r="R131" s="9">
        <f>YEAR(TimeEntry[[#This Row],[WkEnd]])</f>
        <v>2020</v>
      </c>
      <c r="S131" s="9">
        <f>WEEKNUM(TimeEntry[[#This Row],[WkEnd]])</f>
        <v>37</v>
      </c>
      <c r="T131" s="9" t="str">
        <f>TimeEntry[[#This Row],[Year]]&amp;"-"&amp;TimeEntry[[#This Row],[WkNo]]</f>
        <v>2020-37</v>
      </c>
    </row>
    <row r="132" spans="1:20" x14ac:dyDescent="0.25">
      <c r="A132" s="6">
        <f>MOD(IF(ROW()=2,0.1,IF(INDEX(TimeEntry[WkEnd],ROW()-1)  =  INDEX(TimeEntry[WkEnd],ROW()-2),    INDEX(TimeEntry[format],ROW()-2),    INDEX(TimeEntry[format],ROW()-2)    +1)),2)</f>
        <v>0.10000000000000009</v>
      </c>
      <c r="B132" s="7">
        <v>44077.667222222219</v>
      </c>
      <c r="C132" s="8">
        <v>44077</v>
      </c>
      <c r="D132" s="8" t="s">
        <v>102</v>
      </c>
      <c r="E132" s="1" t="s">
        <v>442</v>
      </c>
      <c r="F132" s="8">
        <f>IF(TimeEntry[[#This Row],[Date]]=0,F131,C132+(7-Q132))</f>
        <v>44080</v>
      </c>
      <c r="G132" s="35" t="str">
        <f>INDEX(projects[Charge_Code],MATCH(TimeEntry[[#This Row],[Project_ID]],projects[Project_ID],0))</f>
        <v>210035-65 MC VBB WP1: DO-nota West (25-050)</v>
      </c>
      <c r="H132" s="1" t="str">
        <f t="shared" si="5"/>
        <v>Normal Time</v>
      </c>
      <c r="I132" s="1" t="s">
        <v>298</v>
      </c>
      <c r="J132" s="15">
        <v>3.75</v>
      </c>
      <c r="K132" s="15"/>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4</v>
      </c>
      <c r="R132" s="9">
        <f>YEAR(TimeEntry[[#This Row],[WkEnd]])</f>
        <v>2020</v>
      </c>
      <c r="S132" s="9">
        <f>WEEKNUM(TimeEntry[[#This Row],[WkEnd]])</f>
        <v>37</v>
      </c>
      <c r="T132" s="9" t="str">
        <f>TimeEntry[[#This Row],[Year]]&amp;"-"&amp;TimeEntry[[#This Row],[WkNo]]</f>
        <v>2020-37</v>
      </c>
    </row>
    <row r="133" spans="1:20" x14ac:dyDescent="0.25">
      <c r="A133" s="6">
        <f>MOD(IF(ROW()=2,0.1,IF(INDEX(TimeEntry[WkEnd],ROW()-1)  =  INDEX(TimeEntry[WkEnd],ROW()-2),    INDEX(TimeEntry[format],ROW()-2),    INDEX(TimeEntry[format],ROW()-2)    +1)),2)</f>
        <v>0.10000000000000009</v>
      </c>
      <c r="B133" s="7">
        <v>44077.501539351855</v>
      </c>
      <c r="C133" s="8">
        <v>44077</v>
      </c>
      <c r="D133" s="8" t="s">
        <v>102</v>
      </c>
      <c r="E133" s="1" t="s">
        <v>442</v>
      </c>
      <c r="F133" s="8">
        <f>IF(TimeEntry[[#This Row],[Date]]=0,F132,C133+(7-Q133))</f>
        <v>44080</v>
      </c>
      <c r="G133" s="35" t="str">
        <f>INDEX(projects[Charge_Code],MATCH(TimeEntry[[#This Row],[Project_ID]],projects[Project_ID],0))</f>
        <v>210035-65 MC VBB WP1: DO-nota West (25-050)</v>
      </c>
      <c r="H133" s="1" t="str">
        <f t="shared" si="5"/>
        <v>Normal Time</v>
      </c>
      <c r="I133" s="1" t="s">
        <v>297</v>
      </c>
      <c r="J133" s="15">
        <v>3.75</v>
      </c>
      <c r="K133" s="15"/>
      <c r="L133" s="15"/>
      <c r="M133" s="15"/>
      <c r="N133" s="15"/>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4</v>
      </c>
      <c r="R133" s="9">
        <f>YEAR(TimeEntry[[#This Row],[WkEnd]])</f>
        <v>2020</v>
      </c>
      <c r="S133" s="9">
        <f>WEEKNUM(TimeEntry[[#This Row],[WkEnd]])</f>
        <v>37</v>
      </c>
      <c r="T133" s="9" t="str">
        <f>TimeEntry[[#This Row],[Year]]&amp;"-"&amp;TimeEntry[[#This Row],[WkNo]]</f>
        <v>2020-37</v>
      </c>
    </row>
    <row r="134" spans="1:20" x14ac:dyDescent="0.25">
      <c r="A134" s="6">
        <f>MOD(IF(ROW()=2,0.1,IF(INDEX(TimeEntry[WkEnd],ROW()-1)  =  INDEX(TimeEntry[WkEnd],ROW()-2),    INDEX(TimeEntry[format],ROW()-2),    INDEX(TimeEntry[format],ROW()-2)    +1)),2)</f>
        <v>0.10000000000000009</v>
      </c>
      <c r="B134" s="7">
        <v>44076.683321759258</v>
      </c>
      <c r="C134" s="8">
        <v>44076</v>
      </c>
      <c r="D134" s="8" t="s">
        <v>100</v>
      </c>
      <c r="E134" s="1" t="s">
        <v>442</v>
      </c>
      <c r="F134" s="8">
        <f>IF(TimeEntry[[#This Row],[Date]]=0,F133,C134+(7-Q134))</f>
        <v>44080</v>
      </c>
      <c r="G134" s="35" t="str">
        <f>INDEX(projects[Charge_Code],MATCH(TimeEntry[[#This Row],[Project_ID]],projects[Project_ID],0))</f>
        <v>210035-65 MC VBB WP1: DO-nota West (25-050)</v>
      </c>
      <c r="H134" s="1" t="str">
        <f t="shared" si="5"/>
        <v>Normal Time</v>
      </c>
      <c r="I134" s="1" t="s">
        <v>296</v>
      </c>
      <c r="J134" s="15">
        <v>3.75</v>
      </c>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3</v>
      </c>
      <c r="R134" s="9">
        <f>YEAR(TimeEntry[[#This Row],[WkEnd]])</f>
        <v>2020</v>
      </c>
      <c r="S134" s="9">
        <f>WEEKNUM(TimeEntry[[#This Row],[WkEnd]])</f>
        <v>37</v>
      </c>
      <c r="T134" s="9" t="str">
        <f>TimeEntry[[#This Row],[Year]]&amp;"-"&amp;TimeEntry[[#This Row],[WkNo]]</f>
        <v>2020-37</v>
      </c>
    </row>
    <row r="135" spans="1:20" x14ac:dyDescent="0.25">
      <c r="A135" s="6">
        <f>MOD(IF(ROW()=2,0.1,IF(INDEX(TimeEntry[WkEnd],ROW()-1)  =  INDEX(TimeEntry[WkEnd],ROW()-2),    INDEX(TimeEntry[format],ROW()-2),    INDEX(TimeEntry[format],ROW()-2)    +1)),2)</f>
        <v>0.10000000000000009</v>
      </c>
      <c r="B135" s="7">
        <v>44076.501597222225</v>
      </c>
      <c r="C135" s="8">
        <v>44076</v>
      </c>
      <c r="D135" s="8" t="s">
        <v>100</v>
      </c>
      <c r="E135" s="1" t="s">
        <v>442</v>
      </c>
      <c r="F135" s="8">
        <f>IF(TimeEntry[[#This Row],[Date]]=0,F134,C135+(7-Q135))</f>
        <v>44080</v>
      </c>
      <c r="G135" s="35" t="str">
        <f>INDEX(projects[Charge_Code],MATCH(TimeEntry[[#This Row],[Project_ID]],projects[Project_ID],0))</f>
        <v>210035-65 MC VBB WP1: DO-nota West (25-050)</v>
      </c>
      <c r="H135" s="1" t="str">
        <f t="shared" si="5"/>
        <v>Normal Time</v>
      </c>
      <c r="I135" s="1" t="s">
        <v>295</v>
      </c>
      <c r="J135" s="15">
        <v>3.75</v>
      </c>
      <c r="K135" s="15"/>
      <c r="L135" s="15"/>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3</v>
      </c>
      <c r="R135" s="9">
        <f>YEAR(TimeEntry[[#This Row],[WkEnd]])</f>
        <v>2020</v>
      </c>
      <c r="S135" s="9">
        <f>WEEKNUM(TimeEntry[[#This Row],[WkEnd]])</f>
        <v>37</v>
      </c>
      <c r="T135" s="9" t="str">
        <f>TimeEntry[[#This Row],[Year]]&amp;"-"&amp;TimeEntry[[#This Row],[WkNo]]</f>
        <v>2020-37</v>
      </c>
    </row>
    <row r="136" spans="1:20" x14ac:dyDescent="0.25">
      <c r="A136" s="6">
        <f>MOD(IF(ROW()=2,0.1,IF(INDEX(TimeEntry[WkEnd],ROW()-1)  =  INDEX(TimeEntry[WkEnd],ROW()-2),    INDEX(TimeEntry[format],ROW()-2),    INDEX(TimeEntry[format],ROW()-2)    +1)),2)</f>
        <v>0.10000000000000009</v>
      </c>
      <c r="B136" s="7">
        <v>44075.683703703704</v>
      </c>
      <c r="C136" s="8">
        <v>44075</v>
      </c>
      <c r="D136" s="8" t="s">
        <v>101</v>
      </c>
      <c r="E136" s="1" t="s">
        <v>442</v>
      </c>
      <c r="F136" s="8">
        <f>IF(TimeEntry[[#This Row],[Date]]=0,F135,C136+(7-Q136))</f>
        <v>44080</v>
      </c>
      <c r="G136" s="35" t="str">
        <f>INDEX(projects[Charge_Code],MATCH(TimeEntry[[#This Row],[Project_ID]],projects[Project_ID],0))</f>
        <v>210035-65 MC VBB WP1: DO-nota West (25-050)</v>
      </c>
      <c r="H136" s="1" t="str">
        <f t="shared" si="5"/>
        <v>Normal Time</v>
      </c>
      <c r="I136" s="1" t="s">
        <v>294</v>
      </c>
      <c r="J136" s="15">
        <v>3.75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2</v>
      </c>
      <c r="R136" s="9">
        <f>YEAR(TimeEntry[[#This Row],[WkEnd]])</f>
        <v>2020</v>
      </c>
      <c r="S136" s="9">
        <f>WEEKNUM(TimeEntry[[#This Row],[WkEnd]])</f>
        <v>37</v>
      </c>
      <c r="T136" s="9" t="str">
        <f>TimeEntry[[#This Row],[Year]]&amp;"-"&amp;TimeEntry[[#This Row],[WkNo]]</f>
        <v>2020-37</v>
      </c>
    </row>
    <row r="137" spans="1:20" x14ac:dyDescent="0.25">
      <c r="A137" s="6">
        <f>MOD(IF(ROW()=2,0.1,IF(INDEX(TimeEntry[WkEnd],ROW()-1)  =  INDEX(TimeEntry[WkEnd],ROW()-2),    INDEX(TimeEntry[format],ROW()-2),    INDEX(TimeEntry[format],ROW()-2)    +1)),2)</f>
        <v>0.10000000000000009</v>
      </c>
      <c r="B137" s="7">
        <v>44075.50271990741</v>
      </c>
      <c r="C137" s="8">
        <v>44075</v>
      </c>
      <c r="D137" s="8" t="s">
        <v>101</v>
      </c>
      <c r="E137" s="1" t="s">
        <v>442</v>
      </c>
      <c r="F137" s="8">
        <f>IF(TimeEntry[[#This Row],[Date]]=0,F136,C137+(7-Q137))</f>
        <v>44080</v>
      </c>
      <c r="G137" s="35" t="str">
        <f>INDEX(projects[Charge_Code],MATCH(TimeEntry[[#This Row],[Project_ID]],projects[Project_ID],0))</f>
        <v>210035-65 MC VBB WP1: DO-nota West (25-050)</v>
      </c>
      <c r="H137" s="1" t="str">
        <f t="shared" si="5"/>
        <v>Normal Time</v>
      </c>
      <c r="I137" s="1" t="s">
        <v>293</v>
      </c>
      <c r="J137" s="15">
        <v>3.75</v>
      </c>
      <c r="K137" s="15"/>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2</v>
      </c>
      <c r="R137" s="9">
        <f>YEAR(TimeEntry[[#This Row],[WkEnd]])</f>
        <v>2020</v>
      </c>
      <c r="S137" s="9">
        <f>WEEKNUM(TimeEntry[[#This Row],[WkEnd]])</f>
        <v>37</v>
      </c>
      <c r="T137" s="9" t="str">
        <f>TimeEntry[[#This Row],[Year]]&amp;"-"&amp;TimeEntry[[#This Row],[WkNo]]</f>
        <v>2020-37</v>
      </c>
    </row>
    <row r="138" spans="1:20" x14ac:dyDescent="0.25">
      <c r="A138" s="6">
        <f>MOD(IF(ROW()=2,0.1,IF(INDEX(TimeEntry[WkEnd],ROW()-1)  =  INDEX(TimeEntry[WkEnd],ROW()-2),    INDEX(TimeEntry[format],ROW()-2),    INDEX(TimeEntry[format],ROW()-2)    +1)),2)</f>
        <v>0.10000000000000009</v>
      </c>
      <c r="B138" s="7">
        <v>44074</v>
      </c>
      <c r="C138" s="8">
        <v>44074</v>
      </c>
      <c r="D138" s="8" t="s">
        <v>104</v>
      </c>
      <c r="E138" s="1" t="s">
        <v>445</v>
      </c>
      <c r="F138" s="8">
        <f>IF(TimeEntry[[#This Row],[Date]]=0,F137,C138+(7-Q138))</f>
        <v>44080</v>
      </c>
      <c r="G138" s="35" t="str">
        <f>INDEX(projects[Charge_Code],MATCH(TimeEntry[[#This Row],[Project_ID]],projects[Project_ID],0))</f>
        <v>LEAVE</v>
      </c>
      <c r="H138" s="1" t="str">
        <f t="shared" si="5"/>
        <v>Normal Time</v>
      </c>
      <c r="I138" s="1"/>
      <c r="J138" s="15">
        <v>7.5</v>
      </c>
      <c r="K138" s="15"/>
      <c r="L138" s="15"/>
      <c r="M138" s="15"/>
      <c r="N138" s="15"/>
      <c r="O138" s="15" t="str">
        <f>INDEX(projects[job number],MATCH(TimeEntry[[#This Row],[Project_ID]], projects[Project_ID],0))</f>
        <v>LEAVE</v>
      </c>
      <c r="P138" s="15">
        <f>INDEX(projects[Project_Name],MATCH(TimeEntry[[#This Row],[Project_ID]], projects[Project_ID],0))</f>
        <v>0</v>
      </c>
      <c r="Q138" s="6">
        <f>IF(TimeEntry[[#This Row],[Date]]=0,"",WEEKDAY(C138,2))</f>
        <v>1</v>
      </c>
      <c r="R138" s="9">
        <f>YEAR(TimeEntry[[#This Row],[WkEnd]])</f>
        <v>2020</v>
      </c>
      <c r="S138" s="9">
        <f>WEEKNUM(TimeEntry[[#This Row],[WkEnd]])</f>
        <v>37</v>
      </c>
      <c r="T138" s="9" t="str">
        <f>TimeEntry[[#This Row],[Year]]&amp;"-"&amp;TimeEntry[[#This Row],[WkNo]]</f>
        <v>2020-37</v>
      </c>
    </row>
    <row r="139" spans="1:20" x14ac:dyDescent="0.25">
      <c r="A139" s="6">
        <f>MOD(IF(ROW()=2,0.1,IF(INDEX(TimeEntry[WkEnd],ROW()-1)  =  INDEX(TimeEntry[WkEnd],ROW()-2),    INDEX(TimeEntry[format],ROW()-2),    INDEX(TimeEntry[format],ROW()-2)    +1)),2)</f>
        <v>1.1000000000000001</v>
      </c>
      <c r="B139" s="7">
        <v>44071.666979166665</v>
      </c>
      <c r="C139" s="8">
        <v>44071</v>
      </c>
      <c r="D139" s="8" t="s">
        <v>106</v>
      </c>
      <c r="E139" s="1" t="s">
        <v>442</v>
      </c>
      <c r="F139" s="8">
        <f>IF(TimeEntry[[#This Row],[Date]]=0,F138,C139+(7-Q139))</f>
        <v>44073</v>
      </c>
      <c r="G139" s="35" t="str">
        <f>INDEX(projects[Charge_Code],MATCH(TimeEntry[[#This Row],[Project_ID]],projects[Project_ID],0))</f>
        <v>210035-65 MC VBB WP1: DO-nota West (25-050)</v>
      </c>
      <c r="H139" s="1" t="str">
        <f t="shared" si="5"/>
        <v>Normal Time</v>
      </c>
      <c r="I139" s="1" t="s">
        <v>282</v>
      </c>
      <c r="J139" s="15">
        <v>7.5</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5</v>
      </c>
      <c r="R139" s="9">
        <f>YEAR(TimeEntry[[#This Row],[WkEnd]])</f>
        <v>2020</v>
      </c>
      <c r="S139" s="9">
        <f>WEEKNUM(TimeEntry[[#This Row],[WkEnd]])</f>
        <v>36</v>
      </c>
      <c r="T139" s="9" t="str">
        <f>TimeEntry[[#This Row],[Year]]&amp;"-"&amp;TimeEntry[[#This Row],[WkNo]]</f>
        <v>2020-36</v>
      </c>
    </row>
    <row r="140" spans="1:20" x14ac:dyDescent="0.25">
      <c r="A140" s="6">
        <f>MOD(IF(ROW()=2,0.1,IF(INDEX(TimeEntry[WkEnd],ROW()-1)  =  INDEX(TimeEntry[WkEnd],ROW()-2),    INDEX(TimeEntry[format],ROW()-2),    INDEX(TimeEntry[format],ROW()-2)    +1)),2)</f>
        <v>1.1000000000000001</v>
      </c>
      <c r="B140" s="7">
        <v>44070.669733796298</v>
      </c>
      <c r="C140" s="8">
        <v>44070</v>
      </c>
      <c r="D140" s="8" t="s">
        <v>102</v>
      </c>
      <c r="E140" s="1" t="s">
        <v>442</v>
      </c>
      <c r="F140" s="8">
        <f>IF(TimeEntry[[#This Row],[Date]]=0,F139,C140+(7-Q140))</f>
        <v>44073</v>
      </c>
      <c r="G140" s="35" t="str">
        <f>INDEX(projects[Charge_Code],MATCH(TimeEntry[[#This Row],[Project_ID]],projects[Project_ID],0))</f>
        <v>210035-65 MC VBB WP1: DO-nota West (25-050)</v>
      </c>
      <c r="H140" s="1" t="str">
        <f t="shared" si="5"/>
        <v>Normal Time</v>
      </c>
      <c r="I140" s="1" t="s">
        <v>283</v>
      </c>
      <c r="J140" s="15">
        <v>2</v>
      </c>
      <c r="K140" s="15"/>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4</v>
      </c>
      <c r="R140" s="9">
        <f>YEAR(TimeEntry[[#This Row],[WkEnd]])</f>
        <v>2020</v>
      </c>
      <c r="S140" s="9">
        <f>WEEKNUM(TimeEntry[[#This Row],[WkEnd]])</f>
        <v>36</v>
      </c>
      <c r="T140" s="9" t="str">
        <f>TimeEntry[[#This Row],[Year]]&amp;"-"&amp;TimeEntry[[#This Row],[WkNo]]</f>
        <v>2020-36</v>
      </c>
    </row>
    <row r="141" spans="1:20" x14ac:dyDescent="0.25">
      <c r="A141" s="6">
        <f>MOD(IF(ROW()=2,0.1,IF(INDEX(TimeEntry[WkEnd],ROW()-1)  =  INDEX(TimeEntry[WkEnd],ROW()-2),    INDEX(TimeEntry[format],ROW()-2),    INDEX(TimeEntry[format],ROW()-2)    +1)),2)</f>
        <v>1.1000000000000001</v>
      </c>
      <c r="B141" s="7">
        <v>44070.500532407408</v>
      </c>
      <c r="C141" s="8">
        <v>44070</v>
      </c>
      <c r="D141" s="8" t="s">
        <v>102</v>
      </c>
      <c r="E141" s="1" t="s">
        <v>442</v>
      </c>
      <c r="F141" s="8">
        <f>IF(TimeEntry[[#This Row],[Date]]=0,F140,C141+(7-Q141))</f>
        <v>44073</v>
      </c>
      <c r="G141" s="35" t="str">
        <f>INDEX(projects[Charge_Code],MATCH(TimeEntry[[#This Row],[Project_ID]],projects[Project_ID],0))</f>
        <v>210035-65 MC VBB WP1: DO-nota West (25-050)</v>
      </c>
      <c r="H141" s="1" t="str">
        <f t="shared" si="5"/>
        <v>Normal Time</v>
      </c>
      <c r="I141" s="1" t="s">
        <v>284</v>
      </c>
      <c r="J141" s="15">
        <v>5.5</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4</v>
      </c>
      <c r="R141" s="9">
        <f>YEAR(TimeEntry[[#This Row],[WkEnd]])</f>
        <v>2020</v>
      </c>
      <c r="S141" s="9">
        <f>WEEKNUM(TimeEntry[[#This Row],[WkEnd]])</f>
        <v>36</v>
      </c>
      <c r="T141" s="9" t="str">
        <f>TimeEntry[[#This Row],[Year]]&amp;"-"&amp;TimeEntry[[#This Row],[WkNo]]</f>
        <v>2020-36</v>
      </c>
    </row>
    <row r="142" spans="1:20" x14ac:dyDescent="0.25">
      <c r="A142" s="6">
        <f>MOD(IF(ROW()=2,0.1,IF(INDEX(TimeEntry[WkEnd],ROW()-1)  =  INDEX(TimeEntry[WkEnd],ROW()-2),    INDEX(TimeEntry[format],ROW()-2),    INDEX(TimeEntry[format],ROW()-2)    +1)),2)</f>
        <v>1.1000000000000001</v>
      </c>
      <c r="B142" s="7">
        <v>44069.675509259258</v>
      </c>
      <c r="C142" s="8">
        <v>44069</v>
      </c>
      <c r="D142" s="8" t="s">
        <v>100</v>
      </c>
      <c r="E142" s="1" t="s">
        <v>442</v>
      </c>
      <c r="F142" s="8">
        <f>IF(TimeEntry[[#This Row],[Date]]=0,F141,C142+(7-Q142))</f>
        <v>44073</v>
      </c>
      <c r="G142" s="35" t="str">
        <f>INDEX(projects[Charge_Code],MATCH(TimeEntry[[#This Row],[Project_ID]],projects[Project_ID],0))</f>
        <v>210035-65 MC VBB WP1: DO-nota West (25-050)</v>
      </c>
      <c r="H142" s="1" t="str">
        <f t="shared" si="5"/>
        <v>Normal Time</v>
      </c>
      <c r="I142" s="1" t="s">
        <v>287</v>
      </c>
      <c r="J142" s="15">
        <v>5.5</v>
      </c>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3</v>
      </c>
      <c r="R142" s="9">
        <f>YEAR(TimeEntry[[#This Row],[WkEnd]])</f>
        <v>2020</v>
      </c>
      <c r="S142" s="9">
        <f>WEEKNUM(TimeEntry[[#This Row],[WkEnd]])</f>
        <v>36</v>
      </c>
      <c r="T142" s="9" t="str">
        <f>TimeEntry[[#This Row],[Year]]&amp;"-"&amp;TimeEntry[[#This Row],[WkNo]]</f>
        <v>2020-36</v>
      </c>
    </row>
    <row r="143" spans="1:20" x14ac:dyDescent="0.25">
      <c r="A143" s="6">
        <f>MOD(IF(ROW()=2,0.1,IF(INDEX(TimeEntry[WkEnd],ROW()-1)  =  INDEX(TimeEntry[WkEnd],ROW()-2),    INDEX(TimeEntry[format],ROW()-2),    INDEX(TimeEntry[format],ROW()-2)    +1)),2)</f>
        <v>1.1000000000000001</v>
      </c>
      <c r="B143" s="7">
        <v>44069.50068287037</v>
      </c>
      <c r="C143" s="8">
        <v>44069</v>
      </c>
      <c r="D143" s="8" t="s">
        <v>100</v>
      </c>
      <c r="E143" s="1" t="s">
        <v>446</v>
      </c>
      <c r="F143" s="8">
        <f>IF(TimeEntry[[#This Row],[Date]]=0,F142,C143+(7-Q143))</f>
        <v>44073</v>
      </c>
      <c r="G143" s="35" t="str">
        <f>INDEX(projects[Charge_Code],MATCH(TimeEntry[[#This Row],[Project_ID]],projects[Project_ID],0))</f>
        <v>074097-29 BCST Appraisal</v>
      </c>
      <c r="H143" s="1" t="str">
        <f t="shared" si="5"/>
        <v>Normal Time</v>
      </c>
      <c r="I143" s="1" t="s">
        <v>288</v>
      </c>
      <c r="J143" s="15">
        <v>2</v>
      </c>
      <c r="K143" s="15"/>
      <c r="L143" s="15"/>
      <c r="M143" s="15"/>
      <c r="N143" s="15"/>
      <c r="O143" s="15" t="str">
        <f>INDEX(projects[job number],MATCH(TimeEntry[[#This Row],[Project_ID]], projects[Project_ID],0))</f>
        <v>074097-29</v>
      </c>
      <c r="P143" s="15" t="str">
        <f>INDEX(projects[Project_Name],MATCH(TimeEntry[[#This Row],[Project_ID]], projects[Project_ID],0))</f>
        <v>BCST Appraisal</v>
      </c>
      <c r="Q143" s="6">
        <f>IF(TimeEntry[[#This Row],[Date]]=0,"",WEEKDAY(C143,2))</f>
        <v>3</v>
      </c>
      <c r="R143" s="9">
        <f>YEAR(TimeEntry[[#This Row],[WkEnd]])</f>
        <v>2020</v>
      </c>
      <c r="S143" s="9">
        <f>WEEKNUM(TimeEntry[[#This Row],[WkEnd]])</f>
        <v>36</v>
      </c>
      <c r="T143" s="9" t="str">
        <f>TimeEntry[[#This Row],[Year]]&amp;"-"&amp;TimeEntry[[#This Row],[WkNo]]</f>
        <v>2020-36</v>
      </c>
    </row>
    <row r="144" spans="1:20" x14ac:dyDescent="0.25">
      <c r="A144" s="6">
        <f>MOD(IF(ROW()=2,0.1,IF(INDEX(TimeEntry[WkEnd],ROW()-1)  =  INDEX(TimeEntry[WkEnd],ROW()-2),    INDEX(TimeEntry[format],ROW()-2),    INDEX(TimeEntry[format],ROW()-2)    +1)),2)</f>
        <v>1.1000000000000001</v>
      </c>
      <c r="B144" s="7">
        <v>44068.670497685183</v>
      </c>
      <c r="C144" s="8">
        <v>44068</v>
      </c>
      <c r="D144" s="8" t="s">
        <v>101</v>
      </c>
      <c r="E144" s="1" t="s">
        <v>442</v>
      </c>
      <c r="F144" s="8">
        <f>IF(TimeEntry[[#This Row],[Date]]=0,F143,C144+(7-Q144))</f>
        <v>44073</v>
      </c>
      <c r="G144" s="35" t="str">
        <f>INDEX(projects[Charge_Code],MATCH(TimeEntry[[#This Row],[Project_ID]],projects[Project_ID],0))</f>
        <v>210035-65 MC VBB WP1: DO-nota West (25-050)</v>
      </c>
      <c r="H144" s="1" t="str">
        <f t="shared" si="5"/>
        <v>Normal Time</v>
      </c>
      <c r="I144" s="1" t="s">
        <v>289</v>
      </c>
      <c r="J144" s="15">
        <v>3.75</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2</v>
      </c>
      <c r="R144" s="9">
        <f>YEAR(TimeEntry[[#This Row],[WkEnd]])</f>
        <v>2020</v>
      </c>
      <c r="S144" s="9">
        <f>WEEKNUM(TimeEntry[[#This Row],[WkEnd]])</f>
        <v>36</v>
      </c>
      <c r="T144" s="9" t="str">
        <f>TimeEntry[[#This Row],[Year]]&amp;"-"&amp;TimeEntry[[#This Row],[WkNo]]</f>
        <v>2020-36</v>
      </c>
    </row>
    <row r="145" spans="1:20" x14ac:dyDescent="0.25">
      <c r="A145" s="6">
        <f>MOD(IF(ROW()=2,0.1,IF(INDEX(TimeEntry[WkEnd],ROW()-1)  =  INDEX(TimeEntry[WkEnd],ROW()-2),    INDEX(TimeEntry[format],ROW()-2),    INDEX(TimeEntry[format],ROW()-2)    +1)),2)</f>
        <v>1.1000000000000001</v>
      </c>
      <c r="B145" s="7">
        <v>44068.506423611114</v>
      </c>
      <c r="C145" s="8">
        <v>44068</v>
      </c>
      <c r="D145" s="8" t="s">
        <v>101</v>
      </c>
      <c r="E145" s="1" t="s">
        <v>442</v>
      </c>
      <c r="F145" s="8">
        <f>IF(TimeEntry[[#This Row],[Date]]=0,F144,C145+(7-Q145))</f>
        <v>44073</v>
      </c>
      <c r="G145" s="35" t="str">
        <f>INDEX(projects[Charge_Code],MATCH(TimeEntry[[#This Row],[Project_ID]],projects[Project_ID],0))</f>
        <v>210035-65 MC VBB WP1: DO-nota West (25-050)</v>
      </c>
      <c r="H145" s="1" t="str">
        <f t="shared" si="5"/>
        <v>Normal Time</v>
      </c>
      <c r="I145" s="1" t="s">
        <v>285</v>
      </c>
      <c r="J145" s="15">
        <v>3.75</v>
      </c>
      <c r="K145" s="15"/>
      <c r="L145" s="15"/>
      <c r="M145" s="15"/>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2</v>
      </c>
      <c r="R145" s="9">
        <f>YEAR(TimeEntry[[#This Row],[WkEnd]])</f>
        <v>2020</v>
      </c>
      <c r="S145" s="9">
        <f>WEEKNUM(TimeEntry[[#This Row],[WkEnd]])</f>
        <v>36</v>
      </c>
      <c r="T145" s="9" t="str">
        <f>TimeEntry[[#This Row],[Year]]&amp;"-"&amp;TimeEntry[[#This Row],[WkNo]]</f>
        <v>2020-36</v>
      </c>
    </row>
    <row r="146" spans="1:20" x14ac:dyDescent="0.25">
      <c r="A146" s="6">
        <f>MOD(IF(ROW()=2,0.1,IF(INDEX(TimeEntry[WkEnd],ROW()-1)  =  INDEX(TimeEntry[WkEnd],ROW()-2),    INDEX(TimeEntry[format],ROW()-2),    INDEX(TimeEntry[format],ROW()-2)    +1)),2)</f>
        <v>1.1000000000000001</v>
      </c>
      <c r="B146" s="7">
        <v>44067.695694444446</v>
      </c>
      <c r="C146" s="8">
        <v>44067</v>
      </c>
      <c r="D146" s="8" t="s">
        <v>104</v>
      </c>
      <c r="E146" s="1" t="s">
        <v>442</v>
      </c>
      <c r="F146" s="8">
        <f>IF(TimeEntry[[#This Row],[Date]]=0,F145,C146+(7-Q146))</f>
        <v>44073</v>
      </c>
      <c r="G146" s="35" t="str">
        <f>INDEX(projects[Charge_Code],MATCH(TimeEntry[[#This Row],[Project_ID]],projects[Project_ID],0))</f>
        <v>210035-65 MC VBB WP1: DO-nota West (25-050)</v>
      </c>
      <c r="H146" s="1" t="str">
        <f t="shared" si="5"/>
        <v>Normal Time</v>
      </c>
      <c r="I146" s="1" t="s">
        <v>290</v>
      </c>
      <c r="J146" s="15">
        <v>3.75</v>
      </c>
      <c r="K146" s="15"/>
      <c r="L146" s="15"/>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1</v>
      </c>
      <c r="R146" s="9">
        <f>YEAR(TimeEntry[[#This Row],[WkEnd]])</f>
        <v>2020</v>
      </c>
      <c r="S146" s="9">
        <f>WEEKNUM(TimeEntry[[#This Row],[WkEnd]])</f>
        <v>36</v>
      </c>
      <c r="T146" s="9" t="str">
        <f>TimeEntry[[#This Row],[Year]]&amp;"-"&amp;TimeEntry[[#This Row],[WkNo]]</f>
        <v>2020-36</v>
      </c>
    </row>
    <row r="147" spans="1:20" x14ac:dyDescent="0.25">
      <c r="A147" s="6">
        <f>MOD(IF(ROW()=2,0.1,IF(INDEX(TimeEntry[WkEnd],ROW()-1)  =  INDEX(TimeEntry[WkEnd],ROW()-2),    INDEX(TimeEntry[format],ROW()-2),    INDEX(TimeEntry[format],ROW()-2)    +1)),2)</f>
        <v>1.1000000000000001</v>
      </c>
      <c r="B147" s="7">
        <v>44067.501076388886</v>
      </c>
      <c r="C147" s="8">
        <v>44067</v>
      </c>
      <c r="D147" s="8" t="s">
        <v>104</v>
      </c>
      <c r="E147" s="1" t="s">
        <v>442</v>
      </c>
      <c r="F147" s="8">
        <f>IF(TimeEntry[[#This Row],[Date]]=0,F146,C147+(7-Q147))</f>
        <v>44073</v>
      </c>
      <c r="G147" s="35" t="str">
        <f>INDEX(projects[Charge_Code],MATCH(TimeEntry[[#This Row],[Project_ID]],projects[Project_ID],0))</f>
        <v>210035-65 MC VBB WP1: DO-nota West (25-050)</v>
      </c>
      <c r="H147" s="1" t="str">
        <f t="shared" si="5"/>
        <v>Normal Time</v>
      </c>
      <c r="I147" s="1" t="s">
        <v>286</v>
      </c>
      <c r="J147" s="15">
        <v>3.75</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1</v>
      </c>
      <c r="R147" s="9">
        <f>YEAR(TimeEntry[[#This Row],[WkEnd]])</f>
        <v>2020</v>
      </c>
      <c r="S147" s="9">
        <f>WEEKNUM(TimeEntry[[#This Row],[WkEnd]])</f>
        <v>36</v>
      </c>
      <c r="T147" s="9" t="str">
        <f>TimeEntry[[#This Row],[Year]]&amp;"-"&amp;TimeEntry[[#This Row],[WkNo]]</f>
        <v>2020-36</v>
      </c>
    </row>
    <row r="148" spans="1:20" x14ac:dyDescent="0.25">
      <c r="A148" s="6">
        <f>MOD(IF(ROW()=2,0.1,IF(INDEX(TimeEntry[WkEnd],ROW()-1)  =  INDEX(TimeEntry[WkEnd],ROW()-2),    INDEX(TimeEntry[format],ROW()-2),    INDEX(TimeEntry[format],ROW()-2)    +1)),2)</f>
        <v>0.10000000000000009</v>
      </c>
      <c r="B148" s="7">
        <v>44057.774039351854</v>
      </c>
      <c r="C148" s="8">
        <v>44057</v>
      </c>
      <c r="D148" s="8" t="s">
        <v>102</v>
      </c>
      <c r="E148" s="1" t="s">
        <v>442</v>
      </c>
      <c r="F148" s="8">
        <f>IF(TimeEntry[[#This Row],[Date]]=0,F147,C148+(7-Q148))</f>
        <v>44059</v>
      </c>
      <c r="G148" s="35" t="str">
        <f>INDEX(projects[Charge_Code],MATCH(TimeEntry[[#This Row],[Project_ID]],projects[Project_ID],0))</f>
        <v>210035-65 MC VBB WP1: DO-nota West (25-050)</v>
      </c>
      <c r="H148" s="1" t="str">
        <f t="shared" si="5"/>
        <v>Normal Time</v>
      </c>
      <c r="I148" s="1" t="s">
        <v>278</v>
      </c>
      <c r="J148" s="15">
        <v>7.5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5</v>
      </c>
      <c r="R148" s="9">
        <f>YEAR(TimeEntry[[#This Row],[WkEnd]])</f>
        <v>2020</v>
      </c>
      <c r="S148" s="9">
        <f>WEEKNUM(TimeEntry[[#This Row],[WkEnd]])</f>
        <v>34</v>
      </c>
      <c r="T148" s="9" t="str">
        <f>TimeEntry[[#This Row],[Year]]&amp;"-"&amp;TimeEntry[[#This Row],[WkNo]]</f>
        <v>2020-34</v>
      </c>
    </row>
    <row r="149" spans="1:20" x14ac:dyDescent="0.25">
      <c r="A149" s="6">
        <f>MOD(IF(ROW()=2,0.1,IF(INDEX(TimeEntry[WkEnd],ROW()-1)  =  INDEX(TimeEntry[WkEnd],ROW()-2),    INDEX(TimeEntry[format],ROW()-2),    INDEX(TimeEntry[format],ROW()-2)    +1)),2)</f>
        <v>0.10000000000000009</v>
      </c>
      <c r="B149" s="7">
        <v>44056.774039351854</v>
      </c>
      <c r="C149" s="8">
        <v>44056</v>
      </c>
      <c r="D149" s="8" t="s">
        <v>102</v>
      </c>
      <c r="E149" s="1" t="s">
        <v>442</v>
      </c>
      <c r="F149" s="8">
        <f>IF(TimeEntry[[#This Row],[Date]]=0,F148,C149+(7-Q149))</f>
        <v>44059</v>
      </c>
      <c r="G149" s="35" t="str">
        <f>INDEX(projects[Charge_Code],MATCH(TimeEntry[[#This Row],[Project_ID]],projects[Project_ID],0))</f>
        <v>210035-65 MC VBB WP1: DO-nota West (25-050)</v>
      </c>
      <c r="H149" s="1" t="str">
        <f t="shared" si="5"/>
        <v>Normal Time</v>
      </c>
      <c r="I149" s="1" t="s">
        <v>279</v>
      </c>
      <c r="J149" s="15">
        <v>7.5</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4</v>
      </c>
      <c r="R149" s="9">
        <f>YEAR(TimeEntry[[#This Row],[WkEnd]])</f>
        <v>2020</v>
      </c>
      <c r="S149" s="9">
        <f>WEEKNUM(TimeEntry[[#This Row],[WkEnd]])</f>
        <v>34</v>
      </c>
      <c r="T149" s="9" t="str">
        <f>TimeEntry[[#This Row],[Year]]&amp;"-"&amp;TimeEntry[[#This Row],[WkNo]]</f>
        <v>2020-34</v>
      </c>
    </row>
    <row r="150" spans="1:20" x14ac:dyDescent="0.25">
      <c r="A150" s="6">
        <f>MOD(IF(ROW()=2,0.1,IF(INDEX(TimeEntry[WkEnd],ROW()-1)  =  INDEX(TimeEntry[WkEnd],ROW()-2),    INDEX(TimeEntry[format],ROW()-2),    INDEX(TimeEntry[format],ROW()-2)    +1)),2)</f>
        <v>0.10000000000000009</v>
      </c>
      <c r="B150" s="7">
        <v>44055.774039351854</v>
      </c>
      <c r="C150" s="8">
        <v>44055</v>
      </c>
      <c r="D150" s="8" t="s">
        <v>100</v>
      </c>
      <c r="E150" s="1" t="s">
        <v>442</v>
      </c>
      <c r="F150" s="8">
        <f>IF(TimeEntry[[#This Row],[Date]]=0,F149,C150+(7-Q150))</f>
        <v>44059</v>
      </c>
      <c r="G150" s="35" t="str">
        <f>INDEX(projects[Charge_Code],MATCH(TimeEntry[[#This Row],[Project_ID]],projects[Project_ID],0))</f>
        <v>210035-65 MC VBB WP1: DO-nota West (25-050)</v>
      </c>
      <c r="H150" s="1" t="str">
        <f t="shared" si="5"/>
        <v>Normal Time</v>
      </c>
      <c r="I150" s="1" t="s">
        <v>278</v>
      </c>
      <c r="J150" s="15">
        <v>5</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3</v>
      </c>
      <c r="R150" s="9">
        <f>YEAR(TimeEntry[[#This Row],[WkEnd]])</f>
        <v>2020</v>
      </c>
      <c r="S150" s="9">
        <f>WEEKNUM(TimeEntry[[#This Row],[WkEnd]])</f>
        <v>34</v>
      </c>
      <c r="T150" s="9" t="str">
        <f>TimeEntry[[#This Row],[Year]]&amp;"-"&amp;TimeEntry[[#This Row],[WkNo]]</f>
        <v>2020-34</v>
      </c>
    </row>
    <row r="151" spans="1:20" x14ac:dyDescent="0.25">
      <c r="A151" s="6">
        <f>MOD(IF(ROW()=2,0.1,IF(INDEX(TimeEntry[WkEnd],ROW()-1)  =  INDEX(TimeEntry[WkEnd],ROW()-2),    INDEX(TimeEntry[format],ROW()-2),    INDEX(TimeEntry[format],ROW()-2)    +1)),2)</f>
        <v>0.10000000000000009</v>
      </c>
      <c r="B151" s="7">
        <v>44055.774039351854</v>
      </c>
      <c r="C151" s="8">
        <v>44055</v>
      </c>
      <c r="D151" s="8" t="s">
        <v>100</v>
      </c>
      <c r="E151" s="1" t="s">
        <v>447</v>
      </c>
      <c r="F151" s="8">
        <f>IF(TimeEntry[[#This Row],[Date]]=0,F150,C151+(7-Q151))</f>
        <v>44059</v>
      </c>
      <c r="G151" s="35" t="str">
        <f>INDEX(projects[Charge_Code],MATCH(TimeEntry[[#This Row],[Project_ID]],projects[Project_ID],0))</f>
        <v>257677-59  Melbourne Metro - Latrobe</v>
      </c>
      <c r="H151" s="1" t="str">
        <f t="shared" si="5"/>
        <v>Normal Time</v>
      </c>
      <c r="I151" s="1" t="s">
        <v>274</v>
      </c>
      <c r="J151" s="15">
        <v>2.5</v>
      </c>
      <c r="K151" s="15"/>
      <c r="L151" s="15"/>
      <c r="M151" s="15"/>
      <c r="N151" s="15"/>
      <c r="O151" s="15" t="str">
        <f>INDEX(projects[job number],MATCH(TimeEntry[[#This Row],[Project_ID]], projects[Project_ID],0))</f>
        <v xml:space="preserve">257677-59 </v>
      </c>
      <c r="P151" s="15" t="str">
        <f>INDEX(projects[Project_Name],MATCH(TimeEntry[[#This Row],[Project_ID]], projects[Project_ID],0))</f>
        <v>Melbourne Metro - Latrobe</v>
      </c>
      <c r="Q151" s="6">
        <f>IF(TimeEntry[[#This Row],[Date]]=0,"",WEEKDAY(C151,2))</f>
        <v>3</v>
      </c>
      <c r="R151" s="9">
        <f>YEAR(TimeEntry[[#This Row],[WkEnd]])</f>
        <v>2020</v>
      </c>
      <c r="S151" s="9">
        <f>WEEKNUM(TimeEntry[[#This Row],[WkEnd]])</f>
        <v>34</v>
      </c>
      <c r="T151" s="9" t="str">
        <f>TimeEntry[[#This Row],[Year]]&amp;"-"&amp;TimeEntry[[#This Row],[WkNo]]</f>
        <v>2020-34</v>
      </c>
    </row>
    <row r="152" spans="1:20" x14ac:dyDescent="0.25">
      <c r="A152" s="6">
        <f>MOD(IF(ROW()=2,0.1,IF(INDEX(TimeEntry[WkEnd],ROW()-1)  =  INDEX(TimeEntry[WkEnd],ROW()-2),    INDEX(TimeEntry[format],ROW()-2),    INDEX(TimeEntry[format],ROW()-2)    +1)),2)</f>
        <v>0.10000000000000009</v>
      </c>
      <c r="B152" s="7">
        <v>44054.774039351854</v>
      </c>
      <c r="C152" s="8">
        <v>44054</v>
      </c>
      <c r="D152" s="8" t="s">
        <v>106</v>
      </c>
      <c r="E152" s="1" t="s">
        <v>442</v>
      </c>
      <c r="F152" s="8">
        <f>IF(TimeEntry[[#This Row],[Date]]=0,F151,C152+(7-Q152))</f>
        <v>44059</v>
      </c>
      <c r="G152" s="35" t="str">
        <f>INDEX(projects[Charge_Code],MATCH(TimeEntry[[#This Row],[Project_ID]],projects[Project_ID],0))</f>
        <v>210035-65 MC VBB WP1: DO-nota West (25-050)</v>
      </c>
      <c r="H152" s="1" t="str">
        <f t="shared" si="5"/>
        <v>Normal Time</v>
      </c>
      <c r="I152" s="1" t="s">
        <v>280</v>
      </c>
      <c r="J152" s="15">
        <v>7.5</v>
      </c>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2</v>
      </c>
      <c r="R152" s="9">
        <f>YEAR(TimeEntry[[#This Row],[WkEnd]])</f>
        <v>2020</v>
      </c>
      <c r="S152" s="9">
        <f>WEEKNUM(TimeEntry[[#This Row],[WkEnd]])</f>
        <v>34</v>
      </c>
      <c r="T152" s="9" t="str">
        <f>TimeEntry[[#This Row],[Year]]&amp;"-"&amp;TimeEntry[[#This Row],[WkNo]]</f>
        <v>2020-34</v>
      </c>
    </row>
    <row r="153" spans="1:20" x14ac:dyDescent="0.25">
      <c r="A153" s="6">
        <f>MOD(IF(ROW()=2,0.1,IF(INDEX(TimeEntry[WkEnd],ROW()-1)  =  INDEX(TimeEntry[WkEnd],ROW()-2),    INDEX(TimeEntry[format],ROW()-2),    INDEX(TimeEntry[format],ROW()-2)    +1)),2)</f>
        <v>0.10000000000000009</v>
      </c>
      <c r="B153" s="7">
        <v>44053.500509259262</v>
      </c>
      <c r="C153" s="8">
        <v>44053</v>
      </c>
      <c r="D153" s="8" t="s">
        <v>104</v>
      </c>
      <c r="E153" s="1" t="s">
        <v>442</v>
      </c>
      <c r="F153" s="8">
        <f>IF(TimeEntry[[#This Row],[Date]]=0,F152,C153+(7-Q153))</f>
        <v>44059</v>
      </c>
      <c r="G153" s="35" t="str">
        <f>INDEX(projects[Charge_Code],MATCH(TimeEntry[[#This Row],[Project_ID]],projects[Project_ID],0))</f>
        <v>210035-65 MC VBB WP1: DO-nota West (25-050)</v>
      </c>
      <c r="H153" s="1" t="str">
        <f t="shared" si="5"/>
        <v>Normal Time</v>
      </c>
      <c r="I153" s="1" t="s">
        <v>277</v>
      </c>
      <c r="J153" s="15">
        <v>7.5</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1</v>
      </c>
      <c r="R153" s="9">
        <f>YEAR(TimeEntry[[#This Row],[WkEnd]])</f>
        <v>2020</v>
      </c>
      <c r="S153" s="9">
        <f>WEEKNUM(TimeEntry[[#This Row],[WkEnd]])</f>
        <v>34</v>
      </c>
      <c r="T153" s="9" t="str">
        <f>TimeEntry[[#This Row],[Year]]&amp;"-"&amp;TimeEntry[[#This Row],[WkNo]]</f>
        <v>2020-34</v>
      </c>
    </row>
    <row r="154" spans="1:20" x14ac:dyDescent="0.25">
      <c r="A154" s="6">
        <f>MOD(IF(ROW()=2,0.1,IF(INDEX(TimeEntry[WkEnd],ROW()-1)  =  INDEX(TimeEntry[WkEnd],ROW()-2),    INDEX(TimeEntry[format],ROW()-2),    INDEX(TimeEntry[format],ROW()-2)    +1)),2)</f>
        <v>1.1000000000000001</v>
      </c>
      <c r="B154" s="7">
        <v>44050.500509259262</v>
      </c>
      <c r="C154" s="8">
        <v>44050</v>
      </c>
      <c r="D154" s="8" t="s">
        <v>106</v>
      </c>
      <c r="E154" s="1" t="s">
        <v>445</v>
      </c>
      <c r="F154" s="8">
        <f>IF(TimeEntry[[#This Row],[Date]]=0,F153,C154+(7-Q154))</f>
        <v>44052</v>
      </c>
      <c r="G154" s="35" t="str">
        <f>INDEX(projects[Charge_Code],MATCH(TimeEntry[[#This Row],[Project_ID]],projects[Project_ID],0))</f>
        <v>LEAVE</v>
      </c>
      <c r="H154" s="1" t="str">
        <f t="shared" si="5"/>
        <v>Normal Time</v>
      </c>
      <c r="I154" s="1" t="s">
        <v>65</v>
      </c>
      <c r="J154" s="15">
        <v>3.75</v>
      </c>
      <c r="K154" s="15"/>
      <c r="L154" s="15"/>
      <c r="M154" s="15"/>
      <c r="N154" s="15"/>
      <c r="O154" s="15" t="str">
        <f>INDEX(projects[job number],MATCH(TimeEntry[[#This Row],[Project_ID]], projects[Project_ID],0))</f>
        <v>LEAVE</v>
      </c>
      <c r="P154" s="15">
        <f>INDEX(projects[Project_Name],MATCH(TimeEntry[[#This Row],[Project_ID]], projects[Project_ID],0))</f>
        <v>0</v>
      </c>
      <c r="Q154" s="6">
        <f>IF(TimeEntry[[#This Row],[Date]]=0,"",WEEKDAY(C154,2))</f>
        <v>5</v>
      </c>
      <c r="R154" s="9">
        <f>YEAR(TimeEntry[[#This Row],[WkEnd]])</f>
        <v>2020</v>
      </c>
      <c r="S154" s="9">
        <f>WEEKNUM(TimeEntry[[#This Row],[WkEnd]])</f>
        <v>33</v>
      </c>
      <c r="T154" s="9" t="str">
        <f>TimeEntry[[#This Row],[Year]]&amp;"-"&amp;TimeEntry[[#This Row],[WkNo]]</f>
        <v>2020-33</v>
      </c>
    </row>
    <row r="155" spans="1:20" x14ac:dyDescent="0.25">
      <c r="A155" s="6">
        <f>MOD(IF(ROW()=2,0.1,IF(INDEX(TimeEntry[WkEnd],ROW()-1)  =  INDEX(TimeEntry[WkEnd],ROW()-2),    INDEX(TimeEntry[format],ROW()-2),    INDEX(TimeEntry[format],ROW()-2)    +1)),2)</f>
        <v>1.1000000000000001</v>
      </c>
      <c r="B155" s="7">
        <v>44050.500509259262</v>
      </c>
      <c r="C155" s="8">
        <v>44050</v>
      </c>
      <c r="D155" s="8" t="s">
        <v>106</v>
      </c>
      <c r="E155" s="1" t="s">
        <v>442</v>
      </c>
      <c r="F155" s="8">
        <f>IF(TimeEntry[[#This Row],[Date]]=0,F154,C155+(7-Q155))</f>
        <v>44052</v>
      </c>
      <c r="G155" s="35" t="str">
        <f>INDEX(projects[Charge_Code],MATCH(TimeEntry[[#This Row],[Project_ID]],projects[Project_ID],0))</f>
        <v>210035-65 MC VBB WP1: DO-nota West (25-050)</v>
      </c>
      <c r="H155" s="1" t="str">
        <f t="shared" si="5"/>
        <v>Normal Time</v>
      </c>
      <c r="I155" s="1" t="s">
        <v>272</v>
      </c>
      <c r="J155" s="15">
        <v>3.75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5</v>
      </c>
      <c r="R155" s="9">
        <f>YEAR(TimeEntry[[#This Row],[WkEnd]])</f>
        <v>2020</v>
      </c>
      <c r="S155" s="9">
        <f>WEEKNUM(TimeEntry[[#This Row],[WkEnd]])</f>
        <v>33</v>
      </c>
      <c r="T155" s="9" t="str">
        <f>TimeEntry[[#This Row],[Year]]&amp;"-"&amp;TimeEntry[[#This Row],[WkNo]]</f>
        <v>2020-33</v>
      </c>
    </row>
    <row r="156" spans="1:20" x14ac:dyDescent="0.25">
      <c r="A156" s="6">
        <f>MOD(IF(ROW()=2,0.1,IF(INDEX(TimeEntry[WkEnd],ROW()-1)  =  INDEX(TimeEntry[WkEnd],ROW()-2),    INDEX(TimeEntry[format],ROW()-2),    INDEX(TimeEntry[format],ROW()-2)    +1)),2)</f>
        <v>1.1000000000000001</v>
      </c>
      <c r="B156" s="7">
        <v>44049.669606481482</v>
      </c>
      <c r="C156" s="8">
        <v>44049</v>
      </c>
      <c r="D156" s="8" t="s">
        <v>102</v>
      </c>
      <c r="E156" s="1" t="s">
        <v>442</v>
      </c>
      <c r="F156" s="8">
        <f>IF(TimeEntry[[#This Row],[Date]]=0,F155,C156+(7-Q156))</f>
        <v>44052</v>
      </c>
      <c r="G156" s="35" t="str">
        <f>INDEX(projects[Charge_Code],MATCH(TimeEntry[[#This Row],[Project_ID]],projects[Project_ID],0))</f>
        <v>210035-65 MC VBB WP1: DO-nota West (25-050)</v>
      </c>
      <c r="H156" s="1" t="str">
        <f t="shared" si="5"/>
        <v>Normal Time</v>
      </c>
      <c r="I156" s="1" t="s">
        <v>271</v>
      </c>
      <c r="J156" s="15">
        <v>3.75</v>
      </c>
      <c r="K156" s="15"/>
      <c r="L156" s="15"/>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4</v>
      </c>
      <c r="R156" s="9">
        <f>YEAR(TimeEntry[[#This Row],[WkEnd]])</f>
        <v>2020</v>
      </c>
      <c r="S156" s="9">
        <f>WEEKNUM(TimeEntry[[#This Row],[WkEnd]])</f>
        <v>33</v>
      </c>
      <c r="T156" s="9" t="str">
        <f>TimeEntry[[#This Row],[Year]]&amp;"-"&amp;TimeEntry[[#This Row],[WkNo]]</f>
        <v>2020-33</v>
      </c>
    </row>
    <row r="157" spans="1:20" x14ac:dyDescent="0.25">
      <c r="A157" s="6">
        <f>MOD(IF(ROW()=2,0.1,IF(INDEX(TimeEntry[WkEnd],ROW()-1)  =  INDEX(TimeEntry[WkEnd],ROW()-2),    INDEX(TimeEntry[format],ROW()-2),    INDEX(TimeEntry[format],ROW()-2)    +1)),2)</f>
        <v>1.1000000000000001</v>
      </c>
      <c r="B157" s="7">
        <v>44049.517881944441</v>
      </c>
      <c r="C157" s="8">
        <v>44049</v>
      </c>
      <c r="D157" s="8" t="s">
        <v>102</v>
      </c>
      <c r="E157" s="1" t="s">
        <v>442</v>
      </c>
      <c r="F157" s="8">
        <f>IF(TimeEntry[[#This Row],[Date]]=0,F156,C157+(7-Q157))</f>
        <v>44052</v>
      </c>
      <c r="G157" s="35" t="str">
        <f>INDEX(projects[Charge_Code],MATCH(TimeEntry[[#This Row],[Project_ID]],projects[Project_ID],0))</f>
        <v>210035-65 MC VBB WP1: DO-nota West (25-050)</v>
      </c>
      <c r="H157" s="1" t="str">
        <f t="shared" ref="H157:H220" si="6">"Normal Time"</f>
        <v>Normal Time</v>
      </c>
      <c r="I157" s="1" t="s">
        <v>270</v>
      </c>
      <c r="J157" s="15">
        <v>3.75</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4</v>
      </c>
      <c r="R157" s="9">
        <f>YEAR(TimeEntry[[#This Row],[WkEnd]])</f>
        <v>2020</v>
      </c>
      <c r="S157" s="9">
        <f>WEEKNUM(TimeEntry[[#This Row],[WkEnd]])</f>
        <v>33</v>
      </c>
      <c r="T157" s="9" t="str">
        <f>TimeEntry[[#This Row],[Year]]&amp;"-"&amp;TimeEntry[[#This Row],[WkNo]]</f>
        <v>2020-33</v>
      </c>
    </row>
    <row r="158" spans="1:20" x14ac:dyDescent="0.25">
      <c r="A158" s="6">
        <f>MOD(IF(ROW()=2,0.1,IF(INDEX(TimeEntry[WkEnd],ROW()-1)  =  INDEX(TimeEntry[WkEnd],ROW()-2),    INDEX(TimeEntry[format],ROW()-2),    INDEX(TimeEntry[format],ROW()-2)    +1)),2)</f>
        <v>1.1000000000000001</v>
      </c>
      <c r="B158" s="7">
        <v>44048.670601851853</v>
      </c>
      <c r="C158" s="8">
        <v>44048</v>
      </c>
      <c r="D158" s="8" t="s">
        <v>100</v>
      </c>
      <c r="E158" s="1" t="s">
        <v>442</v>
      </c>
      <c r="F158" s="8">
        <f>IF(TimeEntry[[#This Row],[Date]]=0,F157,C158+(7-Q158))</f>
        <v>44052</v>
      </c>
      <c r="G158" s="35" t="str">
        <f>INDEX(projects[Charge_Code],MATCH(TimeEntry[[#This Row],[Project_ID]],projects[Project_ID],0))</f>
        <v>210035-65 MC VBB WP1: DO-nota West (25-050)</v>
      </c>
      <c r="H158" s="1" t="str">
        <f t="shared" si="6"/>
        <v>Normal Time</v>
      </c>
      <c r="I158" s="1" t="s">
        <v>269</v>
      </c>
      <c r="J158" s="15">
        <v>3</v>
      </c>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3</v>
      </c>
      <c r="R158" s="9">
        <f>YEAR(TimeEntry[[#This Row],[WkEnd]])</f>
        <v>2020</v>
      </c>
      <c r="S158" s="9">
        <f>WEEKNUM(TimeEntry[[#This Row],[WkEnd]])</f>
        <v>33</v>
      </c>
      <c r="T158" s="9" t="str">
        <f>TimeEntry[[#This Row],[Year]]&amp;"-"&amp;TimeEntry[[#This Row],[WkNo]]</f>
        <v>2020-33</v>
      </c>
    </row>
    <row r="159" spans="1:20" x14ac:dyDescent="0.25">
      <c r="A159" s="6">
        <f>MOD(IF(ROW()=2,0.1,IF(INDEX(TimeEntry[WkEnd],ROW()-1)  =  INDEX(TimeEntry[WkEnd],ROW()-2),    INDEX(TimeEntry[format],ROW()-2),    INDEX(TimeEntry[format],ROW()-2)    +1)),2)</f>
        <v>1.1000000000000001</v>
      </c>
      <c r="B159" s="7">
        <v>44048.570092592592</v>
      </c>
      <c r="C159" s="8">
        <v>44048</v>
      </c>
      <c r="D159" s="8" t="s">
        <v>100</v>
      </c>
      <c r="E159" s="1" t="s">
        <v>447</v>
      </c>
      <c r="F159" s="8">
        <f>IF(TimeEntry[[#This Row],[Date]]=0,F158,C159+(7-Q159))</f>
        <v>44052</v>
      </c>
      <c r="G159" s="35" t="str">
        <f>INDEX(projects[Charge_Code],MATCH(TimeEntry[[#This Row],[Project_ID]],projects[Project_ID],0))</f>
        <v>257677-59  Melbourne Metro - Latrobe</v>
      </c>
      <c r="H159" s="1" t="str">
        <f t="shared" si="6"/>
        <v>Normal Time</v>
      </c>
      <c r="I159" s="1" t="s">
        <v>274</v>
      </c>
      <c r="J159" s="15">
        <v>2.5</v>
      </c>
      <c r="K159" s="15"/>
      <c r="L159" s="15"/>
      <c r="M159" s="15"/>
      <c r="N159" s="15"/>
      <c r="O159" s="15" t="str">
        <f>INDEX(projects[job number],MATCH(TimeEntry[[#This Row],[Project_ID]], projects[Project_ID],0))</f>
        <v xml:space="preserve">257677-59 </v>
      </c>
      <c r="P159" s="15" t="str">
        <f>INDEX(projects[Project_Name],MATCH(TimeEntry[[#This Row],[Project_ID]], projects[Project_ID],0))</f>
        <v>Melbourne Metro - Latrobe</v>
      </c>
      <c r="Q159" s="6">
        <f>IF(TimeEntry[[#This Row],[Date]]=0,"",WEEKDAY(C159,2))</f>
        <v>3</v>
      </c>
      <c r="R159" s="9">
        <f>YEAR(TimeEntry[[#This Row],[WkEnd]])</f>
        <v>2020</v>
      </c>
      <c r="S159" s="9">
        <f>WEEKNUM(TimeEntry[[#This Row],[WkEnd]])</f>
        <v>33</v>
      </c>
      <c r="T159" s="9" t="str">
        <f>TimeEntry[[#This Row],[Year]]&amp;"-"&amp;TimeEntry[[#This Row],[WkNo]]</f>
        <v>2020-33</v>
      </c>
    </row>
    <row r="160" spans="1:20" x14ac:dyDescent="0.25">
      <c r="A160" s="6">
        <f>MOD(IF(ROW()=2,0.1,IF(INDEX(TimeEntry[WkEnd],ROW()-1)  =  INDEX(TimeEntry[WkEnd],ROW()-2),    INDEX(TimeEntry[format],ROW()-2),    INDEX(TimeEntry[format],ROW()-2)    +1)),2)</f>
        <v>1.1000000000000001</v>
      </c>
      <c r="B160" s="7">
        <v>44048.570092592592</v>
      </c>
      <c r="C160" s="8">
        <v>44048</v>
      </c>
      <c r="D160" s="8" t="s">
        <v>100</v>
      </c>
      <c r="E160" s="1" t="s">
        <v>442</v>
      </c>
      <c r="F160" s="8">
        <f>IF(TimeEntry[[#This Row],[Date]]=0,F159,C160+(7-Q160))</f>
        <v>44052</v>
      </c>
      <c r="G160" s="35" t="str">
        <f>INDEX(projects[Charge_Code],MATCH(TimeEntry[[#This Row],[Project_ID]],projects[Project_ID],0))</f>
        <v>210035-65 MC VBB WP1: DO-nota West (25-050)</v>
      </c>
      <c r="H160" s="1" t="str">
        <f t="shared" si="6"/>
        <v>Normal Time</v>
      </c>
      <c r="I160" s="1" t="s">
        <v>268</v>
      </c>
      <c r="J160" s="15">
        <v>2</v>
      </c>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3</v>
      </c>
      <c r="R160" s="9">
        <f>YEAR(TimeEntry[[#This Row],[WkEnd]])</f>
        <v>2020</v>
      </c>
      <c r="S160" s="9">
        <f>WEEKNUM(TimeEntry[[#This Row],[WkEnd]])</f>
        <v>33</v>
      </c>
      <c r="T160" s="9" t="str">
        <f>TimeEntry[[#This Row],[Year]]&amp;"-"&amp;TimeEntry[[#This Row],[WkNo]]</f>
        <v>2020-33</v>
      </c>
    </row>
    <row r="161" spans="1:20" x14ac:dyDescent="0.25">
      <c r="A161" s="6">
        <f>MOD(IF(ROW()=2,0.1,IF(INDEX(TimeEntry[WkEnd],ROW()-1)  =  INDEX(TimeEntry[WkEnd],ROW()-2),    INDEX(TimeEntry[format],ROW()-2),    INDEX(TimeEntry[format],ROW()-2)    +1)),2)</f>
        <v>1.1000000000000001</v>
      </c>
      <c r="B161" s="7">
        <v>44047.667245370372</v>
      </c>
      <c r="C161" s="8">
        <v>44047</v>
      </c>
      <c r="D161" s="8" t="s">
        <v>101</v>
      </c>
      <c r="E161" s="1" t="s">
        <v>447</v>
      </c>
      <c r="F161" s="8">
        <f>IF(TimeEntry[[#This Row],[Date]]=0,F160,C161+(7-Q161))</f>
        <v>44052</v>
      </c>
      <c r="G161" s="35" t="str">
        <f>INDEX(projects[Charge_Code],MATCH(TimeEntry[[#This Row],[Project_ID]],projects[Project_ID],0))</f>
        <v>257677-59  Melbourne Metro - Latrobe</v>
      </c>
      <c r="H161" s="1" t="str">
        <f t="shared" si="6"/>
        <v>Normal Time</v>
      </c>
      <c r="I161" s="1" t="s">
        <v>275</v>
      </c>
      <c r="J161" s="15">
        <v>2.5</v>
      </c>
      <c r="K161" s="15"/>
      <c r="L161" s="15"/>
      <c r="M161" s="15"/>
      <c r="N161" s="15"/>
      <c r="O161" s="15" t="str">
        <f>INDEX(projects[job number],MATCH(TimeEntry[[#This Row],[Project_ID]], projects[Project_ID],0))</f>
        <v xml:space="preserve">257677-59 </v>
      </c>
      <c r="P161" s="15" t="str">
        <f>INDEX(projects[Project_Name],MATCH(TimeEntry[[#This Row],[Project_ID]], projects[Project_ID],0))</f>
        <v>Melbourne Metro - Latrobe</v>
      </c>
      <c r="Q161" s="6">
        <f>IF(TimeEntry[[#This Row],[Date]]=0,"",WEEKDAY(C161,2))</f>
        <v>2</v>
      </c>
      <c r="R161" s="9">
        <f>YEAR(TimeEntry[[#This Row],[WkEnd]])</f>
        <v>2020</v>
      </c>
      <c r="S161" s="9">
        <f>WEEKNUM(TimeEntry[[#This Row],[WkEnd]])</f>
        <v>33</v>
      </c>
      <c r="T161" s="9" t="str">
        <f>TimeEntry[[#This Row],[Year]]&amp;"-"&amp;TimeEntry[[#This Row],[WkNo]]</f>
        <v>2020-33</v>
      </c>
    </row>
    <row r="162" spans="1:20" x14ac:dyDescent="0.25">
      <c r="A162" s="6">
        <f>MOD(IF(ROW()=2,0.1,IF(INDEX(TimeEntry[WkEnd],ROW()-1)  =  INDEX(TimeEntry[WkEnd],ROW()-2),    INDEX(TimeEntry[format],ROW()-2),    INDEX(TimeEntry[format],ROW()-2)    +1)),2)</f>
        <v>1.1000000000000001</v>
      </c>
      <c r="B162" s="7">
        <v>44047.667245370372</v>
      </c>
      <c r="C162" s="8">
        <v>44047</v>
      </c>
      <c r="D162" s="8" t="s">
        <v>101</v>
      </c>
      <c r="E162" s="1" t="s">
        <v>442</v>
      </c>
      <c r="F162" s="8">
        <f>IF(TimeEntry[[#This Row],[Date]]=0,F161,C162+(7-Q162))</f>
        <v>44052</v>
      </c>
      <c r="G162" s="35" t="str">
        <f>INDEX(projects[Charge_Code],MATCH(TimeEntry[[#This Row],[Project_ID]],projects[Project_ID],0))</f>
        <v>210035-65 MC VBB WP1: DO-nota West (25-050)</v>
      </c>
      <c r="H162" s="1" t="str">
        <f t="shared" si="6"/>
        <v>Normal Time</v>
      </c>
      <c r="I162" s="1" t="s">
        <v>273</v>
      </c>
      <c r="J162" s="15">
        <v>2</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2</v>
      </c>
      <c r="R162" s="9">
        <f>YEAR(TimeEntry[[#This Row],[WkEnd]])</f>
        <v>2020</v>
      </c>
      <c r="S162" s="9">
        <f>WEEKNUM(TimeEntry[[#This Row],[WkEnd]])</f>
        <v>33</v>
      </c>
      <c r="T162" s="9" t="str">
        <f>TimeEntry[[#This Row],[Year]]&amp;"-"&amp;TimeEntry[[#This Row],[WkNo]]</f>
        <v>2020-33</v>
      </c>
    </row>
    <row r="163" spans="1:20" x14ac:dyDescent="0.25">
      <c r="A163" s="6">
        <f>MOD(IF(ROW()=2,0.1,IF(INDEX(TimeEntry[WkEnd],ROW()-1)  =  INDEX(TimeEntry[WkEnd],ROW()-2),    INDEX(TimeEntry[format],ROW()-2),    INDEX(TimeEntry[format],ROW()-2)    +1)),2)</f>
        <v>1.1000000000000001</v>
      </c>
      <c r="B163" s="7">
        <v>44047.501493055555</v>
      </c>
      <c r="C163" s="8">
        <v>44047</v>
      </c>
      <c r="D163" s="8" t="s">
        <v>101</v>
      </c>
      <c r="E163" s="1" t="s">
        <v>442</v>
      </c>
      <c r="F163" s="8">
        <f>IF(TimeEntry[[#This Row],[Date]]=0,F162,C163+(7-Q163))</f>
        <v>44052</v>
      </c>
      <c r="G163" s="35" t="str">
        <f>INDEX(projects[Charge_Code],MATCH(TimeEntry[[#This Row],[Project_ID]],projects[Project_ID],0))</f>
        <v>210035-65 MC VBB WP1: DO-nota West (25-050)</v>
      </c>
      <c r="H163" s="1" t="str">
        <f t="shared" si="6"/>
        <v>Normal Time</v>
      </c>
      <c r="I163" s="1" t="s">
        <v>267</v>
      </c>
      <c r="J163" s="15">
        <v>3</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2</v>
      </c>
      <c r="R163" s="9">
        <f>YEAR(TimeEntry[[#This Row],[WkEnd]])</f>
        <v>2020</v>
      </c>
      <c r="S163" s="9">
        <f>WEEKNUM(TimeEntry[[#This Row],[WkEnd]])</f>
        <v>33</v>
      </c>
      <c r="T163" s="9" t="str">
        <f>TimeEntry[[#This Row],[Year]]&amp;"-"&amp;TimeEntry[[#This Row],[WkNo]]</f>
        <v>2020-33</v>
      </c>
    </row>
    <row r="164" spans="1:20" x14ac:dyDescent="0.25">
      <c r="A164" s="6">
        <f>MOD(IF(ROW()=2,0.1,IF(INDEX(TimeEntry[WkEnd],ROW()-1)  =  INDEX(TimeEntry[WkEnd],ROW()-2),    INDEX(TimeEntry[format],ROW()-2),    INDEX(TimeEntry[format],ROW()-2)    +1)),2)</f>
        <v>1.1000000000000001</v>
      </c>
      <c r="B164" s="7">
        <v>44046.686666666668</v>
      </c>
      <c r="C164" s="8">
        <v>44046</v>
      </c>
      <c r="D164" s="8" t="s">
        <v>104</v>
      </c>
      <c r="E164" s="1" t="s">
        <v>442</v>
      </c>
      <c r="F164" s="8">
        <f>IF(TimeEntry[[#This Row],[Date]]=0,F163,C164+(7-Q164))</f>
        <v>44052</v>
      </c>
      <c r="G164" s="35" t="str">
        <f>INDEX(projects[Charge_Code],MATCH(TimeEntry[[#This Row],[Project_ID]],projects[Project_ID],0))</f>
        <v>210035-65 MC VBB WP1: DO-nota West (25-050)</v>
      </c>
      <c r="H164" s="1" t="str">
        <f t="shared" si="6"/>
        <v>Normal Time</v>
      </c>
      <c r="I164" s="1" t="s">
        <v>266</v>
      </c>
      <c r="J164" s="15">
        <v>3.75</v>
      </c>
      <c r="K164" s="15"/>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1</v>
      </c>
      <c r="R164" s="9">
        <f>YEAR(TimeEntry[[#This Row],[WkEnd]])</f>
        <v>2020</v>
      </c>
      <c r="S164" s="9">
        <f>WEEKNUM(TimeEntry[[#This Row],[WkEnd]])</f>
        <v>33</v>
      </c>
      <c r="T164" s="9" t="str">
        <f>TimeEntry[[#This Row],[Year]]&amp;"-"&amp;TimeEntry[[#This Row],[WkNo]]</f>
        <v>2020-33</v>
      </c>
    </row>
    <row r="165" spans="1:20" x14ac:dyDescent="0.25">
      <c r="A165" s="6">
        <f>MOD(IF(ROW()=2,0.1,IF(INDEX(TimeEntry[WkEnd],ROW()-1)  =  INDEX(TimeEntry[WkEnd],ROW()-2),    INDEX(TimeEntry[format],ROW()-2),    INDEX(TimeEntry[format],ROW()-2)    +1)),2)</f>
        <v>1.1000000000000001</v>
      </c>
      <c r="B165" s="7">
        <v>44046.5003125</v>
      </c>
      <c r="C165" s="8">
        <v>44046</v>
      </c>
      <c r="D165" s="8" t="s">
        <v>104</v>
      </c>
      <c r="E165" s="1" t="s">
        <v>442</v>
      </c>
      <c r="F165" s="8">
        <f>IF(TimeEntry[[#This Row],[Date]]=0,F164,C165+(7-Q165))</f>
        <v>44052</v>
      </c>
      <c r="G165" s="35" t="str">
        <f>INDEX(projects[Charge_Code],MATCH(TimeEntry[[#This Row],[Project_ID]],projects[Project_ID],0))</f>
        <v>210035-65 MC VBB WP1: DO-nota West (25-050)</v>
      </c>
      <c r="H165" s="1" t="str">
        <f t="shared" si="6"/>
        <v>Normal Time</v>
      </c>
      <c r="I165" s="1" t="s">
        <v>265</v>
      </c>
      <c r="J165" s="15">
        <v>3.75</v>
      </c>
      <c r="K165" s="15"/>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1</v>
      </c>
      <c r="R165" s="9">
        <f>YEAR(TimeEntry[[#This Row],[WkEnd]])</f>
        <v>2020</v>
      </c>
      <c r="S165" s="9">
        <f>WEEKNUM(TimeEntry[[#This Row],[WkEnd]])</f>
        <v>33</v>
      </c>
      <c r="T165" s="9" t="str">
        <f>TimeEntry[[#This Row],[Year]]&amp;"-"&amp;TimeEntry[[#This Row],[WkNo]]</f>
        <v>2020-33</v>
      </c>
    </row>
    <row r="166" spans="1:20" x14ac:dyDescent="0.25">
      <c r="A166" s="6">
        <f>MOD(IF(ROW()=2,0.1,IF(INDEX(TimeEntry[WkEnd],ROW()-1)  =  INDEX(TimeEntry[WkEnd],ROW()-2),    INDEX(TimeEntry[format],ROW()-2),    INDEX(TimeEntry[format],ROW()-2)    +1)),2)</f>
        <v>0.10000000000000009</v>
      </c>
      <c r="B166" s="7">
        <v>44043</v>
      </c>
      <c r="C166" s="8">
        <v>44043</v>
      </c>
      <c r="D166" s="8" t="s">
        <v>106</v>
      </c>
      <c r="E166" s="1" t="s">
        <v>445</v>
      </c>
      <c r="F166" s="8">
        <f>IF(TimeEntry[[#This Row],[Date]]=0,F165,C166+(7-Q166))</f>
        <v>44045</v>
      </c>
      <c r="G166" s="35" t="str">
        <f>INDEX(projects[Charge_Code],MATCH(TimeEntry[[#This Row],[Project_ID]],projects[Project_ID],0))</f>
        <v>LEAVE</v>
      </c>
      <c r="H166" s="1" t="str">
        <f t="shared" si="6"/>
        <v>Normal Time</v>
      </c>
      <c r="I166" s="1"/>
      <c r="J166" s="15">
        <v>7.5</v>
      </c>
      <c r="K166" s="15"/>
      <c r="L166" s="15"/>
      <c r="M166" s="15"/>
      <c r="N166" s="15"/>
      <c r="O166" s="15" t="str">
        <f>INDEX(projects[job number],MATCH(TimeEntry[[#This Row],[Project_ID]], projects[Project_ID],0))</f>
        <v>LEAVE</v>
      </c>
      <c r="P166" s="15">
        <f>INDEX(projects[Project_Name],MATCH(TimeEntry[[#This Row],[Project_ID]], projects[Project_ID],0))</f>
        <v>0</v>
      </c>
      <c r="Q166" s="6">
        <f>IF(TimeEntry[[#This Row],[Date]]=0,"",WEEKDAY(C166,2))</f>
        <v>5</v>
      </c>
      <c r="R166" s="9">
        <f>YEAR(TimeEntry[[#This Row],[WkEnd]])</f>
        <v>2020</v>
      </c>
      <c r="S166" s="9">
        <f>WEEKNUM(TimeEntry[[#This Row],[WkEnd]])</f>
        <v>32</v>
      </c>
      <c r="T166" s="9" t="str">
        <f>TimeEntry[[#This Row],[Year]]&amp;"-"&amp;TimeEntry[[#This Row],[WkNo]]</f>
        <v>2020-32</v>
      </c>
    </row>
    <row r="167" spans="1:20" x14ac:dyDescent="0.25">
      <c r="A167" s="6">
        <f>MOD(IF(ROW()=2,0.1,IF(INDEX(TimeEntry[WkEnd],ROW()-1)  =  INDEX(TimeEntry[WkEnd],ROW()-2),    INDEX(TimeEntry[format],ROW()-2),    INDEX(TimeEntry[format],ROW()-2)    +1)),2)</f>
        <v>0.10000000000000009</v>
      </c>
      <c r="B167" s="7">
        <v>44042.680509259262</v>
      </c>
      <c r="C167" s="8">
        <v>44042</v>
      </c>
      <c r="D167" s="8" t="s">
        <v>102</v>
      </c>
      <c r="E167" s="1" t="s">
        <v>442</v>
      </c>
      <c r="F167" s="8">
        <f>IF(TimeEntry[[#This Row],[Date]]=0,F166,C167+(7-Q167))</f>
        <v>44045</v>
      </c>
      <c r="G167" s="35" t="str">
        <f>INDEX(projects[Charge_Code],MATCH(TimeEntry[[#This Row],[Project_ID]],projects[Project_ID],0))</f>
        <v>210035-65 MC VBB WP1: DO-nota West (25-050)</v>
      </c>
      <c r="H167" s="1" t="str">
        <f t="shared" si="6"/>
        <v>Normal Time</v>
      </c>
      <c r="I167" s="1" t="s">
        <v>261</v>
      </c>
      <c r="J167" s="15">
        <v>3.75</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4</v>
      </c>
      <c r="R167" s="9">
        <f>YEAR(TimeEntry[[#This Row],[WkEnd]])</f>
        <v>2020</v>
      </c>
      <c r="S167" s="9">
        <f>WEEKNUM(TimeEntry[[#This Row],[WkEnd]])</f>
        <v>32</v>
      </c>
      <c r="T167" s="9" t="str">
        <f>TimeEntry[[#This Row],[Year]]&amp;"-"&amp;TimeEntry[[#This Row],[WkNo]]</f>
        <v>2020-32</v>
      </c>
    </row>
    <row r="168" spans="1:20" x14ac:dyDescent="0.25">
      <c r="A168" s="6">
        <f>MOD(IF(ROW()=2,0.1,IF(INDEX(TimeEntry[WkEnd],ROW()-1)  =  INDEX(TimeEntry[WkEnd],ROW()-2),    INDEX(TimeEntry[format],ROW()-2),    INDEX(TimeEntry[format],ROW()-2)    +1)),2)</f>
        <v>0.10000000000000009</v>
      </c>
      <c r="B168" s="7">
        <v>44042.67224537037</v>
      </c>
      <c r="C168" s="8">
        <v>44042</v>
      </c>
      <c r="D168" s="8" t="s">
        <v>102</v>
      </c>
      <c r="E168" s="1" t="s">
        <v>447</v>
      </c>
      <c r="F168" s="8">
        <f>IF(TimeEntry[[#This Row],[Date]]=0,F167,C168+(7-Q168))</f>
        <v>44045</v>
      </c>
      <c r="G168" s="35" t="str">
        <f>INDEX(projects[Charge_Code],MATCH(TimeEntry[[#This Row],[Project_ID]],projects[Project_ID],0))</f>
        <v>257677-59  Melbourne Metro - Latrobe</v>
      </c>
      <c r="H168" s="1" t="str">
        <f t="shared" si="6"/>
        <v>Normal Time</v>
      </c>
      <c r="I168" s="1" t="s">
        <v>260</v>
      </c>
      <c r="J168" s="15">
        <v>3.75</v>
      </c>
      <c r="K168" s="15"/>
      <c r="L168" s="15"/>
      <c r="M168" s="15"/>
      <c r="N168" s="15"/>
      <c r="O168" s="15" t="str">
        <f>INDEX(projects[job number],MATCH(TimeEntry[[#This Row],[Project_ID]], projects[Project_ID],0))</f>
        <v xml:space="preserve">257677-59 </v>
      </c>
      <c r="P168" s="15" t="str">
        <f>INDEX(projects[Project_Name],MATCH(TimeEntry[[#This Row],[Project_ID]], projects[Project_ID],0))</f>
        <v>Melbourne Metro - Latrobe</v>
      </c>
      <c r="Q168" s="6">
        <f>IF(TimeEntry[[#This Row],[Date]]=0,"",WEEKDAY(C168,2))</f>
        <v>4</v>
      </c>
      <c r="R168" s="9">
        <f>YEAR(TimeEntry[[#This Row],[WkEnd]])</f>
        <v>2020</v>
      </c>
      <c r="S168" s="9">
        <f>WEEKNUM(TimeEntry[[#This Row],[WkEnd]])</f>
        <v>32</v>
      </c>
      <c r="T168" s="9" t="str">
        <f>TimeEntry[[#This Row],[Year]]&amp;"-"&amp;TimeEntry[[#This Row],[WkNo]]</f>
        <v>2020-32</v>
      </c>
    </row>
    <row r="169" spans="1:20" x14ac:dyDescent="0.25">
      <c r="A169" s="6">
        <f>MOD(IF(ROW()=2,0.1,IF(INDEX(TimeEntry[WkEnd],ROW()-1)  =  INDEX(TimeEntry[WkEnd],ROW()-2),    INDEX(TimeEntry[format],ROW()-2),    INDEX(TimeEntry[format],ROW()-2)    +1)),2)</f>
        <v>0.10000000000000009</v>
      </c>
      <c r="B169" s="7">
        <v>44041.675949074073</v>
      </c>
      <c r="C169" s="8">
        <v>44041</v>
      </c>
      <c r="D169" s="8" t="s">
        <v>100</v>
      </c>
      <c r="E169" s="1" t="s">
        <v>447</v>
      </c>
      <c r="F169" s="8">
        <f>IF(TimeEntry[[#This Row],[Date]]=0,F168,C169+(7-Q169))</f>
        <v>44045</v>
      </c>
      <c r="G169" s="35" t="str">
        <f>INDEX(projects[Charge_Code],MATCH(TimeEntry[[#This Row],[Project_ID]],projects[Project_ID],0))</f>
        <v>257677-59  Melbourne Metro - Latrobe</v>
      </c>
      <c r="H169" s="1" t="str">
        <f t="shared" si="6"/>
        <v>Normal Time</v>
      </c>
      <c r="I169" s="1" t="s">
        <v>262</v>
      </c>
      <c r="J169" s="15">
        <v>3.75</v>
      </c>
      <c r="K169" s="15"/>
      <c r="L169" s="15"/>
      <c r="M169" s="15"/>
      <c r="N169" s="15"/>
      <c r="O169" s="15" t="str">
        <f>INDEX(projects[job number],MATCH(TimeEntry[[#This Row],[Project_ID]], projects[Project_ID],0))</f>
        <v xml:space="preserve">257677-59 </v>
      </c>
      <c r="P169" s="15" t="str">
        <f>INDEX(projects[Project_Name],MATCH(TimeEntry[[#This Row],[Project_ID]], projects[Project_ID],0))</f>
        <v>Melbourne Metro - Latrobe</v>
      </c>
      <c r="Q169" s="6">
        <f>IF(TimeEntry[[#This Row],[Date]]=0,"",WEEKDAY(C169,2))</f>
        <v>3</v>
      </c>
      <c r="R169" s="9">
        <f>YEAR(TimeEntry[[#This Row],[WkEnd]])</f>
        <v>2020</v>
      </c>
      <c r="S169" s="9">
        <f>WEEKNUM(TimeEntry[[#This Row],[WkEnd]])</f>
        <v>32</v>
      </c>
      <c r="T169" s="9" t="str">
        <f>TimeEntry[[#This Row],[Year]]&amp;"-"&amp;TimeEntry[[#This Row],[WkNo]]</f>
        <v>2020-32</v>
      </c>
    </row>
    <row r="170" spans="1:20" x14ac:dyDescent="0.25">
      <c r="A170" s="6">
        <f>MOD(IF(ROW()=2,0.1,IF(INDEX(TimeEntry[WkEnd],ROW()-1)  =  INDEX(TimeEntry[WkEnd],ROW()-2),    INDEX(TimeEntry[format],ROW()-2),    INDEX(TimeEntry[format],ROW()-2)    +1)),2)</f>
        <v>0.10000000000000009</v>
      </c>
      <c r="B170" s="7">
        <v>44041.675949074073</v>
      </c>
      <c r="C170" s="8">
        <v>44041</v>
      </c>
      <c r="D170" s="8" t="s">
        <v>100</v>
      </c>
      <c r="E170" s="1" t="s">
        <v>442</v>
      </c>
      <c r="F170" s="8">
        <f>IF(TimeEntry[[#This Row],[Date]]=0,F169,C170+(7-Q170))</f>
        <v>44045</v>
      </c>
      <c r="G170" s="35" t="str">
        <f>INDEX(projects[Charge_Code],MATCH(TimeEntry[[#This Row],[Project_ID]],projects[Project_ID],0))</f>
        <v>210035-65 MC VBB WP1: DO-nota West (25-050)</v>
      </c>
      <c r="H170" s="1" t="str">
        <f t="shared" si="6"/>
        <v>Normal Time</v>
      </c>
      <c r="I170" s="1" t="s">
        <v>263</v>
      </c>
      <c r="J170" s="15">
        <v>3.75</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3</v>
      </c>
      <c r="R170" s="9">
        <f>YEAR(TimeEntry[[#This Row],[WkEnd]])</f>
        <v>2020</v>
      </c>
      <c r="S170" s="9">
        <f>WEEKNUM(TimeEntry[[#This Row],[WkEnd]])</f>
        <v>32</v>
      </c>
      <c r="T170" s="9" t="str">
        <f>TimeEntry[[#This Row],[Year]]&amp;"-"&amp;TimeEntry[[#This Row],[WkNo]]</f>
        <v>2020-32</v>
      </c>
    </row>
    <row r="171" spans="1:20" x14ac:dyDescent="0.25">
      <c r="A171" s="6">
        <f>MOD(IF(ROW()=2,0.1,IF(INDEX(TimeEntry[WkEnd],ROW()-1)  =  INDEX(TimeEntry[WkEnd],ROW()-2),    INDEX(TimeEntry[format],ROW()-2),    INDEX(TimeEntry[format],ROW()-2)    +1)),2)</f>
        <v>0.10000000000000009</v>
      </c>
      <c r="B171" s="7">
        <v>44040.502893518518</v>
      </c>
      <c r="C171" s="8">
        <v>44040</v>
      </c>
      <c r="D171" s="8" t="s">
        <v>101</v>
      </c>
      <c r="E171" s="1" t="s">
        <v>442</v>
      </c>
      <c r="F171" s="8">
        <f>IF(TimeEntry[[#This Row],[Date]]=0,F170,C171+(7-Q171))</f>
        <v>44045</v>
      </c>
      <c r="G171" s="35" t="str">
        <f>INDEX(projects[Charge_Code],MATCH(TimeEntry[[#This Row],[Project_ID]],projects[Project_ID],0))</f>
        <v>210035-65 MC VBB WP1: DO-nota West (25-050)</v>
      </c>
      <c r="H171" s="1" t="str">
        <f t="shared" si="6"/>
        <v>Normal Time</v>
      </c>
      <c r="I171" s="1" t="s">
        <v>258</v>
      </c>
      <c r="J171" s="15">
        <v>7.5</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2</v>
      </c>
      <c r="R171" s="9">
        <f>YEAR(TimeEntry[[#This Row],[WkEnd]])</f>
        <v>2020</v>
      </c>
      <c r="S171" s="9">
        <f>WEEKNUM(TimeEntry[[#This Row],[WkEnd]])</f>
        <v>32</v>
      </c>
      <c r="T171" s="9" t="str">
        <f>TimeEntry[[#This Row],[Year]]&amp;"-"&amp;TimeEntry[[#This Row],[WkNo]]</f>
        <v>2020-32</v>
      </c>
    </row>
    <row r="172" spans="1:20" x14ac:dyDescent="0.25">
      <c r="A172" s="6">
        <f>MOD(IF(ROW()=2,0.1,IF(INDEX(TimeEntry[WkEnd],ROW()-1)  =  INDEX(TimeEntry[WkEnd],ROW()-2),    INDEX(TimeEntry[format],ROW()-2),    INDEX(TimeEntry[format],ROW()-2)    +1)),2)</f>
        <v>0.10000000000000009</v>
      </c>
      <c r="B172" s="7">
        <v>44039.50545138889</v>
      </c>
      <c r="C172" s="8">
        <v>44039</v>
      </c>
      <c r="D172" s="8" t="s">
        <v>104</v>
      </c>
      <c r="E172" s="1" t="s">
        <v>442</v>
      </c>
      <c r="F172" s="8">
        <f>IF(TimeEntry[[#This Row],[Date]]=0,F171,C172+(7-Q172))</f>
        <v>44045</v>
      </c>
      <c r="G172" s="35" t="str">
        <f>INDEX(projects[Charge_Code],MATCH(TimeEntry[[#This Row],[Project_ID]],projects[Project_ID],0))</f>
        <v>210035-65 MC VBB WP1: DO-nota West (25-050)</v>
      </c>
      <c r="H172" s="1" t="str">
        <f t="shared" si="6"/>
        <v>Normal Time</v>
      </c>
      <c r="I172" s="1" t="s">
        <v>264</v>
      </c>
      <c r="J172" s="15">
        <v>7.5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1</v>
      </c>
      <c r="R172" s="9">
        <f>YEAR(TimeEntry[[#This Row],[WkEnd]])</f>
        <v>2020</v>
      </c>
      <c r="S172" s="9">
        <f>WEEKNUM(TimeEntry[[#This Row],[WkEnd]])</f>
        <v>32</v>
      </c>
      <c r="T172" s="9" t="str">
        <f>TimeEntry[[#This Row],[Year]]&amp;"-"&amp;TimeEntry[[#This Row],[WkNo]]</f>
        <v>2020-32</v>
      </c>
    </row>
    <row r="173" spans="1:20" x14ac:dyDescent="0.25">
      <c r="A173" s="6">
        <f>MOD(IF(ROW()=2,0.1,IF(INDEX(TimeEntry[WkEnd],ROW()-1)  =  INDEX(TimeEntry[WkEnd],ROW()-2),    INDEX(TimeEntry[format],ROW()-2),    INDEX(TimeEntry[format],ROW()-2)    +1)),2)</f>
        <v>1.1000000000000001</v>
      </c>
      <c r="B173" s="7">
        <v>44036.668043981481</v>
      </c>
      <c r="C173" s="8">
        <v>44036</v>
      </c>
      <c r="D173" s="8" t="s">
        <v>106</v>
      </c>
      <c r="E173" s="1" t="s">
        <v>442</v>
      </c>
      <c r="F173" s="8">
        <f>IF(TimeEntry[[#This Row],[Date]]=0,F172,C173+(7-Q173))</f>
        <v>44038</v>
      </c>
      <c r="G173" s="35" t="str">
        <f>INDEX(projects[Charge_Code],MATCH(TimeEntry[[#This Row],[Project_ID]],projects[Project_ID],0))</f>
        <v>210035-65 MC VBB WP1: DO-nota West (25-050)</v>
      </c>
      <c r="H173" s="1" t="str">
        <f t="shared" si="6"/>
        <v>Normal Time</v>
      </c>
      <c r="I173" s="1" t="s">
        <v>255</v>
      </c>
      <c r="J173" s="15">
        <v>7.5</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5</v>
      </c>
      <c r="R173" s="9">
        <f>YEAR(TimeEntry[[#This Row],[WkEnd]])</f>
        <v>2020</v>
      </c>
      <c r="S173" s="9">
        <f>WEEKNUM(TimeEntry[[#This Row],[WkEnd]])</f>
        <v>31</v>
      </c>
      <c r="T173" s="9" t="str">
        <f>TimeEntry[[#This Row],[Year]]&amp;"-"&amp;TimeEntry[[#This Row],[WkNo]]</f>
        <v>2020-31</v>
      </c>
    </row>
    <row r="174" spans="1:20" x14ac:dyDescent="0.25">
      <c r="A174" s="6">
        <f>MOD(IF(ROW()=2,0.1,IF(INDEX(TimeEntry[WkEnd],ROW()-1)  =  INDEX(TimeEntry[WkEnd],ROW()-2),    INDEX(TimeEntry[format],ROW()-2),    INDEX(TimeEntry[format],ROW()-2)    +1)),2)</f>
        <v>1.1000000000000001</v>
      </c>
      <c r="B174" s="7">
        <v>44036.668043981481</v>
      </c>
      <c r="C174" s="8">
        <v>44036</v>
      </c>
      <c r="D174" s="8" t="s">
        <v>106</v>
      </c>
      <c r="E174" s="1" t="s">
        <v>444</v>
      </c>
      <c r="F174" s="8">
        <f>IF(TimeEntry[[#This Row],[Date]]=0,F173,C174+(7-Q174))</f>
        <v>44038</v>
      </c>
      <c r="G174" s="35" t="str">
        <f>INDEX(projects[Charge_Code],MATCH(TimeEntry[[#This Row],[Project_ID]],projects[Project_ID],0))</f>
        <v>071945-07 BCS - management (01-124)</v>
      </c>
      <c r="H174" s="1" t="str">
        <f t="shared" si="6"/>
        <v>Normal Time</v>
      </c>
      <c r="I174" s="1" t="s">
        <v>227</v>
      </c>
      <c r="J174" s="15"/>
      <c r="K174" s="15"/>
      <c r="L174" s="15"/>
      <c r="M174" s="15"/>
      <c r="N174" s="15"/>
      <c r="O174" s="15" t="str">
        <f>INDEX(projects[job number],MATCH(TimeEntry[[#This Row],[Project_ID]], projects[Project_ID],0))</f>
        <v>071945-07</v>
      </c>
      <c r="P174" s="15" t="str">
        <f>INDEX(projects[Project_Name],MATCH(TimeEntry[[#This Row],[Project_ID]], projects[Project_ID],0))</f>
        <v>BCS - management</v>
      </c>
      <c r="Q174" s="6">
        <f>IF(TimeEntry[[#This Row],[Date]]=0,"",WEEKDAY(C174,2))</f>
        <v>5</v>
      </c>
      <c r="R174" s="9">
        <f>YEAR(TimeEntry[[#This Row],[WkEnd]])</f>
        <v>2020</v>
      </c>
      <c r="S174" s="9">
        <f>WEEKNUM(TimeEntry[[#This Row],[WkEnd]])</f>
        <v>31</v>
      </c>
      <c r="T174" s="9" t="str">
        <f>TimeEntry[[#This Row],[Year]]&amp;"-"&amp;TimeEntry[[#This Row],[WkNo]]</f>
        <v>2020-31</v>
      </c>
    </row>
    <row r="175" spans="1:20" x14ac:dyDescent="0.25">
      <c r="A175" s="6">
        <f>MOD(IF(ROW()=2,0.1,IF(INDEX(TimeEntry[WkEnd],ROW()-1)  =  INDEX(TimeEntry[WkEnd],ROW()-2),    INDEX(TimeEntry[format],ROW()-2),    INDEX(TimeEntry[format],ROW()-2)    +1)),2)</f>
        <v>1.1000000000000001</v>
      </c>
      <c r="B175" s="7">
        <v>44035.668495370373</v>
      </c>
      <c r="C175" s="8">
        <v>44035</v>
      </c>
      <c r="D175" s="8" t="s">
        <v>102</v>
      </c>
      <c r="E175" s="1" t="s">
        <v>442</v>
      </c>
      <c r="F175" s="8">
        <f>IF(TimeEntry[[#This Row],[Date]]=0,F174,C175+(7-Q175))</f>
        <v>44038</v>
      </c>
      <c r="G175" s="35" t="str">
        <f>INDEX(projects[Charge_Code],MATCH(TimeEntry[[#This Row],[Project_ID]],projects[Project_ID],0))</f>
        <v>210035-65 MC VBB WP1: DO-nota West (25-050)</v>
      </c>
      <c r="H175" s="1" t="str">
        <f t="shared" si="6"/>
        <v>Normal Time</v>
      </c>
      <c r="I175" s="1" t="s">
        <v>252</v>
      </c>
      <c r="J175" s="15">
        <v>3.75</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4</v>
      </c>
      <c r="R175" s="9">
        <f>YEAR(TimeEntry[[#This Row],[WkEnd]])</f>
        <v>2020</v>
      </c>
      <c r="S175" s="9">
        <f>WEEKNUM(TimeEntry[[#This Row],[WkEnd]])</f>
        <v>31</v>
      </c>
      <c r="T175" s="9" t="str">
        <f>TimeEntry[[#This Row],[Year]]&amp;"-"&amp;TimeEntry[[#This Row],[WkNo]]</f>
        <v>2020-31</v>
      </c>
    </row>
    <row r="176" spans="1:20" x14ac:dyDescent="0.25">
      <c r="A176" s="6">
        <f>MOD(IF(ROW()=2,0.1,IF(INDEX(TimeEntry[WkEnd],ROW()-1)  =  INDEX(TimeEntry[WkEnd],ROW()-2),    INDEX(TimeEntry[format],ROW()-2),    INDEX(TimeEntry[format],ROW()-2)    +1)),2)</f>
        <v>1.1000000000000001</v>
      </c>
      <c r="B176" s="7">
        <v>44035.500486111108</v>
      </c>
      <c r="C176" s="8">
        <v>44035</v>
      </c>
      <c r="D176" s="8" t="s">
        <v>102</v>
      </c>
      <c r="E176" s="1" t="s">
        <v>442</v>
      </c>
      <c r="F176" s="8">
        <f>IF(TimeEntry[[#This Row],[Date]]=0,F175,C176+(7-Q176))</f>
        <v>44038</v>
      </c>
      <c r="G176" s="35" t="str">
        <f>INDEX(projects[Charge_Code],MATCH(TimeEntry[[#This Row],[Project_ID]],projects[Project_ID],0))</f>
        <v>210035-65 MC VBB WP1: DO-nota West (25-050)</v>
      </c>
      <c r="H176" s="1" t="str">
        <f t="shared" si="6"/>
        <v>Normal Time</v>
      </c>
      <c r="I176" s="1" t="s">
        <v>251</v>
      </c>
      <c r="J176" s="15">
        <v>3.75</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4</v>
      </c>
      <c r="R176" s="9">
        <f>YEAR(TimeEntry[[#This Row],[WkEnd]])</f>
        <v>2020</v>
      </c>
      <c r="S176" s="9">
        <f>WEEKNUM(TimeEntry[[#This Row],[WkEnd]])</f>
        <v>31</v>
      </c>
      <c r="T176" s="9" t="str">
        <f>TimeEntry[[#This Row],[Year]]&amp;"-"&amp;TimeEntry[[#This Row],[WkNo]]</f>
        <v>2020-31</v>
      </c>
    </row>
    <row r="177" spans="1:20" x14ac:dyDescent="0.25">
      <c r="A177" s="6">
        <f>MOD(IF(ROW()=2,0.1,IF(INDEX(TimeEntry[WkEnd],ROW()-1)  =  INDEX(TimeEntry[WkEnd],ROW()-2),    INDEX(TimeEntry[format],ROW()-2),    INDEX(TimeEntry[format],ROW()-2)    +1)),2)</f>
        <v>1.1000000000000001</v>
      </c>
      <c r="B177" s="7">
        <v>44034.667268518519</v>
      </c>
      <c r="C177" s="8">
        <v>44034</v>
      </c>
      <c r="D177" s="8" t="s">
        <v>100</v>
      </c>
      <c r="E177" s="1" t="s">
        <v>442</v>
      </c>
      <c r="F177" s="8">
        <f>IF(TimeEntry[[#This Row],[Date]]=0,F176,C177+(7-Q177))</f>
        <v>44038</v>
      </c>
      <c r="G177" s="35" t="str">
        <f>INDEX(projects[Charge_Code],MATCH(TimeEntry[[#This Row],[Project_ID]],projects[Project_ID],0))</f>
        <v>210035-65 MC VBB WP1: DO-nota West (25-050)</v>
      </c>
      <c r="H177" s="1" t="str">
        <f t="shared" si="6"/>
        <v>Normal Time</v>
      </c>
      <c r="I177" s="1" t="s">
        <v>250</v>
      </c>
      <c r="J177" s="15">
        <v>2</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3</v>
      </c>
      <c r="R177" s="9">
        <f>YEAR(TimeEntry[[#This Row],[WkEnd]])</f>
        <v>2020</v>
      </c>
      <c r="S177" s="9">
        <f>WEEKNUM(TimeEntry[[#This Row],[WkEnd]])</f>
        <v>31</v>
      </c>
      <c r="T177" s="9" t="str">
        <f>TimeEntry[[#This Row],[Year]]&amp;"-"&amp;TimeEntry[[#This Row],[WkNo]]</f>
        <v>2020-31</v>
      </c>
    </row>
    <row r="178" spans="1:20" x14ac:dyDescent="0.25">
      <c r="A178" s="6">
        <f>MOD(IF(ROW()=2,0.1,IF(INDEX(TimeEntry[WkEnd],ROW()-1)  =  INDEX(TimeEntry[WkEnd],ROW()-2),    INDEX(TimeEntry[format],ROW()-2),    INDEX(TimeEntry[format],ROW()-2)    +1)),2)</f>
        <v>1.1000000000000001</v>
      </c>
      <c r="B178" s="7">
        <v>44034.500914351855</v>
      </c>
      <c r="C178" s="8">
        <v>44034</v>
      </c>
      <c r="D178" s="8" t="s">
        <v>100</v>
      </c>
      <c r="E178" s="1" t="s">
        <v>442</v>
      </c>
      <c r="F178" s="8">
        <f>IF(TimeEntry[[#This Row],[Date]]=0,F177,C178+(7-Q178))</f>
        <v>44038</v>
      </c>
      <c r="G178" s="35" t="str">
        <f>INDEX(projects[Charge_Code],MATCH(TimeEntry[[#This Row],[Project_ID]],projects[Project_ID],0))</f>
        <v>210035-65 MC VBB WP1: DO-nota West (25-050)</v>
      </c>
      <c r="H178" s="1" t="str">
        <f t="shared" si="6"/>
        <v>Normal Time</v>
      </c>
      <c r="I178" s="1" t="s">
        <v>257</v>
      </c>
      <c r="J178" s="15">
        <v>5.5</v>
      </c>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3</v>
      </c>
      <c r="R178" s="9">
        <f>YEAR(TimeEntry[[#This Row],[WkEnd]])</f>
        <v>2020</v>
      </c>
      <c r="S178" s="9">
        <f>WEEKNUM(TimeEntry[[#This Row],[WkEnd]])</f>
        <v>31</v>
      </c>
      <c r="T178" s="9" t="str">
        <f>TimeEntry[[#This Row],[Year]]&amp;"-"&amp;TimeEntry[[#This Row],[WkNo]]</f>
        <v>2020-31</v>
      </c>
    </row>
    <row r="179" spans="1:20" x14ac:dyDescent="0.25">
      <c r="A179" s="6">
        <f>MOD(IF(ROW()=2,0.1,IF(INDEX(TimeEntry[WkEnd],ROW()-1)  =  INDEX(TimeEntry[WkEnd],ROW()-2),    INDEX(TimeEntry[format],ROW()-2),    INDEX(TimeEntry[format],ROW()-2)    +1)),2)</f>
        <v>1.1000000000000001</v>
      </c>
      <c r="B179" s="7">
        <v>44034.500914351855</v>
      </c>
      <c r="C179" s="8">
        <v>44034</v>
      </c>
      <c r="D179" s="8" t="s">
        <v>100</v>
      </c>
      <c r="E179" s="1" t="s">
        <v>444</v>
      </c>
      <c r="F179" s="8">
        <f>IF(TimeEntry[[#This Row],[Date]]=0,F178,C179+(7-Q179))</f>
        <v>44038</v>
      </c>
      <c r="G179" s="35" t="str">
        <f>INDEX(projects[Charge_Code],MATCH(TimeEntry[[#This Row],[Project_ID]],projects[Project_ID],0))</f>
        <v>071945-07 BCS - management (01-124)</v>
      </c>
      <c r="H179" s="1" t="str">
        <f t="shared" si="6"/>
        <v>Normal Time</v>
      </c>
      <c r="I179" s="1" t="s">
        <v>256</v>
      </c>
      <c r="J179" s="15"/>
      <c r="K179" s="15"/>
      <c r="L179" s="15"/>
      <c r="M179" s="15"/>
      <c r="N179" s="15"/>
      <c r="O179" s="15" t="str">
        <f>INDEX(projects[job number],MATCH(TimeEntry[[#This Row],[Project_ID]], projects[Project_ID],0))</f>
        <v>071945-07</v>
      </c>
      <c r="P179" s="15" t="str">
        <f>INDEX(projects[Project_Name],MATCH(TimeEntry[[#This Row],[Project_ID]], projects[Project_ID],0))</f>
        <v>BCS - management</v>
      </c>
      <c r="Q179" s="6">
        <f>IF(TimeEntry[[#This Row],[Date]]=0,"",WEEKDAY(C179,2))</f>
        <v>3</v>
      </c>
      <c r="R179" s="9">
        <f>YEAR(TimeEntry[[#This Row],[WkEnd]])</f>
        <v>2020</v>
      </c>
      <c r="S179" s="9">
        <f>WEEKNUM(TimeEntry[[#This Row],[WkEnd]])</f>
        <v>31</v>
      </c>
      <c r="T179" s="9" t="str">
        <f>TimeEntry[[#This Row],[Year]]&amp;"-"&amp;TimeEntry[[#This Row],[WkNo]]</f>
        <v>2020-31</v>
      </c>
    </row>
    <row r="180" spans="1:20" x14ac:dyDescent="0.25">
      <c r="A180" s="6">
        <f>MOD(IF(ROW()=2,0.1,IF(INDEX(TimeEntry[WkEnd],ROW()-1)  =  INDEX(TimeEntry[WkEnd],ROW()-2),    INDEX(TimeEntry[format],ROW()-2),    INDEX(TimeEntry[format],ROW()-2)    +1)),2)</f>
        <v>1.1000000000000001</v>
      </c>
      <c r="B180" s="7">
        <v>44033.678564814814</v>
      </c>
      <c r="C180" s="8">
        <v>44033</v>
      </c>
      <c r="D180" s="8" t="s">
        <v>101</v>
      </c>
      <c r="E180" s="1" t="s">
        <v>442</v>
      </c>
      <c r="F180" s="8">
        <f>IF(TimeEntry[[#This Row],[Date]]=0,F179,C180+(7-Q180))</f>
        <v>44038</v>
      </c>
      <c r="G180" s="35" t="str">
        <f>INDEX(projects[Charge_Code],MATCH(TimeEntry[[#This Row],[Project_ID]],projects[Project_ID],0))</f>
        <v>210035-65 MC VBB WP1: DO-nota West (25-050)</v>
      </c>
      <c r="H180" s="1" t="str">
        <f t="shared" si="6"/>
        <v>Normal Time</v>
      </c>
      <c r="I180" s="1" t="s">
        <v>248</v>
      </c>
      <c r="J180" s="15">
        <v>2.5</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2</v>
      </c>
      <c r="R180" s="9">
        <f>YEAR(TimeEntry[[#This Row],[WkEnd]])</f>
        <v>2020</v>
      </c>
      <c r="S180" s="9">
        <f>WEEKNUM(TimeEntry[[#This Row],[WkEnd]])</f>
        <v>31</v>
      </c>
      <c r="T180" s="9" t="str">
        <f>TimeEntry[[#This Row],[Year]]&amp;"-"&amp;TimeEntry[[#This Row],[WkNo]]</f>
        <v>2020-31</v>
      </c>
    </row>
    <row r="181" spans="1:20" x14ac:dyDescent="0.25">
      <c r="A181" s="6">
        <f>MOD(IF(ROW()=2,0.1,IF(INDEX(TimeEntry[WkEnd],ROW()-1)  =  INDEX(TimeEntry[WkEnd],ROW()-2),    INDEX(TimeEntry[format],ROW()-2),    INDEX(TimeEntry[format],ROW()-2)    +1)),2)</f>
        <v>1.1000000000000001</v>
      </c>
      <c r="B181" s="7">
        <v>44033.500358796293</v>
      </c>
      <c r="C181" s="8">
        <v>44033</v>
      </c>
      <c r="D181" s="8" t="s">
        <v>101</v>
      </c>
      <c r="E181" s="1" t="s">
        <v>442</v>
      </c>
      <c r="F181" s="8">
        <f>IF(TimeEntry[[#This Row],[Date]]=0,F180,C181+(7-Q181))</f>
        <v>44038</v>
      </c>
      <c r="G181" s="35" t="str">
        <f>INDEX(projects[Charge_Code],MATCH(TimeEntry[[#This Row],[Project_ID]],projects[Project_ID],0))</f>
        <v>210035-65 MC VBB WP1: DO-nota West (25-050)</v>
      </c>
      <c r="H181" s="1" t="str">
        <f t="shared" si="6"/>
        <v>Normal Time</v>
      </c>
      <c r="I181" s="1" t="s">
        <v>247</v>
      </c>
      <c r="J181" s="15">
        <v>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2</v>
      </c>
      <c r="R181" s="9">
        <f>YEAR(TimeEntry[[#This Row],[WkEnd]])</f>
        <v>2020</v>
      </c>
      <c r="S181" s="9">
        <f>WEEKNUM(TimeEntry[[#This Row],[WkEnd]])</f>
        <v>31</v>
      </c>
      <c r="T181" s="9" t="str">
        <f>TimeEntry[[#This Row],[Year]]&amp;"-"&amp;TimeEntry[[#This Row],[WkNo]]</f>
        <v>2020-31</v>
      </c>
    </row>
    <row r="182" spans="1:20" x14ac:dyDescent="0.25">
      <c r="A182" s="6">
        <f>MOD(IF(ROW()=2,0.1,IF(INDEX(TimeEntry[WkEnd],ROW()-1)  =  INDEX(TimeEntry[WkEnd],ROW()-2),    INDEX(TimeEntry[format],ROW()-2),    INDEX(TimeEntry[format],ROW()-2)    +1)),2)</f>
        <v>1.1000000000000001</v>
      </c>
      <c r="B182" s="7">
        <v>44032.501064814816</v>
      </c>
      <c r="C182" s="8">
        <v>44032</v>
      </c>
      <c r="D182" s="8" t="s">
        <v>104</v>
      </c>
      <c r="E182" s="1" t="s">
        <v>447</v>
      </c>
      <c r="F182" s="8">
        <f>IF(TimeEntry[[#This Row],[Date]]=0,F181,C182+(7-Q182))</f>
        <v>44038</v>
      </c>
      <c r="G182" s="35" t="str">
        <f>INDEX(projects[Charge_Code],MATCH(TimeEntry[[#This Row],[Project_ID]],projects[Project_ID],0))</f>
        <v>257677-59  Melbourne Metro - Latrobe</v>
      </c>
      <c r="H182" s="1" t="str">
        <f t="shared" si="6"/>
        <v>Normal Time</v>
      </c>
      <c r="I182" s="1" t="s">
        <v>253</v>
      </c>
      <c r="J182" s="15">
        <v>3.75</v>
      </c>
      <c r="K182" s="15"/>
      <c r="L182" s="15"/>
      <c r="M182" s="15"/>
      <c r="N182" s="15"/>
      <c r="O182" s="15" t="str">
        <f>INDEX(projects[job number],MATCH(TimeEntry[[#This Row],[Project_ID]], projects[Project_ID],0))</f>
        <v xml:space="preserve">257677-59 </v>
      </c>
      <c r="P182" s="15" t="str">
        <f>INDEX(projects[Project_Name],MATCH(TimeEntry[[#This Row],[Project_ID]], projects[Project_ID],0))</f>
        <v>Melbourne Metro - Latrobe</v>
      </c>
      <c r="Q182" s="6">
        <f>IF(TimeEntry[[#This Row],[Date]]=0,"",WEEKDAY(C182,2))</f>
        <v>1</v>
      </c>
      <c r="R182" s="9">
        <f>YEAR(TimeEntry[[#This Row],[WkEnd]])</f>
        <v>2020</v>
      </c>
      <c r="S182" s="9">
        <f>WEEKNUM(TimeEntry[[#This Row],[WkEnd]])</f>
        <v>31</v>
      </c>
      <c r="T182" s="9" t="str">
        <f>TimeEntry[[#This Row],[Year]]&amp;"-"&amp;TimeEntry[[#This Row],[WkNo]]</f>
        <v>2020-31</v>
      </c>
    </row>
    <row r="183" spans="1:20" x14ac:dyDescent="0.25">
      <c r="A183" s="6">
        <f>MOD(IF(ROW()=2,0.1,IF(INDEX(TimeEntry[WkEnd],ROW()-1)  =  INDEX(TimeEntry[WkEnd],ROW()-2),    INDEX(TimeEntry[format],ROW()-2),    INDEX(TimeEntry[format],ROW()-2)    +1)),2)</f>
        <v>1.1000000000000001</v>
      </c>
      <c r="B183" s="7">
        <v>44032.501064814816</v>
      </c>
      <c r="C183" s="8">
        <v>44032</v>
      </c>
      <c r="D183" s="8" t="s">
        <v>104</v>
      </c>
      <c r="E183" s="1" t="s">
        <v>442</v>
      </c>
      <c r="F183" s="8">
        <f>IF(TimeEntry[[#This Row],[Date]]=0,F182,C183+(7-Q183))</f>
        <v>44038</v>
      </c>
      <c r="G183" s="35" t="str">
        <f>INDEX(projects[Charge_Code],MATCH(TimeEntry[[#This Row],[Project_ID]],projects[Project_ID],0))</f>
        <v>210035-65 MC VBB WP1: DO-nota West (25-050)</v>
      </c>
      <c r="H183" s="1" t="str">
        <f t="shared" si="6"/>
        <v>Normal Time</v>
      </c>
      <c r="I183" s="1" t="s">
        <v>254</v>
      </c>
      <c r="J183" s="15">
        <v>3.75</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1</v>
      </c>
      <c r="R183" s="9">
        <f>YEAR(TimeEntry[[#This Row],[WkEnd]])</f>
        <v>2020</v>
      </c>
      <c r="S183" s="9">
        <f>WEEKNUM(TimeEntry[[#This Row],[WkEnd]])</f>
        <v>31</v>
      </c>
      <c r="T183" s="9" t="str">
        <f>TimeEntry[[#This Row],[Year]]&amp;"-"&amp;TimeEntry[[#This Row],[WkNo]]</f>
        <v>2020-31</v>
      </c>
    </row>
    <row r="184" spans="1:20" x14ac:dyDescent="0.25">
      <c r="A184" s="6">
        <f>MOD(IF(ROW()=2,0.1,IF(INDEX(TimeEntry[WkEnd],ROW()-1)  =  INDEX(TimeEntry[WkEnd],ROW()-2),    INDEX(TimeEntry[format],ROW()-2),    INDEX(TimeEntry[format],ROW()-2)    +1)),2)</f>
        <v>0.10000000000000009</v>
      </c>
      <c r="B184" s="7">
        <v>44029.500648148147</v>
      </c>
      <c r="C184" s="8">
        <v>44029</v>
      </c>
      <c r="D184" s="8" t="s">
        <v>106</v>
      </c>
      <c r="E184" s="1" t="s">
        <v>445</v>
      </c>
      <c r="F184" s="8">
        <f>IF(TimeEntry[[#This Row],[Date]]=0,F183,C184+(7-Q184))</f>
        <v>44031</v>
      </c>
      <c r="G184" s="35" t="str">
        <f>INDEX(projects[Charge_Code],MATCH(TimeEntry[[#This Row],[Project_ID]],projects[Project_ID],0))</f>
        <v>LEAVE</v>
      </c>
      <c r="H184" s="1" t="str">
        <f t="shared" si="6"/>
        <v>Normal Time</v>
      </c>
      <c r="I184" s="1"/>
      <c r="J184" s="15">
        <v>3.75</v>
      </c>
      <c r="K184" s="15"/>
      <c r="L184" s="15"/>
      <c r="M184" s="15"/>
      <c r="N184" s="15"/>
      <c r="O184" s="15" t="str">
        <f>INDEX(projects[job number],MATCH(TimeEntry[[#This Row],[Project_ID]], projects[Project_ID],0))</f>
        <v>LEAVE</v>
      </c>
      <c r="P184" s="15">
        <f>INDEX(projects[Project_Name],MATCH(TimeEntry[[#This Row],[Project_ID]], projects[Project_ID],0))</f>
        <v>0</v>
      </c>
      <c r="Q184" s="6">
        <f>IF(TimeEntry[[#This Row],[Date]]=0,"",WEEKDAY(C184,2))</f>
        <v>5</v>
      </c>
      <c r="R184" s="9">
        <f>YEAR(TimeEntry[[#This Row],[WkEnd]])</f>
        <v>2020</v>
      </c>
      <c r="S184" s="9">
        <f>WEEKNUM(TimeEntry[[#This Row],[WkEnd]])</f>
        <v>30</v>
      </c>
      <c r="T184" s="9" t="str">
        <f>TimeEntry[[#This Row],[Year]]&amp;"-"&amp;TimeEntry[[#This Row],[WkNo]]</f>
        <v>2020-30</v>
      </c>
    </row>
    <row r="185" spans="1:20" x14ac:dyDescent="0.25">
      <c r="A185" s="6">
        <f>MOD(IF(ROW()=2,0.1,IF(INDEX(TimeEntry[WkEnd],ROW()-1)  =  INDEX(TimeEntry[WkEnd],ROW()-2),    INDEX(TimeEntry[format],ROW()-2),    INDEX(TimeEntry[format],ROW()-2)    +1)),2)</f>
        <v>0.10000000000000009</v>
      </c>
      <c r="B185" s="7">
        <v>44029.500648148147</v>
      </c>
      <c r="C185" s="8">
        <v>44029</v>
      </c>
      <c r="D185" s="8" t="s">
        <v>106</v>
      </c>
      <c r="E185" s="1" t="s">
        <v>442</v>
      </c>
      <c r="F185" s="8">
        <f>IF(TimeEntry[[#This Row],[Date]]=0,F184,C185+(7-Q185))</f>
        <v>44031</v>
      </c>
      <c r="G185" s="35" t="str">
        <f>INDEX(projects[Charge_Code],MATCH(TimeEntry[[#This Row],[Project_ID]],projects[Project_ID],0))</f>
        <v>210035-65 MC VBB WP1: DO-nota West (25-050)</v>
      </c>
      <c r="H185" s="1" t="str">
        <f t="shared" si="6"/>
        <v>Normal Time</v>
      </c>
      <c r="I185" s="1" t="s">
        <v>243</v>
      </c>
      <c r="J185" s="15">
        <v>3.75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5</v>
      </c>
      <c r="R185" s="9">
        <f>YEAR(TimeEntry[[#This Row],[WkEnd]])</f>
        <v>2020</v>
      </c>
      <c r="S185" s="9">
        <f>WEEKNUM(TimeEntry[[#This Row],[WkEnd]])</f>
        <v>30</v>
      </c>
      <c r="T185" s="9" t="str">
        <f>TimeEntry[[#This Row],[Year]]&amp;"-"&amp;TimeEntry[[#This Row],[WkNo]]</f>
        <v>2020-30</v>
      </c>
    </row>
    <row r="186" spans="1:20" x14ac:dyDescent="0.25">
      <c r="A186" s="6">
        <f>MOD(IF(ROW()=2,0.1,IF(INDEX(TimeEntry[WkEnd],ROW()-1)  =  INDEX(TimeEntry[WkEnd],ROW()-2),    INDEX(TimeEntry[format],ROW()-2),    INDEX(TimeEntry[format],ROW()-2)    +1)),2)</f>
        <v>0.10000000000000009</v>
      </c>
      <c r="B186" s="7">
        <v>44028.690949074073</v>
      </c>
      <c r="C186" s="8">
        <v>44028</v>
      </c>
      <c r="D186" s="8" t="s">
        <v>102</v>
      </c>
      <c r="E186" s="1" t="s">
        <v>442</v>
      </c>
      <c r="F186" s="8">
        <f>IF(TimeEntry[[#This Row],[Date]]=0,F185,C186+(7-Q186))</f>
        <v>44031</v>
      </c>
      <c r="G186" s="35" t="str">
        <f>INDEX(projects[Charge_Code],MATCH(TimeEntry[[#This Row],[Project_ID]],projects[Project_ID],0))</f>
        <v>210035-65 MC VBB WP1: DO-nota West (25-050)</v>
      </c>
      <c r="H186" s="1" t="str">
        <f t="shared" si="6"/>
        <v>Normal Time</v>
      </c>
      <c r="I186" s="1" t="s">
        <v>240</v>
      </c>
      <c r="J186" s="15">
        <v>5.5</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4</v>
      </c>
      <c r="R186" s="9">
        <f>YEAR(TimeEntry[[#This Row],[WkEnd]])</f>
        <v>2020</v>
      </c>
      <c r="S186" s="9">
        <f>WEEKNUM(TimeEntry[[#This Row],[WkEnd]])</f>
        <v>30</v>
      </c>
      <c r="T186" s="9" t="str">
        <f>TimeEntry[[#This Row],[Year]]&amp;"-"&amp;TimeEntry[[#This Row],[WkNo]]</f>
        <v>2020-30</v>
      </c>
    </row>
    <row r="187" spans="1:20" x14ac:dyDescent="0.25">
      <c r="A187" s="6">
        <f>MOD(IF(ROW()=2,0.1,IF(INDEX(TimeEntry[WkEnd],ROW()-1)  =  INDEX(TimeEntry[WkEnd],ROW()-2),    INDEX(TimeEntry[format],ROW()-2),    INDEX(TimeEntry[format],ROW()-2)    +1)),2)</f>
        <v>0.10000000000000009</v>
      </c>
      <c r="B187" s="7">
        <v>44028.690949074073</v>
      </c>
      <c r="C187" s="8">
        <v>44028</v>
      </c>
      <c r="D187" s="8" t="s">
        <v>102</v>
      </c>
      <c r="E187" s="1" t="s">
        <v>447</v>
      </c>
      <c r="F187" s="8">
        <f>IF(TimeEntry[[#This Row],[Date]]=0,F186,C187+(7-Q187))</f>
        <v>44031</v>
      </c>
      <c r="G187" s="35" t="str">
        <f>INDEX(projects[Charge_Code],MATCH(TimeEntry[[#This Row],[Project_ID]],projects[Project_ID],0))</f>
        <v>257677-59  Melbourne Metro - Latrobe</v>
      </c>
      <c r="H187" s="1" t="str">
        <f t="shared" si="6"/>
        <v>Normal Time</v>
      </c>
      <c r="I187" s="1" t="s">
        <v>242</v>
      </c>
      <c r="J187" s="15">
        <v>2</v>
      </c>
      <c r="K187" s="15"/>
      <c r="L187" s="15"/>
      <c r="M187" s="15"/>
      <c r="N187" s="15"/>
      <c r="O187" s="15" t="str">
        <f>INDEX(projects[job number],MATCH(TimeEntry[[#This Row],[Project_ID]], projects[Project_ID],0))</f>
        <v xml:space="preserve">257677-59 </v>
      </c>
      <c r="P187" s="15" t="str">
        <f>INDEX(projects[Project_Name],MATCH(TimeEntry[[#This Row],[Project_ID]], projects[Project_ID],0))</f>
        <v>Melbourne Metro - Latrobe</v>
      </c>
      <c r="Q187" s="6">
        <f>IF(TimeEntry[[#This Row],[Date]]=0,"",WEEKDAY(C187,2))</f>
        <v>4</v>
      </c>
      <c r="R187" s="9">
        <f>YEAR(TimeEntry[[#This Row],[WkEnd]])</f>
        <v>2020</v>
      </c>
      <c r="S187" s="9">
        <f>WEEKNUM(TimeEntry[[#This Row],[WkEnd]])</f>
        <v>30</v>
      </c>
      <c r="T187" s="9" t="str">
        <f>TimeEntry[[#This Row],[Year]]&amp;"-"&amp;TimeEntry[[#This Row],[WkNo]]</f>
        <v>2020-30</v>
      </c>
    </row>
    <row r="188" spans="1:20" x14ac:dyDescent="0.25">
      <c r="A188" s="6">
        <f>MOD(IF(ROW()=2,0.1,IF(INDEX(TimeEntry[WkEnd],ROW()-1)  =  INDEX(TimeEntry[WkEnd],ROW()-2),    INDEX(TimeEntry[format],ROW()-2),    INDEX(TimeEntry[format],ROW()-2)    +1)),2)</f>
        <v>0.10000000000000009</v>
      </c>
      <c r="B188" s="7">
        <v>44028.500416666669</v>
      </c>
      <c r="C188" s="8">
        <v>44028</v>
      </c>
      <c r="D188" s="8" t="s">
        <v>102</v>
      </c>
      <c r="E188" s="1" t="s">
        <v>442</v>
      </c>
      <c r="F188" s="8">
        <f>IF(TimeEntry[[#This Row],[Date]]=0,F187,C188+(7-Q188))</f>
        <v>44031</v>
      </c>
      <c r="G188" s="35" t="str">
        <f>INDEX(projects[Charge_Code],MATCH(TimeEntry[[#This Row],[Project_ID]],projects[Project_ID],0))</f>
        <v>210035-65 MC VBB WP1: DO-nota West (25-050)</v>
      </c>
      <c r="H188" s="1" t="str">
        <f t="shared" si="6"/>
        <v>Normal Time</v>
      </c>
      <c r="I188" s="1" t="s">
        <v>238</v>
      </c>
      <c r="J188" s="15"/>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4</v>
      </c>
      <c r="R188" s="9">
        <f>YEAR(TimeEntry[[#This Row],[WkEnd]])</f>
        <v>2020</v>
      </c>
      <c r="S188" s="9">
        <f>WEEKNUM(TimeEntry[[#This Row],[WkEnd]])</f>
        <v>30</v>
      </c>
      <c r="T188" s="9" t="str">
        <f>TimeEntry[[#This Row],[Year]]&amp;"-"&amp;TimeEntry[[#This Row],[WkNo]]</f>
        <v>2020-30</v>
      </c>
    </row>
    <row r="189" spans="1:20" x14ac:dyDescent="0.25">
      <c r="A189" s="6">
        <f>MOD(IF(ROW()=2,0.1,IF(INDEX(TimeEntry[WkEnd],ROW()-1)  =  INDEX(TimeEntry[WkEnd],ROW()-2),    INDEX(TimeEntry[format],ROW()-2),    INDEX(TimeEntry[format],ROW()-2)    +1)),2)</f>
        <v>0.10000000000000009</v>
      </c>
      <c r="B189" s="7">
        <v>44027.50037037037</v>
      </c>
      <c r="C189" s="8">
        <v>44027</v>
      </c>
      <c r="D189" s="8" t="s">
        <v>100</v>
      </c>
      <c r="E189" s="1" t="s">
        <v>444</v>
      </c>
      <c r="F189" s="8">
        <f>IF(TimeEntry[[#This Row],[Date]]=0,F188,C189+(7-Q189))</f>
        <v>44031</v>
      </c>
      <c r="G189" s="35" t="str">
        <f>INDEX(projects[Charge_Code],MATCH(TimeEntry[[#This Row],[Project_ID]],projects[Project_ID],0))</f>
        <v>071945-07 BCS - management (01-124)</v>
      </c>
      <c r="H189" s="1" t="str">
        <f t="shared" si="6"/>
        <v>Normal Time</v>
      </c>
      <c r="I189" s="1" t="s">
        <v>244</v>
      </c>
      <c r="J189" s="15"/>
      <c r="K189" s="15"/>
      <c r="L189" s="15"/>
      <c r="M189" s="15"/>
      <c r="N189" s="15"/>
      <c r="O189" s="15" t="str">
        <f>INDEX(projects[job number],MATCH(TimeEntry[[#This Row],[Project_ID]], projects[Project_ID],0))</f>
        <v>071945-07</v>
      </c>
      <c r="P189" s="15" t="str">
        <f>INDEX(projects[Project_Name],MATCH(TimeEntry[[#This Row],[Project_ID]], projects[Project_ID],0))</f>
        <v>BCS - management</v>
      </c>
      <c r="Q189" s="6">
        <f>IF(TimeEntry[[#This Row],[Date]]=0,"",WEEKDAY(C189,2))</f>
        <v>3</v>
      </c>
      <c r="R189" s="9">
        <f>YEAR(TimeEntry[[#This Row],[WkEnd]])</f>
        <v>2020</v>
      </c>
      <c r="S189" s="9">
        <f>WEEKNUM(TimeEntry[[#This Row],[WkEnd]])</f>
        <v>30</v>
      </c>
      <c r="T189" s="9" t="str">
        <f>TimeEntry[[#This Row],[Year]]&amp;"-"&amp;TimeEntry[[#This Row],[WkNo]]</f>
        <v>2020-30</v>
      </c>
    </row>
    <row r="190" spans="1:20" x14ac:dyDescent="0.25">
      <c r="A190" s="6">
        <f>MOD(IF(ROW()=2,0.1,IF(INDEX(TimeEntry[WkEnd],ROW()-1)  =  INDEX(TimeEntry[WkEnd],ROW()-2),    INDEX(TimeEntry[format],ROW()-2),    INDEX(TimeEntry[format],ROW()-2)    +1)),2)</f>
        <v>0.10000000000000009</v>
      </c>
      <c r="B190" s="7">
        <v>44027.50037037037</v>
      </c>
      <c r="C190" s="8">
        <v>44027</v>
      </c>
      <c r="D190" s="8" t="s">
        <v>100</v>
      </c>
      <c r="E190" s="1" t="s">
        <v>442</v>
      </c>
      <c r="F190" s="8">
        <f>IF(TimeEntry[[#This Row],[Date]]=0,F189,C190+(7-Q190))</f>
        <v>44031</v>
      </c>
      <c r="G190" s="35" t="str">
        <f>INDEX(projects[Charge_Code],MATCH(TimeEntry[[#This Row],[Project_ID]],projects[Project_ID],0))</f>
        <v>210035-65 MC VBB WP1: DO-nota West (25-050)</v>
      </c>
      <c r="H190" s="1" t="str">
        <f t="shared" si="6"/>
        <v>Normal Time</v>
      </c>
      <c r="I190" s="1" t="s">
        <v>245</v>
      </c>
      <c r="J190" s="15">
        <v>7.5</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3</v>
      </c>
      <c r="R190" s="9">
        <f>YEAR(TimeEntry[[#This Row],[WkEnd]])</f>
        <v>2020</v>
      </c>
      <c r="S190" s="9">
        <f>WEEKNUM(TimeEntry[[#This Row],[WkEnd]])</f>
        <v>30</v>
      </c>
      <c r="T190" s="9" t="str">
        <f>TimeEntry[[#This Row],[Year]]&amp;"-"&amp;TimeEntry[[#This Row],[WkNo]]</f>
        <v>2020-30</v>
      </c>
    </row>
    <row r="191" spans="1:20" x14ac:dyDescent="0.25">
      <c r="A191" s="6">
        <f>MOD(IF(ROW()=2,0.1,IF(INDEX(TimeEntry[WkEnd],ROW()-1)  =  INDEX(TimeEntry[WkEnd],ROW()-2),    INDEX(TimeEntry[format],ROW()-2),    INDEX(TimeEntry[format],ROW()-2)    +1)),2)</f>
        <v>0.10000000000000009</v>
      </c>
      <c r="B191" s="7">
        <v>44026.701990740738</v>
      </c>
      <c r="C191" s="8">
        <v>44026</v>
      </c>
      <c r="D191" s="8" t="s">
        <v>101</v>
      </c>
      <c r="E191" s="1" t="s">
        <v>442</v>
      </c>
      <c r="F191" s="8">
        <f>IF(TimeEntry[[#This Row],[Date]]=0,F190,C191+(7-Q191))</f>
        <v>44031</v>
      </c>
      <c r="G191" s="35" t="str">
        <f>INDEX(projects[Charge_Code],MATCH(TimeEntry[[#This Row],[Project_ID]],projects[Project_ID],0))</f>
        <v>210035-65 MC VBB WP1: DO-nota West (25-050)</v>
      </c>
      <c r="H191" s="1" t="str">
        <f t="shared" si="6"/>
        <v>Normal Time</v>
      </c>
      <c r="I191" s="1" t="s">
        <v>236</v>
      </c>
      <c r="J191" s="15">
        <v>3.5</v>
      </c>
      <c r="K191" s="15"/>
      <c r="L191" s="15"/>
      <c r="M191" s="15"/>
      <c r="N191" s="15"/>
      <c r="O191" s="15" t="str">
        <f>INDEX(projects[job number],MATCH(TimeEntry[[#This Row],[Project_ID]], projects[Project_ID],0))</f>
        <v>210035-65</v>
      </c>
      <c r="P191" s="15" t="str">
        <f>INDEX(projects[Project_Name],MATCH(TimeEntry[[#This Row],[Project_ID]], projects[Project_ID],0))</f>
        <v>MC VBB WP1: DO-nota West</v>
      </c>
      <c r="Q191" s="6">
        <f>IF(TimeEntry[[#This Row],[Date]]=0,"",WEEKDAY(C191,2))</f>
        <v>2</v>
      </c>
      <c r="R191" s="9">
        <f>YEAR(TimeEntry[[#This Row],[WkEnd]])</f>
        <v>2020</v>
      </c>
      <c r="S191" s="9">
        <f>WEEKNUM(TimeEntry[[#This Row],[WkEnd]])</f>
        <v>30</v>
      </c>
      <c r="T191" s="9" t="str">
        <f>TimeEntry[[#This Row],[Year]]&amp;"-"&amp;TimeEntry[[#This Row],[WkNo]]</f>
        <v>2020-30</v>
      </c>
    </row>
    <row r="192" spans="1:20" x14ac:dyDescent="0.25">
      <c r="A192" s="6">
        <f>MOD(IF(ROW()=2,0.1,IF(INDEX(TimeEntry[WkEnd],ROW()-1)  =  INDEX(TimeEntry[WkEnd],ROW()-2),    INDEX(TimeEntry[format],ROW()-2),    INDEX(TimeEntry[format],ROW()-2)    +1)),2)</f>
        <v>0.10000000000000009</v>
      </c>
      <c r="B192" s="7">
        <v>44026.502349537041</v>
      </c>
      <c r="C192" s="8">
        <v>44026</v>
      </c>
      <c r="D192" s="8" t="s">
        <v>101</v>
      </c>
      <c r="E192" s="1" t="s">
        <v>442</v>
      </c>
      <c r="F192" s="8">
        <f>IF(TimeEntry[[#This Row],[Date]]=0,F191,C192+(7-Q192))</f>
        <v>44031</v>
      </c>
      <c r="G192" s="35" t="str">
        <f>INDEX(projects[Charge_Code],MATCH(TimeEntry[[#This Row],[Project_ID]],projects[Project_ID],0))</f>
        <v>210035-65 MC VBB WP1: DO-nota West (25-050)</v>
      </c>
      <c r="H192" s="1" t="str">
        <f t="shared" si="6"/>
        <v>Normal Time</v>
      </c>
      <c r="I192" s="1" t="s">
        <v>241</v>
      </c>
      <c r="J192" s="15">
        <v>4</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2</v>
      </c>
      <c r="R192" s="9">
        <f>YEAR(TimeEntry[[#This Row],[WkEnd]])</f>
        <v>2020</v>
      </c>
      <c r="S192" s="9">
        <f>WEEKNUM(TimeEntry[[#This Row],[WkEnd]])</f>
        <v>30</v>
      </c>
      <c r="T192" s="9" t="str">
        <f>TimeEntry[[#This Row],[Year]]&amp;"-"&amp;TimeEntry[[#This Row],[WkNo]]</f>
        <v>2020-30</v>
      </c>
    </row>
    <row r="193" spans="1:20" x14ac:dyDescent="0.25">
      <c r="A193" s="6">
        <f>MOD(IF(ROW()=2,0.1,IF(INDEX(TimeEntry[WkEnd],ROW()-1)  =  INDEX(TimeEntry[WkEnd],ROW()-2),    INDEX(TimeEntry[format],ROW()-2),    INDEX(TimeEntry[format],ROW()-2)    +1)),2)</f>
        <v>0.10000000000000009</v>
      </c>
      <c r="B193" s="7">
        <v>44025.669178240743</v>
      </c>
      <c r="C193" s="8">
        <v>44025</v>
      </c>
      <c r="D193" s="8" t="s">
        <v>104</v>
      </c>
      <c r="E193" s="1" t="s">
        <v>442</v>
      </c>
      <c r="F193" s="8">
        <f>IF(TimeEntry[[#This Row],[Date]]=0,F192,C193+(7-Q193))</f>
        <v>44031</v>
      </c>
      <c r="G193" s="35" t="str">
        <f>INDEX(projects[Charge_Code],MATCH(TimeEntry[[#This Row],[Project_ID]],projects[Project_ID],0))</f>
        <v>210035-65 MC VBB WP1: DO-nota West (25-050)</v>
      </c>
      <c r="H193" s="1" t="str">
        <f t="shared" si="6"/>
        <v>Normal Time</v>
      </c>
      <c r="I193" s="1" t="s">
        <v>237</v>
      </c>
      <c r="J193" s="15">
        <v>5.5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1</v>
      </c>
      <c r="R193" s="9">
        <f>YEAR(TimeEntry[[#This Row],[WkEnd]])</f>
        <v>2020</v>
      </c>
      <c r="S193" s="9">
        <f>WEEKNUM(TimeEntry[[#This Row],[WkEnd]])</f>
        <v>30</v>
      </c>
      <c r="T193" s="9" t="str">
        <f>TimeEntry[[#This Row],[Year]]&amp;"-"&amp;TimeEntry[[#This Row],[WkNo]]</f>
        <v>2020-30</v>
      </c>
    </row>
    <row r="194" spans="1:20" x14ac:dyDescent="0.25">
      <c r="A194" s="6">
        <f>MOD(IF(ROW()=2,0.1,IF(INDEX(TimeEntry[WkEnd],ROW()-1)  =  INDEX(TimeEntry[WkEnd],ROW()-2),    INDEX(TimeEntry[format],ROW()-2),    INDEX(TimeEntry[format],ROW()-2)    +1)),2)</f>
        <v>0.10000000000000009</v>
      </c>
      <c r="B194" s="7">
        <v>44025.500428240739</v>
      </c>
      <c r="C194" s="8">
        <v>44025</v>
      </c>
      <c r="D194" s="8" t="s">
        <v>104</v>
      </c>
      <c r="E194" s="1" t="s">
        <v>442</v>
      </c>
      <c r="F194" s="8">
        <f>IF(TimeEntry[[#This Row],[Date]]=0,F193,C194+(7-Q194))</f>
        <v>44031</v>
      </c>
      <c r="G194" s="35" t="str">
        <f>INDEX(projects[Charge_Code],MATCH(TimeEntry[[#This Row],[Project_ID]],projects[Project_ID],0))</f>
        <v>210035-65 MC VBB WP1: DO-nota West (25-050)</v>
      </c>
      <c r="H194" s="1" t="str">
        <f t="shared" si="6"/>
        <v>Normal Time</v>
      </c>
      <c r="I194" s="1" t="s">
        <v>246</v>
      </c>
      <c r="J194" s="15">
        <v>2</v>
      </c>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1</v>
      </c>
      <c r="R194" s="9">
        <f>YEAR(TimeEntry[[#This Row],[WkEnd]])</f>
        <v>2020</v>
      </c>
      <c r="S194" s="9">
        <f>WEEKNUM(TimeEntry[[#This Row],[WkEnd]])</f>
        <v>30</v>
      </c>
      <c r="T194" s="9" t="str">
        <f>TimeEntry[[#This Row],[Year]]&amp;"-"&amp;TimeEntry[[#This Row],[WkNo]]</f>
        <v>2020-30</v>
      </c>
    </row>
    <row r="195" spans="1:20" x14ac:dyDescent="0.25">
      <c r="A195" s="6">
        <f>MOD(IF(ROW()=2,0.1,IF(INDEX(TimeEntry[WkEnd],ROW()-1)  =  INDEX(TimeEntry[WkEnd],ROW()-2),    INDEX(TimeEntry[format],ROW()-2),    INDEX(TimeEntry[format],ROW()-2)    +1)),2)</f>
        <v>1.1000000000000001</v>
      </c>
      <c r="B195" s="7">
        <v>44022.669074074074</v>
      </c>
      <c r="C195" s="8">
        <v>44022</v>
      </c>
      <c r="D195" s="8" t="s">
        <v>106</v>
      </c>
      <c r="E195" s="1" t="s">
        <v>442</v>
      </c>
      <c r="F195" s="8">
        <f>IF(TimeEntry[[#This Row],[Date]]=0,F194,C195+(7-Q195))</f>
        <v>44024</v>
      </c>
      <c r="G195" s="35" t="str">
        <f>INDEX(projects[Charge_Code],MATCH(TimeEntry[[#This Row],[Project_ID]],projects[Project_ID],0))</f>
        <v>210035-65 MC VBB WP1: DO-nota West (25-050)</v>
      </c>
      <c r="H195" s="1" t="str">
        <f t="shared" si="6"/>
        <v>Normal Time</v>
      </c>
      <c r="I195" s="1" t="s">
        <v>226</v>
      </c>
      <c r="J195" s="15">
        <v>3.75</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5</v>
      </c>
      <c r="R195" s="9">
        <f>YEAR(TimeEntry[[#This Row],[WkEnd]])</f>
        <v>2020</v>
      </c>
      <c r="S195" s="9">
        <f>WEEKNUM(TimeEntry[[#This Row],[WkEnd]])</f>
        <v>29</v>
      </c>
      <c r="T195" s="9" t="str">
        <f>TimeEntry[[#This Row],[Year]]&amp;"-"&amp;TimeEntry[[#This Row],[WkNo]]</f>
        <v>2020-29</v>
      </c>
    </row>
    <row r="196" spans="1:20" x14ac:dyDescent="0.25">
      <c r="A196" s="6">
        <f>MOD(IF(ROW()=2,0.1,IF(INDEX(TimeEntry[WkEnd],ROW()-1)  =  INDEX(TimeEntry[WkEnd],ROW()-2),    INDEX(TimeEntry[format],ROW()-2),    INDEX(TimeEntry[format],ROW()-2)    +1)),2)</f>
        <v>1.1000000000000001</v>
      </c>
      <c r="B196" s="7">
        <v>44022.50240740741</v>
      </c>
      <c r="C196" s="8">
        <v>44022</v>
      </c>
      <c r="D196" s="8" t="s">
        <v>106</v>
      </c>
      <c r="E196" s="1" t="s">
        <v>442</v>
      </c>
      <c r="F196" s="8">
        <f>IF(TimeEntry[[#This Row],[Date]]=0,F195,C196+(7-Q196))</f>
        <v>44024</v>
      </c>
      <c r="G196" s="35" t="str">
        <f>INDEX(projects[Charge_Code],MATCH(TimeEntry[[#This Row],[Project_ID]],projects[Project_ID],0))</f>
        <v>210035-65 MC VBB WP1: DO-nota West (25-050)</v>
      </c>
      <c r="H196" s="1" t="str">
        <f t="shared" si="6"/>
        <v>Normal Time</v>
      </c>
      <c r="I196" s="1" t="s">
        <v>228</v>
      </c>
      <c r="J196" s="15">
        <v>3.75</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5</v>
      </c>
      <c r="R196" s="9">
        <f>YEAR(TimeEntry[[#This Row],[WkEnd]])</f>
        <v>2020</v>
      </c>
      <c r="S196" s="9">
        <f>WEEKNUM(TimeEntry[[#This Row],[WkEnd]])</f>
        <v>29</v>
      </c>
      <c r="T196" s="9" t="str">
        <f>TimeEntry[[#This Row],[Year]]&amp;"-"&amp;TimeEntry[[#This Row],[WkNo]]</f>
        <v>2020-29</v>
      </c>
    </row>
    <row r="197" spans="1:20" x14ac:dyDescent="0.25">
      <c r="A197" s="6">
        <f>MOD(IF(ROW()=2,0.1,IF(INDEX(TimeEntry[WkEnd],ROW()-1)  =  INDEX(TimeEntry[WkEnd],ROW()-2),    INDEX(TimeEntry[format],ROW()-2),    INDEX(TimeEntry[format],ROW()-2)    +1)),2)</f>
        <v>1.1000000000000001</v>
      </c>
      <c r="B197" s="7">
        <v>44022.50240740741</v>
      </c>
      <c r="C197" s="8">
        <v>44022</v>
      </c>
      <c r="D197" s="8" t="s">
        <v>106</v>
      </c>
      <c r="E197" s="1" t="s">
        <v>444</v>
      </c>
      <c r="F197" s="8">
        <f>IF(TimeEntry[[#This Row],[Date]]=0,F196,C197+(7-Q197))</f>
        <v>44024</v>
      </c>
      <c r="G197" s="35" t="str">
        <f>INDEX(projects[Charge_Code],MATCH(TimeEntry[[#This Row],[Project_ID]],projects[Project_ID],0))</f>
        <v>071945-07 BCS - management (01-124)</v>
      </c>
      <c r="H197" s="1" t="str">
        <f t="shared" si="6"/>
        <v>Normal Time</v>
      </c>
      <c r="I197" s="1" t="s">
        <v>227</v>
      </c>
      <c r="J197" s="15"/>
      <c r="K197" s="15"/>
      <c r="L197" s="15"/>
      <c r="M197" s="15"/>
      <c r="N197" s="15"/>
      <c r="O197" s="15" t="str">
        <f>INDEX(projects[job number],MATCH(TimeEntry[[#This Row],[Project_ID]], projects[Project_ID],0))</f>
        <v>071945-07</v>
      </c>
      <c r="P197" s="15" t="str">
        <f>INDEX(projects[Project_Name],MATCH(TimeEntry[[#This Row],[Project_ID]], projects[Project_ID],0))</f>
        <v>BCS - management</v>
      </c>
      <c r="Q197" s="6">
        <f>IF(TimeEntry[[#This Row],[Date]]=0,"",WEEKDAY(C197,2))</f>
        <v>5</v>
      </c>
      <c r="R197" s="9">
        <f>YEAR(TimeEntry[[#This Row],[WkEnd]])</f>
        <v>2020</v>
      </c>
      <c r="S197" s="9">
        <f>WEEKNUM(TimeEntry[[#This Row],[WkEnd]])</f>
        <v>29</v>
      </c>
      <c r="T197" s="9" t="str">
        <f>TimeEntry[[#This Row],[Year]]&amp;"-"&amp;TimeEntry[[#This Row],[WkNo]]</f>
        <v>2020-29</v>
      </c>
    </row>
    <row r="198" spans="1:20" x14ac:dyDescent="0.25">
      <c r="A198" s="6">
        <f>MOD(IF(ROW()=2,0.1,IF(INDEX(TimeEntry[WkEnd],ROW()-1)  =  INDEX(TimeEntry[WkEnd],ROW()-2),    INDEX(TimeEntry[format],ROW()-2),    INDEX(TimeEntry[format],ROW()-2)    +1)),2)</f>
        <v>1.1000000000000001</v>
      </c>
      <c r="B198" s="7">
        <v>44021.585833333331</v>
      </c>
      <c r="C198" s="8">
        <v>44021</v>
      </c>
      <c r="D198" s="8" t="s">
        <v>102</v>
      </c>
      <c r="E198" s="1" t="s">
        <v>442</v>
      </c>
      <c r="F198" s="8">
        <f>IF(TimeEntry[[#This Row],[Date]]=0,F197,C198+(7-Q198))</f>
        <v>44024</v>
      </c>
      <c r="G198" s="35" t="str">
        <f>INDEX(projects[Charge_Code],MATCH(TimeEntry[[#This Row],[Project_ID]],projects[Project_ID],0))</f>
        <v>210035-65 MC VBB WP1: DO-nota West (25-050)</v>
      </c>
      <c r="H198" s="1" t="str">
        <f t="shared" si="6"/>
        <v>Normal Time</v>
      </c>
      <c r="I198" s="1" t="s">
        <v>232</v>
      </c>
      <c r="J198" s="15">
        <v>5.5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4</v>
      </c>
      <c r="R198" s="9">
        <f>YEAR(TimeEntry[[#This Row],[WkEnd]])</f>
        <v>2020</v>
      </c>
      <c r="S198" s="9">
        <f>WEEKNUM(TimeEntry[[#This Row],[WkEnd]])</f>
        <v>29</v>
      </c>
      <c r="T198" s="9" t="str">
        <f>TimeEntry[[#This Row],[Year]]&amp;"-"&amp;TimeEntry[[#This Row],[WkNo]]</f>
        <v>2020-29</v>
      </c>
    </row>
    <row r="199" spans="1:20" x14ac:dyDescent="0.25">
      <c r="A199" s="6">
        <f>MOD(IF(ROW()=2,0.1,IF(INDEX(TimeEntry[WkEnd],ROW()-1)  =  INDEX(TimeEntry[WkEnd],ROW()-2),    INDEX(TimeEntry[format],ROW()-2),    INDEX(TimeEntry[format],ROW()-2)    +1)),2)</f>
        <v>1.1000000000000001</v>
      </c>
      <c r="B199" s="7">
        <v>44021.521122685182</v>
      </c>
      <c r="C199" s="8">
        <v>44021</v>
      </c>
      <c r="D199" s="8" t="s">
        <v>102</v>
      </c>
      <c r="E199" s="1" t="s">
        <v>447</v>
      </c>
      <c r="F199" s="8">
        <f>IF(TimeEntry[[#This Row],[Date]]=0,F198,C199+(7-Q199))</f>
        <v>44024</v>
      </c>
      <c r="G199" s="35" t="str">
        <f>INDEX(projects[Charge_Code],MATCH(TimeEntry[[#This Row],[Project_ID]],projects[Project_ID],0))</f>
        <v>257677-59  Melbourne Metro - Latrobe</v>
      </c>
      <c r="H199" s="1" t="str">
        <f t="shared" si="6"/>
        <v>Normal Time</v>
      </c>
      <c r="I199" s="1" t="s">
        <v>231</v>
      </c>
      <c r="J199" s="15">
        <v>2</v>
      </c>
      <c r="K199" s="15"/>
      <c r="L199" s="15"/>
      <c r="M199" s="15"/>
      <c r="N199" s="15"/>
      <c r="O199" s="15" t="str">
        <f>INDEX(projects[job number],MATCH(TimeEntry[[#This Row],[Project_ID]], projects[Project_ID],0))</f>
        <v xml:space="preserve">257677-59 </v>
      </c>
      <c r="P199" s="15" t="str">
        <f>INDEX(projects[Project_Name],MATCH(TimeEntry[[#This Row],[Project_ID]], projects[Project_ID],0))</f>
        <v>Melbourne Metro - Latrobe</v>
      </c>
      <c r="Q199" s="6">
        <f>IF(TimeEntry[[#This Row],[Date]]=0,"",WEEKDAY(C199,2))</f>
        <v>4</v>
      </c>
      <c r="R199" s="9">
        <f>YEAR(TimeEntry[[#This Row],[WkEnd]])</f>
        <v>2020</v>
      </c>
      <c r="S199" s="9">
        <f>WEEKNUM(TimeEntry[[#This Row],[WkEnd]])</f>
        <v>29</v>
      </c>
      <c r="T199" s="9" t="str">
        <f>TimeEntry[[#This Row],[Year]]&amp;"-"&amp;TimeEntry[[#This Row],[WkNo]]</f>
        <v>2020-29</v>
      </c>
    </row>
    <row r="200" spans="1:20" x14ac:dyDescent="0.25">
      <c r="A200" s="6">
        <f>MOD(IF(ROW()=2,0.1,IF(INDEX(TimeEntry[WkEnd],ROW()-1)  =  INDEX(TimeEntry[WkEnd],ROW()-2),    INDEX(TimeEntry[format],ROW()-2),    INDEX(TimeEntry[format],ROW()-2)    +1)),2)</f>
        <v>1.1000000000000001</v>
      </c>
      <c r="B200" s="7">
        <v>44020.811620370368</v>
      </c>
      <c r="C200" s="8">
        <v>44020</v>
      </c>
      <c r="D200" s="8" t="s">
        <v>100</v>
      </c>
      <c r="E200" s="1" t="s">
        <v>442</v>
      </c>
      <c r="F200" s="8">
        <f>IF(TimeEntry[[#This Row],[Date]]=0,F199,C200+(7-Q200))</f>
        <v>44024</v>
      </c>
      <c r="G200" s="35" t="str">
        <f>INDEX(projects[Charge_Code],MATCH(TimeEntry[[#This Row],[Project_ID]],projects[Project_ID],0))</f>
        <v>210035-65 MC VBB WP1: DO-nota West (25-050)</v>
      </c>
      <c r="H200" s="1" t="str">
        <f t="shared" si="6"/>
        <v>Normal Time</v>
      </c>
      <c r="I200" s="1" t="s">
        <v>235</v>
      </c>
      <c r="J200" s="15">
        <v>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3</v>
      </c>
      <c r="R200" s="9">
        <f>YEAR(TimeEntry[[#This Row],[WkEnd]])</f>
        <v>2020</v>
      </c>
      <c r="S200" s="9">
        <f>WEEKNUM(TimeEntry[[#This Row],[WkEnd]])</f>
        <v>29</v>
      </c>
      <c r="T200" s="9" t="str">
        <f>TimeEntry[[#This Row],[Year]]&amp;"-"&amp;TimeEntry[[#This Row],[WkNo]]</f>
        <v>2020-29</v>
      </c>
    </row>
    <row r="201" spans="1:20" x14ac:dyDescent="0.25">
      <c r="A201" s="6">
        <f>MOD(IF(ROW()=2,0.1,IF(INDEX(TimeEntry[WkEnd],ROW()-1)  =  INDEX(TimeEntry[WkEnd],ROW()-2),    INDEX(TimeEntry[format],ROW()-2),    INDEX(TimeEntry[format],ROW()-2)    +1)),2)</f>
        <v>1.1000000000000001</v>
      </c>
      <c r="B201" s="7">
        <v>44019.687847222223</v>
      </c>
      <c r="C201" s="8">
        <v>44019</v>
      </c>
      <c r="D201" s="8" t="s">
        <v>100</v>
      </c>
      <c r="E201" s="1" t="s">
        <v>442</v>
      </c>
      <c r="F201" s="8">
        <f>IF(TimeEntry[[#This Row],[Date]]=0,F200,C201+(7-Q201))</f>
        <v>44024</v>
      </c>
      <c r="G201" s="35" t="str">
        <f>INDEX(projects[Charge_Code],MATCH(TimeEntry[[#This Row],[Project_ID]],projects[Project_ID],0))</f>
        <v>210035-65 MC VBB WP1: DO-nota West (25-050)</v>
      </c>
      <c r="H201" s="1" t="str">
        <f t="shared" si="6"/>
        <v>Normal Time</v>
      </c>
      <c r="I201" s="1" t="s">
        <v>225</v>
      </c>
      <c r="J201" s="15">
        <v>7.5</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2</v>
      </c>
      <c r="R201" s="9">
        <f>YEAR(TimeEntry[[#This Row],[WkEnd]])</f>
        <v>2020</v>
      </c>
      <c r="S201" s="9">
        <f>WEEKNUM(TimeEntry[[#This Row],[WkEnd]])</f>
        <v>29</v>
      </c>
      <c r="T201" s="9" t="str">
        <f>TimeEntry[[#This Row],[Year]]&amp;"-"&amp;TimeEntry[[#This Row],[WkNo]]</f>
        <v>2020-29</v>
      </c>
    </row>
    <row r="202" spans="1:20" x14ac:dyDescent="0.25">
      <c r="A202" s="6">
        <f>MOD(IF(ROW()=2,0.1,IF(INDEX(TimeEntry[WkEnd],ROW()-1)  =  INDEX(TimeEntry[WkEnd],ROW()-2),    INDEX(TimeEntry[format],ROW()-2),    INDEX(TimeEntry[format],ROW()-2)    +1)),2)</f>
        <v>1.1000000000000001</v>
      </c>
      <c r="B202" s="7">
        <v>44018.439849537041</v>
      </c>
      <c r="C202" s="8">
        <v>44018</v>
      </c>
      <c r="D202" s="8" t="s">
        <v>104</v>
      </c>
      <c r="E202" s="1" t="s">
        <v>442</v>
      </c>
      <c r="F202" s="8">
        <f>IF(TimeEntry[[#This Row],[Date]]=0,F201,C202+(7-Q202))</f>
        <v>44024</v>
      </c>
      <c r="G202" s="35" t="str">
        <f>INDEX(projects[Charge_Code],MATCH(TimeEntry[[#This Row],[Project_ID]],projects[Project_ID],0))</f>
        <v>210035-65 MC VBB WP1: DO-nota West (25-050)</v>
      </c>
      <c r="H202" s="1" t="str">
        <f t="shared" si="6"/>
        <v>Normal Time</v>
      </c>
      <c r="I202" s="1" t="s">
        <v>229</v>
      </c>
      <c r="J202" s="15">
        <v>7.5</v>
      </c>
      <c r="K202" s="15"/>
      <c r="L202" s="15"/>
      <c r="M202" s="15"/>
      <c r="N202" s="15"/>
      <c r="O202" s="15" t="str">
        <f>INDEX(projects[job number],MATCH(TimeEntry[[#This Row],[Project_ID]], projects[Project_ID],0))</f>
        <v>210035-65</v>
      </c>
      <c r="P202" s="15" t="str">
        <f>INDEX(projects[Project_Name],MATCH(TimeEntry[[#This Row],[Project_ID]], projects[Project_ID],0))</f>
        <v>MC VBB WP1: DO-nota West</v>
      </c>
      <c r="Q202" s="6">
        <f>IF(TimeEntry[[#This Row],[Date]]=0,"",WEEKDAY(C202,2))</f>
        <v>1</v>
      </c>
      <c r="R202" s="9">
        <f>YEAR(TimeEntry[[#This Row],[WkEnd]])</f>
        <v>2020</v>
      </c>
      <c r="S202" s="9">
        <f>WEEKNUM(TimeEntry[[#This Row],[WkEnd]])</f>
        <v>29</v>
      </c>
      <c r="T202" s="9" t="str">
        <f>TimeEntry[[#This Row],[Year]]&amp;"-"&amp;TimeEntry[[#This Row],[WkNo]]</f>
        <v>2020-29</v>
      </c>
    </row>
    <row r="203" spans="1:20" x14ac:dyDescent="0.25">
      <c r="A203" s="6">
        <f>MOD(IF(ROW()=2,0.1,IF(INDEX(TimeEntry[WkEnd],ROW()-1)  =  INDEX(TimeEntry[WkEnd],ROW()-2),    INDEX(TimeEntry[format],ROW()-2),    INDEX(TimeEntry[format],ROW()-2)    +1)),2)</f>
        <v>1.1000000000000001</v>
      </c>
      <c r="B203" s="7">
        <v>44018.439849537041</v>
      </c>
      <c r="C203" s="8">
        <v>44018</v>
      </c>
      <c r="D203" s="8" t="s">
        <v>104</v>
      </c>
      <c r="E203" s="1" t="s">
        <v>444</v>
      </c>
      <c r="F203" s="8">
        <f>IF(TimeEntry[[#This Row],[Date]]=0,F202,C203+(7-Q203))</f>
        <v>44024</v>
      </c>
      <c r="G203" s="35" t="str">
        <f>INDEX(projects[Charge_Code],MATCH(TimeEntry[[#This Row],[Project_ID]],projects[Project_ID],0))</f>
        <v>071945-07 BCS - management (01-124)</v>
      </c>
      <c r="H203" s="1" t="str">
        <f t="shared" si="6"/>
        <v>Normal Time</v>
      </c>
      <c r="I203" s="1" t="s">
        <v>230</v>
      </c>
      <c r="J203" s="15"/>
      <c r="K203" s="15"/>
      <c r="L203" s="15"/>
      <c r="M203" s="15"/>
      <c r="N203" s="15"/>
      <c r="O203" s="15" t="str">
        <f>INDEX(projects[job number],MATCH(TimeEntry[[#This Row],[Project_ID]], projects[Project_ID],0))</f>
        <v>071945-07</v>
      </c>
      <c r="P203" s="15" t="str">
        <f>INDEX(projects[Project_Name],MATCH(TimeEntry[[#This Row],[Project_ID]], projects[Project_ID],0))</f>
        <v>BCS - management</v>
      </c>
      <c r="Q203" s="6">
        <f>IF(TimeEntry[[#This Row],[Date]]=0,"",WEEKDAY(C203,2))</f>
        <v>1</v>
      </c>
      <c r="R203" s="9">
        <f>YEAR(TimeEntry[[#This Row],[WkEnd]])</f>
        <v>2020</v>
      </c>
      <c r="S203" s="9">
        <f>WEEKNUM(TimeEntry[[#This Row],[WkEnd]])</f>
        <v>29</v>
      </c>
      <c r="T203" s="9" t="str">
        <f>TimeEntry[[#This Row],[Year]]&amp;"-"&amp;TimeEntry[[#This Row],[WkNo]]</f>
        <v>2020-29</v>
      </c>
    </row>
    <row r="204" spans="1:20" x14ac:dyDescent="0.25">
      <c r="A204" s="6">
        <f>MOD(IF(ROW()=2,0.1,IF(INDEX(TimeEntry[WkEnd],ROW()-1)  =  INDEX(TimeEntry[WkEnd],ROW()-2),    INDEX(TimeEntry[format],ROW()-2),    INDEX(TimeEntry[format],ROW()-2)    +1)),2)</f>
        <v>0.10000000000000009</v>
      </c>
      <c r="B204" s="7">
        <v>44015.439502314817</v>
      </c>
      <c r="C204" s="8">
        <v>44015</v>
      </c>
      <c r="D204" s="8" t="s">
        <v>106</v>
      </c>
      <c r="E204" s="1" t="s">
        <v>442</v>
      </c>
      <c r="F204" s="8">
        <f>IF(TimeEntry[[#This Row],[Date]]=0,F203,C204+(7-Q204))</f>
        <v>44017</v>
      </c>
      <c r="G204" s="35" t="str">
        <f>INDEX(projects[Charge_Code],MATCH(TimeEntry[[#This Row],[Project_ID]],projects[Project_ID],0))</f>
        <v>210035-65 MC VBB WP1: DO-nota West (25-050)</v>
      </c>
      <c r="H204" s="1" t="str">
        <f t="shared" si="6"/>
        <v>Normal Time</v>
      </c>
      <c r="I204" s="1" t="s">
        <v>223</v>
      </c>
      <c r="J204" s="15">
        <v>7.5</v>
      </c>
      <c r="K204" s="15"/>
      <c r="L204" s="15"/>
      <c r="M204" s="15"/>
      <c r="N204" s="15"/>
      <c r="O204" s="15" t="str">
        <f>INDEX(projects[job number],MATCH(TimeEntry[[#This Row],[Project_ID]], projects[Project_ID],0))</f>
        <v>210035-65</v>
      </c>
      <c r="P204" s="15" t="str">
        <f>INDEX(projects[Project_Name],MATCH(TimeEntry[[#This Row],[Project_ID]], projects[Project_ID],0))</f>
        <v>MC VBB WP1: DO-nota West</v>
      </c>
      <c r="Q204" s="6">
        <f>IF(TimeEntry[[#This Row],[Date]]=0,"",WEEKDAY(C204,2))</f>
        <v>5</v>
      </c>
      <c r="R204" s="9">
        <f>YEAR(TimeEntry[[#This Row],[WkEnd]])</f>
        <v>2020</v>
      </c>
      <c r="S204" s="9">
        <f>WEEKNUM(TimeEntry[[#This Row],[WkEnd]])</f>
        <v>28</v>
      </c>
      <c r="T204" s="9" t="str">
        <f>TimeEntry[[#This Row],[Year]]&amp;"-"&amp;TimeEntry[[#This Row],[WkNo]]</f>
        <v>2020-28</v>
      </c>
    </row>
    <row r="205" spans="1:20" x14ac:dyDescent="0.25">
      <c r="A205" s="6">
        <f>MOD(IF(ROW()=2,0.1,IF(INDEX(TimeEntry[WkEnd],ROW()-1)  =  INDEX(TimeEntry[WkEnd],ROW()-2),    INDEX(TimeEntry[format],ROW()-2),    INDEX(TimeEntry[format],ROW()-2)    +1)),2)</f>
        <v>0.10000000000000009</v>
      </c>
      <c r="B205" s="7">
        <v>44014.848182870373</v>
      </c>
      <c r="C205" s="8">
        <v>44014</v>
      </c>
      <c r="D205" s="8" t="s">
        <v>102</v>
      </c>
      <c r="E205" s="1" t="s">
        <v>444</v>
      </c>
      <c r="F205" s="8">
        <f>IF(TimeEntry[[#This Row],[Date]]=0,F204,C205+(7-Q205))</f>
        <v>44017</v>
      </c>
      <c r="G205" s="35" t="str">
        <f>INDEX(projects[Charge_Code],MATCH(TimeEntry[[#This Row],[Project_ID]],projects[Project_ID],0))</f>
        <v>071945-07 BCS - management (01-124)</v>
      </c>
      <c r="H205" s="1" t="str">
        <f t="shared" si="6"/>
        <v>Normal Time</v>
      </c>
      <c r="I205" s="1" t="s">
        <v>186</v>
      </c>
      <c r="J205" s="15"/>
      <c r="K205" s="15"/>
      <c r="L205" s="15"/>
      <c r="M205" s="15"/>
      <c r="N205" s="15"/>
      <c r="O205" s="15" t="str">
        <f>INDEX(projects[job number],MATCH(TimeEntry[[#This Row],[Project_ID]], projects[Project_ID],0))</f>
        <v>071945-07</v>
      </c>
      <c r="P205" s="15" t="str">
        <f>INDEX(projects[Project_Name],MATCH(TimeEntry[[#This Row],[Project_ID]], projects[Project_ID],0))</f>
        <v>BCS - management</v>
      </c>
      <c r="Q205" s="6">
        <f>IF(TimeEntry[[#This Row],[Date]]=0,"",WEEKDAY(C205,2))</f>
        <v>4</v>
      </c>
      <c r="R205" s="9">
        <f>YEAR(TimeEntry[[#This Row],[WkEnd]])</f>
        <v>2020</v>
      </c>
      <c r="S205" s="9">
        <f>WEEKNUM(TimeEntry[[#This Row],[WkEnd]])</f>
        <v>28</v>
      </c>
      <c r="T205" s="9" t="str">
        <f>TimeEntry[[#This Row],[Year]]&amp;"-"&amp;TimeEntry[[#This Row],[WkNo]]</f>
        <v>2020-28</v>
      </c>
    </row>
    <row r="206" spans="1:20" x14ac:dyDescent="0.25">
      <c r="A206" s="6">
        <f>MOD(IF(ROW()=2,0.1,IF(INDEX(TimeEntry[WkEnd],ROW()-1)  =  INDEX(TimeEntry[WkEnd],ROW()-2),    INDEX(TimeEntry[format],ROW()-2),    INDEX(TimeEntry[format],ROW()-2)    +1)),2)</f>
        <v>0.10000000000000009</v>
      </c>
      <c r="B206" s="7">
        <v>44014.687638888892</v>
      </c>
      <c r="C206" s="8">
        <v>44014</v>
      </c>
      <c r="D206" s="8" t="s">
        <v>102</v>
      </c>
      <c r="E206" s="1" t="s">
        <v>442</v>
      </c>
      <c r="F206" s="8">
        <f>IF(TimeEntry[[#This Row],[Date]]=0,F205,C206+(7-Q206))</f>
        <v>44017</v>
      </c>
      <c r="G206" s="35" t="str">
        <f>INDEX(projects[Charge_Code],MATCH(TimeEntry[[#This Row],[Project_ID]],projects[Project_ID],0))</f>
        <v>210035-65 MC VBB WP1: DO-nota West (25-050)</v>
      </c>
      <c r="H206" s="1" t="str">
        <f t="shared" si="6"/>
        <v>Normal Time</v>
      </c>
      <c r="I206" s="1" t="s">
        <v>222</v>
      </c>
      <c r="J206" s="15">
        <v>5</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4</v>
      </c>
      <c r="R206" s="9">
        <f>YEAR(TimeEntry[[#This Row],[WkEnd]])</f>
        <v>2020</v>
      </c>
      <c r="S206" s="9">
        <f>WEEKNUM(TimeEntry[[#This Row],[WkEnd]])</f>
        <v>28</v>
      </c>
      <c r="T206" s="9" t="str">
        <f>TimeEntry[[#This Row],[Year]]&amp;"-"&amp;TimeEntry[[#This Row],[WkNo]]</f>
        <v>2020-28</v>
      </c>
    </row>
    <row r="207" spans="1:20" x14ac:dyDescent="0.25">
      <c r="A207" s="6">
        <f>MOD(IF(ROW()=2,0.1,IF(INDEX(TimeEntry[WkEnd],ROW()-1)  =  INDEX(TimeEntry[WkEnd],ROW()-2),    INDEX(TimeEntry[format],ROW()-2),    INDEX(TimeEntry[format],ROW()-2)    +1)),2)</f>
        <v>0.10000000000000009</v>
      </c>
      <c r="B207" s="7">
        <v>44014.56355324074</v>
      </c>
      <c r="C207" s="8">
        <v>44014</v>
      </c>
      <c r="D207" s="8" t="s">
        <v>102</v>
      </c>
      <c r="E207" s="1" t="s">
        <v>442</v>
      </c>
      <c r="F207" s="8">
        <f>IF(TimeEntry[[#This Row],[Date]]=0,F206,C207+(7-Q207))</f>
        <v>44017</v>
      </c>
      <c r="G207" s="35" t="str">
        <f>INDEX(projects[Charge_Code],MATCH(TimeEntry[[#This Row],[Project_ID]],projects[Project_ID],0))</f>
        <v>210035-65 MC VBB WP1: DO-nota West (25-050)</v>
      </c>
      <c r="H207" s="1" t="str">
        <f t="shared" si="6"/>
        <v>Normal Time</v>
      </c>
      <c r="I207" s="1" t="s">
        <v>221</v>
      </c>
      <c r="J207" s="15">
        <v>2.5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4</v>
      </c>
      <c r="R207" s="9">
        <f>YEAR(TimeEntry[[#This Row],[WkEnd]])</f>
        <v>2020</v>
      </c>
      <c r="S207" s="9">
        <f>WEEKNUM(TimeEntry[[#This Row],[WkEnd]])</f>
        <v>28</v>
      </c>
      <c r="T207" s="9" t="str">
        <f>TimeEntry[[#This Row],[Year]]&amp;"-"&amp;TimeEntry[[#This Row],[WkNo]]</f>
        <v>2020-28</v>
      </c>
    </row>
    <row r="208" spans="1:20" x14ac:dyDescent="0.25">
      <c r="A208" s="6">
        <f>MOD(IF(ROW()=2,0.1,IF(INDEX(TimeEntry[WkEnd],ROW()-1)  =  INDEX(TimeEntry[WkEnd],ROW()-2),    INDEX(TimeEntry[format],ROW()-2),    INDEX(TimeEntry[format],ROW()-2)    +1)),2)</f>
        <v>0.10000000000000009</v>
      </c>
      <c r="B208" s="7"/>
      <c r="C208" s="8">
        <v>44013</v>
      </c>
      <c r="D208" s="8"/>
      <c r="E208" s="1" t="s">
        <v>442</v>
      </c>
      <c r="F208" s="8">
        <f>IF(TimeEntry[[#This Row],[Date]]=0,F207,C208+(7-Q208))</f>
        <v>44017</v>
      </c>
      <c r="G208" s="35" t="str">
        <f>INDEX(projects[Charge_Code],MATCH(TimeEntry[[#This Row],[Project_ID]],projects[Project_ID],0))</f>
        <v>210035-65 MC VBB WP1: DO-nota West (25-050)</v>
      </c>
      <c r="H208" s="1" t="str">
        <f t="shared" si="6"/>
        <v>Normal Time</v>
      </c>
      <c r="I208" s="1" t="s">
        <v>220</v>
      </c>
      <c r="J208" s="15">
        <v>7.5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3</v>
      </c>
      <c r="R208" s="9">
        <f>YEAR(TimeEntry[[#This Row],[WkEnd]])</f>
        <v>2020</v>
      </c>
      <c r="S208" s="9">
        <f>WEEKNUM(TimeEntry[[#This Row],[WkEnd]])</f>
        <v>28</v>
      </c>
      <c r="T208" s="9" t="str">
        <f>TimeEntry[[#This Row],[Year]]&amp;"-"&amp;TimeEntry[[#This Row],[WkNo]]</f>
        <v>2020-28</v>
      </c>
    </row>
    <row r="209" spans="1:20" x14ac:dyDescent="0.25">
      <c r="A209" s="6">
        <f>MOD(IF(ROW()=2,0.1,IF(INDEX(TimeEntry[WkEnd],ROW()-1)  =  INDEX(TimeEntry[WkEnd],ROW()-2),    INDEX(TimeEntry[format],ROW()-2),    INDEX(TimeEntry[format],ROW()-2)    +1)),2)</f>
        <v>0.10000000000000009</v>
      </c>
      <c r="B209" s="7"/>
      <c r="C209" s="8">
        <v>44012</v>
      </c>
      <c r="D209" s="8"/>
      <c r="E209" s="1" t="s">
        <v>442</v>
      </c>
      <c r="F209" s="8">
        <f>IF(TimeEntry[[#This Row],[Date]]=0,F208,C209+(7-Q209))</f>
        <v>44017</v>
      </c>
      <c r="G209" s="35" t="str">
        <f>INDEX(projects[Charge_Code],MATCH(TimeEntry[[#This Row],[Project_ID]],projects[Project_ID],0))</f>
        <v>210035-65 MC VBB WP1: DO-nota West (25-050)</v>
      </c>
      <c r="H209" s="1" t="str">
        <f t="shared" si="6"/>
        <v>Normal Time</v>
      </c>
      <c r="I209" s="1" t="s">
        <v>217</v>
      </c>
      <c r="J209" s="15">
        <v>7.5</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2</v>
      </c>
      <c r="R209" s="9">
        <f>YEAR(TimeEntry[[#This Row],[WkEnd]])</f>
        <v>2020</v>
      </c>
      <c r="S209" s="9">
        <f>WEEKNUM(TimeEntry[[#This Row],[WkEnd]])</f>
        <v>28</v>
      </c>
      <c r="T209" s="9" t="str">
        <f>TimeEntry[[#This Row],[Year]]&amp;"-"&amp;TimeEntry[[#This Row],[WkNo]]</f>
        <v>2020-28</v>
      </c>
    </row>
    <row r="210" spans="1:20" x14ac:dyDescent="0.25">
      <c r="A210" s="6">
        <f>MOD(IF(ROW()=2,0.1,IF(INDEX(TimeEntry[WkEnd],ROW()-1)  =  INDEX(TimeEntry[WkEnd],ROW()-2),    INDEX(TimeEntry[format],ROW()-2),    INDEX(TimeEntry[format],ROW()-2)    +1)),2)</f>
        <v>0.10000000000000009</v>
      </c>
      <c r="B210" s="7"/>
      <c r="C210" s="8">
        <v>44011</v>
      </c>
      <c r="D210" s="8"/>
      <c r="E210" s="1" t="s">
        <v>442</v>
      </c>
      <c r="F210" s="8">
        <f>IF(TimeEntry[[#This Row],[Date]]=0,F209,C210+(7-Q210))</f>
        <v>44017</v>
      </c>
      <c r="G210" s="35" t="str">
        <f>INDEX(projects[Charge_Code],MATCH(TimeEntry[[#This Row],[Project_ID]],projects[Project_ID],0))</f>
        <v>210035-65 MC VBB WP1: DO-nota West (25-050)</v>
      </c>
      <c r="H210" s="1" t="str">
        <f t="shared" si="6"/>
        <v>Normal Time</v>
      </c>
      <c r="I210" s="1" t="s">
        <v>213</v>
      </c>
      <c r="J210" s="15">
        <v>5</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1</v>
      </c>
      <c r="R210" s="9">
        <f>YEAR(TimeEntry[[#This Row],[WkEnd]])</f>
        <v>2020</v>
      </c>
      <c r="S210" s="9">
        <f>WEEKNUM(TimeEntry[[#This Row],[WkEnd]])</f>
        <v>28</v>
      </c>
      <c r="T210" s="9" t="str">
        <f>TimeEntry[[#This Row],[Year]]&amp;"-"&amp;TimeEntry[[#This Row],[WkNo]]</f>
        <v>2020-28</v>
      </c>
    </row>
    <row r="211" spans="1:20" x14ac:dyDescent="0.25">
      <c r="A211" s="6">
        <f>MOD(IF(ROW()=2,0.1,IF(INDEX(TimeEntry[WkEnd],ROW()-1)  =  INDEX(TimeEntry[WkEnd],ROW()-2),    INDEX(TimeEntry[format],ROW()-2),    INDEX(TimeEntry[format],ROW()-2)    +1)),2)</f>
        <v>0.10000000000000009</v>
      </c>
      <c r="B211" s="7"/>
      <c r="C211" s="8">
        <v>44011</v>
      </c>
      <c r="D211" s="8"/>
      <c r="E211" s="1" t="s">
        <v>448</v>
      </c>
      <c r="F211" s="8">
        <f>IF(TimeEntry[[#This Row],[Date]]=0,F210,C211+(7-Q211))</f>
        <v>44017</v>
      </c>
      <c r="G211" s="35" t="str">
        <f>INDEX(projects[Charge_Code],MATCH(TimeEntry[[#This Row],[Project_ID]],projects[Project_ID],0))</f>
        <v xml:space="preserve">249980-13 Edmonton </v>
      </c>
      <c r="H211" s="1" t="str">
        <f t="shared" si="6"/>
        <v>Normal Time</v>
      </c>
      <c r="I211" s="1" t="s">
        <v>224</v>
      </c>
      <c r="J211" s="15">
        <v>2.5</v>
      </c>
      <c r="K211" s="15"/>
      <c r="L211" s="15"/>
      <c r="M211" s="15"/>
      <c r="N211" s="15"/>
      <c r="O211" s="15" t="str">
        <f>INDEX(projects[job number],MATCH(TimeEntry[[#This Row],[Project_ID]], projects[Project_ID],0))</f>
        <v>249980-13</v>
      </c>
      <c r="P211" s="15" t="str">
        <f>INDEX(projects[Project_Name],MATCH(TimeEntry[[#This Row],[Project_ID]], projects[Project_ID],0))</f>
        <v xml:space="preserve">Edmonton </v>
      </c>
      <c r="Q211" s="6">
        <f>IF(TimeEntry[[#This Row],[Date]]=0,"",WEEKDAY(C211,2))</f>
        <v>1</v>
      </c>
      <c r="R211" s="9">
        <f>YEAR(TimeEntry[[#This Row],[WkEnd]])</f>
        <v>2020</v>
      </c>
      <c r="S211" s="9">
        <f>WEEKNUM(TimeEntry[[#This Row],[WkEnd]])</f>
        <v>28</v>
      </c>
      <c r="T211" s="9" t="str">
        <f>TimeEntry[[#This Row],[Year]]&amp;"-"&amp;TimeEntry[[#This Row],[WkNo]]</f>
        <v>2020-28</v>
      </c>
    </row>
    <row r="212" spans="1:20" x14ac:dyDescent="0.25">
      <c r="A212" s="6">
        <f>MOD(IF(ROW()=2,0.1,IF(INDEX(TimeEntry[WkEnd],ROW()-1)  =  INDEX(TimeEntry[WkEnd],ROW()-2),    INDEX(TimeEntry[format],ROW()-2),    INDEX(TimeEntry[format],ROW()-2)    +1)),2)</f>
        <v>1.1000000000000001</v>
      </c>
      <c r="B212" s="7"/>
      <c r="C212" s="8">
        <v>44008</v>
      </c>
      <c r="D212" s="8"/>
      <c r="E212" s="1" t="s">
        <v>445</v>
      </c>
      <c r="F212" s="8">
        <f>IF(TimeEntry[[#This Row],[Date]]=0,F211,C212+(7-Q212))</f>
        <v>44010</v>
      </c>
      <c r="G212" s="35" t="str">
        <f>INDEX(projects[Charge_Code],MATCH(TimeEntry[[#This Row],[Project_ID]],projects[Project_ID],0))</f>
        <v>LEAVE</v>
      </c>
      <c r="H212" s="1" t="str">
        <f t="shared" si="6"/>
        <v>Normal Time</v>
      </c>
      <c r="I212" s="1"/>
      <c r="J212" s="15">
        <v>7.5</v>
      </c>
      <c r="K212" s="15"/>
      <c r="L212" s="15"/>
      <c r="M212" s="15"/>
      <c r="N212" s="15"/>
      <c r="O212" s="15" t="str">
        <f>INDEX(projects[job number],MATCH(TimeEntry[[#This Row],[Project_ID]], projects[Project_ID],0))</f>
        <v>LEAVE</v>
      </c>
      <c r="P212" s="15">
        <f>INDEX(projects[Project_Name],MATCH(TimeEntry[[#This Row],[Project_ID]], projects[Project_ID],0))</f>
        <v>0</v>
      </c>
      <c r="Q212" s="6">
        <f>IF(TimeEntry[[#This Row],[Date]]=0,"",WEEKDAY(C212,2))</f>
        <v>5</v>
      </c>
      <c r="R212" s="9">
        <f>YEAR(TimeEntry[[#This Row],[WkEnd]])</f>
        <v>2020</v>
      </c>
      <c r="S212" s="9">
        <f>WEEKNUM(TimeEntry[[#This Row],[WkEnd]])</f>
        <v>27</v>
      </c>
      <c r="T212" s="9" t="str">
        <f>TimeEntry[[#This Row],[Year]]&amp;"-"&amp;TimeEntry[[#This Row],[WkNo]]</f>
        <v>2020-27</v>
      </c>
    </row>
    <row r="213" spans="1:20" x14ac:dyDescent="0.25">
      <c r="A213" s="6">
        <f>MOD(IF(ROW()=2,0.1,IF(INDEX(TimeEntry[WkEnd],ROW()-1)  =  INDEX(TimeEntry[WkEnd],ROW()-2),    INDEX(TimeEntry[format],ROW()-2),    INDEX(TimeEntry[format],ROW()-2)    +1)),2)</f>
        <v>1.1000000000000001</v>
      </c>
      <c r="B213" s="7"/>
      <c r="C213" s="8">
        <v>44007</v>
      </c>
      <c r="D213" s="8"/>
      <c r="E213" s="1" t="s">
        <v>442</v>
      </c>
      <c r="F213" s="8">
        <f>IF(TimeEntry[[#This Row],[Date]]=0,F212,C213+(7-Q213))</f>
        <v>44010</v>
      </c>
      <c r="G213" s="35" t="str">
        <f>INDEX(projects[Charge_Code],MATCH(TimeEntry[[#This Row],[Project_ID]],projects[Project_ID],0))</f>
        <v>210035-65 MC VBB WP1: DO-nota West (25-050)</v>
      </c>
      <c r="H213" s="1" t="str">
        <f t="shared" si="6"/>
        <v>Normal Time</v>
      </c>
      <c r="I213" s="1" t="s">
        <v>211</v>
      </c>
      <c r="J213" s="15"/>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4</v>
      </c>
      <c r="R213" s="9">
        <f>YEAR(TimeEntry[[#This Row],[WkEnd]])</f>
        <v>2020</v>
      </c>
      <c r="S213" s="9">
        <f>WEEKNUM(TimeEntry[[#This Row],[WkEnd]])</f>
        <v>27</v>
      </c>
      <c r="T213" s="9" t="str">
        <f>TimeEntry[[#This Row],[Year]]&amp;"-"&amp;TimeEntry[[#This Row],[WkNo]]</f>
        <v>2020-27</v>
      </c>
    </row>
    <row r="214" spans="1:20" x14ac:dyDescent="0.25">
      <c r="A214" s="6">
        <f>MOD(IF(ROW()=2,0.1,IF(INDEX(TimeEntry[WkEnd],ROW()-1)  =  INDEX(TimeEntry[WkEnd],ROW()-2),    INDEX(TimeEntry[format],ROW()-2),    INDEX(TimeEntry[format],ROW()-2)    +1)),2)</f>
        <v>1.1000000000000001</v>
      </c>
      <c r="B214" s="7"/>
      <c r="C214" s="8">
        <v>44006</v>
      </c>
      <c r="D214" s="8"/>
      <c r="E214" s="1" t="s">
        <v>442</v>
      </c>
      <c r="F214" s="8">
        <f>IF(TimeEntry[[#This Row],[Date]]=0,F213,C214+(7-Q214))</f>
        <v>44010</v>
      </c>
      <c r="G214" s="35" t="str">
        <f>INDEX(projects[Charge_Code],MATCH(TimeEntry[[#This Row],[Project_ID]],projects[Project_ID],0))</f>
        <v>210035-65 MC VBB WP1: DO-nota West (25-050)</v>
      </c>
      <c r="H214" s="1" t="str">
        <f t="shared" si="6"/>
        <v>Normal Time</v>
      </c>
      <c r="I214" s="1" t="s">
        <v>210</v>
      </c>
      <c r="J214" s="15"/>
      <c r="K214" s="15"/>
      <c r="L214" s="15"/>
      <c r="M214" s="15"/>
      <c r="N214" s="15"/>
      <c r="O214" s="15" t="str">
        <f>INDEX(projects[job number],MATCH(TimeEntry[[#This Row],[Project_ID]], projects[Project_ID],0))</f>
        <v>210035-65</v>
      </c>
      <c r="P214" s="15" t="str">
        <f>INDEX(projects[Project_Name],MATCH(TimeEntry[[#This Row],[Project_ID]], projects[Project_ID],0))</f>
        <v>MC VBB WP1: DO-nota West</v>
      </c>
      <c r="Q214" s="6">
        <f>IF(TimeEntry[[#This Row],[Date]]=0,"",WEEKDAY(C214,2))</f>
        <v>3</v>
      </c>
      <c r="R214" s="9">
        <f>YEAR(TimeEntry[[#This Row],[WkEnd]])</f>
        <v>2020</v>
      </c>
      <c r="S214" s="9">
        <f>WEEKNUM(TimeEntry[[#This Row],[WkEnd]])</f>
        <v>27</v>
      </c>
      <c r="T214" s="9" t="str">
        <f>TimeEntry[[#This Row],[Year]]&amp;"-"&amp;TimeEntry[[#This Row],[WkNo]]</f>
        <v>2020-27</v>
      </c>
    </row>
    <row r="215" spans="1:20" x14ac:dyDescent="0.25">
      <c r="A215" s="6">
        <f>MOD(IF(ROW()=2,0.1,IF(INDEX(TimeEntry[WkEnd],ROW()-1)  =  INDEX(TimeEntry[WkEnd],ROW()-2),    INDEX(TimeEntry[format],ROW()-2),    INDEX(TimeEntry[format],ROW()-2)    +1)),2)</f>
        <v>1.1000000000000001</v>
      </c>
      <c r="B215" s="7"/>
      <c r="C215" s="8">
        <v>44005</v>
      </c>
      <c r="D215" s="8"/>
      <c r="E215" s="1" t="s">
        <v>442</v>
      </c>
      <c r="F215" s="8">
        <f>IF(TimeEntry[[#This Row],[Date]]=0,F214,C215+(7-Q215))</f>
        <v>44010</v>
      </c>
      <c r="G215" s="35" t="str">
        <f>INDEX(projects[Charge_Code],MATCH(TimeEntry[[#This Row],[Project_ID]],projects[Project_ID],0))</f>
        <v>210035-65 MC VBB WP1: DO-nota West (25-050)</v>
      </c>
      <c r="H215" s="1" t="str">
        <f t="shared" si="6"/>
        <v>Normal Time</v>
      </c>
      <c r="I215" s="1" t="s">
        <v>212</v>
      </c>
      <c r="J215" s="15"/>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2</v>
      </c>
      <c r="R215" s="9">
        <f>YEAR(TimeEntry[[#This Row],[WkEnd]])</f>
        <v>2020</v>
      </c>
      <c r="S215" s="9">
        <f>WEEKNUM(TimeEntry[[#This Row],[WkEnd]])</f>
        <v>27</v>
      </c>
      <c r="T215" s="9" t="str">
        <f>TimeEntry[[#This Row],[Year]]&amp;"-"&amp;TimeEntry[[#This Row],[WkNo]]</f>
        <v>2020-27</v>
      </c>
    </row>
    <row r="216" spans="1:20" x14ac:dyDescent="0.25">
      <c r="A216" s="6">
        <f>MOD(IF(ROW()=2,0.1,IF(INDEX(TimeEntry[WkEnd],ROW()-1)  =  INDEX(TimeEntry[WkEnd],ROW()-2),    INDEX(TimeEntry[format],ROW()-2),    INDEX(TimeEntry[format],ROW()-2)    +1)),2)</f>
        <v>1.1000000000000001</v>
      </c>
      <c r="B216" s="7"/>
      <c r="C216" s="8">
        <v>44004</v>
      </c>
      <c r="D216" s="8"/>
      <c r="E216" s="1" t="s">
        <v>442</v>
      </c>
      <c r="F216" s="8">
        <f>IF(TimeEntry[[#This Row],[Date]]=0,F215,C216+(7-Q216))</f>
        <v>44010</v>
      </c>
      <c r="G216" s="35" t="str">
        <f>INDEX(projects[Charge_Code],MATCH(TimeEntry[[#This Row],[Project_ID]],projects[Project_ID],0))</f>
        <v>210035-65 MC VBB WP1: DO-nota West (25-050)</v>
      </c>
      <c r="H216" s="1" t="str">
        <f t="shared" si="6"/>
        <v>Normal Time</v>
      </c>
      <c r="I216" s="1" t="s">
        <v>209</v>
      </c>
      <c r="J216" s="15"/>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1</v>
      </c>
      <c r="R216" s="9">
        <f>YEAR(TimeEntry[[#This Row],[WkEnd]])</f>
        <v>2020</v>
      </c>
      <c r="S216" s="9">
        <f>WEEKNUM(TimeEntry[[#This Row],[WkEnd]])</f>
        <v>27</v>
      </c>
      <c r="T216" s="9" t="str">
        <f>TimeEntry[[#This Row],[Year]]&amp;"-"&amp;TimeEntry[[#This Row],[WkNo]]</f>
        <v>2020-27</v>
      </c>
    </row>
    <row r="217" spans="1:20" x14ac:dyDescent="0.25">
      <c r="A217" s="6">
        <f>MOD(IF(ROW()=2,0.1,IF(INDEX(TimeEntry[WkEnd],ROW()-1)  =  INDEX(TimeEntry[WkEnd],ROW()-2),    INDEX(TimeEntry[format],ROW()-2),    INDEX(TimeEntry[format],ROW()-2)    +1)),2)</f>
        <v>0.10000000000000009</v>
      </c>
      <c r="B217" s="7"/>
      <c r="C217" s="8">
        <v>43997</v>
      </c>
      <c r="D217" s="8"/>
      <c r="E217" s="1" t="s">
        <v>442</v>
      </c>
      <c r="F217" s="8">
        <f>IF(TimeEntry[[#This Row],[Date]]=0,F216,C217+(7-Q217))</f>
        <v>44003</v>
      </c>
      <c r="G217" s="35" t="str">
        <f>INDEX(projects[Charge_Code],MATCH(TimeEntry[[#This Row],[Project_ID]],projects[Project_ID],0))</f>
        <v>210035-65 MC VBB WP1: DO-nota West (25-050)</v>
      </c>
      <c r="H217" s="1" t="str">
        <f t="shared" si="6"/>
        <v>Normal Time</v>
      </c>
      <c r="I217" s="1" t="s">
        <v>208</v>
      </c>
      <c r="J217" s="15"/>
      <c r="K217" s="15"/>
      <c r="L217" s="15"/>
      <c r="M217" s="15"/>
      <c r="N217" s="15"/>
      <c r="O217" s="15" t="str">
        <f>INDEX(projects[job number],MATCH(TimeEntry[[#This Row],[Project_ID]], projects[Project_ID],0))</f>
        <v>210035-65</v>
      </c>
      <c r="P217" s="15" t="str">
        <f>INDEX(projects[Project_Name],MATCH(TimeEntry[[#This Row],[Project_ID]], projects[Project_ID],0))</f>
        <v>MC VBB WP1: DO-nota West</v>
      </c>
      <c r="Q217" s="6">
        <f>IF(TimeEntry[[#This Row],[Date]]=0,"",WEEKDAY(C217,2))</f>
        <v>1</v>
      </c>
      <c r="R217" s="9">
        <f>YEAR(TimeEntry[[#This Row],[WkEnd]])</f>
        <v>2020</v>
      </c>
      <c r="S217" s="9">
        <f>WEEKNUM(TimeEntry[[#This Row],[WkEnd]])</f>
        <v>26</v>
      </c>
      <c r="T217" s="9" t="str">
        <f>TimeEntry[[#This Row],[Year]]&amp;"-"&amp;TimeEntry[[#This Row],[WkNo]]</f>
        <v>2020-26</v>
      </c>
    </row>
    <row r="218" spans="1:20" x14ac:dyDescent="0.25">
      <c r="A218" s="6">
        <f>MOD(IF(ROW()=2,0.1,IF(INDEX(TimeEntry[WkEnd],ROW()-1)  =  INDEX(TimeEntry[WkEnd],ROW()-2),    INDEX(TimeEntry[format],ROW()-2),    INDEX(TimeEntry[format],ROW()-2)    +1)),2)</f>
        <v>1.1000000000000001</v>
      </c>
      <c r="B218" s="7"/>
      <c r="C218" s="8">
        <v>43994</v>
      </c>
      <c r="D218" s="8"/>
      <c r="E218" s="1" t="s">
        <v>442</v>
      </c>
      <c r="F218" s="8">
        <f>IF(TimeEntry[[#This Row],[Date]]=0,F217,C218+(7-Q218))</f>
        <v>43996</v>
      </c>
      <c r="G218" s="35" t="str">
        <f>INDEX(projects[Charge_Code],MATCH(TimeEntry[[#This Row],[Project_ID]],projects[Project_ID],0))</f>
        <v>210035-65 MC VBB WP1: DO-nota West (25-050)</v>
      </c>
      <c r="H218" s="1" t="str">
        <f t="shared" si="6"/>
        <v>Normal Time</v>
      </c>
      <c r="I218" s="1" t="s">
        <v>204</v>
      </c>
      <c r="J218" s="15">
        <v>7.5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5</v>
      </c>
      <c r="R218" s="9">
        <f>YEAR(TimeEntry[[#This Row],[WkEnd]])</f>
        <v>2020</v>
      </c>
      <c r="S218" s="9">
        <f>WEEKNUM(TimeEntry[[#This Row],[WkEnd]])</f>
        <v>25</v>
      </c>
      <c r="T218" s="9" t="str">
        <f>TimeEntry[[#This Row],[Year]]&amp;"-"&amp;TimeEntry[[#This Row],[WkNo]]</f>
        <v>2020-25</v>
      </c>
    </row>
    <row r="219" spans="1:20" x14ac:dyDescent="0.25">
      <c r="A219" s="6">
        <f>MOD(IF(ROW()=2,0.1,IF(INDEX(TimeEntry[WkEnd],ROW()-1)  =  INDEX(TimeEntry[WkEnd],ROW()-2),    INDEX(TimeEntry[format],ROW()-2),    INDEX(TimeEntry[format],ROW()-2)    +1)),2)</f>
        <v>1.1000000000000001</v>
      </c>
      <c r="B219" s="7"/>
      <c r="C219" s="8">
        <v>43994</v>
      </c>
      <c r="D219" s="8"/>
      <c r="E219" s="1" t="s">
        <v>444</v>
      </c>
      <c r="F219" s="8">
        <f>IF(TimeEntry[[#This Row],[Date]]=0,F218,C219+(7-Q219))</f>
        <v>43996</v>
      </c>
      <c r="G219" s="35" t="str">
        <f>INDEX(projects[Charge_Code],MATCH(TimeEntry[[#This Row],[Project_ID]],projects[Project_ID],0))</f>
        <v>071945-07 BCS - management (01-124)</v>
      </c>
      <c r="H219" s="1" t="str">
        <f t="shared" si="6"/>
        <v>Normal Time</v>
      </c>
      <c r="I219" s="1" t="s">
        <v>203</v>
      </c>
      <c r="J219" s="15">
        <v>0</v>
      </c>
      <c r="K219" s="15"/>
      <c r="L219" s="15"/>
      <c r="M219" s="15"/>
      <c r="N219" s="15"/>
      <c r="O219" s="15" t="str">
        <f>INDEX(projects[job number],MATCH(TimeEntry[[#This Row],[Project_ID]], projects[Project_ID],0))</f>
        <v>071945-07</v>
      </c>
      <c r="P219" s="15" t="str">
        <f>INDEX(projects[Project_Name],MATCH(TimeEntry[[#This Row],[Project_ID]], projects[Project_ID],0))</f>
        <v>BCS - management</v>
      </c>
      <c r="Q219" s="6">
        <f>IF(TimeEntry[[#This Row],[Date]]=0,"",WEEKDAY(C219,2))</f>
        <v>5</v>
      </c>
      <c r="R219" s="9">
        <f>YEAR(TimeEntry[[#This Row],[WkEnd]])</f>
        <v>2020</v>
      </c>
      <c r="S219" s="9">
        <f>WEEKNUM(TimeEntry[[#This Row],[WkEnd]])</f>
        <v>25</v>
      </c>
      <c r="T219" s="9" t="str">
        <f>TimeEntry[[#This Row],[Year]]&amp;"-"&amp;TimeEntry[[#This Row],[WkNo]]</f>
        <v>2020-25</v>
      </c>
    </row>
    <row r="220" spans="1:20" x14ac:dyDescent="0.25">
      <c r="A220" s="6">
        <f>MOD(IF(ROW()=2,0.1,IF(INDEX(TimeEntry[WkEnd],ROW()-1)  =  INDEX(TimeEntry[WkEnd],ROW()-2),    INDEX(TimeEntry[format],ROW()-2),    INDEX(TimeEntry[format],ROW()-2)    +1)),2)</f>
        <v>1.1000000000000001</v>
      </c>
      <c r="B220" s="7"/>
      <c r="C220" s="8">
        <v>43993</v>
      </c>
      <c r="D220" s="8"/>
      <c r="E220" s="1" t="s">
        <v>442</v>
      </c>
      <c r="F220" s="8">
        <f>IF(TimeEntry[[#This Row],[Date]]=0,F219,C220+(7-Q220))</f>
        <v>43996</v>
      </c>
      <c r="G220" s="35" t="str">
        <f>INDEX(projects[Charge_Code],MATCH(TimeEntry[[#This Row],[Project_ID]],projects[Project_ID],0))</f>
        <v>210035-65 MC VBB WP1: DO-nota West (25-050)</v>
      </c>
      <c r="H220" s="1" t="str">
        <f t="shared" si="6"/>
        <v>Normal Time</v>
      </c>
      <c r="I220" s="1" t="s">
        <v>199</v>
      </c>
      <c r="J220" s="15">
        <v>7.5</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4</v>
      </c>
      <c r="R220" s="9">
        <f>YEAR(TimeEntry[[#This Row],[WkEnd]])</f>
        <v>2020</v>
      </c>
      <c r="S220" s="9">
        <f>WEEKNUM(TimeEntry[[#This Row],[WkEnd]])</f>
        <v>25</v>
      </c>
      <c r="T220" s="9" t="str">
        <f>TimeEntry[[#This Row],[Year]]&amp;"-"&amp;TimeEntry[[#This Row],[WkNo]]</f>
        <v>2020-25</v>
      </c>
    </row>
    <row r="221" spans="1:20" x14ac:dyDescent="0.25">
      <c r="A221" s="6">
        <f>MOD(IF(ROW()=2,0.1,IF(INDEX(TimeEntry[WkEnd],ROW()-1)  =  INDEX(TimeEntry[WkEnd],ROW()-2),    INDEX(TimeEntry[format],ROW()-2),    INDEX(TimeEntry[format],ROW()-2)    +1)),2)</f>
        <v>1.1000000000000001</v>
      </c>
      <c r="B221" s="7"/>
      <c r="C221" s="8">
        <v>43992</v>
      </c>
      <c r="D221" s="8"/>
      <c r="E221" s="1" t="s">
        <v>442</v>
      </c>
      <c r="F221" s="8">
        <f>IF(TimeEntry[[#This Row],[Date]]=0,F220,C221+(7-Q221))</f>
        <v>43996</v>
      </c>
      <c r="G221" s="35" t="str">
        <f>INDEX(projects[Charge_Code],MATCH(TimeEntry[[#This Row],[Project_ID]],projects[Project_ID],0))</f>
        <v>210035-65 MC VBB WP1: DO-nota West (25-050)</v>
      </c>
      <c r="H221" s="1" t="str">
        <f t="shared" ref="H221:H284" si="7">"Normal Time"</f>
        <v>Normal Time</v>
      </c>
      <c r="I221" s="1" t="s">
        <v>202</v>
      </c>
      <c r="J221" s="15">
        <v>2.5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3</v>
      </c>
      <c r="R221" s="9">
        <f>YEAR(TimeEntry[[#This Row],[WkEnd]])</f>
        <v>2020</v>
      </c>
      <c r="S221" s="9">
        <f>WEEKNUM(TimeEntry[[#This Row],[WkEnd]])</f>
        <v>25</v>
      </c>
      <c r="T221" s="9" t="str">
        <f>TimeEntry[[#This Row],[Year]]&amp;"-"&amp;TimeEntry[[#This Row],[WkNo]]</f>
        <v>2020-25</v>
      </c>
    </row>
    <row r="222" spans="1:20" x14ac:dyDescent="0.25">
      <c r="A222" s="6">
        <f>MOD(IF(ROW()=2,0.1,IF(INDEX(TimeEntry[WkEnd],ROW()-1)  =  INDEX(TimeEntry[WkEnd],ROW()-2),    INDEX(TimeEntry[format],ROW()-2),    INDEX(TimeEntry[format],ROW()-2)    +1)),2)</f>
        <v>1.1000000000000001</v>
      </c>
      <c r="B222" s="7"/>
      <c r="C222" s="8">
        <v>43992</v>
      </c>
      <c r="D222" s="8"/>
      <c r="E222" s="1" t="s">
        <v>442</v>
      </c>
      <c r="F222" s="8">
        <f>IF(TimeEntry[[#This Row],[Date]]=0,F221,C222+(7-Q222))</f>
        <v>43996</v>
      </c>
      <c r="G222" s="35" t="str">
        <f>INDEX(projects[Charge_Code],MATCH(TimeEntry[[#This Row],[Project_ID]],projects[Project_ID],0))</f>
        <v>210035-65 MC VBB WP1: DO-nota West (25-050)</v>
      </c>
      <c r="H222" s="1" t="str">
        <f t="shared" si="7"/>
        <v>Normal Time</v>
      </c>
      <c r="I222" s="1" t="s">
        <v>205</v>
      </c>
      <c r="J222" s="15">
        <v>5</v>
      </c>
      <c r="K222" s="15"/>
      <c r="L222" s="15"/>
      <c r="M222" s="15"/>
      <c r="N222" s="15"/>
      <c r="O222" s="15" t="str">
        <f>INDEX(projects[job number],MATCH(TimeEntry[[#This Row],[Project_ID]], projects[Project_ID],0))</f>
        <v>210035-65</v>
      </c>
      <c r="P222" s="15" t="str">
        <f>INDEX(projects[Project_Name],MATCH(TimeEntry[[#This Row],[Project_ID]], projects[Project_ID],0))</f>
        <v>MC VBB WP1: DO-nota West</v>
      </c>
      <c r="Q222" s="6">
        <f>IF(TimeEntry[[#This Row],[Date]]=0,"",WEEKDAY(C222,2))</f>
        <v>3</v>
      </c>
      <c r="R222" s="9">
        <f>YEAR(TimeEntry[[#This Row],[WkEnd]])</f>
        <v>2020</v>
      </c>
      <c r="S222" s="9">
        <f>WEEKNUM(TimeEntry[[#This Row],[WkEnd]])</f>
        <v>25</v>
      </c>
      <c r="T222" s="9" t="str">
        <f>TimeEntry[[#This Row],[Year]]&amp;"-"&amp;TimeEntry[[#This Row],[WkNo]]</f>
        <v>2020-25</v>
      </c>
    </row>
    <row r="223" spans="1:20" x14ac:dyDescent="0.25">
      <c r="A223" s="6">
        <f>MOD(IF(ROW()=2,0.1,IF(INDEX(TimeEntry[WkEnd],ROW()-1)  =  INDEX(TimeEntry[WkEnd],ROW()-2),    INDEX(TimeEntry[format],ROW()-2),    INDEX(TimeEntry[format],ROW()-2)    +1)),2)</f>
        <v>1.1000000000000001</v>
      </c>
      <c r="B223" s="7"/>
      <c r="C223" s="8">
        <v>43991</v>
      </c>
      <c r="D223" s="8"/>
      <c r="E223" s="1" t="s">
        <v>442</v>
      </c>
      <c r="F223" s="8">
        <f>IF(TimeEntry[[#This Row],[Date]]=0,F222,C223+(7-Q223))</f>
        <v>43996</v>
      </c>
      <c r="G223" s="35" t="str">
        <f>INDEX(projects[Charge_Code],MATCH(TimeEntry[[#This Row],[Project_ID]],projects[Project_ID],0))</f>
        <v>210035-65 MC VBB WP1: DO-nota West (25-050)</v>
      </c>
      <c r="H223" s="1" t="str">
        <f t="shared" si="7"/>
        <v>Normal Time</v>
      </c>
      <c r="I223" s="6" t="s">
        <v>207</v>
      </c>
      <c r="J223" s="15">
        <v>4.5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2</v>
      </c>
      <c r="R223" s="9">
        <f>YEAR(TimeEntry[[#This Row],[WkEnd]])</f>
        <v>2020</v>
      </c>
      <c r="S223" s="9">
        <f>WEEKNUM(TimeEntry[[#This Row],[WkEnd]])</f>
        <v>25</v>
      </c>
      <c r="T223" s="9" t="str">
        <f>TimeEntry[[#This Row],[Year]]&amp;"-"&amp;TimeEntry[[#This Row],[WkNo]]</f>
        <v>2020-25</v>
      </c>
    </row>
    <row r="224" spans="1:20" x14ac:dyDescent="0.25">
      <c r="A224" s="6">
        <f>MOD(IF(ROW()=2,0.1,IF(INDEX(TimeEntry[WkEnd],ROW()-1)  =  INDEX(TimeEntry[WkEnd],ROW()-2),    INDEX(TimeEntry[format],ROW()-2),    INDEX(TimeEntry[format],ROW()-2)    +1)),2)</f>
        <v>1.1000000000000001</v>
      </c>
      <c r="B224" s="7"/>
      <c r="C224" s="8">
        <v>43991</v>
      </c>
      <c r="D224" s="8"/>
      <c r="E224" s="1" t="s">
        <v>449</v>
      </c>
      <c r="F224" s="8">
        <f>IF(TimeEntry[[#This Row],[Date]]=0,F223,C224+(7-Q224))</f>
        <v>43996</v>
      </c>
      <c r="G224" s="35" t="str">
        <f>INDEX(projects[Charge_Code],MATCH(TimeEntry[[#This Row],[Project_ID]],projects[Project_ID],0))</f>
        <v>255670-17 LOWER KINGS ROAD ASSESSMENT (01-382)</v>
      </c>
      <c r="H224" s="1" t="str">
        <f t="shared" si="7"/>
        <v>Normal Time</v>
      </c>
      <c r="I224" s="1" t="s">
        <v>200</v>
      </c>
      <c r="J224" s="15">
        <v>3</v>
      </c>
      <c r="K224" s="15"/>
      <c r="L224" s="15"/>
      <c r="M224" s="15"/>
      <c r="N224" s="15"/>
      <c r="O224" s="15" t="str">
        <f>INDEX(projects[job number],MATCH(TimeEntry[[#This Row],[Project_ID]], projects[Project_ID],0))</f>
        <v>255670-17</v>
      </c>
      <c r="P224" s="15" t="str">
        <f>INDEX(projects[Project_Name],MATCH(TimeEntry[[#This Row],[Project_ID]], projects[Project_ID],0))</f>
        <v>LOWER KINGS ROAD ASSESSMENT</v>
      </c>
      <c r="Q224" s="6">
        <f>IF(TimeEntry[[#This Row],[Date]]=0,"",WEEKDAY(C224,2))</f>
        <v>2</v>
      </c>
      <c r="R224" s="9">
        <f>YEAR(TimeEntry[[#This Row],[WkEnd]])</f>
        <v>2020</v>
      </c>
      <c r="S224" s="9">
        <f>WEEKNUM(TimeEntry[[#This Row],[WkEnd]])</f>
        <v>25</v>
      </c>
      <c r="T224" s="9" t="str">
        <f>TimeEntry[[#This Row],[Year]]&amp;"-"&amp;TimeEntry[[#This Row],[WkNo]]</f>
        <v>2020-25</v>
      </c>
    </row>
    <row r="225" spans="1:20" x14ac:dyDescent="0.25">
      <c r="A225" s="6">
        <f>MOD(IF(ROW()=2,0.1,IF(INDEX(TimeEntry[WkEnd],ROW()-1)  =  INDEX(TimeEntry[WkEnd],ROW()-2),    INDEX(TimeEntry[format],ROW()-2),    INDEX(TimeEntry[format],ROW()-2)    +1)),2)</f>
        <v>1.1000000000000001</v>
      </c>
      <c r="B225" s="7"/>
      <c r="C225" s="8">
        <v>43991</v>
      </c>
      <c r="D225" s="8"/>
      <c r="E225" s="1" t="s">
        <v>444</v>
      </c>
      <c r="F225" s="8">
        <f>IF(TimeEntry[[#This Row],[Date]]=0,F224,C225+(7-Q225))</f>
        <v>43996</v>
      </c>
      <c r="G225" s="35" t="str">
        <f>INDEX(projects[Charge_Code],MATCH(TimeEntry[[#This Row],[Project_ID]],projects[Project_ID],0))</f>
        <v>071945-07 BCS - management (01-124)</v>
      </c>
      <c r="H225" s="1" t="str">
        <f t="shared" si="7"/>
        <v>Normal Time</v>
      </c>
      <c r="I225" s="1" t="s">
        <v>201</v>
      </c>
      <c r="J225" s="15">
        <v>0</v>
      </c>
      <c r="K225" s="15"/>
      <c r="L225" s="15"/>
      <c r="M225" s="15"/>
      <c r="N225" s="15"/>
      <c r="O225" s="15" t="str">
        <f>INDEX(projects[job number],MATCH(TimeEntry[[#This Row],[Project_ID]], projects[Project_ID],0))</f>
        <v>071945-07</v>
      </c>
      <c r="P225" s="15" t="str">
        <f>INDEX(projects[Project_Name],MATCH(TimeEntry[[#This Row],[Project_ID]], projects[Project_ID],0))</f>
        <v>BCS - management</v>
      </c>
      <c r="Q225" s="6">
        <f>IF(TimeEntry[[#This Row],[Date]]=0,"",WEEKDAY(C225,2))</f>
        <v>2</v>
      </c>
      <c r="R225" s="9">
        <f>YEAR(TimeEntry[[#This Row],[WkEnd]])</f>
        <v>2020</v>
      </c>
      <c r="S225" s="9">
        <f>WEEKNUM(TimeEntry[[#This Row],[WkEnd]])</f>
        <v>25</v>
      </c>
      <c r="T225" s="9" t="str">
        <f>TimeEntry[[#This Row],[Year]]&amp;"-"&amp;TimeEntry[[#This Row],[WkNo]]</f>
        <v>2020-25</v>
      </c>
    </row>
    <row r="226" spans="1:20" x14ac:dyDescent="0.25">
      <c r="A226" s="6">
        <f>MOD(IF(ROW()=2,0.1,IF(INDEX(TimeEntry[WkEnd],ROW()-1)  =  INDEX(TimeEntry[WkEnd],ROW()-2),    INDEX(TimeEntry[format],ROW()-2),    INDEX(TimeEntry[format],ROW()-2)    +1)),2)</f>
        <v>1.1000000000000001</v>
      </c>
      <c r="B226" s="7"/>
      <c r="C226" s="8">
        <v>43990</v>
      </c>
      <c r="D226" s="8"/>
      <c r="E226" s="1" t="s">
        <v>449</v>
      </c>
      <c r="F226" s="8">
        <f>IF(TimeEntry[[#This Row],[Date]]=0,F225,C226+(7-Q226))</f>
        <v>43996</v>
      </c>
      <c r="G226" s="35" t="str">
        <f>INDEX(projects[Charge_Code],MATCH(TimeEntry[[#This Row],[Project_ID]],projects[Project_ID],0))</f>
        <v>255670-17 LOWER KINGS ROAD ASSESSMENT (01-382)</v>
      </c>
      <c r="H226" s="1" t="str">
        <f t="shared" si="7"/>
        <v>Normal Time</v>
      </c>
      <c r="I226" s="1" t="s">
        <v>206</v>
      </c>
      <c r="J226" s="15">
        <v>1</v>
      </c>
      <c r="K226" s="15"/>
      <c r="L226" s="15"/>
      <c r="M226" s="15"/>
      <c r="N226" s="15"/>
      <c r="O226" s="15" t="str">
        <f>INDEX(projects[job number],MATCH(TimeEntry[[#This Row],[Project_ID]], projects[Project_ID],0))</f>
        <v>255670-17</v>
      </c>
      <c r="P226" s="15" t="str">
        <f>INDEX(projects[Project_Name],MATCH(TimeEntry[[#This Row],[Project_ID]], projects[Project_ID],0))</f>
        <v>LOWER KINGS ROAD ASSESSMENT</v>
      </c>
      <c r="Q226" s="6">
        <f>IF(TimeEntry[[#This Row],[Date]]=0,"",WEEKDAY(C226,2))</f>
        <v>1</v>
      </c>
      <c r="R226" s="9">
        <f>YEAR(TimeEntry[[#This Row],[WkEnd]])</f>
        <v>2020</v>
      </c>
      <c r="S226" s="9">
        <f>WEEKNUM(TimeEntry[[#This Row],[WkEnd]])</f>
        <v>25</v>
      </c>
      <c r="T226" s="9" t="str">
        <f>TimeEntry[[#This Row],[Year]]&amp;"-"&amp;TimeEntry[[#This Row],[WkNo]]</f>
        <v>2020-25</v>
      </c>
    </row>
    <row r="227" spans="1:20" x14ac:dyDescent="0.25">
      <c r="A227" s="6">
        <f>MOD(IF(ROW()=2,0.1,IF(INDEX(TimeEntry[WkEnd],ROW()-1)  =  INDEX(TimeEntry[WkEnd],ROW()-2),    INDEX(TimeEntry[format],ROW()-2),    INDEX(TimeEntry[format],ROW()-2)    +1)),2)</f>
        <v>1.1000000000000001</v>
      </c>
      <c r="B227" s="7"/>
      <c r="C227" s="8">
        <v>43990</v>
      </c>
      <c r="D227" s="8"/>
      <c r="E227" s="1" t="s">
        <v>442</v>
      </c>
      <c r="F227" s="8">
        <f>IF(TimeEntry[[#This Row],[Date]]=0,F226,C227+(7-Q227))</f>
        <v>43996</v>
      </c>
      <c r="G227" s="35" t="str">
        <f>INDEX(projects[Charge_Code],MATCH(TimeEntry[[#This Row],[Project_ID]],projects[Project_ID],0))</f>
        <v>210035-65 MC VBB WP1: DO-nota West (25-050)</v>
      </c>
      <c r="H227" s="1" t="str">
        <f t="shared" si="7"/>
        <v>Normal Time</v>
      </c>
      <c r="I227" s="1" t="s">
        <v>198</v>
      </c>
      <c r="J227" s="15">
        <v>6.5</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1</v>
      </c>
      <c r="R227" s="9">
        <f>YEAR(TimeEntry[[#This Row],[WkEnd]])</f>
        <v>2020</v>
      </c>
      <c r="S227" s="9">
        <f>WEEKNUM(TimeEntry[[#This Row],[WkEnd]])</f>
        <v>25</v>
      </c>
      <c r="T227" s="9" t="str">
        <f>TimeEntry[[#This Row],[Year]]&amp;"-"&amp;TimeEntry[[#This Row],[WkNo]]</f>
        <v>2020-25</v>
      </c>
    </row>
    <row r="228" spans="1:20" x14ac:dyDescent="0.25">
      <c r="A228" s="6">
        <f>MOD(IF(ROW()=2,0.1,IF(INDEX(TimeEntry[WkEnd],ROW()-1)  =  INDEX(TimeEntry[WkEnd],ROW()-2),    INDEX(TimeEntry[format],ROW()-2),    INDEX(TimeEntry[format],ROW()-2)    +1)),2)</f>
        <v>0.10000000000000009</v>
      </c>
      <c r="B228" s="7"/>
      <c r="C228" s="8">
        <v>43987</v>
      </c>
      <c r="D228" s="8"/>
      <c r="E228" s="1" t="s">
        <v>444</v>
      </c>
      <c r="F228" s="8">
        <f>IF(TimeEntry[[#This Row],[Date]]=0,F227,C228+(7-Q228))</f>
        <v>43989</v>
      </c>
      <c r="G228" s="35" t="str">
        <f>INDEX(projects[Charge_Code],MATCH(TimeEntry[[#This Row],[Project_ID]],projects[Project_ID],0))</f>
        <v>071945-07 BCS - management (01-124)</v>
      </c>
      <c r="H228" s="1" t="str">
        <f t="shared" si="7"/>
        <v>Normal Time</v>
      </c>
      <c r="I228" s="1" t="s">
        <v>192</v>
      </c>
      <c r="J228" s="15">
        <v>2</v>
      </c>
      <c r="K228" s="15"/>
      <c r="L228" s="15"/>
      <c r="M228" s="15"/>
      <c r="N228" s="15"/>
      <c r="O228" s="15" t="str">
        <f>INDEX(projects[job number],MATCH(TimeEntry[[#This Row],[Project_ID]], projects[Project_ID],0))</f>
        <v>071945-07</v>
      </c>
      <c r="P228" s="15" t="str">
        <f>INDEX(projects[Project_Name],MATCH(TimeEntry[[#This Row],[Project_ID]], projects[Project_ID],0))</f>
        <v>BCS - management</v>
      </c>
      <c r="Q228" s="6">
        <f>IF(TimeEntry[[#This Row],[Date]]=0,"",WEEKDAY(C228,2))</f>
        <v>5</v>
      </c>
      <c r="R228" s="9">
        <f>YEAR(TimeEntry[[#This Row],[WkEnd]])</f>
        <v>2020</v>
      </c>
      <c r="S228" s="9">
        <f>WEEKNUM(TimeEntry[[#This Row],[WkEnd]])</f>
        <v>24</v>
      </c>
      <c r="T228" s="9" t="str">
        <f>TimeEntry[[#This Row],[Year]]&amp;"-"&amp;TimeEntry[[#This Row],[WkNo]]</f>
        <v>2020-24</v>
      </c>
    </row>
    <row r="229" spans="1:20" x14ac:dyDescent="0.25">
      <c r="A229" s="6">
        <f>MOD(IF(ROW()=2,0.1,IF(INDEX(TimeEntry[WkEnd],ROW()-1)  =  INDEX(TimeEntry[WkEnd],ROW()-2),    INDEX(TimeEntry[format],ROW()-2),    INDEX(TimeEntry[format],ROW()-2)    +1)),2)</f>
        <v>0.10000000000000009</v>
      </c>
      <c r="B229" s="7"/>
      <c r="C229" s="8">
        <v>43987</v>
      </c>
      <c r="D229" s="8"/>
      <c r="E229" s="1" t="s">
        <v>442</v>
      </c>
      <c r="F229" s="8">
        <f>IF(TimeEntry[[#This Row],[Date]]=0,F228,C229+(7-Q229))</f>
        <v>43989</v>
      </c>
      <c r="G229" s="35" t="str">
        <f>INDEX(projects[Charge_Code],MATCH(TimeEntry[[#This Row],[Project_ID]],projects[Project_ID],0))</f>
        <v>210035-65 MC VBB WP1: DO-nota West (25-050)</v>
      </c>
      <c r="H229" s="1" t="str">
        <f t="shared" si="7"/>
        <v>Normal Time</v>
      </c>
      <c r="I229" s="1" t="s">
        <v>194</v>
      </c>
      <c r="J229" s="15">
        <v>7.5</v>
      </c>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5</v>
      </c>
      <c r="R229" s="9">
        <f>YEAR(TimeEntry[[#This Row],[WkEnd]])</f>
        <v>2020</v>
      </c>
      <c r="S229" s="9">
        <f>WEEKNUM(TimeEntry[[#This Row],[WkEnd]])</f>
        <v>24</v>
      </c>
      <c r="T229" s="9" t="str">
        <f>TimeEntry[[#This Row],[Year]]&amp;"-"&amp;TimeEntry[[#This Row],[WkNo]]</f>
        <v>2020-24</v>
      </c>
    </row>
    <row r="230" spans="1:20" x14ac:dyDescent="0.25">
      <c r="A230" s="6">
        <f>MOD(IF(ROW()=2,0.1,IF(INDEX(TimeEntry[WkEnd],ROW()-1)  =  INDEX(TimeEntry[WkEnd],ROW()-2),    INDEX(TimeEntry[format],ROW()-2),    INDEX(TimeEntry[format],ROW()-2)    +1)),2)</f>
        <v>0.10000000000000009</v>
      </c>
      <c r="B230" s="7"/>
      <c r="C230" s="8">
        <v>43986</v>
      </c>
      <c r="D230" s="8"/>
      <c r="E230" s="1" t="s">
        <v>449</v>
      </c>
      <c r="F230" s="8">
        <f>IF(TimeEntry[[#This Row],[Date]]=0,F229,C230+(7-Q230))</f>
        <v>43989</v>
      </c>
      <c r="G230" s="35" t="str">
        <f>INDEX(projects[Charge_Code],MATCH(TimeEntry[[#This Row],[Project_ID]],projects[Project_ID],0))</f>
        <v>255670-17 LOWER KINGS ROAD ASSESSMENT (01-382)</v>
      </c>
      <c r="H230" s="1" t="str">
        <f t="shared" si="7"/>
        <v>Normal Time</v>
      </c>
      <c r="I230" s="1" t="s">
        <v>197</v>
      </c>
      <c r="J230" s="15">
        <v>1</v>
      </c>
      <c r="K230" s="15"/>
      <c r="L230" s="15"/>
      <c r="M230" s="15"/>
      <c r="N230" s="15"/>
      <c r="O230" s="15" t="str">
        <f>INDEX(projects[job number],MATCH(TimeEntry[[#This Row],[Project_ID]], projects[Project_ID],0))</f>
        <v>255670-17</v>
      </c>
      <c r="P230" s="15" t="str">
        <f>INDEX(projects[Project_Name],MATCH(TimeEntry[[#This Row],[Project_ID]], projects[Project_ID],0))</f>
        <v>LOWER KINGS ROAD ASSESSMENT</v>
      </c>
      <c r="Q230" s="6">
        <f>IF(TimeEntry[[#This Row],[Date]]=0,"",WEEKDAY(C230,2))</f>
        <v>4</v>
      </c>
      <c r="R230" s="9">
        <f>YEAR(TimeEntry[[#This Row],[WkEnd]])</f>
        <v>2020</v>
      </c>
      <c r="S230" s="9">
        <f>WEEKNUM(TimeEntry[[#This Row],[WkEnd]])</f>
        <v>24</v>
      </c>
      <c r="T230" s="9" t="str">
        <f>TimeEntry[[#This Row],[Year]]&amp;"-"&amp;TimeEntry[[#This Row],[WkNo]]</f>
        <v>2020-24</v>
      </c>
    </row>
    <row r="231" spans="1:20" x14ac:dyDescent="0.25">
      <c r="A231" s="6">
        <f>MOD(IF(ROW()=2,0.1,IF(INDEX(TimeEntry[WkEnd],ROW()-1)  =  INDEX(TimeEntry[WkEnd],ROW()-2),    INDEX(TimeEntry[format],ROW()-2),    INDEX(TimeEntry[format],ROW()-2)    +1)),2)</f>
        <v>0.10000000000000009</v>
      </c>
      <c r="B231" s="7"/>
      <c r="C231" s="8">
        <v>43986</v>
      </c>
      <c r="D231" s="8"/>
      <c r="E231" s="1" t="s">
        <v>442</v>
      </c>
      <c r="F231" s="8">
        <f>IF(TimeEntry[[#This Row],[Date]]=0,F230,C231+(7-Q231))</f>
        <v>43989</v>
      </c>
      <c r="G231" s="35" t="str">
        <f>INDEX(projects[Charge_Code],MATCH(TimeEntry[[#This Row],[Project_ID]],projects[Project_ID],0))</f>
        <v>210035-65 MC VBB WP1: DO-nota West (25-050)</v>
      </c>
      <c r="H231" s="1" t="str">
        <f t="shared" si="7"/>
        <v>Normal Time</v>
      </c>
      <c r="I231" s="1" t="s">
        <v>195</v>
      </c>
      <c r="J231" s="15">
        <v>6.5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4</v>
      </c>
      <c r="R231" s="9">
        <f>YEAR(TimeEntry[[#This Row],[WkEnd]])</f>
        <v>2020</v>
      </c>
      <c r="S231" s="9">
        <f>WEEKNUM(TimeEntry[[#This Row],[WkEnd]])</f>
        <v>24</v>
      </c>
      <c r="T231" s="9" t="str">
        <f>TimeEntry[[#This Row],[Year]]&amp;"-"&amp;TimeEntry[[#This Row],[WkNo]]</f>
        <v>2020-24</v>
      </c>
    </row>
    <row r="232" spans="1:20" x14ac:dyDescent="0.25">
      <c r="A232" s="6">
        <f>MOD(IF(ROW()=2,0.1,IF(INDEX(TimeEntry[WkEnd],ROW()-1)  =  INDEX(TimeEntry[WkEnd],ROW()-2),    INDEX(TimeEntry[format],ROW()-2),    INDEX(TimeEntry[format],ROW()-2)    +1)),2)</f>
        <v>0.10000000000000009</v>
      </c>
      <c r="B232" s="7"/>
      <c r="C232" s="8">
        <v>43985</v>
      </c>
      <c r="D232" s="8"/>
      <c r="E232" s="1" t="s">
        <v>442</v>
      </c>
      <c r="F232" s="8">
        <f>IF(TimeEntry[[#This Row],[Date]]=0,F231,C232+(7-Q232))</f>
        <v>43989</v>
      </c>
      <c r="G232" s="35" t="str">
        <f>INDEX(projects[Charge_Code],MATCH(TimeEntry[[#This Row],[Project_ID]],projects[Project_ID],0))</f>
        <v>210035-65 MC VBB WP1: DO-nota West (25-050)</v>
      </c>
      <c r="H232" s="1" t="str">
        <f t="shared" si="7"/>
        <v>Normal Time</v>
      </c>
      <c r="I232" s="1" t="s">
        <v>196</v>
      </c>
      <c r="J232" s="15">
        <v>7.5</v>
      </c>
      <c r="K232" s="15"/>
      <c r="L232" s="15"/>
      <c r="M232" s="15"/>
      <c r="N232" s="15"/>
      <c r="O232" s="15" t="str">
        <f>INDEX(projects[job number],MATCH(TimeEntry[[#This Row],[Project_ID]], projects[Project_ID],0))</f>
        <v>210035-65</v>
      </c>
      <c r="P232" s="15" t="str">
        <f>INDEX(projects[Project_Name],MATCH(TimeEntry[[#This Row],[Project_ID]], projects[Project_ID],0))</f>
        <v>MC VBB WP1: DO-nota West</v>
      </c>
      <c r="Q232" s="6">
        <f>IF(TimeEntry[[#This Row],[Date]]=0,"",WEEKDAY(C232,2))</f>
        <v>3</v>
      </c>
      <c r="R232" s="9">
        <f>YEAR(TimeEntry[[#This Row],[WkEnd]])</f>
        <v>2020</v>
      </c>
      <c r="S232" s="9">
        <f>WEEKNUM(TimeEntry[[#This Row],[WkEnd]])</f>
        <v>24</v>
      </c>
      <c r="T232" s="9" t="str">
        <f>TimeEntry[[#This Row],[Year]]&amp;"-"&amp;TimeEntry[[#This Row],[WkNo]]</f>
        <v>2020-24</v>
      </c>
    </row>
    <row r="233" spans="1:20" x14ac:dyDescent="0.25">
      <c r="A233" s="6">
        <f>MOD(IF(ROW()=2,0.1,IF(INDEX(TimeEntry[WkEnd],ROW()-1)  =  INDEX(TimeEntry[WkEnd],ROW()-2),    INDEX(TimeEntry[format],ROW()-2),    INDEX(TimeEntry[format],ROW()-2)    +1)),2)</f>
        <v>0.10000000000000009</v>
      </c>
      <c r="B233" s="7"/>
      <c r="C233" s="8">
        <v>43984</v>
      </c>
      <c r="D233" s="8"/>
      <c r="E233" s="1" t="s">
        <v>442</v>
      </c>
      <c r="F233" s="8">
        <f>IF(TimeEntry[[#This Row],[Date]]=0,F232,C233+(7-Q233))</f>
        <v>43989</v>
      </c>
      <c r="G233" s="35" t="str">
        <f>INDEX(projects[Charge_Code],MATCH(TimeEntry[[#This Row],[Project_ID]],projects[Project_ID],0))</f>
        <v>210035-65 MC VBB WP1: DO-nota West (25-050)</v>
      </c>
      <c r="H233" s="1" t="str">
        <f t="shared" si="7"/>
        <v>Normal Time</v>
      </c>
      <c r="I233" s="1" t="s">
        <v>193</v>
      </c>
      <c r="J233" s="15">
        <v>7.5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2</v>
      </c>
      <c r="R233" s="9">
        <f>YEAR(TimeEntry[[#This Row],[WkEnd]])</f>
        <v>2020</v>
      </c>
      <c r="S233" s="9">
        <f>WEEKNUM(TimeEntry[[#This Row],[WkEnd]])</f>
        <v>24</v>
      </c>
      <c r="T233" s="9" t="str">
        <f>TimeEntry[[#This Row],[Year]]&amp;"-"&amp;TimeEntry[[#This Row],[WkNo]]</f>
        <v>2020-24</v>
      </c>
    </row>
    <row r="234" spans="1:20" x14ac:dyDescent="0.25">
      <c r="A234" s="6">
        <f>MOD(IF(ROW()=2,0.1,IF(INDEX(TimeEntry[WkEnd],ROW()-1)  =  INDEX(TimeEntry[WkEnd],ROW()-2),    INDEX(TimeEntry[format],ROW()-2),    INDEX(TimeEntry[format],ROW()-2)    +1)),2)</f>
        <v>0.10000000000000009</v>
      </c>
      <c r="B234" s="7"/>
      <c r="C234" s="8">
        <v>43983</v>
      </c>
      <c r="D234" s="8"/>
      <c r="E234" s="1" t="s">
        <v>450</v>
      </c>
      <c r="F234" s="8">
        <f>IF(TimeEntry[[#This Row],[Date]]=0,F233,C234+(7-Q234))</f>
        <v>43989</v>
      </c>
      <c r="G234" s="35" t="str">
        <f>INDEX(projects[Charge_Code],MATCH(TimeEntry[[#This Row],[Project_ID]],projects[Project_ID],0))</f>
        <v>246233-56 HCC - Weston Hills Tunnel (01-382)</v>
      </c>
      <c r="H234" s="1" t="str">
        <f t="shared" si="7"/>
        <v>Normal Time</v>
      </c>
      <c r="I234" s="1" t="s">
        <v>190</v>
      </c>
      <c r="J234" s="15">
        <v>7.5</v>
      </c>
      <c r="K234" s="15"/>
      <c r="L234" s="15"/>
      <c r="M234" s="15"/>
      <c r="N234" s="15"/>
      <c r="O234" s="15" t="str">
        <f>INDEX(projects[job number],MATCH(TimeEntry[[#This Row],[Project_ID]], projects[Project_ID],0))</f>
        <v>246233-56</v>
      </c>
      <c r="P234" s="15" t="str">
        <f>INDEX(projects[Project_Name],MATCH(TimeEntry[[#This Row],[Project_ID]], projects[Project_ID],0))</f>
        <v>HCC - Weston Hills Tunnel</v>
      </c>
      <c r="Q234" s="6">
        <f>IF(TimeEntry[[#This Row],[Date]]=0,"",WEEKDAY(C234,2))</f>
        <v>1</v>
      </c>
      <c r="R234" s="9">
        <f>YEAR(TimeEntry[[#This Row],[WkEnd]])</f>
        <v>2020</v>
      </c>
      <c r="S234" s="9">
        <f>WEEKNUM(TimeEntry[[#This Row],[WkEnd]])</f>
        <v>24</v>
      </c>
      <c r="T234" s="9" t="str">
        <f>TimeEntry[[#This Row],[Year]]&amp;"-"&amp;TimeEntry[[#This Row],[WkNo]]</f>
        <v>2020-24</v>
      </c>
    </row>
    <row r="235" spans="1:20" x14ac:dyDescent="0.25">
      <c r="A235" s="6">
        <f>MOD(IF(ROW()=2,0.1,IF(INDEX(TimeEntry[WkEnd],ROW()-1)  =  INDEX(TimeEntry[WkEnd],ROW()-2),    INDEX(TimeEntry[format],ROW()-2),    INDEX(TimeEntry[format],ROW()-2)    +1)),2)</f>
        <v>1.1000000000000001</v>
      </c>
      <c r="B235" s="7"/>
      <c r="C235" s="8">
        <v>43980</v>
      </c>
      <c r="D235" s="8"/>
      <c r="E235" s="1" t="s">
        <v>447</v>
      </c>
      <c r="F235" s="8">
        <f>IF(TimeEntry[[#This Row],[Date]]=0,F234,C235+(7-Q235))</f>
        <v>43982</v>
      </c>
      <c r="G235" s="35" t="str">
        <f>INDEX(projects[Charge_Code],MATCH(TimeEntry[[#This Row],[Project_ID]],projects[Project_ID],0))</f>
        <v>257677-59  Melbourne Metro - Latrobe</v>
      </c>
      <c r="H235" s="1" t="str">
        <f t="shared" si="7"/>
        <v>Normal Time</v>
      </c>
      <c r="I235" s="1" t="s">
        <v>191</v>
      </c>
      <c r="J235" s="15">
        <v>2</v>
      </c>
      <c r="K235" s="15"/>
      <c r="L235" s="15"/>
      <c r="M235" s="15"/>
      <c r="N235" s="15"/>
      <c r="O235" s="15" t="str">
        <f>INDEX(projects[job number],MATCH(TimeEntry[[#This Row],[Project_ID]], projects[Project_ID],0))</f>
        <v xml:space="preserve">257677-59 </v>
      </c>
      <c r="P235" s="15" t="str">
        <f>INDEX(projects[Project_Name],MATCH(TimeEntry[[#This Row],[Project_ID]], projects[Project_ID],0))</f>
        <v>Melbourne Metro - Latrobe</v>
      </c>
      <c r="Q235" s="6">
        <f>IF(TimeEntry[[#This Row],[Date]]=0,"",WEEKDAY(C235,2))</f>
        <v>5</v>
      </c>
      <c r="R235" s="9">
        <f>YEAR(TimeEntry[[#This Row],[WkEnd]])</f>
        <v>2020</v>
      </c>
      <c r="S235" s="9">
        <f>WEEKNUM(TimeEntry[[#This Row],[WkEnd]])</f>
        <v>23</v>
      </c>
      <c r="T235" s="9" t="str">
        <f>TimeEntry[[#This Row],[Year]]&amp;"-"&amp;TimeEntry[[#This Row],[WkNo]]</f>
        <v>2020-23</v>
      </c>
    </row>
    <row r="236" spans="1:20" x14ac:dyDescent="0.25">
      <c r="A236" s="6">
        <f>MOD(IF(ROW()=2,0.1,IF(INDEX(TimeEntry[WkEnd],ROW()-1)  =  INDEX(TimeEntry[WkEnd],ROW()-2),    INDEX(TimeEntry[format],ROW()-2),    INDEX(TimeEntry[format],ROW()-2)    +1)),2)</f>
        <v>1.1000000000000001</v>
      </c>
      <c r="B236" s="7"/>
      <c r="C236" s="8">
        <v>43980</v>
      </c>
      <c r="D236" s="8"/>
      <c r="E236" s="1" t="s">
        <v>442</v>
      </c>
      <c r="F236" s="8">
        <f>IF(TimeEntry[[#This Row],[Date]]=0,F235,C236+(7-Q236))</f>
        <v>43982</v>
      </c>
      <c r="G236" s="35" t="str">
        <f>INDEX(projects[Charge_Code],MATCH(TimeEntry[[#This Row],[Project_ID]],projects[Project_ID],0))</f>
        <v>210035-65 MC VBB WP1: DO-nota West (25-050)</v>
      </c>
      <c r="H236" s="1" t="str">
        <f t="shared" si="7"/>
        <v>Normal Time</v>
      </c>
      <c r="I236" s="1" t="s">
        <v>189</v>
      </c>
      <c r="J236" s="15">
        <v>5.5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5</v>
      </c>
      <c r="R236" s="9">
        <f>YEAR(TimeEntry[[#This Row],[WkEnd]])</f>
        <v>2020</v>
      </c>
      <c r="S236" s="9">
        <f>WEEKNUM(TimeEntry[[#This Row],[WkEnd]])</f>
        <v>23</v>
      </c>
      <c r="T236" s="9" t="str">
        <f>TimeEntry[[#This Row],[Year]]&amp;"-"&amp;TimeEntry[[#This Row],[WkNo]]</f>
        <v>2020-23</v>
      </c>
    </row>
    <row r="237" spans="1:20" x14ac:dyDescent="0.25">
      <c r="A237" s="6">
        <f>MOD(IF(ROW()=2,0.1,IF(INDEX(TimeEntry[WkEnd],ROW()-1)  =  INDEX(TimeEntry[WkEnd],ROW()-2),    INDEX(TimeEntry[format],ROW()-2),    INDEX(TimeEntry[format],ROW()-2)    +1)),2)</f>
        <v>1.1000000000000001</v>
      </c>
      <c r="B237" s="7"/>
      <c r="C237" s="8">
        <v>43980</v>
      </c>
      <c r="D237" s="8"/>
      <c r="E237" s="1" t="s">
        <v>450</v>
      </c>
      <c r="F237" s="8">
        <f>IF(TimeEntry[[#This Row],[Date]]=0,F236,C237+(7-Q237))</f>
        <v>43982</v>
      </c>
      <c r="G237" s="35" t="str">
        <f>INDEX(projects[Charge_Code],MATCH(TimeEntry[[#This Row],[Project_ID]],projects[Project_ID],0))</f>
        <v>246233-56 HCC - Weston Hills Tunnel (01-382)</v>
      </c>
      <c r="H237" s="1" t="str">
        <f t="shared" si="7"/>
        <v>Normal Time</v>
      </c>
      <c r="I237" s="1" t="s">
        <v>188</v>
      </c>
      <c r="J237" s="15">
        <v>0</v>
      </c>
      <c r="K237" s="15"/>
      <c r="L237" s="15"/>
      <c r="M237" s="15"/>
      <c r="N237" s="15"/>
      <c r="O237" s="15" t="str">
        <f>INDEX(projects[job number],MATCH(TimeEntry[[#This Row],[Project_ID]], projects[Project_ID],0))</f>
        <v>246233-56</v>
      </c>
      <c r="P237" s="15" t="str">
        <f>INDEX(projects[Project_Name],MATCH(TimeEntry[[#This Row],[Project_ID]], projects[Project_ID],0))</f>
        <v>HCC - Weston Hills Tunnel</v>
      </c>
      <c r="Q237" s="6">
        <f>IF(TimeEntry[[#This Row],[Date]]=0,"",WEEKDAY(C237,2))</f>
        <v>5</v>
      </c>
      <c r="R237" s="9">
        <f>YEAR(TimeEntry[[#This Row],[WkEnd]])</f>
        <v>2020</v>
      </c>
      <c r="S237" s="9">
        <f>WEEKNUM(TimeEntry[[#This Row],[WkEnd]])</f>
        <v>23</v>
      </c>
      <c r="T237" s="9" t="str">
        <f>TimeEntry[[#This Row],[Year]]&amp;"-"&amp;TimeEntry[[#This Row],[WkNo]]</f>
        <v>2020-23</v>
      </c>
    </row>
    <row r="238" spans="1:20" x14ac:dyDescent="0.25">
      <c r="A238" s="6">
        <f>MOD(IF(ROW()=2,0.1,IF(INDEX(TimeEntry[WkEnd],ROW()-1)  =  INDEX(TimeEntry[WkEnd],ROW()-2),    INDEX(TimeEntry[format],ROW()-2),    INDEX(TimeEntry[format],ROW()-2)    +1)),2)</f>
        <v>1.1000000000000001</v>
      </c>
      <c r="B238" s="7"/>
      <c r="C238" s="8">
        <v>43980</v>
      </c>
      <c r="D238" s="8"/>
      <c r="E238" s="1" t="s">
        <v>444</v>
      </c>
      <c r="F238" s="8">
        <f>IF(TimeEntry[[#This Row],[Date]]=0,F237,C238+(7-Q238))</f>
        <v>43982</v>
      </c>
      <c r="G238" s="35" t="str">
        <f>INDEX(projects[Charge_Code],MATCH(TimeEntry[[#This Row],[Project_ID]],projects[Project_ID],0))</f>
        <v>071945-07 BCS - management (01-124)</v>
      </c>
      <c r="H238" s="1" t="str">
        <f t="shared" si="7"/>
        <v>Normal Time</v>
      </c>
      <c r="I238" s="1" t="s">
        <v>187</v>
      </c>
      <c r="J238" s="15"/>
      <c r="K238" s="15"/>
      <c r="L238" s="15"/>
      <c r="M238" s="15"/>
      <c r="N238" s="15"/>
      <c r="O238" s="15" t="str">
        <f>INDEX(projects[job number],MATCH(TimeEntry[[#This Row],[Project_ID]], projects[Project_ID],0))</f>
        <v>071945-07</v>
      </c>
      <c r="P238" s="15" t="str">
        <f>INDEX(projects[Project_Name],MATCH(TimeEntry[[#This Row],[Project_ID]], projects[Project_ID],0))</f>
        <v>BCS - management</v>
      </c>
      <c r="Q238" s="6">
        <f>IF(TimeEntry[[#This Row],[Date]]=0,"",WEEKDAY(C238,2))</f>
        <v>5</v>
      </c>
      <c r="R238" s="9">
        <f>YEAR(TimeEntry[[#This Row],[WkEnd]])</f>
        <v>2020</v>
      </c>
      <c r="S238" s="9">
        <f>WEEKNUM(TimeEntry[[#This Row],[WkEnd]])</f>
        <v>23</v>
      </c>
      <c r="T238" s="9" t="str">
        <f>TimeEntry[[#This Row],[Year]]&amp;"-"&amp;TimeEntry[[#This Row],[WkNo]]</f>
        <v>2020-23</v>
      </c>
    </row>
    <row r="239" spans="1:20" x14ac:dyDescent="0.25">
      <c r="A239" s="6">
        <f>MOD(IF(ROW()=2,0.1,IF(INDEX(TimeEntry[WkEnd],ROW()-1)  =  INDEX(TimeEntry[WkEnd],ROW()-2),    INDEX(TimeEntry[format],ROW()-2),    INDEX(TimeEntry[format],ROW()-2)    +1)),2)</f>
        <v>1.1000000000000001</v>
      </c>
      <c r="B239" s="7"/>
      <c r="C239" s="8">
        <v>43979</v>
      </c>
      <c r="D239" s="8"/>
      <c r="E239" s="1" t="s">
        <v>449</v>
      </c>
      <c r="F239" s="8">
        <f>IF(TimeEntry[[#This Row],[Date]]=0,F238,C239+(7-Q239))</f>
        <v>43982</v>
      </c>
      <c r="G239" s="35" t="str">
        <f>INDEX(projects[Charge_Code],MATCH(TimeEntry[[#This Row],[Project_ID]],projects[Project_ID],0))</f>
        <v>255670-17 LOWER KINGS ROAD ASSESSMENT (01-382)</v>
      </c>
      <c r="H239" s="1" t="str">
        <f t="shared" si="7"/>
        <v>Normal Time</v>
      </c>
      <c r="I239" s="1" t="s">
        <v>185</v>
      </c>
      <c r="J239" s="15">
        <v>2</v>
      </c>
      <c r="K239" s="15"/>
      <c r="L239" s="15"/>
      <c r="M239" s="15"/>
      <c r="N239" s="15"/>
      <c r="O239" s="15" t="str">
        <f>INDEX(projects[job number],MATCH(TimeEntry[[#This Row],[Project_ID]], projects[Project_ID],0))</f>
        <v>255670-17</v>
      </c>
      <c r="P239" s="15" t="str">
        <f>INDEX(projects[Project_Name],MATCH(TimeEntry[[#This Row],[Project_ID]], projects[Project_ID],0))</f>
        <v>LOWER KINGS ROAD ASSESSMENT</v>
      </c>
      <c r="Q239" s="6">
        <f>IF(TimeEntry[[#This Row],[Date]]=0,"",WEEKDAY(C239,2))</f>
        <v>4</v>
      </c>
      <c r="R239" s="9">
        <f>YEAR(TimeEntry[[#This Row],[WkEnd]])</f>
        <v>2020</v>
      </c>
      <c r="S239" s="9">
        <f>WEEKNUM(TimeEntry[[#This Row],[WkEnd]])</f>
        <v>23</v>
      </c>
      <c r="T239" s="9" t="str">
        <f>TimeEntry[[#This Row],[Year]]&amp;"-"&amp;TimeEntry[[#This Row],[WkNo]]</f>
        <v>2020-23</v>
      </c>
    </row>
    <row r="240" spans="1:20" x14ac:dyDescent="0.25">
      <c r="A240" s="6">
        <f>MOD(IF(ROW()=2,0.1,IF(INDEX(TimeEntry[WkEnd],ROW()-1)  =  INDEX(TimeEntry[WkEnd],ROW()-2),    INDEX(TimeEntry[format],ROW()-2),    INDEX(TimeEntry[format],ROW()-2)    +1)),2)</f>
        <v>1.1000000000000001</v>
      </c>
      <c r="B240" s="7"/>
      <c r="C240" s="8">
        <v>43979</v>
      </c>
      <c r="D240" s="8"/>
      <c r="E240" s="1" t="s">
        <v>442</v>
      </c>
      <c r="F240" s="8">
        <f>IF(TimeEntry[[#This Row],[Date]]=0,F239,C240+(7-Q240))</f>
        <v>43982</v>
      </c>
      <c r="G240" s="35" t="str">
        <f>INDEX(projects[Charge_Code],MATCH(TimeEntry[[#This Row],[Project_ID]],projects[Project_ID],0))</f>
        <v>210035-65 MC VBB WP1: DO-nota West (25-050)</v>
      </c>
      <c r="H240" s="1" t="str">
        <f t="shared" si="7"/>
        <v>Normal Time</v>
      </c>
      <c r="I240" s="1" t="s">
        <v>180</v>
      </c>
      <c r="J240" s="15">
        <v>4.5</v>
      </c>
      <c r="K240" s="15"/>
      <c r="L240" s="15"/>
      <c r="M240" s="15"/>
      <c r="N240" s="15"/>
      <c r="O240" s="15" t="str">
        <f>INDEX(projects[job number],MATCH(TimeEntry[[#This Row],[Project_ID]], projects[Project_ID],0))</f>
        <v>210035-65</v>
      </c>
      <c r="P240" s="15" t="str">
        <f>INDEX(projects[Project_Name],MATCH(TimeEntry[[#This Row],[Project_ID]], projects[Project_ID],0))</f>
        <v>MC VBB WP1: DO-nota West</v>
      </c>
      <c r="Q240" s="6">
        <f>IF(TimeEntry[[#This Row],[Date]]=0,"",WEEKDAY(C240,2))</f>
        <v>4</v>
      </c>
      <c r="R240" s="9">
        <f>YEAR(TimeEntry[[#This Row],[WkEnd]])</f>
        <v>2020</v>
      </c>
      <c r="S240" s="9">
        <f>WEEKNUM(TimeEntry[[#This Row],[WkEnd]])</f>
        <v>23</v>
      </c>
      <c r="T240" s="9" t="str">
        <f>TimeEntry[[#This Row],[Year]]&amp;"-"&amp;TimeEntry[[#This Row],[WkNo]]</f>
        <v>2020-23</v>
      </c>
    </row>
    <row r="241" spans="1:20" x14ac:dyDescent="0.25">
      <c r="A241" s="6">
        <f>MOD(IF(ROW()=2,0.1,IF(INDEX(TimeEntry[WkEnd],ROW()-1)  =  INDEX(TimeEntry[WkEnd],ROW()-2),    INDEX(TimeEntry[format],ROW()-2),    INDEX(TimeEntry[format],ROW()-2)    +1)),2)</f>
        <v>1.1000000000000001</v>
      </c>
      <c r="B241" s="7"/>
      <c r="C241" s="8">
        <v>43979</v>
      </c>
      <c r="D241" s="8"/>
      <c r="E241" s="1" t="s">
        <v>447</v>
      </c>
      <c r="F241" s="8">
        <f>IF(TimeEntry[[#This Row],[Date]]=0,F240,C241+(7-Q241))</f>
        <v>43982</v>
      </c>
      <c r="G241" s="35" t="str">
        <f>INDEX(projects[Charge_Code],MATCH(TimeEntry[[#This Row],[Project_ID]],projects[Project_ID],0))</f>
        <v>257677-59  Melbourne Metro - Latrobe</v>
      </c>
      <c r="H241" s="1" t="str">
        <f t="shared" si="7"/>
        <v>Normal Time</v>
      </c>
      <c r="I241" s="1" t="s">
        <v>183</v>
      </c>
      <c r="J241" s="15">
        <v>1</v>
      </c>
      <c r="K241" s="15"/>
      <c r="L241" s="15"/>
      <c r="M241" s="15"/>
      <c r="N241" s="15"/>
      <c r="O241" s="15" t="str">
        <f>INDEX(projects[job number],MATCH(TimeEntry[[#This Row],[Project_ID]], projects[Project_ID],0))</f>
        <v xml:space="preserve">257677-59 </v>
      </c>
      <c r="P241" s="15" t="str">
        <f>INDEX(projects[Project_Name],MATCH(TimeEntry[[#This Row],[Project_ID]], projects[Project_ID],0))</f>
        <v>Melbourne Metro - Latrobe</v>
      </c>
      <c r="Q241" s="6">
        <f>IF(TimeEntry[[#This Row],[Date]]=0,"",WEEKDAY(C241,2))</f>
        <v>4</v>
      </c>
      <c r="R241" s="9">
        <f>YEAR(TimeEntry[[#This Row],[WkEnd]])</f>
        <v>2020</v>
      </c>
      <c r="S241" s="9">
        <f>WEEKNUM(TimeEntry[[#This Row],[WkEnd]])</f>
        <v>23</v>
      </c>
      <c r="T241" s="9" t="str">
        <f>TimeEntry[[#This Row],[Year]]&amp;"-"&amp;TimeEntry[[#This Row],[WkNo]]</f>
        <v>2020-23</v>
      </c>
    </row>
    <row r="242" spans="1:20" x14ac:dyDescent="0.25">
      <c r="A242" s="6">
        <f>MOD(IF(ROW()=2,0.1,IF(INDEX(TimeEntry[WkEnd],ROW()-1)  =  INDEX(TimeEntry[WkEnd],ROW()-2),    INDEX(TimeEntry[format],ROW()-2),    INDEX(TimeEntry[format],ROW()-2)    +1)),2)</f>
        <v>1.1000000000000001</v>
      </c>
      <c r="B242" s="7"/>
      <c r="C242" s="8">
        <v>43978</v>
      </c>
      <c r="D242" s="8"/>
      <c r="E242" s="1" t="s">
        <v>442</v>
      </c>
      <c r="F242" s="8">
        <f>IF(TimeEntry[[#This Row],[Date]]=0,F241,C242+(7-Q242))</f>
        <v>43982</v>
      </c>
      <c r="G242" s="35" t="str">
        <f>INDEX(projects[Charge_Code],MATCH(TimeEntry[[#This Row],[Project_ID]],projects[Project_ID],0))</f>
        <v>210035-65 MC VBB WP1: DO-nota West (25-050)</v>
      </c>
      <c r="H242" s="1" t="str">
        <f t="shared" si="7"/>
        <v>Normal Time</v>
      </c>
      <c r="I242" s="1" t="s">
        <v>184</v>
      </c>
      <c r="J242" s="15">
        <v>5.5</v>
      </c>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3</v>
      </c>
      <c r="R242" s="9">
        <f>YEAR(TimeEntry[[#This Row],[WkEnd]])</f>
        <v>2020</v>
      </c>
      <c r="S242" s="9">
        <f>WEEKNUM(TimeEntry[[#This Row],[WkEnd]])</f>
        <v>23</v>
      </c>
      <c r="T242" s="9" t="str">
        <f>TimeEntry[[#This Row],[Year]]&amp;"-"&amp;TimeEntry[[#This Row],[WkNo]]</f>
        <v>2020-23</v>
      </c>
    </row>
    <row r="243" spans="1:20" x14ac:dyDescent="0.25">
      <c r="A243" s="6">
        <f>MOD(IF(ROW()=2,0.1,IF(INDEX(TimeEntry[WkEnd],ROW()-1)  =  INDEX(TimeEntry[WkEnd],ROW()-2),    INDEX(TimeEntry[format],ROW()-2),    INDEX(TimeEntry[format],ROW()-2)    +1)),2)</f>
        <v>1.1000000000000001</v>
      </c>
      <c r="B243" s="7"/>
      <c r="C243" s="8">
        <v>43978</v>
      </c>
      <c r="D243" s="8"/>
      <c r="E243" s="1" t="s">
        <v>447</v>
      </c>
      <c r="F243" s="8">
        <f>IF(TimeEntry[[#This Row],[Date]]=0,F242,C243+(7-Q243))</f>
        <v>43982</v>
      </c>
      <c r="G243" s="35" t="str">
        <f>INDEX(projects[Charge_Code],MATCH(TimeEntry[[#This Row],[Project_ID]],projects[Project_ID],0))</f>
        <v>257677-59  Melbourne Metro - Latrobe</v>
      </c>
      <c r="H243" s="1" t="str">
        <f t="shared" si="7"/>
        <v>Normal Time</v>
      </c>
      <c r="I243" s="1" t="s">
        <v>182</v>
      </c>
      <c r="J243" s="15">
        <v>2</v>
      </c>
      <c r="K243" s="15"/>
      <c r="L243" s="15"/>
      <c r="M243" s="15"/>
      <c r="N243" s="15"/>
      <c r="O243" s="15" t="str">
        <f>INDEX(projects[job number],MATCH(TimeEntry[[#This Row],[Project_ID]], projects[Project_ID],0))</f>
        <v xml:space="preserve">257677-59 </v>
      </c>
      <c r="P243" s="15" t="str">
        <f>INDEX(projects[Project_Name],MATCH(TimeEntry[[#This Row],[Project_ID]], projects[Project_ID],0))</f>
        <v>Melbourne Metro - Latrobe</v>
      </c>
      <c r="Q243" s="6">
        <f>IF(TimeEntry[[#This Row],[Date]]=0,"",WEEKDAY(C243,2))</f>
        <v>3</v>
      </c>
      <c r="R243" s="9">
        <f>YEAR(TimeEntry[[#This Row],[WkEnd]])</f>
        <v>2020</v>
      </c>
      <c r="S243" s="9">
        <f>WEEKNUM(TimeEntry[[#This Row],[WkEnd]])</f>
        <v>23</v>
      </c>
      <c r="T243" s="9" t="str">
        <f>TimeEntry[[#This Row],[Year]]&amp;"-"&amp;TimeEntry[[#This Row],[WkNo]]</f>
        <v>2020-23</v>
      </c>
    </row>
    <row r="244" spans="1:20" x14ac:dyDescent="0.25">
      <c r="A244" s="6">
        <f>MOD(IF(ROW()=2,0.1,IF(INDEX(TimeEntry[WkEnd],ROW()-1)  =  INDEX(TimeEntry[WkEnd],ROW()-2),    INDEX(TimeEntry[format],ROW()-2),    INDEX(TimeEntry[format],ROW()-2)    +1)),2)</f>
        <v>1.1000000000000001</v>
      </c>
      <c r="B244" s="7"/>
      <c r="C244" s="8">
        <v>43977</v>
      </c>
      <c r="D244" s="8"/>
      <c r="E244" s="1" t="s">
        <v>447</v>
      </c>
      <c r="F244" s="8">
        <f>IF(TimeEntry[[#This Row],[Date]]=0,F243,C244+(7-Q244))</f>
        <v>43982</v>
      </c>
      <c r="G244" s="35" t="str">
        <f>INDEX(projects[Charge_Code],MATCH(TimeEntry[[#This Row],[Project_ID]],projects[Project_ID],0))</f>
        <v>257677-59  Melbourne Metro - Latrobe</v>
      </c>
      <c r="H244" s="1" t="str">
        <f t="shared" si="7"/>
        <v>Normal Time</v>
      </c>
      <c r="I244" s="1" t="s">
        <v>181</v>
      </c>
      <c r="J244" s="15">
        <v>7.5</v>
      </c>
      <c r="K244" s="15"/>
      <c r="L244" s="15"/>
      <c r="M244" s="15"/>
      <c r="N244" s="15"/>
      <c r="O244" s="15" t="str">
        <f>INDEX(projects[job number],MATCH(TimeEntry[[#This Row],[Project_ID]], projects[Project_ID],0))</f>
        <v xml:space="preserve">257677-59 </v>
      </c>
      <c r="P244" s="15" t="str">
        <f>INDEX(projects[Project_Name],MATCH(TimeEntry[[#This Row],[Project_ID]], projects[Project_ID],0))</f>
        <v>Melbourne Metro - Latrobe</v>
      </c>
      <c r="Q244" s="6">
        <f>IF(TimeEntry[[#This Row],[Date]]=0,"",WEEKDAY(C244,2))</f>
        <v>2</v>
      </c>
      <c r="R244" s="9">
        <f>YEAR(TimeEntry[[#This Row],[WkEnd]])</f>
        <v>2020</v>
      </c>
      <c r="S244" s="9">
        <f>WEEKNUM(TimeEntry[[#This Row],[WkEnd]])</f>
        <v>23</v>
      </c>
      <c r="T244" s="9" t="str">
        <f>TimeEntry[[#This Row],[Year]]&amp;"-"&amp;TimeEntry[[#This Row],[WkNo]]</f>
        <v>2020-23</v>
      </c>
    </row>
    <row r="245" spans="1:20" x14ac:dyDescent="0.25">
      <c r="A245" s="6">
        <f>MOD(IF(ROW()=2,0.1,IF(INDEX(TimeEntry[WkEnd],ROW()-1)  =  INDEX(TimeEntry[WkEnd],ROW()-2),    INDEX(TimeEntry[format],ROW()-2),    INDEX(TimeEntry[format],ROW()-2)    +1)),2)</f>
        <v>1.1000000000000001</v>
      </c>
      <c r="B245" s="7"/>
      <c r="C245" s="8">
        <v>43976</v>
      </c>
      <c r="D245" s="8"/>
      <c r="E245" s="1" t="s">
        <v>451</v>
      </c>
      <c r="F245" s="8">
        <f>IF(TimeEntry[[#This Row],[Date]]=0,F244,C245+(7-Q245))</f>
        <v>43982</v>
      </c>
      <c r="G245" s="35" t="str">
        <f>INDEX(projects[Charge_Code],MATCH(TimeEntry[[#This Row],[Project_ID]],projects[Project_ID],0))</f>
        <v>BANK HOLIDAY Bank Holiday</v>
      </c>
      <c r="H245" s="1" t="str">
        <f t="shared" si="7"/>
        <v>Normal Time</v>
      </c>
      <c r="I245" s="1"/>
      <c r="J245" s="15">
        <v>7.5</v>
      </c>
      <c r="K245" s="15"/>
      <c r="L245" s="15"/>
      <c r="M245" s="15"/>
      <c r="N245" s="15"/>
      <c r="O245" s="15" t="str">
        <f>INDEX(projects[job number],MATCH(TimeEntry[[#This Row],[Project_ID]], projects[Project_ID],0))</f>
        <v>BANK HOLIDAY</v>
      </c>
      <c r="P245" s="15" t="str">
        <f>INDEX(projects[Project_Name],MATCH(TimeEntry[[#This Row],[Project_ID]], projects[Project_ID],0))</f>
        <v>Bank Holiday</v>
      </c>
      <c r="Q245" s="6">
        <f>IF(TimeEntry[[#This Row],[Date]]=0,"",WEEKDAY(C245,2))</f>
        <v>1</v>
      </c>
      <c r="R245" s="9">
        <f>YEAR(TimeEntry[[#This Row],[WkEnd]])</f>
        <v>2020</v>
      </c>
      <c r="S245" s="9">
        <f>WEEKNUM(TimeEntry[[#This Row],[WkEnd]])</f>
        <v>23</v>
      </c>
      <c r="T245" s="9" t="str">
        <f>TimeEntry[[#This Row],[Year]]&amp;"-"&amp;TimeEntry[[#This Row],[WkNo]]</f>
        <v>2020-23</v>
      </c>
    </row>
    <row r="246" spans="1:20" x14ac:dyDescent="0.25">
      <c r="A246" s="6">
        <f>MOD(IF(ROW()=2,0.1,IF(INDEX(TimeEntry[WkEnd],ROW()-1)  =  INDEX(TimeEntry[WkEnd],ROW()-2),    INDEX(TimeEntry[format],ROW()-2),    INDEX(TimeEntry[format],ROW()-2)    +1)),2)</f>
        <v>0.10000000000000009</v>
      </c>
      <c r="B246" s="7"/>
      <c r="C246" s="8">
        <v>43973</v>
      </c>
      <c r="D246" s="8"/>
      <c r="E246" s="1" t="s">
        <v>447</v>
      </c>
      <c r="F246" s="8">
        <f>IF(TimeEntry[[#This Row],[Date]]=0,F245,C246+(7-Q246))</f>
        <v>43975</v>
      </c>
      <c r="G246" s="35" t="str">
        <f>INDEX(projects[Charge_Code],MATCH(TimeEntry[[#This Row],[Project_ID]],projects[Project_ID],0))</f>
        <v>257677-59  Melbourne Metro - Latrobe</v>
      </c>
      <c r="H246" s="1" t="str">
        <f t="shared" si="7"/>
        <v>Normal Time</v>
      </c>
      <c r="I246" s="1" t="s">
        <v>178</v>
      </c>
      <c r="J246" s="15">
        <v>5</v>
      </c>
      <c r="K246" s="15"/>
      <c r="L246" s="15"/>
      <c r="M246" s="15"/>
      <c r="N246" s="15"/>
      <c r="O246" s="15" t="str">
        <f>INDEX(projects[job number],MATCH(TimeEntry[[#This Row],[Project_ID]], projects[Project_ID],0))</f>
        <v xml:space="preserve">257677-59 </v>
      </c>
      <c r="P246" s="15" t="str">
        <f>INDEX(projects[Project_Name],MATCH(TimeEntry[[#This Row],[Project_ID]], projects[Project_ID],0))</f>
        <v>Melbourne Metro - Latrobe</v>
      </c>
      <c r="Q246" s="6">
        <f>IF(TimeEntry[[#This Row],[Date]]=0,"",WEEKDAY(C246,2))</f>
        <v>5</v>
      </c>
      <c r="R246" s="9">
        <f>YEAR(TimeEntry[[#This Row],[WkEnd]])</f>
        <v>2020</v>
      </c>
      <c r="S246" s="9">
        <f>WEEKNUM(TimeEntry[[#This Row],[WkEnd]])</f>
        <v>22</v>
      </c>
      <c r="T246" s="9" t="str">
        <f>TimeEntry[[#This Row],[Year]]&amp;"-"&amp;TimeEntry[[#This Row],[WkNo]]</f>
        <v>2020-22</v>
      </c>
    </row>
    <row r="247" spans="1:20" x14ac:dyDescent="0.25">
      <c r="A247" s="6">
        <f>MOD(IF(ROW()=2,0.1,IF(INDEX(TimeEntry[WkEnd],ROW()-1)  =  INDEX(TimeEntry[WkEnd],ROW()-2),    INDEX(TimeEntry[format],ROW()-2),    INDEX(TimeEntry[format],ROW()-2)    +1)),2)</f>
        <v>0.10000000000000009</v>
      </c>
      <c r="B247" s="7"/>
      <c r="C247" s="8">
        <v>43973</v>
      </c>
      <c r="D247" s="8"/>
      <c r="E247" s="1" t="s">
        <v>442</v>
      </c>
      <c r="F247" s="8">
        <f>IF(TimeEntry[[#This Row],[Date]]=0,F246,C247+(7-Q247))</f>
        <v>43975</v>
      </c>
      <c r="G247" s="35" t="str">
        <f>INDEX(projects[Charge_Code],MATCH(TimeEntry[[#This Row],[Project_ID]],projects[Project_ID],0))</f>
        <v>210035-65 MC VBB WP1: DO-nota West (25-050)</v>
      </c>
      <c r="H247" s="1" t="str">
        <f t="shared" si="7"/>
        <v>Normal Time</v>
      </c>
      <c r="I247" s="1" t="s">
        <v>179</v>
      </c>
      <c r="J247" s="15">
        <v>2.5</v>
      </c>
      <c r="K247" s="15"/>
      <c r="L247" s="15"/>
      <c r="M247" s="15"/>
      <c r="N247" s="15"/>
      <c r="O247" s="15" t="str">
        <f>INDEX(projects[job number],MATCH(TimeEntry[[#This Row],[Project_ID]], projects[Project_ID],0))</f>
        <v>210035-65</v>
      </c>
      <c r="P247" s="15" t="str">
        <f>INDEX(projects[Project_Name],MATCH(TimeEntry[[#This Row],[Project_ID]], projects[Project_ID],0))</f>
        <v>MC VBB WP1: DO-nota West</v>
      </c>
      <c r="Q247" s="6">
        <f>IF(TimeEntry[[#This Row],[Date]]=0,"",WEEKDAY(C247,2))</f>
        <v>5</v>
      </c>
      <c r="R247" s="9">
        <f>YEAR(TimeEntry[[#This Row],[WkEnd]])</f>
        <v>2020</v>
      </c>
      <c r="S247" s="9">
        <f>WEEKNUM(TimeEntry[[#This Row],[WkEnd]])</f>
        <v>22</v>
      </c>
      <c r="T247" s="9" t="str">
        <f>TimeEntry[[#This Row],[Year]]&amp;"-"&amp;TimeEntry[[#This Row],[WkNo]]</f>
        <v>2020-22</v>
      </c>
    </row>
    <row r="248" spans="1:20" x14ac:dyDescent="0.25">
      <c r="A248" s="6">
        <f>MOD(IF(ROW()=2,0.1,IF(INDEX(TimeEntry[WkEnd],ROW()-1)  =  INDEX(TimeEntry[WkEnd],ROW()-2),    INDEX(TimeEntry[format],ROW()-2),    INDEX(TimeEntry[format],ROW()-2)    +1)),2)</f>
        <v>0.10000000000000009</v>
      </c>
      <c r="B248" s="7"/>
      <c r="C248" s="8">
        <v>43972</v>
      </c>
      <c r="D248" s="8"/>
      <c r="E248" s="1" t="s">
        <v>442</v>
      </c>
      <c r="F248" s="8">
        <f>IF(TimeEntry[[#This Row],[Date]]=0,F247,C248+(7-Q248))</f>
        <v>43975</v>
      </c>
      <c r="G248" s="35" t="str">
        <f>INDEX(projects[Charge_Code],MATCH(TimeEntry[[#This Row],[Project_ID]],projects[Project_ID],0))</f>
        <v>210035-65 MC VBB WP1: DO-nota West (25-050)</v>
      </c>
      <c r="H248" s="1" t="str">
        <f t="shared" si="7"/>
        <v>Normal Time</v>
      </c>
      <c r="I248" s="1" t="s">
        <v>177</v>
      </c>
      <c r="J248" s="15">
        <v>2</v>
      </c>
      <c r="K248" s="15"/>
      <c r="L248" s="15"/>
      <c r="M248" s="15"/>
      <c r="N248" s="15"/>
      <c r="O248" s="15" t="str">
        <f>INDEX(projects[job number],MATCH(TimeEntry[[#This Row],[Project_ID]], projects[Project_ID],0))</f>
        <v>210035-65</v>
      </c>
      <c r="P248" s="15" t="str">
        <f>INDEX(projects[Project_Name],MATCH(TimeEntry[[#This Row],[Project_ID]], projects[Project_ID],0))</f>
        <v>MC VBB WP1: DO-nota West</v>
      </c>
      <c r="Q248" s="6">
        <f>IF(TimeEntry[[#This Row],[Date]]=0,"",WEEKDAY(C248,2))</f>
        <v>4</v>
      </c>
      <c r="R248" s="9">
        <f>YEAR(TimeEntry[[#This Row],[WkEnd]])</f>
        <v>2020</v>
      </c>
      <c r="S248" s="9">
        <f>WEEKNUM(TimeEntry[[#This Row],[WkEnd]])</f>
        <v>22</v>
      </c>
      <c r="T248" s="9" t="str">
        <f>TimeEntry[[#This Row],[Year]]&amp;"-"&amp;TimeEntry[[#This Row],[WkNo]]</f>
        <v>2020-22</v>
      </c>
    </row>
    <row r="249" spans="1:20" x14ac:dyDescent="0.25">
      <c r="A249" s="6">
        <f>MOD(IF(ROW()=2,0.1,IF(INDEX(TimeEntry[WkEnd],ROW()-1)  =  INDEX(TimeEntry[WkEnd],ROW()-2),    INDEX(TimeEntry[format],ROW()-2),    INDEX(TimeEntry[format],ROW()-2)    +1)),2)</f>
        <v>0.10000000000000009</v>
      </c>
      <c r="B249" s="7"/>
      <c r="C249" s="8">
        <v>43972</v>
      </c>
      <c r="D249" s="8"/>
      <c r="E249" s="1" t="s">
        <v>447</v>
      </c>
      <c r="F249" s="8">
        <f>IF(TimeEntry[[#This Row],[Date]]=0,F248,C249+(7-Q249))</f>
        <v>43975</v>
      </c>
      <c r="G249" s="35" t="str">
        <f>INDEX(projects[Charge_Code],MATCH(TimeEntry[[#This Row],[Project_ID]],projects[Project_ID],0))</f>
        <v>257677-59  Melbourne Metro - Latrobe</v>
      </c>
      <c r="H249" s="1" t="str">
        <f t="shared" si="7"/>
        <v>Normal Time</v>
      </c>
      <c r="I249" s="1" t="s">
        <v>176</v>
      </c>
      <c r="J249" s="15">
        <v>2.5</v>
      </c>
      <c r="K249" s="15"/>
      <c r="L249" s="15"/>
      <c r="M249" s="15"/>
      <c r="N249" s="15"/>
      <c r="O249" s="15" t="str">
        <f>INDEX(projects[job number],MATCH(TimeEntry[[#This Row],[Project_ID]], projects[Project_ID],0))</f>
        <v xml:space="preserve">257677-59 </v>
      </c>
      <c r="P249" s="15" t="str">
        <f>INDEX(projects[Project_Name],MATCH(TimeEntry[[#This Row],[Project_ID]], projects[Project_ID],0))</f>
        <v>Melbourne Metro - Latrobe</v>
      </c>
      <c r="Q249" s="6">
        <f>IF(TimeEntry[[#This Row],[Date]]=0,"",WEEKDAY(C249,2))</f>
        <v>4</v>
      </c>
      <c r="R249" s="9">
        <f>YEAR(TimeEntry[[#This Row],[WkEnd]])</f>
        <v>2020</v>
      </c>
      <c r="S249" s="9">
        <f>WEEKNUM(TimeEntry[[#This Row],[WkEnd]])</f>
        <v>22</v>
      </c>
      <c r="T249" s="9" t="str">
        <f>TimeEntry[[#This Row],[Year]]&amp;"-"&amp;TimeEntry[[#This Row],[WkNo]]</f>
        <v>2020-22</v>
      </c>
    </row>
    <row r="250" spans="1:20" x14ac:dyDescent="0.25">
      <c r="A250" s="6">
        <f>MOD(IF(ROW()=2,0.1,IF(INDEX(TimeEntry[WkEnd],ROW()-1)  =  INDEX(TimeEntry[WkEnd],ROW()-2),    INDEX(TimeEntry[format],ROW()-2),    INDEX(TimeEntry[format],ROW()-2)    +1)),2)</f>
        <v>0.10000000000000009</v>
      </c>
      <c r="B250" s="7"/>
      <c r="C250" s="8">
        <v>43972</v>
      </c>
      <c r="D250" s="8"/>
      <c r="E250" s="1" t="s">
        <v>452</v>
      </c>
      <c r="F250" s="8">
        <f>IF(TimeEntry[[#This Row],[Date]]=0,F249,C250+(7-Q250))</f>
        <v>43975</v>
      </c>
      <c r="G250" s="35" t="str">
        <f>INDEX(projects[Charge_Code],MATCH(TimeEntry[[#This Row],[Project_ID]],projects[Project_ID],0))</f>
        <v>254304-96 HCC - Paul Cully (01-382)</v>
      </c>
      <c r="H250" s="1" t="str">
        <f t="shared" si="7"/>
        <v>Normal Time</v>
      </c>
      <c r="I250" s="1" t="s">
        <v>175</v>
      </c>
      <c r="J250" s="15">
        <v>3</v>
      </c>
      <c r="K250" s="15"/>
      <c r="L250" s="15"/>
      <c r="M250" s="15"/>
      <c r="N250" s="15"/>
      <c r="O250" s="15" t="str">
        <f>INDEX(projects[job number],MATCH(TimeEntry[[#This Row],[Project_ID]], projects[Project_ID],0))</f>
        <v>254304-96</v>
      </c>
      <c r="P250" s="15" t="str">
        <f>INDEX(projects[Project_Name],MATCH(TimeEntry[[#This Row],[Project_ID]], projects[Project_ID],0))</f>
        <v>HCC - Paul Cully</v>
      </c>
      <c r="Q250" s="6">
        <f>IF(TimeEntry[[#This Row],[Date]]=0,"",WEEKDAY(C250,2))</f>
        <v>4</v>
      </c>
      <c r="R250" s="9">
        <f>YEAR(TimeEntry[[#This Row],[WkEnd]])</f>
        <v>2020</v>
      </c>
      <c r="S250" s="9">
        <f>WEEKNUM(TimeEntry[[#This Row],[WkEnd]])</f>
        <v>22</v>
      </c>
      <c r="T250" s="9" t="str">
        <f>TimeEntry[[#This Row],[Year]]&amp;"-"&amp;TimeEntry[[#This Row],[WkNo]]</f>
        <v>2020-22</v>
      </c>
    </row>
    <row r="251" spans="1:20" x14ac:dyDescent="0.25">
      <c r="A251" s="6">
        <f>MOD(IF(ROW()=2,0.1,IF(INDEX(TimeEntry[WkEnd],ROW()-1)  =  INDEX(TimeEntry[WkEnd],ROW()-2),    INDEX(TimeEntry[format],ROW()-2),    INDEX(TimeEntry[format],ROW()-2)    +1)),2)</f>
        <v>0.10000000000000009</v>
      </c>
      <c r="B251" s="7"/>
      <c r="C251" s="8">
        <v>43971</v>
      </c>
      <c r="D251" s="8"/>
      <c r="E251" s="1" t="s">
        <v>442</v>
      </c>
      <c r="F251" s="8">
        <f>IF(TimeEntry[[#This Row],[Date]]=0,F250,C251+(7-Q251))</f>
        <v>43975</v>
      </c>
      <c r="G251" s="35" t="str">
        <f>INDEX(projects[Charge_Code],MATCH(TimeEntry[[#This Row],[Project_ID]],projects[Project_ID],0))</f>
        <v>210035-65 MC VBB WP1: DO-nota West (25-050)</v>
      </c>
      <c r="H251" s="1" t="str">
        <f t="shared" si="7"/>
        <v>Normal Time</v>
      </c>
      <c r="I251" s="1" t="s">
        <v>180</v>
      </c>
      <c r="J251" s="15">
        <v>7.5</v>
      </c>
      <c r="K251" s="15"/>
      <c r="L251" s="15"/>
      <c r="M251" s="15"/>
      <c r="N251" s="15"/>
      <c r="O251" s="15" t="str">
        <f>INDEX(projects[job number],MATCH(TimeEntry[[#This Row],[Project_ID]], projects[Project_ID],0))</f>
        <v>210035-65</v>
      </c>
      <c r="P251" s="15" t="str">
        <f>INDEX(projects[Project_Name],MATCH(TimeEntry[[#This Row],[Project_ID]], projects[Project_ID],0))</f>
        <v>MC VBB WP1: DO-nota West</v>
      </c>
      <c r="Q251" s="6">
        <f>IF(TimeEntry[[#This Row],[Date]]=0,"",WEEKDAY(C251,2))</f>
        <v>3</v>
      </c>
      <c r="R251" s="9">
        <f>YEAR(TimeEntry[[#This Row],[WkEnd]])</f>
        <v>2020</v>
      </c>
      <c r="S251" s="9">
        <f>WEEKNUM(TimeEntry[[#This Row],[WkEnd]])</f>
        <v>22</v>
      </c>
      <c r="T251" s="9" t="str">
        <f>TimeEntry[[#This Row],[Year]]&amp;"-"&amp;TimeEntry[[#This Row],[WkNo]]</f>
        <v>2020-22</v>
      </c>
    </row>
    <row r="252" spans="1:20" x14ac:dyDescent="0.25">
      <c r="A252" s="6">
        <f>MOD(IF(ROW()=2,0.1,IF(INDEX(TimeEntry[WkEnd],ROW()-1)  =  INDEX(TimeEntry[WkEnd],ROW()-2),    INDEX(TimeEntry[format],ROW()-2),    INDEX(TimeEntry[format],ROW()-2)    +1)),2)</f>
        <v>0.10000000000000009</v>
      </c>
      <c r="B252" s="7"/>
      <c r="C252" s="8">
        <v>43970</v>
      </c>
      <c r="D252" s="8"/>
      <c r="E252" s="1" t="s">
        <v>442</v>
      </c>
      <c r="F252" s="8">
        <f>IF(TimeEntry[[#This Row],[Date]]=0,F251,C252+(7-Q252))</f>
        <v>43975</v>
      </c>
      <c r="G252" s="35" t="str">
        <f>INDEX(projects[Charge_Code],MATCH(TimeEntry[[#This Row],[Project_ID]],projects[Project_ID],0))</f>
        <v>210035-65 MC VBB WP1: DO-nota West (25-050)</v>
      </c>
      <c r="H252" s="1" t="str">
        <f t="shared" si="7"/>
        <v>Normal Time</v>
      </c>
      <c r="I252" s="1" t="s">
        <v>180</v>
      </c>
      <c r="J252" s="15">
        <v>7.5</v>
      </c>
      <c r="K252" s="15"/>
      <c r="L252" s="15"/>
      <c r="M252" s="15"/>
      <c r="N252" s="15"/>
      <c r="O252" s="15" t="str">
        <f>INDEX(projects[job number],MATCH(TimeEntry[[#This Row],[Project_ID]], projects[Project_ID],0))</f>
        <v>210035-65</v>
      </c>
      <c r="P252" s="15" t="str">
        <f>INDEX(projects[Project_Name],MATCH(TimeEntry[[#This Row],[Project_ID]], projects[Project_ID],0))</f>
        <v>MC VBB WP1: DO-nota West</v>
      </c>
      <c r="Q252" s="6">
        <f>IF(TimeEntry[[#This Row],[Date]]=0,"",WEEKDAY(C252,2))</f>
        <v>2</v>
      </c>
      <c r="R252" s="9">
        <f>YEAR(TimeEntry[[#This Row],[WkEnd]])</f>
        <v>2020</v>
      </c>
      <c r="S252" s="9">
        <f>WEEKNUM(TimeEntry[[#This Row],[WkEnd]])</f>
        <v>22</v>
      </c>
      <c r="T252" s="9" t="str">
        <f>TimeEntry[[#This Row],[Year]]&amp;"-"&amp;TimeEntry[[#This Row],[WkNo]]</f>
        <v>2020-22</v>
      </c>
    </row>
    <row r="253" spans="1:20" x14ac:dyDescent="0.25">
      <c r="A253" s="6">
        <f>MOD(IF(ROW()=2,0.1,IF(INDEX(TimeEntry[WkEnd],ROW()-1)  =  INDEX(TimeEntry[WkEnd],ROW()-2),    INDEX(TimeEntry[format],ROW()-2),    INDEX(TimeEntry[format],ROW()-2)    +1)),2)</f>
        <v>0.10000000000000009</v>
      </c>
      <c r="B253" s="7"/>
      <c r="C253" s="8">
        <v>43969</v>
      </c>
      <c r="D253" s="8"/>
      <c r="E253" s="1" t="s">
        <v>445</v>
      </c>
      <c r="F253" s="8">
        <f>IF(TimeEntry[[#This Row],[Date]]=0,F252,C253+(7-Q253))</f>
        <v>43975</v>
      </c>
      <c r="G253" s="35" t="str">
        <f>INDEX(projects[Charge_Code],MATCH(TimeEntry[[#This Row],[Project_ID]],projects[Project_ID],0))</f>
        <v>LEAVE</v>
      </c>
      <c r="H253" s="1" t="str">
        <f t="shared" si="7"/>
        <v>Normal Time</v>
      </c>
      <c r="I253" s="1"/>
      <c r="J253" s="15">
        <v>7.5</v>
      </c>
      <c r="K253" s="15"/>
      <c r="L253" s="15"/>
      <c r="M253" s="15"/>
      <c r="N253" s="15"/>
      <c r="O253" s="15" t="str">
        <f>INDEX(projects[job number],MATCH(TimeEntry[[#This Row],[Project_ID]], projects[Project_ID],0))</f>
        <v>LEAVE</v>
      </c>
      <c r="P253" s="15">
        <f>INDEX(projects[Project_Name],MATCH(TimeEntry[[#This Row],[Project_ID]], projects[Project_ID],0))</f>
        <v>0</v>
      </c>
      <c r="Q253" s="6">
        <f>IF(TimeEntry[[#This Row],[Date]]=0,"",WEEKDAY(C253,2))</f>
        <v>1</v>
      </c>
      <c r="R253" s="9">
        <f>YEAR(TimeEntry[[#This Row],[WkEnd]])</f>
        <v>2020</v>
      </c>
      <c r="S253" s="9">
        <f>WEEKNUM(TimeEntry[[#This Row],[WkEnd]])</f>
        <v>22</v>
      </c>
      <c r="T253" s="9" t="str">
        <f>TimeEntry[[#This Row],[Year]]&amp;"-"&amp;TimeEntry[[#This Row],[WkNo]]</f>
        <v>2020-22</v>
      </c>
    </row>
    <row r="254" spans="1:20" x14ac:dyDescent="0.25">
      <c r="A254" s="6">
        <f>MOD(IF(ROW()=2,0.1,IF(INDEX(TimeEntry[WkEnd],ROW()-1)  =  INDEX(TimeEntry[WkEnd],ROW()-2),    INDEX(TimeEntry[format],ROW()-2),    INDEX(TimeEntry[format],ROW()-2)    +1)),2)</f>
        <v>1.1000000000000001</v>
      </c>
      <c r="B254" s="7"/>
      <c r="C254" s="8">
        <v>43966</v>
      </c>
      <c r="D254" s="8"/>
      <c r="E254" s="1" t="s">
        <v>442</v>
      </c>
      <c r="F254" s="8">
        <f>IF(TimeEntry[[#This Row],[Date]]=0,F253,C254+(7-Q254))</f>
        <v>43968</v>
      </c>
      <c r="G254" s="35" t="str">
        <f>INDEX(projects[Charge_Code],MATCH(TimeEntry[[#This Row],[Project_ID]],projects[Project_ID],0))</f>
        <v>210035-65 MC VBB WP1: DO-nota West (25-050)</v>
      </c>
      <c r="H254" s="1" t="str">
        <f t="shared" si="7"/>
        <v>Normal Time</v>
      </c>
      <c r="I254" s="1"/>
      <c r="J254" s="15">
        <v>5</v>
      </c>
      <c r="K254" s="15"/>
      <c r="L254" s="15"/>
      <c r="M254" s="15"/>
      <c r="N254" s="15"/>
      <c r="O254" s="15" t="str">
        <f>INDEX(projects[job number],MATCH(TimeEntry[[#This Row],[Project_ID]], projects[Project_ID],0))</f>
        <v>210035-65</v>
      </c>
      <c r="P254" s="15" t="str">
        <f>INDEX(projects[Project_Name],MATCH(TimeEntry[[#This Row],[Project_ID]], projects[Project_ID],0))</f>
        <v>MC VBB WP1: DO-nota West</v>
      </c>
      <c r="Q254" s="6">
        <f>IF(TimeEntry[[#This Row],[Date]]=0,"",WEEKDAY(C254,2))</f>
        <v>5</v>
      </c>
      <c r="R254" s="9">
        <f>YEAR(TimeEntry[[#This Row],[WkEnd]])</f>
        <v>2020</v>
      </c>
      <c r="S254" s="9">
        <f>WEEKNUM(TimeEntry[[#This Row],[WkEnd]])</f>
        <v>21</v>
      </c>
      <c r="T254" s="9" t="str">
        <f>TimeEntry[[#This Row],[Year]]&amp;"-"&amp;TimeEntry[[#This Row],[WkNo]]</f>
        <v>2020-21</v>
      </c>
    </row>
    <row r="255" spans="1:20" x14ac:dyDescent="0.25">
      <c r="A255" s="6">
        <f>MOD(IF(ROW()=2,0.1,IF(INDEX(TimeEntry[WkEnd],ROW()-1)  =  INDEX(TimeEntry[WkEnd],ROW()-2),    INDEX(TimeEntry[format],ROW()-2),    INDEX(TimeEntry[format],ROW()-2)    +1)),2)</f>
        <v>1.1000000000000001</v>
      </c>
      <c r="B255" s="7"/>
      <c r="C255" s="8">
        <v>43966</v>
      </c>
      <c r="D255" s="8"/>
      <c r="E255" s="1" t="s">
        <v>447</v>
      </c>
      <c r="F255" s="8">
        <f>IF(TimeEntry[[#This Row],[Date]]=0,F254,C255+(7-Q255))</f>
        <v>43968</v>
      </c>
      <c r="G255" s="35" t="str">
        <f>INDEX(projects[Charge_Code],MATCH(TimeEntry[[#This Row],[Project_ID]],projects[Project_ID],0))</f>
        <v>257677-59  Melbourne Metro - Latrobe</v>
      </c>
      <c r="H255" s="1" t="str">
        <f t="shared" si="7"/>
        <v>Normal Time</v>
      </c>
      <c r="I255" s="1"/>
      <c r="J255" s="15">
        <v>2.5</v>
      </c>
      <c r="K255" s="15"/>
      <c r="L255" s="15"/>
      <c r="M255" s="15"/>
      <c r="N255" s="15"/>
      <c r="O255" s="15" t="str">
        <f>INDEX(projects[job number],MATCH(TimeEntry[[#This Row],[Project_ID]], projects[Project_ID],0))</f>
        <v xml:space="preserve">257677-59 </v>
      </c>
      <c r="P255" s="15" t="str">
        <f>INDEX(projects[Project_Name],MATCH(TimeEntry[[#This Row],[Project_ID]], projects[Project_ID],0))</f>
        <v>Melbourne Metro - Latrobe</v>
      </c>
      <c r="Q255" s="6">
        <f>IF(TimeEntry[[#This Row],[Date]]=0,"",WEEKDAY(C255,2))</f>
        <v>5</v>
      </c>
      <c r="R255" s="9">
        <f>YEAR(TimeEntry[[#This Row],[WkEnd]])</f>
        <v>2020</v>
      </c>
      <c r="S255" s="9">
        <f>WEEKNUM(TimeEntry[[#This Row],[WkEnd]])</f>
        <v>21</v>
      </c>
      <c r="T255" s="9" t="str">
        <f>TimeEntry[[#This Row],[Year]]&amp;"-"&amp;TimeEntry[[#This Row],[WkNo]]</f>
        <v>2020-21</v>
      </c>
    </row>
    <row r="256" spans="1:20" x14ac:dyDescent="0.25">
      <c r="A256" s="6">
        <f>MOD(IF(ROW()=2,0.1,IF(INDEX(TimeEntry[WkEnd],ROW()-1)  =  INDEX(TimeEntry[WkEnd],ROW()-2),    INDEX(TimeEntry[format],ROW()-2),    INDEX(TimeEntry[format],ROW()-2)    +1)),2)</f>
        <v>1.1000000000000001</v>
      </c>
      <c r="B256" s="7"/>
      <c r="C256" s="8">
        <v>43965</v>
      </c>
      <c r="D256" s="8"/>
      <c r="E256" s="1" t="s">
        <v>442</v>
      </c>
      <c r="F256" s="8">
        <f>IF(TimeEntry[[#This Row],[Date]]=0,F255,C256+(7-Q256))</f>
        <v>43968</v>
      </c>
      <c r="G256" s="35" t="str">
        <f>INDEX(projects[Charge_Code],MATCH(TimeEntry[[#This Row],[Project_ID]],projects[Project_ID],0))</f>
        <v>210035-65 MC VBB WP1: DO-nota West (25-050)</v>
      </c>
      <c r="H256" s="1" t="str">
        <f t="shared" si="7"/>
        <v>Normal Time</v>
      </c>
      <c r="I256" s="1"/>
      <c r="J256" s="15">
        <v>2.5</v>
      </c>
      <c r="K256" s="15"/>
      <c r="L256" s="15"/>
      <c r="M256" s="15"/>
      <c r="N256" s="15"/>
      <c r="O256" s="15" t="str">
        <f>INDEX(projects[job number],MATCH(TimeEntry[[#This Row],[Project_ID]], projects[Project_ID],0))</f>
        <v>210035-65</v>
      </c>
      <c r="P256" s="15" t="str">
        <f>INDEX(projects[Project_Name],MATCH(TimeEntry[[#This Row],[Project_ID]], projects[Project_ID],0))</f>
        <v>MC VBB WP1: DO-nota West</v>
      </c>
      <c r="Q256" s="6">
        <f>IF(TimeEntry[[#This Row],[Date]]=0,"",WEEKDAY(C256,2))</f>
        <v>4</v>
      </c>
      <c r="R256" s="9">
        <f>YEAR(TimeEntry[[#This Row],[WkEnd]])</f>
        <v>2020</v>
      </c>
      <c r="S256" s="9">
        <f>WEEKNUM(TimeEntry[[#This Row],[WkEnd]])</f>
        <v>21</v>
      </c>
      <c r="T256" s="9" t="str">
        <f>TimeEntry[[#This Row],[Year]]&amp;"-"&amp;TimeEntry[[#This Row],[WkNo]]</f>
        <v>2020-21</v>
      </c>
    </row>
    <row r="257" spans="1:20" x14ac:dyDescent="0.25">
      <c r="A257" s="6">
        <f>MOD(IF(ROW()=2,0.1,IF(INDEX(TimeEntry[WkEnd],ROW()-1)  =  INDEX(TimeEntry[WkEnd],ROW()-2),    INDEX(TimeEntry[format],ROW()-2),    INDEX(TimeEntry[format],ROW()-2)    +1)),2)</f>
        <v>1.1000000000000001</v>
      </c>
      <c r="B257" s="7"/>
      <c r="C257" s="8">
        <v>43965</v>
      </c>
      <c r="D257" s="8"/>
      <c r="E257" s="1" t="s">
        <v>447</v>
      </c>
      <c r="F257" s="8">
        <f>IF(TimeEntry[[#This Row],[Date]]=0,F256,C257+(7-Q257))</f>
        <v>43968</v>
      </c>
      <c r="G257" s="35" t="str">
        <f>INDEX(projects[Charge_Code],MATCH(TimeEntry[[#This Row],[Project_ID]],projects[Project_ID],0))</f>
        <v>257677-59  Melbourne Metro - Latrobe</v>
      </c>
      <c r="H257" s="1" t="str">
        <f t="shared" si="7"/>
        <v>Normal Time</v>
      </c>
      <c r="I257" s="1"/>
      <c r="J257" s="15">
        <v>5</v>
      </c>
      <c r="K257" s="15"/>
      <c r="L257" s="15"/>
      <c r="M257" s="15"/>
      <c r="N257" s="15"/>
      <c r="O257" s="15" t="str">
        <f>INDEX(projects[job number],MATCH(TimeEntry[[#This Row],[Project_ID]], projects[Project_ID],0))</f>
        <v xml:space="preserve">257677-59 </v>
      </c>
      <c r="P257" s="15" t="str">
        <f>INDEX(projects[Project_Name],MATCH(TimeEntry[[#This Row],[Project_ID]], projects[Project_ID],0))</f>
        <v>Melbourne Metro - Latrobe</v>
      </c>
      <c r="Q257" s="6">
        <f>IF(TimeEntry[[#This Row],[Date]]=0,"",WEEKDAY(C257,2))</f>
        <v>4</v>
      </c>
      <c r="R257" s="9">
        <f>YEAR(TimeEntry[[#This Row],[WkEnd]])</f>
        <v>2020</v>
      </c>
      <c r="S257" s="9">
        <f>WEEKNUM(TimeEntry[[#This Row],[WkEnd]])</f>
        <v>21</v>
      </c>
      <c r="T257" s="9" t="str">
        <f>TimeEntry[[#This Row],[Year]]&amp;"-"&amp;TimeEntry[[#This Row],[WkNo]]</f>
        <v>2020-21</v>
      </c>
    </row>
    <row r="258" spans="1:20" x14ac:dyDescent="0.25">
      <c r="A258" s="6">
        <f>MOD(IF(ROW()=2,0.1,IF(INDEX(TimeEntry[WkEnd],ROW()-1)  =  INDEX(TimeEntry[WkEnd],ROW()-2),    INDEX(TimeEntry[format],ROW()-2),    INDEX(TimeEntry[format],ROW()-2)    +1)),2)</f>
        <v>1.1000000000000001</v>
      </c>
      <c r="B258" s="7"/>
      <c r="C258" s="8">
        <v>43964</v>
      </c>
      <c r="D258" s="8"/>
      <c r="E258" s="1" t="s">
        <v>442</v>
      </c>
      <c r="F258" s="8">
        <f>IF(TimeEntry[[#This Row],[Date]]=0,F257,C258+(7-Q258))</f>
        <v>43968</v>
      </c>
      <c r="G258" s="35" t="str">
        <f>INDEX(projects[Charge_Code],MATCH(TimeEntry[[#This Row],[Project_ID]],projects[Project_ID],0))</f>
        <v>210035-65 MC VBB WP1: DO-nota West (25-050)</v>
      </c>
      <c r="H258" s="1" t="str">
        <f t="shared" si="7"/>
        <v>Normal Time</v>
      </c>
      <c r="I258" s="1"/>
      <c r="J258" s="15">
        <v>7.5</v>
      </c>
      <c r="K258" s="15"/>
      <c r="L258" s="15"/>
      <c r="M258" s="15"/>
      <c r="N258" s="15"/>
      <c r="O258" s="15" t="str">
        <f>INDEX(projects[job number],MATCH(TimeEntry[[#This Row],[Project_ID]], projects[Project_ID],0))</f>
        <v>210035-65</v>
      </c>
      <c r="P258" s="15" t="str">
        <f>INDEX(projects[Project_Name],MATCH(TimeEntry[[#This Row],[Project_ID]], projects[Project_ID],0))</f>
        <v>MC VBB WP1: DO-nota West</v>
      </c>
      <c r="Q258" s="6">
        <f>IF(TimeEntry[[#This Row],[Date]]=0,"",WEEKDAY(C258,2))</f>
        <v>3</v>
      </c>
      <c r="R258" s="9">
        <f>YEAR(TimeEntry[[#This Row],[WkEnd]])</f>
        <v>2020</v>
      </c>
      <c r="S258" s="9">
        <f>WEEKNUM(TimeEntry[[#This Row],[WkEnd]])</f>
        <v>21</v>
      </c>
      <c r="T258" s="9" t="str">
        <f>TimeEntry[[#This Row],[Year]]&amp;"-"&amp;TimeEntry[[#This Row],[WkNo]]</f>
        <v>2020-21</v>
      </c>
    </row>
    <row r="259" spans="1:20" x14ac:dyDescent="0.25">
      <c r="A259" s="6">
        <f>MOD(IF(ROW()=2,0.1,IF(INDEX(TimeEntry[WkEnd],ROW()-1)  =  INDEX(TimeEntry[WkEnd],ROW()-2),    INDEX(TimeEntry[format],ROW()-2),    INDEX(TimeEntry[format],ROW()-2)    +1)),2)</f>
        <v>1.1000000000000001</v>
      </c>
      <c r="B259" s="7"/>
      <c r="C259" s="8">
        <v>43963</v>
      </c>
      <c r="D259" s="8"/>
      <c r="E259" s="1" t="s">
        <v>442</v>
      </c>
      <c r="F259" s="8">
        <f>IF(TimeEntry[[#This Row],[Date]]=0,F258,C259+(7-Q259))</f>
        <v>43968</v>
      </c>
      <c r="G259" s="35" t="str">
        <f>INDEX(projects[Charge_Code],MATCH(TimeEntry[[#This Row],[Project_ID]],projects[Project_ID],0))</f>
        <v>210035-65 MC VBB WP1: DO-nota West (25-050)</v>
      </c>
      <c r="H259" s="1" t="str">
        <f t="shared" si="7"/>
        <v>Normal Time</v>
      </c>
      <c r="I259" s="1"/>
      <c r="J259" s="15">
        <v>7.5</v>
      </c>
      <c r="K259" s="15"/>
      <c r="L259" s="15"/>
      <c r="M259" s="15"/>
      <c r="N259" s="15"/>
      <c r="O259" s="15" t="str">
        <f>INDEX(projects[job number],MATCH(TimeEntry[[#This Row],[Project_ID]], projects[Project_ID],0))</f>
        <v>210035-65</v>
      </c>
      <c r="P259" s="15" t="str">
        <f>INDEX(projects[Project_Name],MATCH(TimeEntry[[#This Row],[Project_ID]], projects[Project_ID],0))</f>
        <v>MC VBB WP1: DO-nota West</v>
      </c>
      <c r="Q259" s="6">
        <f>IF(TimeEntry[[#This Row],[Date]]=0,"",WEEKDAY(C259,2))</f>
        <v>2</v>
      </c>
      <c r="R259" s="9">
        <f>YEAR(TimeEntry[[#This Row],[WkEnd]])</f>
        <v>2020</v>
      </c>
      <c r="S259" s="9">
        <f>WEEKNUM(TimeEntry[[#This Row],[WkEnd]])</f>
        <v>21</v>
      </c>
      <c r="T259" s="9" t="str">
        <f>TimeEntry[[#This Row],[Year]]&amp;"-"&amp;TimeEntry[[#This Row],[WkNo]]</f>
        <v>2020-21</v>
      </c>
    </row>
    <row r="260" spans="1:20" x14ac:dyDescent="0.25">
      <c r="A260" s="6">
        <f>MOD(IF(ROW()=2,0.1,IF(INDEX(TimeEntry[WkEnd],ROW()-1)  =  INDEX(TimeEntry[WkEnd],ROW()-2),    INDEX(TimeEntry[format],ROW()-2),    INDEX(TimeEntry[format],ROW()-2)    +1)),2)</f>
        <v>1.1000000000000001</v>
      </c>
      <c r="B260" s="7"/>
      <c r="C260" s="8">
        <v>43962</v>
      </c>
      <c r="D260" s="8"/>
      <c r="E260" s="1" t="s">
        <v>442</v>
      </c>
      <c r="F260" s="8">
        <f>IF(TimeEntry[[#This Row],[Date]]=0,F259,C260+(7-Q260))</f>
        <v>43968</v>
      </c>
      <c r="G260" s="35" t="str">
        <f>INDEX(projects[Charge_Code],MATCH(TimeEntry[[#This Row],[Project_ID]],projects[Project_ID],0))</f>
        <v>210035-65 MC VBB WP1: DO-nota West (25-050)</v>
      </c>
      <c r="H260" s="1" t="str">
        <f t="shared" si="7"/>
        <v>Normal Time</v>
      </c>
      <c r="I260" s="1"/>
      <c r="J260" s="15">
        <v>7.5</v>
      </c>
      <c r="K260" s="15"/>
      <c r="L260" s="15"/>
      <c r="M260" s="15"/>
      <c r="N260" s="15"/>
      <c r="O260" s="15" t="str">
        <f>INDEX(projects[job number],MATCH(TimeEntry[[#This Row],[Project_ID]], projects[Project_ID],0))</f>
        <v>210035-65</v>
      </c>
      <c r="P260" s="15" t="str">
        <f>INDEX(projects[Project_Name],MATCH(TimeEntry[[#This Row],[Project_ID]], projects[Project_ID],0))</f>
        <v>MC VBB WP1: DO-nota West</v>
      </c>
      <c r="Q260" s="6">
        <f>IF(TimeEntry[[#This Row],[Date]]=0,"",WEEKDAY(C260,2))</f>
        <v>1</v>
      </c>
      <c r="R260" s="9">
        <f>YEAR(TimeEntry[[#This Row],[WkEnd]])</f>
        <v>2020</v>
      </c>
      <c r="S260" s="9">
        <f>WEEKNUM(TimeEntry[[#This Row],[WkEnd]])</f>
        <v>21</v>
      </c>
      <c r="T260" s="9" t="str">
        <f>TimeEntry[[#This Row],[Year]]&amp;"-"&amp;TimeEntry[[#This Row],[WkNo]]</f>
        <v>2020-21</v>
      </c>
    </row>
    <row r="261" spans="1:20" x14ac:dyDescent="0.25">
      <c r="A261" s="6">
        <f>MOD(IF(ROW()=2,0.1,IF(INDEX(TimeEntry[WkEnd],ROW()-1)  =  INDEX(TimeEntry[WkEnd],ROW()-2),    INDEX(TimeEntry[format],ROW()-2),    INDEX(TimeEntry[format],ROW()-2)    +1)),2)</f>
        <v>0.10000000000000009</v>
      </c>
      <c r="B261" s="7"/>
      <c r="C261" s="8">
        <v>43959</v>
      </c>
      <c r="D261" s="8"/>
      <c r="E261" s="1" t="s">
        <v>451</v>
      </c>
      <c r="F261" s="8">
        <f>IF(TimeEntry[[#This Row],[Date]]=0,F260,C261+(7-Q261))</f>
        <v>43961</v>
      </c>
      <c r="G261" s="35" t="str">
        <f>INDEX(projects[Charge_Code],MATCH(TimeEntry[[#This Row],[Project_ID]],projects[Project_ID],0))</f>
        <v>BANK HOLIDAY Bank Holiday</v>
      </c>
      <c r="H261" s="1" t="str">
        <f t="shared" si="7"/>
        <v>Normal Time</v>
      </c>
      <c r="I261" s="1"/>
      <c r="J261" s="15">
        <v>7.5</v>
      </c>
      <c r="K261" s="15"/>
      <c r="L261" s="15"/>
      <c r="M261" s="15"/>
      <c r="N261" s="15"/>
      <c r="O261" s="15" t="str">
        <f>INDEX(projects[job number],MATCH(TimeEntry[[#This Row],[Project_ID]], projects[Project_ID],0))</f>
        <v>BANK HOLIDAY</v>
      </c>
      <c r="P261" s="15" t="str">
        <f>INDEX(projects[Project_Name],MATCH(TimeEntry[[#This Row],[Project_ID]], projects[Project_ID],0))</f>
        <v>Bank Holiday</v>
      </c>
      <c r="Q261" s="6">
        <f>IF(TimeEntry[[#This Row],[Date]]=0,"",WEEKDAY(C261,2))</f>
        <v>5</v>
      </c>
      <c r="R261" s="9">
        <f>YEAR(TimeEntry[[#This Row],[WkEnd]])</f>
        <v>2020</v>
      </c>
      <c r="S261" s="9">
        <f>WEEKNUM(TimeEntry[[#This Row],[WkEnd]])</f>
        <v>20</v>
      </c>
      <c r="T261" s="9" t="str">
        <f>TimeEntry[[#This Row],[Year]]&amp;"-"&amp;TimeEntry[[#This Row],[WkNo]]</f>
        <v>2020-20</v>
      </c>
    </row>
    <row r="262" spans="1:20" x14ac:dyDescent="0.25">
      <c r="A262" s="6">
        <f>MOD(IF(ROW()=2,0.1,IF(INDEX(TimeEntry[WkEnd],ROW()-1)  =  INDEX(TimeEntry[WkEnd],ROW()-2),    INDEX(TimeEntry[format],ROW()-2),    INDEX(TimeEntry[format],ROW()-2)    +1)),2)</f>
        <v>0.10000000000000009</v>
      </c>
      <c r="B262" s="7"/>
      <c r="C262" s="8">
        <v>43958</v>
      </c>
      <c r="D262" s="8"/>
      <c r="E262" s="1" t="s">
        <v>442</v>
      </c>
      <c r="F262" s="8">
        <f>IF(TimeEntry[[#This Row],[Date]]=0,F261,C262+(7-Q262))</f>
        <v>43961</v>
      </c>
      <c r="G262" s="35" t="str">
        <f>INDEX(projects[Charge_Code],MATCH(TimeEntry[[#This Row],[Project_ID]],projects[Project_ID],0))</f>
        <v>210035-65 MC VBB WP1: DO-nota West (25-050)</v>
      </c>
      <c r="H262" s="1" t="str">
        <f t="shared" si="7"/>
        <v>Normal Time</v>
      </c>
      <c r="I262" s="1"/>
      <c r="J262" s="15">
        <v>7.5</v>
      </c>
      <c r="K262" s="15"/>
      <c r="L262" s="15"/>
      <c r="M262" s="15"/>
      <c r="N262" s="15"/>
      <c r="O262" s="15" t="str">
        <f>INDEX(projects[job number],MATCH(TimeEntry[[#This Row],[Project_ID]], projects[Project_ID],0))</f>
        <v>210035-65</v>
      </c>
      <c r="P262" s="15" t="str">
        <f>INDEX(projects[Project_Name],MATCH(TimeEntry[[#This Row],[Project_ID]], projects[Project_ID],0))</f>
        <v>MC VBB WP1: DO-nota West</v>
      </c>
      <c r="Q262" s="6">
        <f>IF(TimeEntry[[#This Row],[Date]]=0,"",WEEKDAY(C262,2))</f>
        <v>4</v>
      </c>
      <c r="R262" s="9">
        <f>YEAR(TimeEntry[[#This Row],[WkEnd]])</f>
        <v>2020</v>
      </c>
      <c r="S262" s="9">
        <f>WEEKNUM(TimeEntry[[#This Row],[WkEnd]])</f>
        <v>20</v>
      </c>
      <c r="T262" s="9" t="str">
        <f>TimeEntry[[#This Row],[Year]]&amp;"-"&amp;TimeEntry[[#This Row],[WkNo]]</f>
        <v>2020-20</v>
      </c>
    </row>
    <row r="263" spans="1:20" x14ac:dyDescent="0.25">
      <c r="A263" s="6">
        <f>MOD(IF(ROW()=2,0.1,IF(INDEX(TimeEntry[WkEnd],ROW()-1)  =  INDEX(TimeEntry[WkEnd],ROW()-2),    INDEX(TimeEntry[format],ROW()-2),    INDEX(TimeEntry[format],ROW()-2)    +1)),2)</f>
        <v>0.10000000000000009</v>
      </c>
      <c r="B263" s="7"/>
      <c r="C263" s="8">
        <v>43957</v>
      </c>
      <c r="D263" s="8"/>
      <c r="E263" s="1" t="s">
        <v>442</v>
      </c>
      <c r="F263" s="8">
        <f>IF(TimeEntry[[#This Row],[Date]]=0,F262,C263+(7-Q263))</f>
        <v>43961</v>
      </c>
      <c r="G263" s="35" t="str">
        <f>INDEX(projects[Charge_Code],MATCH(TimeEntry[[#This Row],[Project_ID]],projects[Project_ID],0))</f>
        <v>210035-65 MC VBB WP1: DO-nota West (25-050)</v>
      </c>
      <c r="H263" s="1" t="str">
        <f t="shared" si="7"/>
        <v>Normal Time</v>
      </c>
      <c r="I263" s="1"/>
      <c r="J263" s="15">
        <v>7.5</v>
      </c>
      <c r="K263" s="15"/>
      <c r="L263" s="15"/>
      <c r="M263" s="15"/>
      <c r="N263" s="15"/>
      <c r="O263" s="15" t="str">
        <f>INDEX(projects[job number],MATCH(TimeEntry[[#This Row],[Project_ID]], projects[Project_ID],0))</f>
        <v>210035-65</v>
      </c>
      <c r="P263" s="15" t="str">
        <f>INDEX(projects[Project_Name],MATCH(TimeEntry[[#This Row],[Project_ID]], projects[Project_ID],0))</f>
        <v>MC VBB WP1: DO-nota West</v>
      </c>
      <c r="Q263" s="6">
        <f>IF(TimeEntry[[#This Row],[Date]]=0,"",WEEKDAY(C263,2))</f>
        <v>3</v>
      </c>
      <c r="R263" s="9">
        <f>YEAR(TimeEntry[[#This Row],[WkEnd]])</f>
        <v>2020</v>
      </c>
      <c r="S263" s="9">
        <f>WEEKNUM(TimeEntry[[#This Row],[WkEnd]])</f>
        <v>20</v>
      </c>
      <c r="T263" s="9" t="str">
        <f>TimeEntry[[#This Row],[Year]]&amp;"-"&amp;TimeEntry[[#This Row],[WkNo]]</f>
        <v>2020-20</v>
      </c>
    </row>
    <row r="264" spans="1:20" x14ac:dyDescent="0.25">
      <c r="A264" s="6">
        <f>MOD(IF(ROW()=2,0.1,IF(INDEX(TimeEntry[WkEnd],ROW()-1)  =  INDEX(TimeEntry[WkEnd],ROW()-2),    INDEX(TimeEntry[format],ROW()-2),    INDEX(TimeEntry[format],ROW()-2)    +1)),2)</f>
        <v>0.10000000000000009</v>
      </c>
      <c r="B264" s="7"/>
      <c r="C264" s="8">
        <v>43956</v>
      </c>
      <c r="D264" s="8"/>
      <c r="E264" s="1" t="s">
        <v>442</v>
      </c>
      <c r="F264" s="8">
        <f>IF(TimeEntry[[#This Row],[Date]]=0,F263,C264+(7-Q264))</f>
        <v>43961</v>
      </c>
      <c r="G264" s="35" t="str">
        <f>INDEX(projects[Charge_Code],MATCH(TimeEntry[[#This Row],[Project_ID]],projects[Project_ID],0))</f>
        <v>210035-65 MC VBB WP1: DO-nota West (25-050)</v>
      </c>
      <c r="H264" s="1" t="str">
        <f t="shared" si="7"/>
        <v>Normal Time</v>
      </c>
      <c r="I264" s="1"/>
      <c r="J264" s="15">
        <v>7.5</v>
      </c>
      <c r="K264" s="15"/>
      <c r="L264" s="15"/>
      <c r="M264" s="15"/>
      <c r="N264" s="15"/>
      <c r="O264" s="15" t="str">
        <f>INDEX(projects[job number],MATCH(TimeEntry[[#This Row],[Project_ID]], projects[Project_ID],0))</f>
        <v>210035-65</v>
      </c>
      <c r="P264" s="15" t="str">
        <f>INDEX(projects[Project_Name],MATCH(TimeEntry[[#This Row],[Project_ID]], projects[Project_ID],0))</f>
        <v>MC VBB WP1: DO-nota West</v>
      </c>
      <c r="Q264" s="6">
        <f>IF(TimeEntry[[#This Row],[Date]]=0,"",WEEKDAY(C264,2))</f>
        <v>2</v>
      </c>
      <c r="R264" s="9">
        <f>YEAR(TimeEntry[[#This Row],[WkEnd]])</f>
        <v>2020</v>
      </c>
      <c r="S264" s="9">
        <f>WEEKNUM(TimeEntry[[#This Row],[WkEnd]])</f>
        <v>20</v>
      </c>
      <c r="T264" s="9" t="str">
        <f>TimeEntry[[#This Row],[Year]]&amp;"-"&amp;TimeEntry[[#This Row],[WkNo]]</f>
        <v>2020-20</v>
      </c>
    </row>
    <row r="265" spans="1:20" x14ac:dyDescent="0.25">
      <c r="A265" s="6">
        <f>MOD(IF(ROW()=2,0.1,IF(INDEX(TimeEntry[WkEnd],ROW()-1)  =  INDEX(TimeEntry[WkEnd],ROW()-2),    INDEX(TimeEntry[format],ROW()-2),    INDEX(TimeEntry[format],ROW()-2)    +1)),2)</f>
        <v>0.10000000000000009</v>
      </c>
      <c r="B265" s="7"/>
      <c r="C265" s="8">
        <v>43955</v>
      </c>
      <c r="D265" s="8"/>
      <c r="E265" s="1" t="s">
        <v>453</v>
      </c>
      <c r="F265" s="8">
        <f>IF(TimeEntry[[#This Row],[Date]]=0,F264,C265+(7-Q265))</f>
        <v>43961</v>
      </c>
      <c r="G265" s="35" t="str">
        <f>INDEX(projects[Charge_Code],MATCH(TimeEntry[[#This Row],[Project_ID]],projects[Project_ID],0))</f>
        <v>210035-64 VBB 3rd - new bridge VO</v>
      </c>
      <c r="H265" s="1" t="str">
        <f t="shared" si="7"/>
        <v>Normal Time</v>
      </c>
      <c r="I265" s="1"/>
      <c r="J265" s="15">
        <v>7.5</v>
      </c>
      <c r="K265" s="15"/>
      <c r="L265" s="15"/>
      <c r="M265" s="15"/>
      <c r="N265" s="15"/>
      <c r="O265" s="15" t="str">
        <f>INDEX(projects[job number],MATCH(TimeEntry[[#This Row],[Project_ID]], projects[Project_ID],0))</f>
        <v>210035-64</v>
      </c>
      <c r="P265" s="15" t="str">
        <f>INDEX(projects[Project_Name],MATCH(TimeEntry[[#This Row],[Project_ID]], projects[Project_ID],0))</f>
        <v>VBB 3rd - new bridge VO</v>
      </c>
      <c r="Q265" s="6">
        <f>IF(TimeEntry[[#This Row],[Date]]=0,"",WEEKDAY(C265,2))</f>
        <v>1</v>
      </c>
      <c r="R265" s="9">
        <f>YEAR(TimeEntry[[#This Row],[WkEnd]])</f>
        <v>2020</v>
      </c>
      <c r="S265" s="9">
        <f>WEEKNUM(TimeEntry[[#This Row],[WkEnd]])</f>
        <v>20</v>
      </c>
      <c r="T265" s="9" t="str">
        <f>TimeEntry[[#This Row],[Year]]&amp;"-"&amp;TimeEntry[[#This Row],[WkNo]]</f>
        <v>2020-20</v>
      </c>
    </row>
    <row r="266" spans="1:20" x14ac:dyDescent="0.25">
      <c r="A266" s="6">
        <f>MOD(IF(ROW()=2,0.1,IF(INDEX(TimeEntry[WkEnd],ROW()-1)  =  INDEX(TimeEntry[WkEnd],ROW()-2),    INDEX(TimeEntry[format],ROW()-2),    INDEX(TimeEntry[format],ROW()-2)    +1)),2)</f>
        <v>1.1000000000000001</v>
      </c>
      <c r="B266" s="7"/>
      <c r="C266" s="8">
        <v>43952</v>
      </c>
      <c r="D266" s="8"/>
      <c r="E266" s="1" t="s">
        <v>442</v>
      </c>
      <c r="F266" s="8">
        <f>IF(TimeEntry[[#This Row],[Date]]=0,F265,C266+(7-Q266))</f>
        <v>43954</v>
      </c>
      <c r="G266" s="35" t="str">
        <f>INDEX(projects[Charge_Code],MATCH(TimeEntry[[#This Row],[Project_ID]],projects[Project_ID],0))</f>
        <v>210035-65 MC VBB WP1: DO-nota West (25-050)</v>
      </c>
      <c r="H266" s="1" t="str">
        <f t="shared" si="7"/>
        <v>Normal Time</v>
      </c>
      <c r="I266" s="1"/>
      <c r="J266" s="15">
        <v>7.5</v>
      </c>
      <c r="K266" s="15"/>
      <c r="L266" s="15"/>
      <c r="M266" s="15"/>
      <c r="N266" s="15"/>
      <c r="O266" s="15" t="str">
        <f>INDEX(projects[job number],MATCH(TimeEntry[[#This Row],[Project_ID]], projects[Project_ID],0))</f>
        <v>210035-65</v>
      </c>
      <c r="P266" s="15" t="str">
        <f>INDEX(projects[Project_Name],MATCH(TimeEntry[[#This Row],[Project_ID]], projects[Project_ID],0))</f>
        <v>MC VBB WP1: DO-nota West</v>
      </c>
      <c r="Q266" s="6">
        <f>IF(TimeEntry[[#This Row],[Date]]=0,"",WEEKDAY(C266,2))</f>
        <v>5</v>
      </c>
      <c r="R266" s="9">
        <f>YEAR(TimeEntry[[#This Row],[WkEnd]])</f>
        <v>2020</v>
      </c>
      <c r="S266" s="9">
        <f>WEEKNUM(TimeEntry[[#This Row],[WkEnd]])</f>
        <v>19</v>
      </c>
      <c r="T266" s="9" t="str">
        <f>TimeEntry[[#This Row],[Year]]&amp;"-"&amp;TimeEntry[[#This Row],[WkNo]]</f>
        <v>2020-19</v>
      </c>
    </row>
    <row r="267" spans="1:20" x14ac:dyDescent="0.25">
      <c r="A267" s="6">
        <f>MOD(IF(ROW()=2,0.1,IF(INDEX(TimeEntry[WkEnd],ROW()-1)  =  INDEX(TimeEntry[WkEnd],ROW()-2),    INDEX(TimeEntry[format],ROW()-2),    INDEX(TimeEntry[format],ROW()-2)    +1)),2)</f>
        <v>1.1000000000000001</v>
      </c>
      <c r="B267" s="7"/>
      <c r="C267" s="8">
        <v>43951</v>
      </c>
      <c r="D267" s="8"/>
      <c r="E267" s="1" t="s">
        <v>442</v>
      </c>
      <c r="F267" s="8">
        <f>IF(TimeEntry[[#This Row],[Date]]=0,F266,C267+(7-Q267))</f>
        <v>43954</v>
      </c>
      <c r="G267" s="35" t="str">
        <f>INDEX(projects[Charge_Code],MATCH(TimeEntry[[#This Row],[Project_ID]],projects[Project_ID],0))</f>
        <v>210035-65 MC VBB WP1: DO-nota West (25-050)</v>
      </c>
      <c r="H267" s="1" t="str">
        <f t="shared" si="7"/>
        <v>Normal Time</v>
      </c>
      <c r="I267" s="1"/>
      <c r="J267" s="15">
        <v>7.5</v>
      </c>
      <c r="K267" s="15"/>
      <c r="L267" s="15"/>
      <c r="M267" s="15"/>
      <c r="N267" s="15"/>
      <c r="O267" s="15" t="str">
        <f>INDEX(projects[job number],MATCH(TimeEntry[[#This Row],[Project_ID]], projects[Project_ID],0))</f>
        <v>210035-65</v>
      </c>
      <c r="P267" s="15" t="str">
        <f>INDEX(projects[Project_Name],MATCH(TimeEntry[[#This Row],[Project_ID]], projects[Project_ID],0))</f>
        <v>MC VBB WP1: DO-nota West</v>
      </c>
      <c r="Q267" s="6">
        <f>IF(TimeEntry[[#This Row],[Date]]=0,"",WEEKDAY(C267,2))</f>
        <v>4</v>
      </c>
      <c r="R267" s="9">
        <f>YEAR(TimeEntry[[#This Row],[WkEnd]])</f>
        <v>2020</v>
      </c>
      <c r="S267" s="9">
        <f>WEEKNUM(TimeEntry[[#This Row],[WkEnd]])</f>
        <v>19</v>
      </c>
      <c r="T267" s="9" t="str">
        <f>TimeEntry[[#This Row],[Year]]&amp;"-"&amp;TimeEntry[[#This Row],[WkNo]]</f>
        <v>2020-19</v>
      </c>
    </row>
    <row r="268" spans="1:20" x14ac:dyDescent="0.25">
      <c r="A268" s="6">
        <f>MOD(IF(ROW()=2,0.1,IF(INDEX(TimeEntry[WkEnd],ROW()-1)  =  INDEX(TimeEntry[WkEnd],ROW()-2),    INDEX(TimeEntry[format],ROW()-2),    INDEX(TimeEntry[format],ROW()-2)    +1)),2)</f>
        <v>1.1000000000000001</v>
      </c>
      <c r="B268" s="7"/>
      <c r="C268" s="8">
        <v>43950</v>
      </c>
      <c r="D268" s="8"/>
      <c r="E268" s="1" t="s">
        <v>442</v>
      </c>
      <c r="F268" s="8">
        <f>IF(TimeEntry[[#This Row],[Date]]=0,F267,C268+(7-Q268))</f>
        <v>43954</v>
      </c>
      <c r="G268" s="35" t="str">
        <f>INDEX(projects[Charge_Code],MATCH(TimeEntry[[#This Row],[Project_ID]],projects[Project_ID],0))</f>
        <v>210035-65 MC VBB WP1: DO-nota West (25-050)</v>
      </c>
      <c r="H268" s="1" t="str">
        <f t="shared" si="7"/>
        <v>Normal Time</v>
      </c>
      <c r="I268" s="1"/>
      <c r="J268" s="15">
        <v>7.5</v>
      </c>
      <c r="K268" s="15"/>
      <c r="L268" s="15"/>
      <c r="M268" s="15"/>
      <c r="N268" s="15"/>
      <c r="O268" s="15" t="str">
        <f>INDEX(projects[job number],MATCH(TimeEntry[[#This Row],[Project_ID]], projects[Project_ID],0))</f>
        <v>210035-65</v>
      </c>
      <c r="P268" s="15" t="str">
        <f>INDEX(projects[Project_Name],MATCH(TimeEntry[[#This Row],[Project_ID]], projects[Project_ID],0))</f>
        <v>MC VBB WP1: DO-nota West</v>
      </c>
      <c r="Q268" s="6">
        <f>IF(TimeEntry[[#This Row],[Date]]=0,"",WEEKDAY(C268,2))</f>
        <v>3</v>
      </c>
      <c r="R268" s="9">
        <f>YEAR(TimeEntry[[#This Row],[WkEnd]])</f>
        <v>2020</v>
      </c>
      <c r="S268" s="9">
        <f>WEEKNUM(TimeEntry[[#This Row],[WkEnd]])</f>
        <v>19</v>
      </c>
      <c r="T268" s="9" t="str">
        <f>TimeEntry[[#This Row],[Year]]&amp;"-"&amp;TimeEntry[[#This Row],[WkNo]]</f>
        <v>2020-19</v>
      </c>
    </row>
    <row r="269" spans="1:20" x14ac:dyDescent="0.25">
      <c r="A269" s="6">
        <f>MOD(IF(ROW()=2,0.1,IF(INDEX(TimeEntry[WkEnd],ROW()-1)  =  INDEX(TimeEntry[WkEnd],ROW()-2),    INDEX(TimeEntry[format],ROW()-2),    INDEX(TimeEntry[format],ROW()-2)    +1)),2)</f>
        <v>1.1000000000000001</v>
      </c>
      <c r="B269" s="7"/>
      <c r="C269" s="8">
        <v>43949</v>
      </c>
      <c r="D269" s="8"/>
      <c r="E269" s="1" t="s">
        <v>442</v>
      </c>
      <c r="F269" s="8">
        <f>IF(TimeEntry[[#This Row],[Date]]=0,F268,C269+(7-Q269))</f>
        <v>43954</v>
      </c>
      <c r="G269" s="35" t="str">
        <f>INDEX(projects[Charge_Code],MATCH(TimeEntry[[#This Row],[Project_ID]],projects[Project_ID],0))</f>
        <v>210035-65 MC VBB WP1: DO-nota West (25-050)</v>
      </c>
      <c r="H269" s="1" t="str">
        <f t="shared" si="7"/>
        <v>Normal Time</v>
      </c>
      <c r="I269" s="1"/>
      <c r="J269" s="15">
        <v>7.5</v>
      </c>
      <c r="K269" s="15"/>
      <c r="L269" s="15"/>
      <c r="M269" s="15"/>
      <c r="N269" s="15"/>
      <c r="O269" s="15" t="str">
        <f>INDEX(projects[job number],MATCH(TimeEntry[[#This Row],[Project_ID]], projects[Project_ID],0))</f>
        <v>210035-65</v>
      </c>
      <c r="P269" s="15" t="str">
        <f>INDEX(projects[Project_Name],MATCH(TimeEntry[[#This Row],[Project_ID]], projects[Project_ID],0))</f>
        <v>MC VBB WP1: DO-nota West</v>
      </c>
      <c r="Q269" s="6">
        <f>IF(TimeEntry[[#This Row],[Date]]=0,"",WEEKDAY(C269,2))</f>
        <v>2</v>
      </c>
      <c r="R269" s="9">
        <f>YEAR(TimeEntry[[#This Row],[WkEnd]])</f>
        <v>2020</v>
      </c>
      <c r="S269" s="9">
        <f>WEEKNUM(TimeEntry[[#This Row],[WkEnd]])</f>
        <v>19</v>
      </c>
      <c r="T269" s="9" t="str">
        <f>TimeEntry[[#This Row],[Year]]&amp;"-"&amp;TimeEntry[[#This Row],[WkNo]]</f>
        <v>2020-19</v>
      </c>
    </row>
    <row r="270" spans="1:20" x14ac:dyDescent="0.25">
      <c r="A270" s="6">
        <f>MOD(IF(ROW()=2,0.1,IF(INDEX(TimeEntry[WkEnd],ROW()-1)  =  INDEX(TimeEntry[WkEnd],ROW()-2),    INDEX(TimeEntry[format],ROW()-2),    INDEX(TimeEntry[format],ROW()-2)    +1)),2)</f>
        <v>1.1000000000000001</v>
      </c>
      <c r="B270" s="7"/>
      <c r="C270" s="8">
        <v>43948</v>
      </c>
      <c r="D270" s="8"/>
      <c r="E270" s="1" t="s">
        <v>442</v>
      </c>
      <c r="F270" s="8">
        <f>IF(TimeEntry[[#This Row],[Date]]=0,F269,C270+(7-Q270))</f>
        <v>43954</v>
      </c>
      <c r="G270" s="35" t="str">
        <f>INDEX(projects[Charge_Code],MATCH(TimeEntry[[#This Row],[Project_ID]],projects[Project_ID],0))</f>
        <v>210035-65 MC VBB WP1: DO-nota West (25-050)</v>
      </c>
      <c r="H270" s="1" t="str">
        <f t="shared" si="7"/>
        <v>Normal Time</v>
      </c>
      <c r="I270" s="1"/>
      <c r="J270" s="15">
        <v>7.5</v>
      </c>
      <c r="K270" s="15"/>
      <c r="L270" s="15"/>
      <c r="M270" s="15"/>
      <c r="N270" s="15"/>
      <c r="O270" s="15" t="str">
        <f>INDEX(projects[job number],MATCH(TimeEntry[[#This Row],[Project_ID]], projects[Project_ID],0))</f>
        <v>210035-65</v>
      </c>
      <c r="P270" s="15" t="str">
        <f>INDEX(projects[Project_Name],MATCH(TimeEntry[[#This Row],[Project_ID]], projects[Project_ID],0))</f>
        <v>MC VBB WP1: DO-nota West</v>
      </c>
      <c r="Q270" s="6">
        <f>IF(TimeEntry[[#This Row],[Date]]=0,"",WEEKDAY(C270,2))</f>
        <v>1</v>
      </c>
      <c r="R270" s="9">
        <f>YEAR(TimeEntry[[#This Row],[WkEnd]])</f>
        <v>2020</v>
      </c>
      <c r="S270" s="9">
        <f>WEEKNUM(TimeEntry[[#This Row],[WkEnd]])</f>
        <v>19</v>
      </c>
      <c r="T270" s="9" t="str">
        <f>TimeEntry[[#This Row],[Year]]&amp;"-"&amp;TimeEntry[[#This Row],[WkNo]]</f>
        <v>2020-19</v>
      </c>
    </row>
    <row r="271" spans="1:20" x14ac:dyDescent="0.25">
      <c r="A271" s="6">
        <f>MOD(IF(ROW()=2,0.1,IF(INDEX(TimeEntry[WkEnd],ROW()-1)  =  INDEX(TimeEntry[WkEnd],ROW()-2),    INDEX(TimeEntry[format],ROW()-2),    INDEX(TimeEntry[format],ROW()-2)    +1)),2)</f>
        <v>0.10000000000000009</v>
      </c>
      <c r="B271" s="7"/>
      <c r="C271" s="8">
        <v>43945</v>
      </c>
      <c r="D271" s="8"/>
      <c r="E271" s="1" t="s">
        <v>453</v>
      </c>
      <c r="F271" s="8">
        <f>IF(TimeEntry[[#This Row],[Date]]=0,F270,C271+(7-Q271))</f>
        <v>43947</v>
      </c>
      <c r="G271" s="35" t="str">
        <f>INDEX(projects[Charge_Code],MATCH(TimeEntry[[#This Row],[Project_ID]],projects[Project_ID],0))</f>
        <v>210035-64 VBB 3rd - new bridge VO</v>
      </c>
      <c r="H271" s="1" t="str">
        <f t="shared" si="7"/>
        <v>Normal Time</v>
      </c>
      <c r="I271" s="1"/>
      <c r="J271" s="15">
        <v>7.5</v>
      </c>
      <c r="K271" s="15"/>
      <c r="L271" s="15"/>
      <c r="M271" s="15"/>
      <c r="N271" s="15"/>
      <c r="O271" s="15" t="str">
        <f>INDEX(projects[job number],MATCH(TimeEntry[[#This Row],[Project_ID]], projects[Project_ID],0))</f>
        <v>210035-64</v>
      </c>
      <c r="P271" s="15" t="str">
        <f>INDEX(projects[Project_Name],MATCH(TimeEntry[[#This Row],[Project_ID]], projects[Project_ID],0))</f>
        <v>VBB 3rd - new bridge VO</v>
      </c>
      <c r="Q271" s="6">
        <f>IF(TimeEntry[[#This Row],[Date]]=0,"",WEEKDAY(C271,2))</f>
        <v>5</v>
      </c>
      <c r="R271" s="9">
        <f>YEAR(TimeEntry[[#This Row],[WkEnd]])</f>
        <v>2020</v>
      </c>
      <c r="S271" s="9">
        <f>WEEKNUM(TimeEntry[[#This Row],[WkEnd]])</f>
        <v>18</v>
      </c>
      <c r="T271" s="9" t="str">
        <f>TimeEntry[[#This Row],[Year]]&amp;"-"&amp;TimeEntry[[#This Row],[WkNo]]</f>
        <v>2020-18</v>
      </c>
    </row>
    <row r="272" spans="1:20" x14ac:dyDescent="0.25">
      <c r="A272" s="6">
        <f>MOD(IF(ROW()=2,0.1,IF(INDEX(TimeEntry[WkEnd],ROW()-1)  =  INDEX(TimeEntry[WkEnd],ROW()-2),    INDEX(TimeEntry[format],ROW()-2),    INDEX(TimeEntry[format],ROW()-2)    +1)),2)</f>
        <v>0.10000000000000009</v>
      </c>
      <c r="B272" s="7"/>
      <c r="C272" s="8">
        <v>43944</v>
      </c>
      <c r="D272" s="8"/>
      <c r="E272" s="1" t="s">
        <v>445</v>
      </c>
      <c r="F272" s="8">
        <f>IF(TimeEntry[[#This Row],[Date]]=0,F271,C272+(7-Q272))</f>
        <v>43947</v>
      </c>
      <c r="G272" s="35" t="str">
        <f>INDEX(projects[Charge_Code],MATCH(TimeEntry[[#This Row],[Project_ID]],projects[Project_ID],0))</f>
        <v>LEAVE</v>
      </c>
      <c r="H272" s="1" t="str">
        <f t="shared" si="7"/>
        <v>Normal Time</v>
      </c>
      <c r="I272" s="1"/>
      <c r="J272" s="15">
        <v>3.75</v>
      </c>
      <c r="K272" s="15"/>
      <c r="L272" s="15"/>
      <c r="M272" s="15"/>
      <c r="N272" s="15"/>
      <c r="O272" s="15" t="str">
        <f>INDEX(projects[job number],MATCH(TimeEntry[[#This Row],[Project_ID]], projects[Project_ID],0))</f>
        <v>LEAVE</v>
      </c>
      <c r="P272" s="15">
        <f>INDEX(projects[Project_Name],MATCH(TimeEntry[[#This Row],[Project_ID]], projects[Project_ID],0))</f>
        <v>0</v>
      </c>
      <c r="Q272" s="6">
        <f>IF(TimeEntry[[#This Row],[Date]]=0,"",WEEKDAY(C272,2))</f>
        <v>4</v>
      </c>
      <c r="R272" s="9">
        <f>YEAR(TimeEntry[[#This Row],[WkEnd]])</f>
        <v>2020</v>
      </c>
      <c r="S272" s="9">
        <f>WEEKNUM(TimeEntry[[#This Row],[WkEnd]])</f>
        <v>18</v>
      </c>
      <c r="T272" s="9" t="str">
        <f>TimeEntry[[#This Row],[Year]]&amp;"-"&amp;TimeEntry[[#This Row],[WkNo]]</f>
        <v>2020-18</v>
      </c>
    </row>
    <row r="273" spans="1:20" x14ac:dyDescent="0.25">
      <c r="A273" s="6">
        <f>MOD(IF(ROW()=2,0.1,IF(INDEX(TimeEntry[WkEnd],ROW()-1)  =  INDEX(TimeEntry[WkEnd],ROW()-2),    INDEX(TimeEntry[format],ROW()-2),    INDEX(TimeEntry[format],ROW()-2)    +1)),2)</f>
        <v>0.10000000000000009</v>
      </c>
      <c r="B273" s="7"/>
      <c r="C273" s="8">
        <v>43944</v>
      </c>
      <c r="D273" s="8"/>
      <c r="E273" s="1" t="s">
        <v>453</v>
      </c>
      <c r="F273" s="8">
        <f>IF(TimeEntry[[#This Row],[Date]]=0,F272,C273+(7-Q273))</f>
        <v>43947</v>
      </c>
      <c r="G273" s="35" t="str">
        <f>INDEX(projects[Charge_Code],MATCH(TimeEntry[[#This Row],[Project_ID]],projects[Project_ID],0))</f>
        <v>210035-64 VBB 3rd - new bridge VO</v>
      </c>
      <c r="H273" s="1" t="str">
        <f t="shared" si="7"/>
        <v>Normal Time</v>
      </c>
      <c r="I273" s="1"/>
      <c r="J273" s="15">
        <v>3.75</v>
      </c>
      <c r="K273" s="15"/>
      <c r="L273" s="15"/>
      <c r="M273" s="15"/>
      <c r="N273" s="15"/>
      <c r="O273" s="15" t="str">
        <f>INDEX(projects[job number],MATCH(TimeEntry[[#This Row],[Project_ID]], projects[Project_ID],0))</f>
        <v>210035-64</v>
      </c>
      <c r="P273" s="15" t="str">
        <f>INDEX(projects[Project_Name],MATCH(TimeEntry[[#This Row],[Project_ID]], projects[Project_ID],0))</f>
        <v>VBB 3rd - new bridge VO</v>
      </c>
      <c r="Q273" s="6">
        <f>IF(TimeEntry[[#This Row],[Date]]=0,"",WEEKDAY(C273,2))</f>
        <v>4</v>
      </c>
      <c r="R273" s="9">
        <f>YEAR(TimeEntry[[#This Row],[WkEnd]])</f>
        <v>2020</v>
      </c>
      <c r="S273" s="9">
        <f>WEEKNUM(TimeEntry[[#This Row],[WkEnd]])</f>
        <v>18</v>
      </c>
      <c r="T273" s="9" t="str">
        <f>TimeEntry[[#This Row],[Year]]&amp;"-"&amp;TimeEntry[[#This Row],[WkNo]]</f>
        <v>2020-18</v>
      </c>
    </row>
    <row r="274" spans="1:20" x14ac:dyDescent="0.25">
      <c r="A274" s="6">
        <f>MOD(IF(ROW()=2,0.1,IF(INDEX(TimeEntry[WkEnd],ROW()-1)  =  INDEX(TimeEntry[WkEnd],ROW()-2),    INDEX(TimeEntry[format],ROW()-2),    INDEX(TimeEntry[format],ROW()-2)    +1)),2)</f>
        <v>0.10000000000000009</v>
      </c>
      <c r="B274" s="7"/>
      <c r="C274" s="8">
        <v>43943</v>
      </c>
      <c r="D274" s="8"/>
      <c r="E274" s="1" t="s">
        <v>453</v>
      </c>
      <c r="F274" s="8">
        <f>IF(TimeEntry[[#This Row],[Date]]=0,F273,C274+(7-Q274))</f>
        <v>43947</v>
      </c>
      <c r="G274" s="35" t="str">
        <f>INDEX(projects[Charge_Code],MATCH(TimeEntry[[#This Row],[Project_ID]],projects[Project_ID],0))</f>
        <v>210035-64 VBB 3rd - new bridge VO</v>
      </c>
      <c r="H274" s="1" t="str">
        <f t="shared" si="7"/>
        <v>Normal Time</v>
      </c>
      <c r="I274" s="1"/>
      <c r="J274" s="15">
        <v>1</v>
      </c>
      <c r="K274" s="15"/>
      <c r="L274" s="15"/>
      <c r="M274" s="15"/>
      <c r="N274" s="15"/>
      <c r="O274" s="15" t="str">
        <f>INDEX(projects[job number],MATCH(TimeEntry[[#This Row],[Project_ID]], projects[Project_ID],0))</f>
        <v>210035-64</v>
      </c>
      <c r="P274" s="15" t="str">
        <f>INDEX(projects[Project_Name],MATCH(TimeEntry[[#This Row],[Project_ID]], projects[Project_ID],0))</f>
        <v>VBB 3rd - new bridge VO</v>
      </c>
      <c r="Q274" s="6">
        <f>IF(TimeEntry[[#This Row],[Date]]=0,"",WEEKDAY(C274,2))</f>
        <v>3</v>
      </c>
      <c r="R274" s="9">
        <f>YEAR(TimeEntry[[#This Row],[WkEnd]])</f>
        <v>2020</v>
      </c>
      <c r="S274" s="9">
        <f>WEEKNUM(TimeEntry[[#This Row],[WkEnd]])</f>
        <v>18</v>
      </c>
      <c r="T274" s="9" t="str">
        <f>TimeEntry[[#This Row],[Year]]&amp;"-"&amp;TimeEntry[[#This Row],[WkNo]]</f>
        <v>2020-18</v>
      </c>
    </row>
    <row r="275" spans="1:20" x14ac:dyDescent="0.25">
      <c r="A275" s="6">
        <f>MOD(IF(ROW()=2,0.1,IF(INDEX(TimeEntry[WkEnd],ROW()-1)  =  INDEX(TimeEntry[WkEnd],ROW()-2),    INDEX(TimeEntry[format],ROW()-2),    INDEX(TimeEntry[format],ROW()-2)    +1)),2)</f>
        <v>0.10000000000000009</v>
      </c>
      <c r="B275" s="7"/>
      <c r="C275" s="8">
        <v>43943</v>
      </c>
      <c r="D275" s="8"/>
      <c r="E275" s="1" t="s">
        <v>453</v>
      </c>
      <c r="F275" s="8">
        <f>IF(TimeEntry[[#This Row],[Date]]=0,F274,C275+(7-Q275))</f>
        <v>43947</v>
      </c>
      <c r="G275" s="35" t="str">
        <f>INDEX(projects[Charge_Code],MATCH(TimeEntry[[#This Row],[Project_ID]],projects[Project_ID],0))</f>
        <v>210035-64 VBB 3rd - new bridge VO</v>
      </c>
      <c r="H275" s="1" t="str">
        <f t="shared" si="7"/>
        <v>Normal Time</v>
      </c>
      <c r="I275" s="1"/>
      <c r="J275" s="15">
        <v>6.5</v>
      </c>
      <c r="K275" s="15"/>
      <c r="L275" s="15"/>
      <c r="M275" s="15"/>
      <c r="N275" s="15"/>
      <c r="O275" s="15" t="str">
        <f>INDEX(projects[job number],MATCH(TimeEntry[[#This Row],[Project_ID]], projects[Project_ID],0))</f>
        <v>210035-64</v>
      </c>
      <c r="P275" s="15" t="str">
        <f>INDEX(projects[Project_Name],MATCH(TimeEntry[[#This Row],[Project_ID]], projects[Project_ID],0))</f>
        <v>VBB 3rd - new bridge VO</v>
      </c>
      <c r="Q275" s="6">
        <f>IF(TimeEntry[[#This Row],[Date]]=0,"",WEEKDAY(C275,2))</f>
        <v>3</v>
      </c>
      <c r="R275" s="9">
        <f>YEAR(TimeEntry[[#This Row],[WkEnd]])</f>
        <v>2020</v>
      </c>
      <c r="S275" s="9">
        <f>WEEKNUM(TimeEntry[[#This Row],[WkEnd]])</f>
        <v>18</v>
      </c>
      <c r="T275" s="9" t="str">
        <f>TimeEntry[[#This Row],[Year]]&amp;"-"&amp;TimeEntry[[#This Row],[WkNo]]</f>
        <v>2020-18</v>
      </c>
    </row>
    <row r="276" spans="1:20" x14ac:dyDescent="0.25">
      <c r="A276" s="6">
        <f>MOD(IF(ROW()=2,0.1,IF(INDEX(TimeEntry[WkEnd],ROW()-1)  =  INDEX(TimeEntry[WkEnd],ROW()-2),    INDEX(TimeEntry[format],ROW()-2),    INDEX(TimeEntry[format],ROW()-2)    +1)),2)</f>
        <v>0.10000000000000009</v>
      </c>
      <c r="B276" s="7"/>
      <c r="C276" s="8">
        <v>43942</v>
      </c>
      <c r="D276" s="8"/>
      <c r="E276" s="1" t="s">
        <v>453</v>
      </c>
      <c r="F276" s="8">
        <f>IF(TimeEntry[[#This Row],[Date]]=0,F275,C276+(7-Q276))</f>
        <v>43947</v>
      </c>
      <c r="G276" s="35" t="str">
        <f>INDEX(projects[Charge_Code],MATCH(TimeEntry[[#This Row],[Project_ID]],projects[Project_ID],0))</f>
        <v>210035-64 VBB 3rd - new bridge VO</v>
      </c>
      <c r="H276" s="1" t="str">
        <f t="shared" si="7"/>
        <v>Normal Time</v>
      </c>
      <c r="I276" s="1"/>
      <c r="J276" s="15">
        <v>7.5</v>
      </c>
      <c r="K276" s="15"/>
      <c r="L276" s="15"/>
      <c r="M276" s="15"/>
      <c r="N276" s="15"/>
      <c r="O276" s="15" t="str">
        <f>INDEX(projects[job number],MATCH(TimeEntry[[#This Row],[Project_ID]], projects[Project_ID],0))</f>
        <v>210035-64</v>
      </c>
      <c r="P276" s="15" t="str">
        <f>INDEX(projects[Project_Name],MATCH(TimeEntry[[#This Row],[Project_ID]], projects[Project_ID],0))</f>
        <v>VBB 3rd - new bridge VO</v>
      </c>
      <c r="Q276" s="6">
        <f>IF(TimeEntry[[#This Row],[Date]]=0,"",WEEKDAY(C276,2))</f>
        <v>2</v>
      </c>
      <c r="R276" s="9">
        <f>YEAR(TimeEntry[[#This Row],[WkEnd]])</f>
        <v>2020</v>
      </c>
      <c r="S276" s="9">
        <f>WEEKNUM(TimeEntry[[#This Row],[WkEnd]])</f>
        <v>18</v>
      </c>
      <c r="T276" s="9" t="str">
        <f>TimeEntry[[#This Row],[Year]]&amp;"-"&amp;TimeEntry[[#This Row],[WkNo]]</f>
        <v>2020-18</v>
      </c>
    </row>
    <row r="277" spans="1:20" x14ac:dyDescent="0.25">
      <c r="A277" s="6">
        <f>MOD(IF(ROW()=2,0.1,IF(INDEX(TimeEntry[WkEnd],ROW()-1)  =  INDEX(TimeEntry[WkEnd],ROW()-2),    INDEX(TimeEntry[format],ROW()-2),    INDEX(TimeEntry[format],ROW()-2)    +1)),2)</f>
        <v>0.10000000000000009</v>
      </c>
      <c r="B277" s="7"/>
      <c r="C277" s="8">
        <v>43941</v>
      </c>
      <c r="D277" s="8"/>
      <c r="E277" s="1" t="s">
        <v>453</v>
      </c>
      <c r="F277" s="8">
        <f>IF(TimeEntry[[#This Row],[Date]]=0,F276,C277+(7-Q277))</f>
        <v>43947</v>
      </c>
      <c r="G277" s="35" t="str">
        <f>INDEX(projects[Charge_Code],MATCH(TimeEntry[[#This Row],[Project_ID]],projects[Project_ID],0))</f>
        <v>210035-64 VBB 3rd - new bridge VO</v>
      </c>
      <c r="H277" s="1" t="str">
        <f t="shared" si="7"/>
        <v>Normal Time</v>
      </c>
      <c r="I277" s="1"/>
      <c r="J277" s="15">
        <v>7.5</v>
      </c>
      <c r="K277" s="15"/>
      <c r="L277" s="15"/>
      <c r="M277" s="15"/>
      <c r="N277" s="15"/>
      <c r="O277" s="15" t="str">
        <f>INDEX(projects[job number],MATCH(TimeEntry[[#This Row],[Project_ID]], projects[Project_ID],0))</f>
        <v>210035-64</v>
      </c>
      <c r="P277" s="15" t="str">
        <f>INDEX(projects[Project_Name],MATCH(TimeEntry[[#This Row],[Project_ID]], projects[Project_ID],0))</f>
        <v>VBB 3rd - new bridge VO</v>
      </c>
      <c r="Q277" s="6">
        <f>IF(TimeEntry[[#This Row],[Date]]=0,"",WEEKDAY(C277,2))</f>
        <v>1</v>
      </c>
      <c r="R277" s="9">
        <f>YEAR(TimeEntry[[#This Row],[WkEnd]])</f>
        <v>2020</v>
      </c>
      <c r="S277" s="9">
        <f>WEEKNUM(TimeEntry[[#This Row],[WkEnd]])</f>
        <v>18</v>
      </c>
      <c r="T277" s="9" t="str">
        <f>TimeEntry[[#This Row],[Year]]&amp;"-"&amp;TimeEntry[[#This Row],[WkNo]]</f>
        <v>2020-18</v>
      </c>
    </row>
    <row r="278" spans="1:20" x14ac:dyDescent="0.25">
      <c r="A278" s="6">
        <f>MOD(IF(ROW()=2,0.1,IF(INDEX(TimeEntry[WkEnd],ROW()-1)  =  INDEX(TimeEntry[WkEnd],ROW()-2),    INDEX(TimeEntry[format],ROW()-2),    INDEX(TimeEntry[format],ROW()-2)    +1)),2)</f>
        <v>1.1000000000000001</v>
      </c>
      <c r="B278" s="7"/>
      <c r="C278" s="8">
        <v>43938</v>
      </c>
      <c r="D278" s="8"/>
      <c r="E278" s="1" t="s">
        <v>453</v>
      </c>
      <c r="F278" s="8">
        <f>IF(TimeEntry[[#This Row],[Date]]=0,F277,C278+(7-Q278))</f>
        <v>43940</v>
      </c>
      <c r="G278" s="35" t="str">
        <f>INDEX(projects[Charge_Code],MATCH(TimeEntry[[#This Row],[Project_ID]],projects[Project_ID],0))</f>
        <v>210035-64 VBB 3rd - new bridge VO</v>
      </c>
      <c r="H278" s="1" t="str">
        <f t="shared" si="7"/>
        <v>Normal Time</v>
      </c>
      <c r="I278" s="1"/>
      <c r="J278" s="15">
        <v>7.5</v>
      </c>
      <c r="K278" s="15"/>
      <c r="L278" s="15"/>
      <c r="M278" s="15"/>
      <c r="N278" s="15"/>
      <c r="O278" s="15" t="str">
        <f>INDEX(projects[job number],MATCH(TimeEntry[[#This Row],[Project_ID]], projects[Project_ID],0))</f>
        <v>210035-64</v>
      </c>
      <c r="P278" s="15" t="str">
        <f>INDEX(projects[Project_Name],MATCH(TimeEntry[[#This Row],[Project_ID]], projects[Project_ID],0))</f>
        <v>VBB 3rd - new bridge VO</v>
      </c>
      <c r="Q278" s="6">
        <f>IF(TimeEntry[[#This Row],[Date]]=0,"",WEEKDAY(C278,2))</f>
        <v>5</v>
      </c>
      <c r="R278" s="9">
        <f>YEAR(TimeEntry[[#This Row],[WkEnd]])</f>
        <v>2020</v>
      </c>
      <c r="S278" s="9">
        <f>WEEKNUM(TimeEntry[[#This Row],[WkEnd]])</f>
        <v>17</v>
      </c>
      <c r="T278" s="9" t="str">
        <f>TimeEntry[[#This Row],[Year]]&amp;"-"&amp;TimeEntry[[#This Row],[WkNo]]</f>
        <v>2020-17</v>
      </c>
    </row>
    <row r="279" spans="1:20" x14ac:dyDescent="0.25">
      <c r="A279" s="6">
        <f>MOD(IF(ROW()=2,0.1,IF(INDEX(TimeEntry[WkEnd],ROW()-1)  =  INDEX(TimeEntry[WkEnd],ROW()-2),    INDEX(TimeEntry[format],ROW()-2),    INDEX(TimeEntry[format],ROW()-2)    +1)),2)</f>
        <v>1.1000000000000001</v>
      </c>
      <c r="B279" s="7"/>
      <c r="C279" s="8">
        <v>43937</v>
      </c>
      <c r="D279" s="8"/>
      <c r="E279" s="1" t="s">
        <v>453</v>
      </c>
      <c r="F279" s="8">
        <f>IF(TimeEntry[[#This Row],[Date]]=0,F278,C279+(7-Q279))</f>
        <v>43940</v>
      </c>
      <c r="G279" s="35" t="str">
        <f>INDEX(projects[Charge_Code],MATCH(TimeEntry[[#This Row],[Project_ID]],projects[Project_ID],0))</f>
        <v>210035-64 VBB 3rd - new bridge VO</v>
      </c>
      <c r="H279" s="1" t="str">
        <f t="shared" si="7"/>
        <v>Normal Time</v>
      </c>
      <c r="I279" s="1"/>
      <c r="J279" s="15">
        <v>7.5</v>
      </c>
      <c r="K279" s="15"/>
      <c r="L279" s="15"/>
      <c r="M279" s="15"/>
      <c r="N279" s="15"/>
      <c r="O279" s="15" t="str">
        <f>INDEX(projects[job number],MATCH(TimeEntry[[#This Row],[Project_ID]], projects[Project_ID],0))</f>
        <v>210035-64</v>
      </c>
      <c r="P279" s="15" t="str">
        <f>INDEX(projects[Project_Name],MATCH(TimeEntry[[#This Row],[Project_ID]], projects[Project_ID],0))</f>
        <v>VBB 3rd - new bridge VO</v>
      </c>
      <c r="Q279" s="6">
        <f>IF(TimeEntry[[#This Row],[Date]]=0,"",WEEKDAY(C279,2))</f>
        <v>4</v>
      </c>
      <c r="R279" s="9">
        <f>YEAR(TimeEntry[[#This Row],[WkEnd]])</f>
        <v>2020</v>
      </c>
      <c r="S279" s="9">
        <f>WEEKNUM(TimeEntry[[#This Row],[WkEnd]])</f>
        <v>17</v>
      </c>
      <c r="T279" s="9" t="str">
        <f>TimeEntry[[#This Row],[Year]]&amp;"-"&amp;TimeEntry[[#This Row],[WkNo]]</f>
        <v>2020-17</v>
      </c>
    </row>
    <row r="280" spans="1:20" x14ac:dyDescent="0.25">
      <c r="A280" s="6">
        <f>MOD(IF(ROW()=2,0.1,IF(INDEX(TimeEntry[WkEnd],ROW()-1)  =  INDEX(TimeEntry[WkEnd],ROW()-2),    INDEX(TimeEntry[format],ROW()-2),    INDEX(TimeEntry[format],ROW()-2)    +1)),2)</f>
        <v>1.1000000000000001</v>
      </c>
      <c r="B280" s="7"/>
      <c r="C280" s="8">
        <v>43936</v>
      </c>
      <c r="D280" s="8"/>
      <c r="E280" s="1" t="s">
        <v>453</v>
      </c>
      <c r="F280" s="8">
        <f>IF(TimeEntry[[#This Row],[Date]]=0,F279,C280+(7-Q280))</f>
        <v>43940</v>
      </c>
      <c r="G280" s="35" t="str">
        <f>INDEX(projects[Charge_Code],MATCH(TimeEntry[[#This Row],[Project_ID]],projects[Project_ID],0))</f>
        <v>210035-64 VBB 3rd - new bridge VO</v>
      </c>
      <c r="H280" s="1" t="str">
        <f t="shared" si="7"/>
        <v>Normal Time</v>
      </c>
      <c r="I280" s="1"/>
      <c r="J280" s="15">
        <v>7.5</v>
      </c>
      <c r="K280" s="15"/>
      <c r="L280" s="15"/>
      <c r="M280" s="15"/>
      <c r="N280" s="15"/>
      <c r="O280" s="15" t="str">
        <f>INDEX(projects[job number],MATCH(TimeEntry[[#This Row],[Project_ID]], projects[Project_ID],0))</f>
        <v>210035-64</v>
      </c>
      <c r="P280" s="15" t="str">
        <f>INDEX(projects[Project_Name],MATCH(TimeEntry[[#This Row],[Project_ID]], projects[Project_ID],0))</f>
        <v>VBB 3rd - new bridge VO</v>
      </c>
      <c r="Q280" s="6">
        <f>IF(TimeEntry[[#This Row],[Date]]=0,"",WEEKDAY(C280,2))</f>
        <v>3</v>
      </c>
      <c r="R280" s="9">
        <f>YEAR(TimeEntry[[#This Row],[WkEnd]])</f>
        <v>2020</v>
      </c>
      <c r="S280" s="9">
        <f>WEEKNUM(TimeEntry[[#This Row],[WkEnd]])</f>
        <v>17</v>
      </c>
      <c r="T280" s="9" t="str">
        <f>TimeEntry[[#This Row],[Year]]&amp;"-"&amp;TimeEntry[[#This Row],[WkNo]]</f>
        <v>2020-17</v>
      </c>
    </row>
    <row r="281" spans="1:20" x14ac:dyDescent="0.25">
      <c r="A281" s="6">
        <f>MOD(IF(ROW()=2,0.1,IF(INDEX(TimeEntry[WkEnd],ROW()-1)  =  INDEX(TimeEntry[WkEnd],ROW()-2),    INDEX(TimeEntry[format],ROW()-2),    INDEX(TimeEntry[format],ROW()-2)    +1)),2)</f>
        <v>1.1000000000000001</v>
      </c>
      <c r="B281" s="7"/>
      <c r="C281" s="8">
        <v>43935</v>
      </c>
      <c r="D281" s="8"/>
      <c r="E281" s="1" t="s">
        <v>453</v>
      </c>
      <c r="F281" s="8">
        <f>IF(TimeEntry[[#This Row],[Date]]=0,F280,C281+(7-Q281))</f>
        <v>43940</v>
      </c>
      <c r="G281" s="35" t="str">
        <f>INDEX(projects[Charge_Code],MATCH(TimeEntry[[#This Row],[Project_ID]],projects[Project_ID],0))</f>
        <v>210035-64 VBB 3rd - new bridge VO</v>
      </c>
      <c r="H281" s="1" t="str">
        <f t="shared" si="7"/>
        <v>Normal Time</v>
      </c>
      <c r="I281" s="1"/>
      <c r="J281" s="15">
        <v>7.5</v>
      </c>
      <c r="K281" s="15"/>
      <c r="L281" s="15"/>
      <c r="M281" s="15"/>
      <c r="N281" s="15"/>
      <c r="O281" s="15" t="str">
        <f>INDEX(projects[job number],MATCH(TimeEntry[[#This Row],[Project_ID]], projects[Project_ID],0))</f>
        <v>210035-64</v>
      </c>
      <c r="P281" s="15" t="str">
        <f>INDEX(projects[Project_Name],MATCH(TimeEntry[[#This Row],[Project_ID]], projects[Project_ID],0))</f>
        <v>VBB 3rd - new bridge VO</v>
      </c>
      <c r="Q281" s="6">
        <f>IF(TimeEntry[[#This Row],[Date]]=0,"",WEEKDAY(C281,2))</f>
        <v>2</v>
      </c>
      <c r="R281" s="9">
        <f>YEAR(TimeEntry[[#This Row],[WkEnd]])</f>
        <v>2020</v>
      </c>
      <c r="S281" s="9">
        <f>WEEKNUM(TimeEntry[[#This Row],[WkEnd]])</f>
        <v>17</v>
      </c>
      <c r="T281" s="9" t="str">
        <f>TimeEntry[[#This Row],[Year]]&amp;"-"&amp;TimeEntry[[#This Row],[WkNo]]</f>
        <v>2020-17</v>
      </c>
    </row>
    <row r="282" spans="1:20" x14ac:dyDescent="0.25">
      <c r="A282" s="6">
        <f>MOD(IF(ROW()=2,0.1,IF(INDEX(TimeEntry[WkEnd],ROW()-1)  =  INDEX(TimeEntry[WkEnd],ROW()-2),    INDEX(TimeEntry[format],ROW()-2),    INDEX(TimeEntry[format],ROW()-2)    +1)),2)</f>
        <v>1.1000000000000001</v>
      </c>
      <c r="B282" s="7"/>
      <c r="C282" s="8">
        <v>43934</v>
      </c>
      <c r="D282" s="8"/>
      <c r="E282" s="1" t="s">
        <v>451</v>
      </c>
      <c r="F282" s="8">
        <f>IF(TimeEntry[[#This Row],[Date]]=0,F281,C282+(7-Q282))</f>
        <v>43940</v>
      </c>
      <c r="G282" s="35" t="str">
        <f>INDEX(projects[Charge_Code],MATCH(TimeEntry[[#This Row],[Project_ID]],projects[Project_ID],0))</f>
        <v>BANK HOLIDAY Bank Holiday</v>
      </c>
      <c r="H282" s="1" t="str">
        <f t="shared" si="7"/>
        <v>Normal Time</v>
      </c>
      <c r="I282" s="1"/>
      <c r="J282" s="15">
        <v>7.5</v>
      </c>
      <c r="K282" s="15"/>
      <c r="L282" s="15"/>
      <c r="M282" s="15"/>
      <c r="N282" s="15"/>
      <c r="O282" s="15" t="str">
        <f>INDEX(projects[job number],MATCH(TimeEntry[[#This Row],[Project_ID]], projects[Project_ID],0))</f>
        <v>BANK HOLIDAY</v>
      </c>
      <c r="P282" s="15" t="str">
        <f>INDEX(projects[Project_Name],MATCH(TimeEntry[[#This Row],[Project_ID]], projects[Project_ID],0))</f>
        <v>Bank Holiday</v>
      </c>
      <c r="Q282" s="6">
        <f>IF(TimeEntry[[#This Row],[Date]]=0,"",WEEKDAY(C282,2))</f>
        <v>1</v>
      </c>
      <c r="R282" s="9">
        <f>YEAR(TimeEntry[[#This Row],[WkEnd]])</f>
        <v>2020</v>
      </c>
      <c r="S282" s="9">
        <f>WEEKNUM(TimeEntry[[#This Row],[WkEnd]])</f>
        <v>17</v>
      </c>
      <c r="T282" s="9" t="str">
        <f>TimeEntry[[#This Row],[Year]]&amp;"-"&amp;TimeEntry[[#This Row],[WkNo]]</f>
        <v>2020-17</v>
      </c>
    </row>
    <row r="283" spans="1:20" x14ac:dyDescent="0.25">
      <c r="A283" s="6">
        <f>MOD(IF(ROW()=2,0.1,IF(INDEX(TimeEntry[WkEnd],ROW()-1)  =  INDEX(TimeEntry[WkEnd],ROW()-2),    INDEX(TimeEntry[format],ROW()-2),    INDEX(TimeEntry[format],ROW()-2)    +1)),2)</f>
        <v>0.10000000000000009</v>
      </c>
      <c r="B283" s="7"/>
      <c r="C283" s="8">
        <v>43931</v>
      </c>
      <c r="D283" s="8"/>
      <c r="E283" s="1" t="s">
        <v>451</v>
      </c>
      <c r="F283" s="8">
        <f>IF(TimeEntry[[#This Row],[Date]]=0,F282,C283+(7-Q283))</f>
        <v>43933</v>
      </c>
      <c r="G283" s="35" t="str">
        <f>INDEX(projects[Charge_Code],MATCH(TimeEntry[[#This Row],[Project_ID]],projects[Project_ID],0))</f>
        <v>BANK HOLIDAY Bank Holiday</v>
      </c>
      <c r="H283" s="1" t="str">
        <f t="shared" si="7"/>
        <v>Normal Time</v>
      </c>
      <c r="I283" s="1"/>
      <c r="J283" s="15">
        <v>7.5</v>
      </c>
      <c r="K283" s="15"/>
      <c r="L283" s="15"/>
      <c r="M283" s="15"/>
      <c r="N283" s="15"/>
      <c r="O283" s="15" t="str">
        <f>INDEX(projects[job number],MATCH(TimeEntry[[#This Row],[Project_ID]], projects[Project_ID],0))</f>
        <v>BANK HOLIDAY</v>
      </c>
      <c r="P283" s="15" t="str">
        <f>INDEX(projects[Project_Name],MATCH(TimeEntry[[#This Row],[Project_ID]], projects[Project_ID],0))</f>
        <v>Bank Holiday</v>
      </c>
      <c r="Q283" s="6">
        <f>IF(TimeEntry[[#This Row],[Date]]=0,"",WEEKDAY(C283,2))</f>
        <v>5</v>
      </c>
      <c r="R283" s="9">
        <f>YEAR(TimeEntry[[#This Row],[WkEnd]])</f>
        <v>2020</v>
      </c>
      <c r="S283" s="9">
        <f>WEEKNUM(TimeEntry[[#This Row],[WkEnd]])</f>
        <v>16</v>
      </c>
      <c r="T283" s="9" t="str">
        <f>TimeEntry[[#This Row],[Year]]&amp;"-"&amp;TimeEntry[[#This Row],[WkNo]]</f>
        <v>2020-16</v>
      </c>
    </row>
    <row r="284" spans="1:20" x14ac:dyDescent="0.25">
      <c r="A284" s="6">
        <f>MOD(IF(ROW()=2,0.1,IF(INDEX(TimeEntry[WkEnd],ROW()-1)  =  INDEX(TimeEntry[WkEnd],ROW()-2),    INDEX(TimeEntry[format],ROW()-2),    INDEX(TimeEntry[format],ROW()-2)    +1)),2)</f>
        <v>0.10000000000000009</v>
      </c>
      <c r="B284" s="7"/>
      <c r="C284" s="8">
        <v>43930</v>
      </c>
      <c r="D284" s="8"/>
      <c r="E284" s="1" t="s">
        <v>453</v>
      </c>
      <c r="F284" s="8">
        <f>IF(TimeEntry[[#This Row],[Date]]=0,F283,C284+(7-Q284))</f>
        <v>43933</v>
      </c>
      <c r="G284" s="35" t="str">
        <f>INDEX(projects[Charge_Code],MATCH(TimeEntry[[#This Row],[Project_ID]],projects[Project_ID],0))</f>
        <v>210035-64 VBB 3rd - new bridge VO</v>
      </c>
      <c r="H284" s="1" t="str">
        <f t="shared" si="7"/>
        <v>Normal Time</v>
      </c>
      <c r="I284" s="1"/>
      <c r="J284" s="15">
        <v>7.5</v>
      </c>
      <c r="K284" s="15"/>
      <c r="L284" s="15"/>
      <c r="M284" s="15"/>
      <c r="N284" s="15"/>
      <c r="O284" s="15" t="str">
        <f>INDEX(projects[job number],MATCH(TimeEntry[[#This Row],[Project_ID]], projects[Project_ID],0))</f>
        <v>210035-64</v>
      </c>
      <c r="P284" s="15" t="str">
        <f>INDEX(projects[Project_Name],MATCH(TimeEntry[[#This Row],[Project_ID]], projects[Project_ID],0))</f>
        <v>VBB 3rd - new bridge VO</v>
      </c>
      <c r="Q284" s="6">
        <f>IF(TimeEntry[[#This Row],[Date]]=0,"",WEEKDAY(C284,2))</f>
        <v>4</v>
      </c>
      <c r="R284" s="9">
        <f>YEAR(TimeEntry[[#This Row],[WkEnd]])</f>
        <v>2020</v>
      </c>
      <c r="S284" s="9">
        <f>WEEKNUM(TimeEntry[[#This Row],[WkEnd]])</f>
        <v>16</v>
      </c>
      <c r="T284" s="9" t="str">
        <f>TimeEntry[[#This Row],[Year]]&amp;"-"&amp;TimeEntry[[#This Row],[WkNo]]</f>
        <v>2020-16</v>
      </c>
    </row>
    <row r="285" spans="1:20" x14ac:dyDescent="0.25">
      <c r="A285" s="6">
        <f>MOD(IF(ROW()=2,0.1,IF(INDEX(TimeEntry[WkEnd],ROW()-1)  =  INDEX(TimeEntry[WkEnd],ROW()-2),    INDEX(TimeEntry[format],ROW()-2),    INDEX(TimeEntry[format],ROW()-2)    +1)),2)</f>
        <v>0.10000000000000009</v>
      </c>
      <c r="B285" s="7"/>
      <c r="C285" s="8">
        <v>43929</v>
      </c>
      <c r="D285" s="8"/>
      <c r="E285" s="1" t="s">
        <v>453</v>
      </c>
      <c r="F285" s="8">
        <f>IF(TimeEntry[[#This Row],[Date]]=0,F284,C285+(7-Q285))</f>
        <v>43933</v>
      </c>
      <c r="G285" s="35" t="str">
        <f>INDEX(projects[Charge_Code],MATCH(TimeEntry[[#This Row],[Project_ID]],projects[Project_ID],0))</f>
        <v>210035-64 VBB 3rd - new bridge VO</v>
      </c>
      <c r="H285" s="1" t="str">
        <f t="shared" ref="H285:H348" si="8">"Normal Time"</f>
        <v>Normal Time</v>
      </c>
      <c r="I285" s="1"/>
      <c r="J285" s="15">
        <v>7.5</v>
      </c>
      <c r="K285" s="15"/>
      <c r="L285" s="15"/>
      <c r="M285" s="15"/>
      <c r="N285" s="15"/>
      <c r="O285" s="15" t="str">
        <f>INDEX(projects[job number],MATCH(TimeEntry[[#This Row],[Project_ID]], projects[Project_ID],0))</f>
        <v>210035-64</v>
      </c>
      <c r="P285" s="15" t="str">
        <f>INDEX(projects[Project_Name],MATCH(TimeEntry[[#This Row],[Project_ID]], projects[Project_ID],0))</f>
        <v>VBB 3rd - new bridge VO</v>
      </c>
      <c r="Q285" s="6">
        <f>IF(TimeEntry[[#This Row],[Date]]=0,"",WEEKDAY(C285,2))</f>
        <v>3</v>
      </c>
      <c r="R285" s="9">
        <f>YEAR(TimeEntry[[#This Row],[WkEnd]])</f>
        <v>2020</v>
      </c>
      <c r="S285" s="9">
        <f>WEEKNUM(TimeEntry[[#This Row],[WkEnd]])</f>
        <v>16</v>
      </c>
      <c r="T285" s="9" t="str">
        <f>TimeEntry[[#This Row],[Year]]&amp;"-"&amp;TimeEntry[[#This Row],[WkNo]]</f>
        <v>2020-16</v>
      </c>
    </row>
    <row r="286" spans="1:20" x14ac:dyDescent="0.25">
      <c r="A286" s="6">
        <f>MOD(IF(ROW()=2,0.1,IF(INDEX(TimeEntry[WkEnd],ROW()-1)  =  INDEX(TimeEntry[WkEnd],ROW()-2),    INDEX(TimeEntry[format],ROW()-2),    INDEX(TimeEntry[format],ROW()-2)    +1)),2)</f>
        <v>0.10000000000000009</v>
      </c>
      <c r="B286" s="7"/>
      <c r="C286" s="8">
        <v>43928</v>
      </c>
      <c r="D286" s="8"/>
      <c r="E286" s="1" t="s">
        <v>453</v>
      </c>
      <c r="F286" s="8">
        <f>IF(TimeEntry[[#This Row],[Date]]=0,F285,C286+(7-Q286))</f>
        <v>43933</v>
      </c>
      <c r="G286" s="35" t="str">
        <f>INDEX(projects[Charge_Code],MATCH(TimeEntry[[#This Row],[Project_ID]],projects[Project_ID],0))</f>
        <v>210035-64 VBB 3rd - new bridge VO</v>
      </c>
      <c r="H286" s="1" t="str">
        <f t="shared" si="8"/>
        <v>Normal Time</v>
      </c>
      <c r="I286" s="1"/>
      <c r="J286" s="15">
        <v>7.5</v>
      </c>
      <c r="K286" s="15"/>
      <c r="L286" s="15"/>
      <c r="M286" s="15"/>
      <c r="N286" s="15"/>
      <c r="O286" s="15" t="str">
        <f>INDEX(projects[job number],MATCH(TimeEntry[[#This Row],[Project_ID]], projects[Project_ID],0))</f>
        <v>210035-64</v>
      </c>
      <c r="P286" s="15" t="str">
        <f>INDEX(projects[Project_Name],MATCH(TimeEntry[[#This Row],[Project_ID]], projects[Project_ID],0))</f>
        <v>VBB 3rd - new bridge VO</v>
      </c>
      <c r="Q286" s="6">
        <f>IF(TimeEntry[[#This Row],[Date]]=0,"",WEEKDAY(C286,2))</f>
        <v>2</v>
      </c>
      <c r="R286" s="9">
        <f>YEAR(TimeEntry[[#This Row],[WkEnd]])</f>
        <v>2020</v>
      </c>
      <c r="S286" s="9">
        <f>WEEKNUM(TimeEntry[[#This Row],[WkEnd]])</f>
        <v>16</v>
      </c>
      <c r="T286" s="9" t="str">
        <f>TimeEntry[[#This Row],[Year]]&amp;"-"&amp;TimeEntry[[#This Row],[WkNo]]</f>
        <v>2020-16</v>
      </c>
    </row>
    <row r="287" spans="1:20" x14ac:dyDescent="0.25">
      <c r="A287" s="6">
        <f>MOD(IF(ROW()=2,0.1,IF(INDEX(TimeEntry[WkEnd],ROW()-1)  =  INDEX(TimeEntry[WkEnd],ROW()-2),    INDEX(TimeEntry[format],ROW()-2),    INDEX(TimeEntry[format],ROW()-2)    +1)),2)</f>
        <v>0.10000000000000009</v>
      </c>
      <c r="B287" s="7"/>
      <c r="C287" s="8">
        <v>43927</v>
      </c>
      <c r="D287" s="8"/>
      <c r="E287" s="1" t="s">
        <v>453</v>
      </c>
      <c r="F287" s="8">
        <f>IF(TimeEntry[[#This Row],[Date]]=0,F286,C287+(7-Q287))</f>
        <v>43933</v>
      </c>
      <c r="G287" s="35" t="str">
        <f>INDEX(projects[Charge_Code],MATCH(TimeEntry[[#This Row],[Project_ID]],projects[Project_ID],0))</f>
        <v>210035-64 VBB 3rd - new bridge VO</v>
      </c>
      <c r="H287" s="1" t="str">
        <f t="shared" si="8"/>
        <v>Normal Time</v>
      </c>
      <c r="I287" s="1"/>
      <c r="J287" s="15">
        <v>7.5</v>
      </c>
      <c r="K287" s="15"/>
      <c r="L287" s="15"/>
      <c r="M287" s="15"/>
      <c r="N287" s="15"/>
      <c r="O287" s="15" t="str">
        <f>INDEX(projects[job number],MATCH(TimeEntry[[#This Row],[Project_ID]], projects[Project_ID],0))</f>
        <v>210035-64</v>
      </c>
      <c r="P287" s="15" t="str">
        <f>INDEX(projects[Project_Name],MATCH(TimeEntry[[#This Row],[Project_ID]], projects[Project_ID],0))</f>
        <v>VBB 3rd - new bridge VO</v>
      </c>
      <c r="Q287" s="6">
        <f>IF(TimeEntry[[#This Row],[Date]]=0,"",WEEKDAY(C287,2))</f>
        <v>1</v>
      </c>
      <c r="R287" s="9">
        <f>YEAR(TimeEntry[[#This Row],[WkEnd]])</f>
        <v>2020</v>
      </c>
      <c r="S287" s="9">
        <f>WEEKNUM(TimeEntry[[#This Row],[WkEnd]])</f>
        <v>16</v>
      </c>
      <c r="T287" s="9" t="str">
        <f>TimeEntry[[#This Row],[Year]]&amp;"-"&amp;TimeEntry[[#This Row],[WkNo]]</f>
        <v>2020-16</v>
      </c>
    </row>
    <row r="288" spans="1:20" x14ac:dyDescent="0.25">
      <c r="A288" s="6">
        <f>MOD(IF(ROW()=2,0.1,IF(INDEX(TimeEntry[WkEnd],ROW()-1)  =  INDEX(TimeEntry[WkEnd],ROW()-2),    INDEX(TimeEntry[format],ROW()-2),    INDEX(TimeEntry[format],ROW()-2)    +1)),2)</f>
        <v>1.1000000000000001</v>
      </c>
      <c r="B288" s="7"/>
      <c r="C288" s="8">
        <v>43924</v>
      </c>
      <c r="D288" s="8"/>
      <c r="E288" s="1" t="s">
        <v>453</v>
      </c>
      <c r="F288" s="8">
        <f>IF(TimeEntry[[#This Row],[Date]]=0,F287,C288+(7-Q288))</f>
        <v>43926</v>
      </c>
      <c r="G288" s="35" t="str">
        <f>INDEX(projects[Charge_Code],MATCH(TimeEntry[[#This Row],[Project_ID]],projects[Project_ID],0))</f>
        <v>210035-64 VBB 3rd - new bridge VO</v>
      </c>
      <c r="H288" s="1" t="str">
        <f t="shared" si="8"/>
        <v>Normal Time</v>
      </c>
      <c r="I288" s="1"/>
      <c r="J288" s="15">
        <v>7.5</v>
      </c>
      <c r="K288" s="15"/>
      <c r="L288" s="15"/>
      <c r="M288" s="15"/>
      <c r="N288" s="15"/>
      <c r="O288" s="15" t="str">
        <f>INDEX(projects[job number],MATCH(TimeEntry[[#This Row],[Project_ID]], projects[Project_ID],0))</f>
        <v>210035-64</v>
      </c>
      <c r="P288" s="15" t="str">
        <f>INDEX(projects[Project_Name],MATCH(TimeEntry[[#This Row],[Project_ID]], projects[Project_ID],0))</f>
        <v>VBB 3rd - new bridge VO</v>
      </c>
      <c r="Q288" s="6">
        <f>IF(TimeEntry[[#This Row],[Date]]=0,"",WEEKDAY(C288,2))</f>
        <v>5</v>
      </c>
      <c r="R288" s="9">
        <f>YEAR(TimeEntry[[#This Row],[WkEnd]])</f>
        <v>2020</v>
      </c>
      <c r="S288" s="9">
        <f>WEEKNUM(TimeEntry[[#This Row],[WkEnd]])</f>
        <v>15</v>
      </c>
      <c r="T288" s="9" t="str">
        <f>TimeEntry[[#This Row],[Year]]&amp;"-"&amp;TimeEntry[[#This Row],[WkNo]]</f>
        <v>2020-15</v>
      </c>
    </row>
    <row r="289" spans="1:20" x14ac:dyDescent="0.25">
      <c r="A289" s="6">
        <f>MOD(IF(ROW()=2,0.1,IF(INDEX(TimeEntry[WkEnd],ROW()-1)  =  INDEX(TimeEntry[WkEnd],ROW()-2),    INDEX(TimeEntry[format],ROW()-2),    INDEX(TimeEntry[format],ROW()-2)    +1)),2)</f>
        <v>1.1000000000000001</v>
      </c>
      <c r="B289" s="7"/>
      <c r="C289" s="8">
        <v>43923</v>
      </c>
      <c r="D289" s="8"/>
      <c r="E289" s="1" t="s">
        <v>453</v>
      </c>
      <c r="F289" s="8">
        <f>IF(TimeEntry[[#This Row],[Date]]=0,F288,C289+(7-Q289))</f>
        <v>43926</v>
      </c>
      <c r="G289" s="35" t="str">
        <f>INDEX(projects[Charge_Code],MATCH(TimeEntry[[#This Row],[Project_ID]],projects[Project_ID],0))</f>
        <v>210035-64 VBB 3rd - new bridge VO</v>
      </c>
      <c r="H289" s="1" t="str">
        <f t="shared" si="8"/>
        <v>Normal Time</v>
      </c>
      <c r="I289" s="1"/>
      <c r="J289" s="15">
        <v>7.5</v>
      </c>
      <c r="K289" s="15"/>
      <c r="L289" s="15"/>
      <c r="M289" s="15"/>
      <c r="N289" s="15"/>
      <c r="O289" s="15" t="str">
        <f>INDEX(projects[job number],MATCH(TimeEntry[[#This Row],[Project_ID]], projects[Project_ID],0))</f>
        <v>210035-64</v>
      </c>
      <c r="P289" s="15" t="str">
        <f>INDEX(projects[Project_Name],MATCH(TimeEntry[[#This Row],[Project_ID]], projects[Project_ID],0))</f>
        <v>VBB 3rd - new bridge VO</v>
      </c>
      <c r="Q289" s="6">
        <f>IF(TimeEntry[[#This Row],[Date]]=0,"",WEEKDAY(C289,2))</f>
        <v>4</v>
      </c>
      <c r="R289" s="9">
        <f>YEAR(TimeEntry[[#This Row],[WkEnd]])</f>
        <v>2020</v>
      </c>
      <c r="S289" s="9">
        <f>WEEKNUM(TimeEntry[[#This Row],[WkEnd]])</f>
        <v>15</v>
      </c>
      <c r="T289" s="9" t="str">
        <f>TimeEntry[[#This Row],[Year]]&amp;"-"&amp;TimeEntry[[#This Row],[WkNo]]</f>
        <v>2020-15</v>
      </c>
    </row>
    <row r="290" spans="1:20" x14ac:dyDescent="0.25">
      <c r="A290" s="6">
        <f>MOD(IF(ROW()=2,0.1,IF(INDEX(TimeEntry[WkEnd],ROW()-1)  =  INDEX(TimeEntry[WkEnd],ROW()-2),    INDEX(TimeEntry[format],ROW()-2),    INDEX(TimeEntry[format],ROW()-2)    +1)),2)</f>
        <v>1.1000000000000001</v>
      </c>
      <c r="B290" s="7"/>
      <c r="C290" s="8">
        <v>43922</v>
      </c>
      <c r="D290" s="8"/>
      <c r="E290" s="1" t="s">
        <v>453</v>
      </c>
      <c r="F290" s="8">
        <f>IF(TimeEntry[[#This Row],[Date]]=0,F289,C290+(7-Q290))</f>
        <v>43926</v>
      </c>
      <c r="G290" s="35" t="str">
        <f>INDEX(projects[Charge_Code],MATCH(TimeEntry[[#This Row],[Project_ID]],projects[Project_ID],0))</f>
        <v>210035-64 VBB 3rd - new bridge VO</v>
      </c>
      <c r="H290" s="1" t="str">
        <f t="shared" si="8"/>
        <v>Normal Time</v>
      </c>
      <c r="I290" s="1"/>
      <c r="J290" s="15">
        <v>7.5</v>
      </c>
      <c r="K290" s="15"/>
      <c r="L290" s="15"/>
      <c r="M290" s="15"/>
      <c r="N290" s="15"/>
      <c r="O290" s="15" t="str">
        <f>INDEX(projects[job number],MATCH(TimeEntry[[#This Row],[Project_ID]], projects[Project_ID],0))</f>
        <v>210035-64</v>
      </c>
      <c r="P290" s="15" t="str">
        <f>INDEX(projects[Project_Name],MATCH(TimeEntry[[#This Row],[Project_ID]], projects[Project_ID],0))</f>
        <v>VBB 3rd - new bridge VO</v>
      </c>
      <c r="Q290" s="6">
        <f>IF(TimeEntry[[#This Row],[Date]]=0,"",WEEKDAY(C290,2))</f>
        <v>3</v>
      </c>
      <c r="R290" s="9">
        <f>YEAR(TimeEntry[[#This Row],[WkEnd]])</f>
        <v>2020</v>
      </c>
      <c r="S290" s="9">
        <f>WEEKNUM(TimeEntry[[#This Row],[WkEnd]])</f>
        <v>15</v>
      </c>
      <c r="T290" s="9" t="str">
        <f>TimeEntry[[#This Row],[Year]]&amp;"-"&amp;TimeEntry[[#This Row],[WkNo]]</f>
        <v>2020-15</v>
      </c>
    </row>
    <row r="291" spans="1:20" x14ac:dyDescent="0.25">
      <c r="A291" s="6">
        <f>MOD(IF(ROW()=2,0.1,IF(INDEX(TimeEntry[WkEnd],ROW()-1)  =  INDEX(TimeEntry[WkEnd],ROW()-2),    INDEX(TimeEntry[format],ROW()-2),    INDEX(TimeEntry[format],ROW()-2)    +1)),2)</f>
        <v>1.1000000000000001</v>
      </c>
      <c r="B291" s="7"/>
      <c r="C291" s="8">
        <v>43921</v>
      </c>
      <c r="D291" s="8"/>
      <c r="E291" s="1" t="s">
        <v>453</v>
      </c>
      <c r="F291" s="8">
        <f>IF(TimeEntry[[#This Row],[Date]]=0,F290,C291+(7-Q291))</f>
        <v>43926</v>
      </c>
      <c r="G291" s="35" t="str">
        <f>INDEX(projects[Charge_Code],MATCH(TimeEntry[[#This Row],[Project_ID]],projects[Project_ID],0))</f>
        <v>210035-64 VBB 3rd - new bridge VO</v>
      </c>
      <c r="H291" s="1" t="str">
        <f t="shared" si="8"/>
        <v>Normal Time</v>
      </c>
      <c r="I291" s="1"/>
      <c r="J291" s="15">
        <v>7.5</v>
      </c>
      <c r="K291" s="15"/>
      <c r="L291" s="15"/>
      <c r="M291" s="15"/>
      <c r="N291" s="15"/>
      <c r="O291" s="15" t="str">
        <f>INDEX(projects[job number],MATCH(TimeEntry[[#This Row],[Project_ID]], projects[Project_ID],0))</f>
        <v>210035-64</v>
      </c>
      <c r="P291" s="15" t="str">
        <f>INDEX(projects[Project_Name],MATCH(TimeEntry[[#This Row],[Project_ID]], projects[Project_ID],0))</f>
        <v>VBB 3rd - new bridge VO</v>
      </c>
      <c r="Q291" s="6">
        <f>IF(TimeEntry[[#This Row],[Date]]=0,"",WEEKDAY(C291,2))</f>
        <v>2</v>
      </c>
      <c r="R291" s="9">
        <f>YEAR(TimeEntry[[#This Row],[WkEnd]])</f>
        <v>2020</v>
      </c>
      <c r="S291" s="9">
        <f>WEEKNUM(TimeEntry[[#This Row],[WkEnd]])</f>
        <v>15</v>
      </c>
      <c r="T291" s="9" t="str">
        <f>TimeEntry[[#This Row],[Year]]&amp;"-"&amp;TimeEntry[[#This Row],[WkNo]]</f>
        <v>2020-15</v>
      </c>
    </row>
    <row r="292" spans="1:20" x14ac:dyDescent="0.25">
      <c r="A292" s="6">
        <f>MOD(IF(ROW()=2,0.1,IF(INDEX(TimeEntry[WkEnd],ROW()-1)  =  INDEX(TimeEntry[WkEnd],ROW()-2),    INDEX(TimeEntry[format],ROW()-2),    INDEX(TimeEntry[format],ROW()-2)    +1)),2)</f>
        <v>1.1000000000000001</v>
      </c>
      <c r="B292" s="7"/>
      <c r="C292" s="8">
        <v>43920</v>
      </c>
      <c r="D292" s="8"/>
      <c r="E292" s="1" t="s">
        <v>453</v>
      </c>
      <c r="F292" s="8">
        <f>IF(TimeEntry[[#This Row],[Date]]=0,F291,C292+(7-Q292))</f>
        <v>43926</v>
      </c>
      <c r="G292" s="35" t="str">
        <f>INDEX(projects[Charge_Code],MATCH(TimeEntry[[#This Row],[Project_ID]],projects[Project_ID],0))</f>
        <v>210035-64 VBB 3rd - new bridge VO</v>
      </c>
      <c r="H292" s="1" t="str">
        <f t="shared" si="8"/>
        <v>Normal Time</v>
      </c>
      <c r="I292" s="1"/>
      <c r="J292" s="15">
        <v>7.5</v>
      </c>
      <c r="K292" s="15"/>
      <c r="L292" s="15"/>
      <c r="M292" s="15"/>
      <c r="N292" s="15"/>
      <c r="O292" s="15" t="str">
        <f>INDEX(projects[job number],MATCH(TimeEntry[[#This Row],[Project_ID]], projects[Project_ID],0))</f>
        <v>210035-64</v>
      </c>
      <c r="P292" s="15" t="str">
        <f>INDEX(projects[Project_Name],MATCH(TimeEntry[[#This Row],[Project_ID]], projects[Project_ID],0))</f>
        <v>VBB 3rd - new bridge VO</v>
      </c>
      <c r="Q292" s="6">
        <f>IF(TimeEntry[[#This Row],[Date]]=0,"",WEEKDAY(C292,2))</f>
        <v>1</v>
      </c>
      <c r="R292" s="9">
        <f>YEAR(TimeEntry[[#This Row],[WkEnd]])</f>
        <v>2020</v>
      </c>
      <c r="S292" s="9">
        <f>WEEKNUM(TimeEntry[[#This Row],[WkEnd]])</f>
        <v>15</v>
      </c>
      <c r="T292" s="9" t="str">
        <f>TimeEntry[[#This Row],[Year]]&amp;"-"&amp;TimeEntry[[#This Row],[WkNo]]</f>
        <v>2020-15</v>
      </c>
    </row>
    <row r="293" spans="1:20" x14ac:dyDescent="0.25">
      <c r="A293" s="6">
        <f>MOD(IF(ROW()=2,0.1,IF(INDEX(TimeEntry[WkEnd],ROW()-1)  =  INDEX(TimeEntry[WkEnd],ROW()-2),    INDEX(TimeEntry[format],ROW()-2),    INDEX(TimeEntry[format],ROW()-2)    +1)),2)</f>
        <v>0.10000000000000009</v>
      </c>
      <c r="B293" s="7"/>
      <c r="C293" s="8">
        <v>43913</v>
      </c>
      <c r="D293" s="8"/>
      <c r="E293" s="1" t="s">
        <v>453</v>
      </c>
      <c r="F293" s="8">
        <f>IF(TimeEntry[[#This Row],[Date]]=0,F292,C293+(7-Q293))</f>
        <v>43919</v>
      </c>
      <c r="G293" s="35" t="str">
        <f>INDEX(projects[Charge_Code],MATCH(TimeEntry[[#This Row],[Project_ID]],projects[Project_ID],0))</f>
        <v>210035-64 VBB 3rd - new bridge VO</v>
      </c>
      <c r="H293" s="1" t="str">
        <f t="shared" si="8"/>
        <v>Normal Time</v>
      </c>
      <c r="I293" s="1"/>
      <c r="J293" s="15">
        <v>7.5</v>
      </c>
      <c r="K293" s="15"/>
      <c r="L293" s="15"/>
      <c r="M293" s="15"/>
      <c r="N293" s="15"/>
      <c r="O293" s="15" t="str">
        <f>INDEX(projects[job number],MATCH(TimeEntry[[#This Row],[Project_ID]], projects[Project_ID],0))</f>
        <v>210035-64</v>
      </c>
      <c r="P293" s="15" t="str">
        <f>INDEX(projects[Project_Name],MATCH(TimeEntry[[#This Row],[Project_ID]], projects[Project_ID],0))</f>
        <v>VBB 3rd - new bridge VO</v>
      </c>
      <c r="Q293" s="6">
        <f>IF(TimeEntry[[#This Row],[Date]]=0,"",WEEKDAY(C293,2))</f>
        <v>1</v>
      </c>
      <c r="R293" s="9">
        <f>YEAR(TimeEntry[[#This Row],[WkEnd]])</f>
        <v>2020</v>
      </c>
      <c r="S293" s="9">
        <f>WEEKNUM(TimeEntry[[#This Row],[WkEnd]])</f>
        <v>14</v>
      </c>
      <c r="T293" s="9" t="str">
        <f>TimeEntry[[#This Row],[Year]]&amp;"-"&amp;TimeEntry[[#This Row],[WkNo]]</f>
        <v>2020-14</v>
      </c>
    </row>
    <row r="294" spans="1:20" x14ac:dyDescent="0.25">
      <c r="A294" s="6">
        <f>MOD(IF(ROW()=2,0.1,IF(INDEX(TimeEntry[WkEnd],ROW()-1)  =  INDEX(TimeEntry[WkEnd],ROW()-2),    INDEX(TimeEntry[format],ROW()-2),    INDEX(TimeEntry[format],ROW()-2)    +1)),2)</f>
        <v>0.10000000000000009</v>
      </c>
      <c r="B294" s="7"/>
      <c r="C294" s="8">
        <v>43914</v>
      </c>
      <c r="D294" s="8"/>
      <c r="E294" s="1" t="s">
        <v>453</v>
      </c>
      <c r="F294" s="8">
        <f>IF(TimeEntry[[#This Row],[Date]]=0,F293,C294+(7-Q294))</f>
        <v>43919</v>
      </c>
      <c r="G294" s="35" t="str">
        <f>INDEX(projects[Charge_Code],MATCH(TimeEntry[[#This Row],[Project_ID]],projects[Project_ID],0))</f>
        <v>210035-64 VBB 3rd - new bridge VO</v>
      </c>
      <c r="H294" s="1" t="str">
        <f t="shared" si="8"/>
        <v>Normal Time</v>
      </c>
      <c r="I294" s="1"/>
      <c r="J294" s="15">
        <v>7.5</v>
      </c>
      <c r="K294" s="15"/>
      <c r="L294" s="15"/>
      <c r="M294" s="15"/>
      <c r="N294" s="15"/>
      <c r="O294" s="15" t="str">
        <f>INDEX(projects[job number],MATCH(TimeEntry[[#This Row],[Project_ID]], projects[Project_ID],0))</f>
        <v>210035-64</v>
      </c>
      <c r="P294" s="15" t="str">
        <f>INDEX(projects[Project_Name],MATCH(TimeEntry[[#This Row],[Project_ID]], projects[Project_ID],0))</f>
        <v>VBB 3rd - new bridge VO</v>
      </c>
      <c r="Q294" s="6">
        <f>IF(TimeEntry[[#This Row],[Date]]=0,"",WEEKDAY(C294,2))</f>
        <v>2</v>
      </c>
      <c r="R294" s="9">
        <f>YEAR(TimeEntry[[#This Row],[WkEnd]])</f>
        <v>2020</v>
      </c>
      <c r="S294" s="9">
        <f>WEEKNUM(TimeEntry[[#This Row],[WkEnd]])</f>
        <v>14</v>
      </c>
      <c r="T294" s="9" t="str">
        <f>TimeEntry[[#This Row],[Year]]&amp;"-"&amp;TimeEntry[[#This Row],[WkNo]]</f>
        <v>2020-14</v>
      </c>
    </row>
    <row r="295" spans="1:20" x14ac:dyDescent="0.25">
      <c r="A295" s="6">
        <f>MOD(IF(ROW()=2,0.1,IF(INDEX(TimeEntry[WkEnd],ROW()-1)  =  INDEX(TimeEntry[WkEnd],ROW()-2),    INDEX(TimeEntry[format],ROW()-2),    INDEX(TimeEntry[format],ROW()-2)    +1)),2)</f>
        <v>0.10000000000000009</v>
      </c>
      <c r="B295" s="7"/>
      <c r="C295" s="8">
        <v>43915</v>
      </c>
      <c r="D295" s="8"/>
      <c r="E295" s="1" t="s">
        <v>453</v>
      </c>
      <c r="F295" s="8">
        <f>IF(TimeEntry[[#This Row],[Date]]=0,F294,C295+(7-Q295))</f>
        <v>43919</v>
      </c>
      <c r="G295" s="35" t="str">
        <f>INDEX(projects[Charge_Code],MATCH(TimeEntry[[#This Row],[Project_ID]],projects[Project_ID],0))</f>
        <v>210035-64 VBB 3rd - new bridge VO</v>
      </c>
      <c r="H295" s="1" t="str">
        <f t="shared" si="8"/>
        <v>Normal Time</v>
      </c>
      <c r="I295" s="1"/>
      <c r="J295" s="15">
        <v>7.5</v>
      </c>
      <c r="K295" s="15"/>
      <c r="L295" s="15"/>
      <c r="M295" s="15"/>
      <c r="N295" s="15"/>
      <c r="O295" s="15" t="str">
        <f>INDEX(projects[job number],MATCH(TimeEntry[[#This Row],[Project_ID]], projects[Project_ID],0))</f>
        <v>210035-64</v>
      </c>
      <c r="P295" s="15" t="str">
        <f>INDEX(projects[Project_Name],MATCH(TimeEntry[[#This Row],[Project_ID]], projects[Project_ID],0))</f>
        <v>VBB 3rd - new bridge VO</v>
      </c>
      <c r="Q295" s="6">
        <f>IF(TimeEntry[[#This Row],[Date]]=0,"",WEEKDAY(C295,2))</f>
        <v>3</v>
      </c>
      <c r="R295" s="9">
        <f>YEAR(TimeEntry[[#This Row],[WkEnd]])</f>
        <v>2020</v>
      </c>
      <c r="S295" s="9">
        <f>WEEKNUM(TimeEntry[[#This Row],[WkEnd]])</f>
        <v>14</v>
      </c>
      <c r="T295" s="9" t="str">
        <f>TimeEntry[[#This Row],[Year]]&amp;"-"&amp;TimeEntry[[#This Row],[WkNo]]</f>
        <v>2020-14</v>
      </c>
    </row>
    <row r="296" spans="1:20" x14ac:dyDescent="0.25">
      <c r="A296" s="6">
        <f>MOD(IF(ROW()=2,0.1,IF(INDEX(TimeEntry[WkEnd],ROW()-1)  =  INDEX(TimeEntry[WkEnd],ROW()-2),    INDEX(TimeEntry[format],ROW()-2),    INDEX(TimeEntry[format],ROW()-2)    +1)),2)</f>
        <v>0.10000000000000009</v>
      </c>
      <c r="B296" s="7"/>
      <c r="C296" s="8">
        <v>43916</v>
      </c>
      <c r="D296" s="8"/>
      <c r="E296" s="1" t="s">
        <v>453</v>
      </c>
      <c r="F296" s="8">
        <f>IF(TimeEntry[[#This Row],[Date]]=0,F295,C296+(7-Q296))</f>
        <v>43919</v>
      </c>
      <c r="G296" s="35" t="str">
        <f>INDEX(projects[Charge_Code],MATCH(TimeEntry[[#This Row],[Project_ID]],projects[Project_ID],0))</f>
        <v>210035-64 VBB 3rd - new bridge VO</v>
      </c>
      <c r="H296" s="1" t="str">
        <f t="shared" si="8"/>
        <v>Normal Time</v>
      </c>
      <c r="I296" s="1"/>
      <c r="J296" s="15">
        <v>7.5</v>
      </c>
      <c r="K296" s="15"/>
      <c r="L296" s="15"/>
      <c r="M296" s="15"/>
      <c r="N296" s="15"/>
      <c r="O296" s="15" t="str">
        <f>INDEX(projects[job number],MATCH(TimeEntry[[#This Row],[Project_ID]], projects[Project_ID],0))</f>
        <v>210035-64</v>
      </c>
      <c r="P296" s="15" t="str">
        <f>INDEX(projects[Project_Name],MATCH(TimeEntry[[#This Row],[Project_ID]], projects[Project_ID],0))</f>
        <v>VBB 3rd - new bridge VO</v>
      </c>
      <c r="Q296" s="6">
        <f>IF(TimeEntry[[#This Row],[Date]]=0,"",WEEKDAY(C296,2))</f>
        <v>4</v>
      </c>
      <c r="R296" s="9">
        <f>YEAR(TimeEntry[[#This Row],[WkEnd]])</f>
        <v>2020</v>
      </c>
      <c r="S296" s="9">
        <f>WEEKNUM(TimeEntry[[#This Row],[WkEnd]])</f>
        <v>14</v>
      </c>
      <c r="T296" s="9" t="str">
        <f>TimeEntry[[#This Row],[Year]]&amp;"-"&amp;TimeEntry[[#This Row],[WkNo]]</f>
        <v>2020-14</v>
      </c>
    </row>
    <row r="297" spans="1:20" x14ac:dyDescent="0.25">
      <c r="A297" s="6">
        <f>MOD(IF(ROW()=2,0.1,IF(INDEX(TimeEntry[WkEnd],ROW()-1)  =  INDEX(TimeEntry[WkEnd],ROW()-2),    INDEX(TimeEntry[format],ROW()-2),    INDEX(TimeEntry[format],ROW()-2)    +1)),2)</f>
        <v>0.10000000000000009</v>
      </c>
      <c r="B297" s="7"/>
      <c r="C297" s="8">
        <v>43917</v>
      </c>
      <c r="D297" s="8"/>
      <c r="E297" s="1" t="s">
        <v>453</v>
      </c>
      <c r="F297" s="8">
        <f>IF(TimeEntry[[#This Row],[Date]]=0,F296,C297+(7-Q297))</f>
        <v>43919</v>
      </c>
      <c r="G297" s="35" t="str">
        <f>INDEX(projects[Charge_Code],MATCH(TimeEntry[[#This Row],[Project_ID]],projects[Project_ID],0))</f>
        <v>210035-64 VBB 3rd - new bridge VO</v>
      </c>
      <c r="H297" s="1" t="str">
        <f t="shared" si="8"/>
        <v>Normal Time</v>
      </c>
      <c r="I297" s="1"/>
      <c r="J297" s="15">
        <v>7.5</v>
      </c>
      <c r="K297" s="15"/>
      <c r="L297" s="15"/>
      <c r="M297" s="15"/>
      <c r="N297" s="15"/>
      <c r="O297" s="15" t="str">
        <f>INDEX(projects[job number],MATCH(TimeEntry[[#This Row],[Project_ID]], projects[Project_ID],0))</f>
        <v>210035-64</v>
      </c>
      <c r="P297" s="15" t="str">
        <f>INDEX(projects[Project_Name],MATCH(TimeEntry[[#This Row],[Project_ID]], projects[Project_ID],0))</f>
        <v>VBB 3rd - new bridge VO</v>
      </c>
      <c r="Q297" s="6">
        <f>IF(TimeEntry[[#This Row],[Date]]=0,"",WEEKDAY(C297,2))</f>
        <v>5</v>
      </c>
      <c r="R297" s="9">
        <f>YEAR(TimeEntry[[#This Row],[WkEnd]])</f>
        <v>2020</v>
      </c>
      <c r="S297" s="9">
        <f>WEEKNUM(TimeEntry[[#This Row],[WkEnd]])</f>
        <v>14</v>
      </c>
      <c r="T297" s="9" t="str">
        <f>TimeEntry[[#This Row],[Year]]&amp;"-"&amp;TimeEntry[[#This Row],[WkNo]]</f>
        <v>2020-14</v>
      </c>
    </row>
    <row r="298" spans="1:20" x14ac:dyDescent="0.25">
      <c r="A298" s="6">
        <f>MOD(IF(ROW()=2,0.1,IF(INDEX(TimeEntry[WkEnd],ROW()-1)  =  INDEX(TimeEntry[WkEnd],ROW()-2),    INDEX(TimeEntry[format],ROW()-2),    INDEX(TimeEntry[format],ROW()-2)    +1)),2)</f>
        <v>1.1000000000000001</v>
      </c>
      <c r="B298" s="7"/>
      <c r="C298" s="8">
        <v>43910</v>
      </c>
      <c r="D298" s="8"/>
      <c r="E298" s="1" t="s">
        <v>449</v>
      </c>
      <c r="F298" s="8">
        <f>IF(TimeEntry[[#This Row],[Date]]=0,F297,C298+(7-Q298))</f>
        <v>43912</v>
      </c>
      <c r="G298" s="35" t="str">
        <f>INDEX(projects[Charge_Code],MATCH(TimeEntry[[#This Row],[Project_ID]],projects[Project_ID],0))</f>
        <v>255670-17 LOWER KINGS ROAD ASSESSMENT (01-382)</v>
      </c>
      <c r="H298" s="1" t="str">
        <f t="shared" si="8"/>
        <v>Normal Time</v>
      </c>
      <c r="I298" s="1"/>
      <c r="J298" s="15">
        <v>2.5</v>
      </c>
      <c r="K298" s="15"/>
      <c r="L298" s="15"/>
      <c r="M298" s="15"/>
      <c r="N298" s="15"/>
      <c r="O298" s="15" t="str">
        <f>INDEX(projects[job number],MATCH(TimeEntry[[#This Row],[Project_ID]], projects[Project_ID],0))</f>
        <v>255670-17</v>
      </c>
      <c r="P298" s="15" t="str">
        <f>INDEX(projects[Project_Name],MATCH(TimeEntry[[#This Row],[Project_ID]], projects[Project_ID],0))</f>
        <v>LOWER KINGS ROAD ASSESSMENT</v>
      </c>
      <c r="Q298" s="6">
        <f>IF(TimeEntry[[#This Row],[Date]]=0,"",WEEKDAY(C298,2))</f>
        <v>5</v>
      </c>
      <c r="R298" s="9">
        <f>YEAR(TimeEntry[[#This Row],[WkEnd]])</f>
        <v>2020</v>
      </c>
      <c r="S298" s="9">
        <f>WEEKNUM(TimeEntry[[#This Row],[WkEnd]])</f>
        <v>13</v>
      </c>
      <c r="T298" s="9" t="str">
        <f>TimeEntry[[#This Row],[Year]]&amp;"-"&amp;TimeEntry[[#This Row],[WkNo]]</f>
        <v>2020-13</v>
      </c>
    </row>
    <row r="299" spans="1:20" x14ac:dyDescent="0.25">
      <c r="A299" s="6">
        <f>MOD(IF(ROW()=2,0.1,IF(INDEX(TimeEntry[WkEnd],ROW()-1)  =  INDEX(TimeEntry[WkEnd],ROW()-2),    INDEX(TimeEntry[format],ROW()-2),    INDEX(TimeEntry[format],ROW()-2)    +1)),2)</f>
        <v>1.1000000000000001</v>
      </c>
      <c r="B299" s="7"/>
      <c r="C299" s="8">
        <v>43910</v>
      </c>
      <c r="D299" s="8"/>
      <c r="E299" s="1" t="s">
        <v>453</v>
      </c>
      <c r="F299" s="8">
        <f>IF(TimeEntry[[#This Row],[Date]]=0,F298,C299+(7-Q299))</f>
        <v>43912</v>
      </c>
      <c r="G299" s="35" t="str">
        <f>INDEX(projects[Charge_Code],MATCH(TimeEntry[[#This Row],[Project_ID]],projects[Project_ID],0))</f>
        <v>210035-64 VBB 3rd - new bridge VO</v>
      </c>
      <c r="H299" s="1" t="str">
        <f t="shared" si="8"/>
        <v>Normal Time</v>
      </c>
      <c r="I299" s="1"/>
      <c r="J299" s="15">
        <v>5</v>
      </c>
      <c r="K299" s="15"/>
      <c r="L299" s="15"/>
      <c r="M299" s="15"/>
      <c r="N299" s="15"/>
      <c r="O299" s="15" t="str">
        <f>INDEX(projects[job number],MATCH(TimeEntry[[#This Row],[Project_ID]], projects[Project_ID],0))</f>
        <v>210035-64</v>
      </c>
      <c r="P299" s="15" t="str">
        <f>INDEX(projects[Project_Name],MATCH(TimeEntry[[#This Row],[Project_ID]], projects[Project_ID],0))</f>
        <v>VBB 3rd - new bridge VO</v>
      </c>
      <c r="Q299" s="6">
        <f>IF(TimeEntry[[#This Row],[Date]]=0,"",WEEKDAY(C299,2))</f>
        <v>5</v>
      </c>
      <c r="R299" s="9">
        <f>YEAR(TimeEntry[[#This Row],[WkEnd]])</f>
        <v>2020</v>
      </c>
      <c r="S299" s="9">
        <f>WEEKNUM(TimeEntry[[#This Row],[WkEnd]])</f>
        <v>13</v>
      </c>
      <c r="T299" s="9" t="str">
        <f>TimeEntry[[#This Row],[Year]]&amp;"-"&amp;TimeEntry[[#This Row],[WkNo]]</f>
        <v>2020-13</v>
      </c>
    </row>
    <row r="300" spans="1:20" x14ac:dyDescent="0.25">
      <c r="A300" s="6">
        <f>MOD(IF(ROW()=2,0.1,IF(INDEX(TimeEntry[WkEnd],ROW()-1)  =  INDEX(TimeEntry[WkEnd],ROW()-2),    INDEX(TimeEntry[format],ROW()-2),    INDEX(TimeEntry[format],ROW()-2)    +1)),2)</f>
        <v>1.1000000000000001</v>
      </c>
      <c r="B300" s="7"/>
      <c r="C300" s="8">
        <v>43909</v>
      </c>
      <c r="D300" s="8"/>
      <c r="E300" s="1" t="s">
        <v>453</v>
      </c>
      <c r="F300" s="8">
        <f>IF(TimeEntry[[#This Row],[Date]]=0,F299,C300+(7-Q300))</f>
        <v>43912</v>
      </c>
      <c r="G300" s="35" t="str">
        <f>INDEX(projects[Charge_Code],MATCH(TimeEntry[[#This Row],[Project_ID]],projects[Project_ID],0))</f>
        <v>210035-64 VBB 3rd - new bridge VO</v>
      </c>
      <c r="H300" s="1" t="str">
        <f t="shared" si="8"/>
        <v>Normal Time</v>
      </c>
      <c r="I300" s="1"/>
      <c r="J300" s="15">
        <v>7.5</v>
      </c>
      <c r="K300" s="15"/>
      <c r="L300" s="15"/>
      <c r="M300" s="15"/>
      <c r="N300" s="15"/>
      <c r="O300" s="15" t="str">
        <f>INDEX(projects[job number],MATCH(TimeEntry[[#This Row],[Project_ID]], projects[Project_ID],0))</f>
        <v>210035-64</v>
      </c>
      <c r="P300" s="15" t="str">
        <f>INDEX(projects[Project_Name],MATCH(TimeEntry[[#This Row],[Project_ID]], projects[Project_ID],0))</f>
        <v>VBB 3rd - new bridge VO</v>
      </c>
      <c r="Q300" s="6">
        <f>IF(TimeEntry[[#This Row],[Date]]=0,"",WEEKDAY(C300,2))</f>
        <v>4</v>
      </c>
      <c r="R300" s="9">
        <f>YEAR(TimeEntry[[#This Row],[WkEnd]])</f>
        <v>2020</v>
      </c>
      <c r="S300" s="9">
        <f>WEEKNUM(TimeEntry[[#This Row],[WkEnd]])</f>
        <v>13</v>
      </c>
      <c r="T300" s="9" t="str">
        <f>TimeEntry[[#This Row],[Year]]&amp;"-"&amp;TimeEntry[[#This Row],[WkNo]]</f>
        <v>2020-13</v>
      </c>
    </row>
    <row r="301" spans="1:20" x14ac:dyDescent="0.25">
      <c r="A301" s="6">
        <f>MOD(IF(ROW()=2,0.1,IF(INDEX(TimeEntry[WkEnd],ROW()-1)  =  INDEX(TimeEntry[WkEnd],ROW()-2),    INDEX(TimeEntry[format],ROW()-2),    INDEX(TimeEntry[format],ROW()-2)    +1)),2)</f>
        <v>1.1000000000000001</v>
      </c>
      <c r="B301" s="7"/>
      <c r="C301" s="8">
        <v>43908</v>
      </c>
      <c r="D301" s="8"/>
      <c r="E301" s="1" t="s">
        <v>453</v>
      </c>
      <c r="F301" s="8">
        <f>IF(TimeEntry[[#This Row],[Date]]=0,F300,C301+(7-Q301))</f>
        <v>43912</v>
      </c>
      <c r="G301" s="35" t="str">
        <f>INDEX(projects[Charge_Code],MATCH(TimeEntry[[#This Row],[Project_ID]],projects[Project_ID],0))</f>
        <v>210035-64 VBB 3rd - new bridge VO</v>
      </c>
      <c r="H301" s="1" t="str">
        <f t="shared" si="8"/>
        <v>Normal Time</v>
      </c>
      <c r="I301" s="1"/>
      <c r="J301" s="15">
        <v>7.5</v>
      </c>
      <c r="K301" s="15"/>
      <c r="L301" s="15"/>
      <c r="M301" s="15"/>
      <c r="N301" s="15"/>
      <c r="O301" s="15" t="str">
        <f>INDEX(projects[job number],MATCH(TimeEntry[[#This Row],[Project_ID]], projects[Project_ID],0))</f>
        <v>210035-64</v>
      </c>
      <c r="P301" s="15" t="str">
        <f>INDEX(projects[Project_Name],MATCH(TimeEntry[[#This Row],[Project_ID]], projects[Project_ID],0))</f>
        <v>VBB 3rd - new bridge VO</v>
      </c>
      <c r="Q301" s="6">
        <f>IF(TimeEntry[[#This Row],[Date]]=0,"",WEEKDAY(C301,2))</f>
        <v>3</v>
      </c>
      <c r="R301" s="9">
        <f>YEAR(TimeEntry[[#This Row],[WkEnd]])</f>
        <v>2020</v>
      </c>
      <c r="S301" s="9">
        <f>WEEKNUM(TimeEntry[[#This Row],[WkEnd]])</f>
        <v>13</v>
      </c>
      <c r="T301" s="9" t="str">
        <f>TimeEntry[[#This Row],[Year]]&amp;"-"&amp;TimeEntry[[#This Row],[WkNo]]</f>
        <v>2020-13</v>
      </c>
    </row>
    <row r="302" spans="1:20" x14ac:dyDescent="0.25">
      <c r="A302" s="6">
        <f>MOD(IF(ROW()=2,0.1,IF(INDEX(TimeEntry[WkEnd],ROW()-1)  =  INDEX(TimeEntry[WkEnd],ROW()-2),    INDEX(TimeEntry[format],ROW()-2),    INDEX(TimeEntry[format],ROW()-2)    +1)),2)</f>
        <v>1.1000000000000001</v>
      </c>
      <c r="B302" s="7"/>
      <c r="C302" s="8">
        <v>43907</v>
      </c>
      <c r="D302" s="8"/>
      <c r="E302" s="1" t="s">
        <v>453</v>
      </c>
      <c r="F302" s="8">
        <f>IF(TimeEntry[[#This Row],[Date]]=0,F301,C302+(7-Q302))</f>
        <v>43912</v>
      </c>
      <c r="G302" s="35" t="str">
        <f>INDEX(projects[Charge_Code],MATCH(TimeEntry[[#This Row],[Project_ID]],projects[Project_ID],0))</f>
        <v>210035-64 VBB 3rd - new bridge VO</v>
      </c>
      <c r="H302" s="1" t="str">
        <f t="shared" si="8"/>
        <v>Normal Time</v>
      </c>
      <c r="I302" s="1"/>
      <c r="J302" s="15">
        <v>5.5</v>
      </c>
      <c r="K302" s="15"/>
      <c r="L302" s="15"/>
      <c r="M302" s="15"/>
      <c r="N302" s="15"/>
      <c r="O302" s="15" t="str">
        <f>INDEX(projects[job number],MATCH(TimeEntry[[#This Row],[Project_ID]], projects[Project_ID],0))</f>
        <v>210035-64</v>
      </c>
      <c r="P302" s="15" t="str">
        <f>INDEX(projects[Project_Name],MATCH(TimeEntry[[#This Row],[Project_ID]], projects[Project_ID],0))</f>
        <v>VBB 3rd - new bridge VO</v>
      </c>
      <c r="Q302" s="6">
        <f>IF(TimeEntry[[#This Row],[Date]]=0,"",WEEKDAY(C302,2))</f>
        <v>2</v>
      </c>
      <c r="R302" s="9">
        <f>YEAR(TimeEntry[[#This Row],[WkEnd]])</f>
        <v>2020</v>
      </c>
      <c r="S302" s="9">
        <f>WEEKNUM(TimeEntry[[#This Row],[WkEnd]])</f>
        <v>13</v>
      </c>
      <c r="T302" s="9" t="str">
        <f>TimeEntry[[#This Row],[Year]]&amp;"-"&amp;TimeEntry[[#This Row],[WkNo]]</f>
        <v>2020-13</v>
      </c>
    </row>
    <row r="303" spans="1:20" x14ac:dyDescent="0.25">
      <c r="A303" s="6">
        <f>MOD(IF(ROW()=2,0.1,IF(INDEX(TimeEntry[WkEnd],ROW()-1)  =  INDEX(TimeEntry[WkEnd],ROW()-2),    INDEX(TimeEntry[format],ROW()-2),    INDEX(TimeEntry[format],ROW()-2)    +1)),2)</f>
        <v>1.1000000000000001</v>
      </c>
      <c r="B303" s="7"/>
      <c r="C303" s="8">
        <v>43907</v>
      </c>
      <c r="D303" s="8"/>
      <c r="E303" s="1" t="s">
        <v>449</v>
      </c>
      <c r="F303" s="8">
        <f>IF(TimeEntry[[#This Row],[Date]]=0,F302,C303+(7-Q303))</f>
        <v>43912</v>
      </c>
      <c r="G303" s="35" t="str">
        <f>INDEX(projects[Charge_Code],MATCH(TimeEntry[[#This Row],[Project_ID]],projects[Project_ID],0))</f>
        <v>255670-17 LOWER KINGS ROAD ASSESSMENT (01-382)</v>
      </c>
      <c r="H303" s="1" t="str">
        <f t="shared" si="8"/>
        <v>Normal Time</v>
      </c>
      <c r="I303" s="1"/>
      <c r="J303" s="15">
        <v>2</v>
      </c>
      <c r="K303" s="15"/>
      <c r="L303" s="15"/>
      <c r="M303" s="15"/>
      <c r="N303" s="15"/>
      <c r="O303" s="15" t="str">
        <f>INDEX(projects[job number],MATCH(TimeEntry[[#This Row],[Project_ID]], projects[Project_ID],0))</f>
        <v>255670-17</v>
      </c>
      <c r="P303" s="15" t="str">
        <f>INDEX(projects[Project_Name],MATCH(TimeEntry[[#This Row],[Project_ID]], projects[Project_ID],0))</f>
        <v>LOWER KINGS ROAD ASSESSMENT</v>
      </c>
      <c r="Q303" s="6">
        <f>IF(TimeEntry[[#This Row],[Date]]=0,"",WEEKDAY(C303,2))</f>
        <v>2</v>
      </c>
      <c r="R303" s="9">
        <f>YEAR(TimeEntry[[#This Row],[WkEnd]])</f>
        <v>2020</v>
      </c>
      <c r="S303" s="9">
        <f>WEEKNUM(TimeEntry[[#This Row],[WkEnd]])</f>
        <v>13</v>
      </c>
      <c r="T303" s="9" t="str">
        <f>TimeEntry[[#This Row],[Year]]&amp;"-"&amp;TimeEntry[[#This Row],[WkNo]]</f>
        <v>2020-13</v>
      </c>
    </row>
    <row r="304" spans="1:20" x14ac:dyDescent="0.25">
      <c r="A304" s="6">
        <f>MOD(IF(ROW()=2,0.1,IF(INDEX(TimeEntry[WkEnd],ROW()-1)  =  INDEX(TimeEntry[WkEnd],ROW()-2),    INDEX(TimeEntry[format],ROW()-2),    INDEX(TimeEntry[format],ROW()-2)    +1)),2)</f>
        <v>1.1000000000000001</v>
      </c>
      <c r="B304" s="7"/>
      <c r="C304" s="8">
        <v>43906</v>
      </c>
      <c r="D304" s="8"/>
      <c r="E304" s="1" t="s">
        <v>453</v>
      </c>
      <c r="F304" s="8">
        <f>IF(TimeEntry[[#This Row],[Date]]=0,F303,C304+(7-Q304))</f>
        <v>43912</v>
      </c>
      <c r="G304" s="35" t="str">
        <f>INDEX(projects[Charge_Code],MATCH(TimeEntry[[#This Row],[Project_ID]],projects[Project_ID],0))</f>
        <v>210035-64 VBB 3rd - new bridge VO</v>
      </c>
      <c r="H304" s="1" t="str">
        <f t="shared" si="8"/>
        <v>Normal Time</v>
      </c>
      <c r="I304" s="1"/>
      <c r="J304" s="15">
        <v>7.5</v>
      </c>
      <c r="K304" s="15"/>
      <c r="L304" s="15"/>
      <c r="M304" s="15"/>
      <c r="N304" s="15"/>
      <c r="O304" s="15" t="str">
        <f>INDEX(projects[job number],MATCH(TimeEntry[[#This Row],[Project_ID]], projects[Project_ID],0))</f>
        <v>210035-64</v>
      </c>
      <c r="P304" s="15" t="str">
        <f>INDEX(projects[Project_Name],MATCH(TimeEntry[[#This Row],[Project_ID]], projects[Project_ID],0))</f>
        <v>VBB 3rd - new bridge VO</v>
      </c>
      <c r="Q304" s="6">
        <f>IF(TimeEntry[[#This Row],[Date]]=0,"",WEEKDAY(C304,2))</f>
        <v>1</v>
      </c>
      <c r="R304" s="9">
        <f>YEAR(TimeEntry[[#This Row],[WkEnd]])</f>
        <v>2020</v>
      </c>
      <c r="S304" s="9">
        <f>WEEKNUM(TimeEntry[[#This Row],[WkEnd]])</f>
        <v>13</v>
      </c>
      <c r="T304" s="9" t="str">
        <f>TimeEntry[[#This Row],[Year]]&amp;"-"&amp;TimeEntry[[#This Row],[WkNo]]</f>
        <v>2020-13</v>
      </c>
    </row>
    <row r="305" spans="1:20" x14ac:dyDescent="0.25">
      <c r="A305" s="6">
        <f>MOD(IF(ROW()=2,0.1,IF(INDEX(TimeEntry[WkEnd],ROW()-1)  =  INDEX(TimeEntry[WkEnd],ROW()-2),    INDEX(TimeEntry[format],ROW()-2),    INDEX(TimeEntry[format],ROW()-2)    +1)),2)</f>
        <v>0.10000000000000009</v>
      </c>
      <c r="B305" s="7"/>
      <c r="C305" s="8">
        <v>43903</v>
      </c>
      <c r="D305" s="8"/>
      <c r="E305" s="1" t="s">
        <v>449</v>
      </c>
      <c r="F305" s="8">
        <f>IF(TimeEntry[[#This Row],[Date]]=0,F304,C305+(7-Q305))</f>
        <v>43905</v>
      </c>
      <c r="G305" s="35" t="str">
        <f>INDEX(projects[Charge_Code],MATCH(TimeEntry[[#This Row],[Project_ID]],projects[Project_ID],0))</f>
        <v>255670-17 LOWER KINGS ROAD ASSESSMENT (01-382)</v>
      </c>
      <c r="H305" s="1" t="str">
        <f t="shared" si="8"/>
        <v>Normal Time</v>
      </c>
      <c r="I305" s="1"/>
      <c r="J305" s="15">
        <v>5.5</v>
      </c>
      <c r="K305" s="15"/>
      <c r="L305" s="15"/>
      <c r="M305" s="15"/>
      <c r="N305" s="15"/>
      <c r="O305" s="15" t="str">
        <f>INDEX(projects[job number],MATCH(TimeEntry[[#This Row],[Project_ID]], projects[Project_ID],0))</f>
        <v>255670-17</v>
      </c>
      <c r="P305" s="15" t="str">
        <f>INDEX(projects[Project_Name],MATCH(TimeEntry[[#This Row],[Project_ID]], projects[Project_ID],0))</f>
        <v>LOWER KINGS ROAD ASSESSMENT</v>
      </c>
      <c r="Q305" s="6">
        <f>IF(TimeEntry[[#This Row],[Date]]=0,"",WEEKDAY(C305,2))</f>
        <v>5</v>
      </c>
      <c r="R305" s="9">
        <f>YEAR(TimeEntry[[#This Row],[WkEnd]])</f>
        <v>2020</v>
      </c>
      <c r="S305" s="9">
        <f>WEEKNUM(TimeEntry[[#This Row],[WkEnd]])</f>
        <v>12</v>
      </c>
      <c r="T305" s="9" t="str">
        <f>TimeEntry[[#This Row],[Year]]&amp;"-"&amp;TimeEntry[[#This Row],[WkNo]]</f>
        <v>2020-12</v>
      </c>
    </row>
    <row r="306" spans="1:20" x14ac:dyDescent="0.25">
      <c r="A306" s="6">
        <f>MOD(IF(ROW()=2,0.1,IF(INDEX(TimeEntry[WkEnd],ROW()-1)  =  INDEX(TimeEntry[WkEnd],ROW()-2),    INDEX(TimeEntry[format],ROW()-2),    INDEX(TimeEntry[format],ROW()-2)    +1)),2)</f>
        <v>0.10000000000000009</v>
      </c>
      <c r="B306" s="7"/>
      <c r="C306" s="8">
        <v>43903</v>
      </c>
      <c r="D306" s="8"/>
      <c r="E306" s="1" t="s">
        <v>453</v>
      </c>
      <c r="F306" s="8">
        <f>IF(TimeEntry[[#This Row],[Date]]=0,F305,C306+(7-Q306))</f>
        <v>43905</v>
      </c>
      <c r="G306" s="35" t="str">
        <f>INDEX(projects[Charge_Code],MATCH(TimeEntry[[#This Row],[Project_ID]],projects[Project_ID],0))</f>
        <v>210035-64 VBB 3rd - new bridge VO</v>
      </c>
      <c r="H306" s="1" t="str">
        <f t="shared" si="8"/>
        <v>Normal Time</v>
      </c>
      <c r="I306" s="1"/>
      <c r="J306" s="15">
        <v>2</v>
      </c>
      <c r="K306" s="15"/>
      <c r="L306" s="15"/>
      <c r="M306" s="15"/>
      <c r="N306" s="15"/>
      <c r="O306" s="15" t="str">
        <f>INDEX(projects[job number],MATCH(TimeEntry[[#This Row],[Project_ID]], projects[Project_ID],0))</f>
        <v>210035-64</v>
      </c>
      <c r="P306" s="15" t="str">
        <f>INDEX(projects[Project_Name],MATCH(TimeEntry[[#This Row],[Project_ID]], projects[Project_ID],0))</f>
        <v>VBB 3rd - new bridge VO</v>
      </c>
      <c r="Q306" s="6">
        <f>IF(TimeEntry[[#This Row],[Date]]=0,"",WEEKDAY(C306,2))</f>
        <v>5</v>
      </c>
      <c r="R306" s="9">
        <f>YEAR(TimeEntry[[#This Row],[WkEnd]])</f>
        <v>2020</v>
      </c>
      <c r="S306" s="9">
        <f>WEEKNUM(TimeEntry[[#This Row],[WkEnd]])</f>
        <v>12</v>
      </c>
      <c r="T306" s="9" t="str">
        <f>TimeEntry[[#This Row],[Year]]&amp;"-"&amp;TimeEntry[[#This Row],[WkNo]]</f>
        <v>2020-12</v>
      </c>
    </row>
    <row r="307" spans="1:20" x14ac:dyDescent="0.25">
      <c r="A307" s="6">
        <f>MOD(IF(ROW()=2,0.1,IF(INDEX(TimeEntry[WkEnd],ROW()-1)  =  INDEX(TimeEntry[WkEnd],ROW()-2),    INDEX(TimeEntry[format],ROW()-2),    INDEX(TimeEntry[format],ROW()-2)    +1)),2)</f>
        <v>0.10000000000000009</v>
      </c>
      <c r="B307" s="7"/>
      <c r="C307" s="8">
        <v>43902</v>
      </c>
      <c r="D307" s="8"/>
      <c r="E307" s="1" t="s">
        <v>453</v>
      </c>
      <c r="F307" s="8">
        <f>IF(TimeEntry[[#This Row],[Date]]=0,F306,C307+(7-Q307))</f>
        <v>43905</v>
      </c>
      <c r="G307" s="35" t="str">
        <f>INDEX(projects[Charge_Code],MATCH(TimeEntry[[#This Row],[Project_ID]],projects[Project_ID],0))</f>
        <v>210035-64 VBB 3rd - new bridge VO</v>
      </c>
      <c r="H307" s="1" t="str">
        <f t="shared" si="8"/>
        <v>Normal Time</v>
      </c>
      <c r="I307" s="1"/>
      <c r="J307" s="15">
        <v>7.5</v>
      </c>
      <c r="K307" s="15"/>
      <c r="L307" s="15"/>
      <c r="M307" s="15"/>
      <c r="N307" s="15"/>
      <c r="O307" s="15" t="str">
        <f>INDEX(projects[job number],MATCH(TimeEntry[[#This Row],[Project_ID]], projects[Project_ID],0))</f>
        <v>210035-64</v>
      </c>
      <c r="P307" s="15" t="str">
        <f>INDEX(projects[Project_Name],MATCH(TimeEntry[[#This Row],[Project_ID]], projects[Project_ID],0))</f>
        <v>VBB 3rd - new bridge VO</v>
      </c>
      <c r="Q307" s="6">
        <f>IF(TimeEntry[[#This Row],[Date]]=0,"",WEEKDAY(C307,2))</f>
        <v>4</v>
      </c>
      <c r="R307" s="9">
        <f>YEAR(TimeEntry[[#This Row],[WkEnd]])</f>
        <v>2020</v>
      </c>
      <c r="S307" s="9">
        <f>WEEKNUM(TimeEntry[[#This Row],[WkEnd]])</f>
        <v>12</v>
      </c>
      <c r="T307" s="9" t="str">
        <f>TimeEntry[[#This Row],[Year]]&amp;"-"&amp;TimeEntry[[#This Row],[WkNo]]</f>
        <v>2020-12</v>
      </c>
    </row>
    <row r="308" spans="1:20" x14ac:dyDescent="0.25">
      <c r="A308" s="6">
        <f>MOD(IF(ROW()=2,0.1,IF(INDEX(TimeEntry[WkEnd],ROW()-1)  =  INDEX(TimeEntry[WkEnd],ROW()-2),    INDEX(TimeEntry[format],ROW()-2),    INDEX(TimeEntry[format],ROW()-2)    +1)),2)</f>
        <v>0.10000000000000009</v>
      </c>
      <c r="B308" s="7"/>
      <c r="C308" s="8">
        <v>43901</v>
      </c>
      <c r="D308" s="8"/>
      <c r="E308" s="1" t="s">
        <v>453</v>
      </c>
      <c r="F308" s="8">
        <f>IF(TimeEntry[[#This Row],[Date]]=0,F307,C308+(7-Q308))</f>
        <v>43905</v>
      </c>
      <c r="G308" s="35" t="str">
        <f>INDEX(projects[Charge_Code],MATCH(TimeEntry[[#This Row],[Project_ID]],projects[Project_ID],0))</f>
        <v>210035-64 VBB 3rd - new bridge VO</v>
      </c>
      <c r="H308" s="1" t="str">
        <f t="shared" si="8"/>
        <v>Normal Time</v>
      </c>
      <c r="I308" s="1"/>
      <c r="J308" s="15">
        <v>7.5</v>
      </c>
      <c r="K308" s="15"/>
      <c r="L308" s="15"/>
      <c r="M308" s="15"/>
      <c r="N308" s="15"/>
      <c r="O308" s="15" t="str">
        <f>INDEX(projects[job number],MATCH(TimeEntry[[#This Row],[Project_ID]], projects[Project_ID],0))</f>
        <v>210035-64</v>
      </c>
      <c r="P308" s="15" t="str">
        <f>INDEX(projects[Project_Name],MATCH(TimeEntry[[#This Row],[Project_ID]], projects[Project_ID],0))</f>
        <v>VBB 3rd - new bridge VO</v>
      </c>
      <c r="Q308" s="6">
        <f>IF(TimeEntry[[#This Row],[Date]]=0,"",WEEKDAY(C308,2))</f>
        <v>3</v>
      </c>
      <c r="R308" s="9">
        <f>YEAR(TimeEntry[[#This Row],[WkEnd]])</f>
        <v>2020</v>
      </c>
      <c r="S308" s="9">
        <f>WEEKNUM(TimeEntry[[#This Row],[WkEnd]])</f>
        <v>12</v>
      </c>
      <c r="T308" s="9" t="str">
        <f>TimeEntry[[#This Row],[Year]]&amp;"-"&amp;TimeEntry[[#This Row],[WkNo]]</f>
        <v>2020-12</v>
      </c>
    </row>
    <row r="309" spans="1:20" x14ac:dyDescent="0.25">
      <c r="A309" s="6">
        <f>MOD(IF(ROW()=2,0.1,IF(INDEX(TimeEntry[WkEnd],ROW()-1)  =  INDEX(TimeEntry[WkEnd],ROW()-2),    INDEX(TimeEntry[format],ROW()-2),    INDEX(TimeEntry[format],ROW()-2)    +1)),2)</f>
        <v>0.10000000000000009</v>
      </c>
      <c r="B309" s="7"/>
      <c r="C309" s="8">
        <v>43900</v>
      </c>
      <c r="D309" s="8"/>
      <c r="E309" s="1" t="s">
        <v>453</v>
      </c>
      <c r="F309" s="8">
        <f>IF(TimeEntry[[#This Row],[Date]]=0,F308,C309+(7-Q309))</f>
        <v>43905</v>
      </c>
      <c r="G309" s="35" t="str">
        <f>INDEX(projects[Charge_Code],MATCH(TimeEntry[[#This Row],[Project_ID]],projects[Project_ID],0))</f>
        <v>210035-64 VBB 3rd - new bridge VO</v>
      </c>
      <c r="H309" s="1" t="str">
        <f t="shared" si="8"/>
        <v>Normal Time</v>
      </c>
      <c r="I309" s="1"/>
      <c r="J309" s="15">
        <v>7.5</v>
      </c>
      <c r="K309" s="15"/>
      <c r="L309" s="15"/>
      <c r="M309" s="15"/>
      <c r="N309" s="15"/>
      <c r="O309" s="15" t="str">
        <f>INDEX(projects[job number],MATCH(TimeEntry[[#This Row],[Project_ID]], projects[Project_ID],0))</f>
        <v>210035-64</v>
      </c>
      <c r="P309" s="15" t="str">
        <f>INDEX(projects[Project_Name],MATCH(TimeEntry[[#This Row],[Project_ID]], projects[Project_ID],0))</f>
        <v>VBB 3rd - new bridge VO</v>
      </c>
      <c r="Q309" s="6">
        <f>IF(TimeEntry[[#This Row],[Date]]=0,"",WEEKDAY(C309,2))</f>
        <v>2</v>
      </c>
      <c r="R309" s="9">
        <f>YEAR(TimeEntry[[#This Row],[WkEnd]])</f>
        <v>2020</v>
      </c>
      <c r="S309" s="9">
        <f>WEEKNUM(TimeEntry[[#This Row],[WkEnd]])</f>
        <v>12</v>
      </c>
      <c r="T309" s="9" t="str">
        <f>TimeEntry[[#This Row],[Year]]&amp;"-"&amp;TimeEntry[[#This Row],[WkNo]]</f>
        <v>2020-12</v>
      </c>
    </row>
    <row r="310" spans="1:20" x14ac:dyDescent="0.25">
      <c r="A310" s="6">
        <f>MOD(IF(ROW()=2,0.1,IF(INDEX(TimeEntry[WkEnd],ROW()-1)  =  INDEX(TimeEntry[WkEnd],ROW()-2),    INDEX(TimeEntry[format],ROW()-2),    INDEX(TimeEntry[format],ROW()-2)    +1)),2)</f>
        <v>0.10000000000000009</v>
      </c>
      <c r="B310" s="7"/>
      <c r="C310" s="8">
        <v>43899</v>
      </c>
      <c r="D310" s="8"/>
      <c r="E310" s="1" t="s">
        <v>453</v>
      </c>
      <c r="F310" s="8">
        <f>IF(TimeEntry[[#This Row],[Date]]=0,F309,C310+(7-Q310))</f>
        <v>43905</v>
      </c>
      <c r="G310" s="35" t="str">
        <f>INDEX(projects[Charge_Code],MATCH(TimeEntry[[#This Row],[Project_ID]],projects[Project_ID],0))</f>
        <v>210035-64 VBB 3rd - new bridge VO</v>
      </c>
      <c r="H310" s="1" t="str">
        <f t="shared" si="8"/>
        <v>Normal Time</v>
      </c>
      <c r="I310" s="1"/>
      <c r="J310" s="15">
        <v>7.5</v>
      </c>
      <c r="K310" s="15"/>
      <c r="L310" s="15"/>
      <c r="M310" s="15"/>
      <c r="N310" s="15"/>
      <c r="O310" s="15" t="str">
        <f>INDEX(projects[job number],MATCH(TimeEntry[[#This Row],[Project_ID]], projects[Project_ID],0))</f>
        <v>210035-64</v>
      </c>
      <c r="P310" s="15" t="str">
        <f>INDEX(projects[Project_Name],MATCH(TimeEntry[[#This Row],[Project_ID]], projects[Project_ID],0))</f>
        <v>VBB 3rd - new bridge VO</v>
      </c>
      <c r="Q310" s="6">
        <f>IF(TimeEntry[[#This Row],[Date]]=0,"",WEEKDAY(C310,2))</f>
        <v>1</v>
      </c>
      <c r="R310" s="9">
        <f>YEAR(TimeEntry[[#This Row],[WkEnd]])</f>
        <v>2020</v>
      </c>
      <c r="S310" s="9">
        <f>WEEKNUM(TimeEntry[[#This Row],[WkEnd]])</f>
        <v>12</v>
      </c>
      <c r="T310" s="9" t="str">
        <f>TimeEntry[[#This Row],[Year]]&amp;"-"&amp;TimeEntry[[#This Row],[WkNo]]</f>
        <v>2020-12</v>
      </c>
    </row>
    <row r="311" spans="1:20" x14ac:dyDescent="0.25">
      <c r="A311" s="6">
        <f>MOD(IF(ROW()=2,0.1,IF(INDEX(TimeEntry[WkEnd],ROW()-1)  =  INDEX(TimeEntry[WkEnd],ROW()-2),    INDEX(TimeEntry[format],ROW()-2),    INDEX(TimeEntry[format],ROW()-2)    +1)),2)</f>
        <v>1.1000000000000001</v>
      </c>
      <c r="B311" s="7"/>
      <c r="C311" s="8">
        <v>43892</v>
      </c>
      <c r="D311" s="8"/>
      <c r="E311" s="1" t="s">
        <v>453</v>
      </c>
      <c r="F311" s="8">
        <f>IF(TimeEntry[[#This Row],[Date]]=0,F310,C311+(7-Q311))</f>
        <v>43898</v>
      </c>
      <c r="G311" s="35" t="str">
        <f>INDEX(projects[Charge_Code],MATCH(TimeEntry[[#This Row],[Project_ID]],projects[Project_ID],0))</f>
        <v>210035-64 VBB 3rd - new bridge VO</v>
      </c>
      <c r="H311" s="1" t="str">
        <f t="shared" si="8"/>
        <v>Normal Time</v>
      </c>
      <c r="I311" s="1"/>
      <c r="J311" s="15">
        <v>7.5</v>
      </c>
      <c r="K311" s="15"/>
      <c r="L311" s="15"/>
      <c r="M311" s="15"/>
      <c r="N311" s="15"/>
      <c r="O311" s="15" t="str">
        <f>INDEX(projects[job number],MATCH(TimeEntry[[#This Row],[Project_ID]], projects[Project_ID],0))</f>
        <v>210035-64</v>
      </c>
      <c r="P311" s="15" t="str">
        <f>INDEX(projects[Project_Name],MATCH(TimeEntry[[#This Row],[Project_ID]], projects[Project_ID],0))</f>
        <v>VBB 3rd - new bridge VO</v>
      </c>
      <c r="Q311" s="6">
        <f>IF(TimeEntry[[#This Row],[Date]]=0,"",WEEKDAY(C311,2))</f>
        <v>1</v>
      </c>
      <c r="R311" s="9">
        <f>YEAR(TimeEntry[[#This Row],[WkEnd]])</f>
        <v>2020</v>
      </c>
      <c r="S311" s="9">
        <f>WEEKNUM(TimeEntry[[#This Row],[WkEnd]])</f>
        <v>11</v>
      </c>
      <c r="T311" s="9" t="str">
        <f>TimeEntry[[#This Row],[Year]]&amp;"-"&amp;TimeEntry[[#This Row],[WkNo]]</f>
        <v>2020-11</v>
      </c>
    </row>
    <row r="312" spans="1:20" x14ac:dyDescent="0.25">
      <c r="A312" s="6">
        <f>MOD(IF(ROW()=2,0.1,IF(INDEX(TimeEntry[WkEnd],ROW()-1)  =  INDEX(TimeEntry[WkEnd],ROW()-2),    INDEX(TimeEntry[format],ROW()-2),    INDEX(TimeEntry[format],ROW()-2)    +1)),2)</f>
        <v>1.1000000000000001</v>
      </c>
      <c r="B312" s="7"/>
      <c r="C312" s="8">
        <v>43893</v>
      </c>
      <c r="D312" s="8"/>
      <c r="E312" s="1" t="s">
        <v>453</v>
      </c>
      <c r="F312" s="8">
        <f>IF(TimeEntry[[#This Row],[Date]]=0,F311,C312+(7-Q312))</f>
        <v>43898</v>
      </c>
      <c r="G312" s="35" t="str">
        <f>INDEX(projects[Charge_Code],MATCH(TimeEntry[[#This Row],[Project_ID]],projects[Project_ID],0))</f>
        <v>210035-64 VBB 3rd - new bridge VO</v>
      </c>
      <c r="H312" s="1" t="str">
        <f t="shared" si="8"/>
        <v>Normal Time</v>
      </c>
      <c r="I312" s="1"/>
      <c r="J312" s="15">
        <v>7.5</v>
      </c>
      <c r="K312" s="15"/>
      <c r="L312" s="15"/>
      <c r="M312" s="15"/>
      <c r="N312" s="15"/>
      <c r="O312" s="15" t="str">
        <f>INDEX(projects[job number],MATCH(TimeEntry[[#This Row],[Project_ID]], projects[Project_ID],0))</f>
        <v>210035-64</v>
      </c>
      <c r="P312" s="15" t="str">
        <f>INDEX(projects[Project_Name],MATCH(TimeEntry[[#This Row],[Project_ID]], projects[Project_ID],0))</f>
        <v>VBB 3rd - new bridge VO</v>
      </c>
      <c r="Q312" s="6">
        <f>IF(TimeEntry[[#This Row],[Date]]=0,"",WEEKDAY(C312,2))</f>
        <v>2</v>
      </c>
      <c r="R312" s="9">
        <f>YEAR(TimeEntry[[#This Row],[WkEnd]])</f>
        <v>2020</v>
      </c>
      <c r="S312" s="9">
        <f>WEEKNUM(TimeEntry[[#This Row],[WkEnd]])</f>
        <v>11</v>
      </c>
      <c r="T312" s="9" t="str">
        <f>TimeEntry[[#This Row],[Year]]&amp;"-"&amp;TimeEntry[[#This Row],[WkNo]]</f>
        <v>2020-11</v>
      </c>
    </row>
    <row r="313" spans="1:20" x14ac:dyDescent="0.25">
      <c r="A313" s="6">
        <f>MOD(IF(ROW()=2,0.1,IF(INDEX(TimeEntry[WkEnd],ROW()-1)  =  INDEX(TimeEntry[WkEnd],ROW()-2),    INDEX(TimeEntry[format],ROW()-2),    INDEX(TimeEntry[format],ROW()-2)    +1)),2)</f>
        <v>1.1000000000000001</v>
      </c>
      <c r="B313" s="7"/>
      <c r="C313" s="8">
        <v>43894</v>
      </c>
      <c r="D313" s="8"/>
      <c r="E313" s="1" t="s">
        <v>453</v>
      </c>
      <c r="F313" s="8">
        <f>IF(TimeEntry[[#This Row],[Date]]=0,F312,C313+(7-Q313))</f>
        <v>43898</v>
      </c>
      <c r="G313" s="35" t="str">
        <f>INDEX(projects[Charge_Code],MATCH(TimeEntry[[#This Row],[Project_ID]],projects[Project_ID],0))</f>
        <v>210035-64 VBB 3rd - new bridge VO</v>
      </c>
      <c r="H313" s="1" t="str">
        <f t="shared" si="8"/>
        <v>Normal Time</v>
      </c>
      <c r="I313" s="1"/>
      <c r="J313" s="15">
        <v>7.5</v>
      </c>
      <c r="K313" s="15"/>
      <c r="L313" s="15"/>
      <c r="M313" s="15"/>
      <c r="N313" s="15"/>
      <c r="O313" s="15" t="str">
        <f>INDEX(projects[job number],MATCH(TimeEntry[[#This Row],[Project_ID]], projects[Project_ID],0))</f>
        <v>210035-64</v>
      </c>
      <c r="P313" s="15" t="str">
        <f>INDEX(projects[Project_Name],MATCH(TimeEntry[[#This Row],[Project_ID]], projects[Project_ID],0))</f>
        <v>VBB 3rd - new bridge VO</v>
      </c>
      <c r="Q313" s="6">
        <f>IF(TimeEntry[[#This Row],[Date]]=0,"",WEEKDAY(C313,2))</f>
        <v>3</v>
      </c>
      <c r="R313" s="9">
        <f>YEAR(TimeEntry[[#This Row],[WkEnd]])</f>
        <v>2020</v>
      </c>
      <c r="S313" s="9">
        <f>WEEKNUM(TimeEntry[[#This Row],[WkEnd]])</f>
        <v>11</v>
      </c>
      <c r="T313" s="9" t="str">
        <f>TimeEntry[[#This Row],[Year]]&amp;"-"&amp;TimeEntry[[#This Row],[WkNo]]</f>
        <v>2020-11</v>
      </c>
    </row>
    <row r="314" spans="1:20" x14ac:dyDescent="0.25">
      <c r="A314" s="6">
        <f>MOD(IF(ROW()=2,0.1,IF(INDEX(TimeEntry[WkEnd],ROW()-1)  =  INDEX(TimeEntry[WkEnd],ROW()-2),    INDEX(TimeEntry[format],ROW()-2),    INDEX(TimeEntry[format],ROW()-2)    +1)),2)</f>
        <v>1.1000000000000001</v>
      </c>
      <c r="B314" s="7"/>
      <c r="C314" s="8">
        <v>43895</v>
      </c>
      <c r="D314" s="8"/>
      <c r="E314" s="1" t="s">
        <v>453</v>
      </c>
      <c r="F314" s="8">
        <f>IF(TimeEntry[[#This Row],[Date]]=0,F313,C314+(7-Q314))</f>
        <v>43898</v>
      </c>
      <c r="G314" s="35" t="str">
        <f>INDEX(projects[Charge_Code],MATCH(TimeEntry[[#This Row],[Project_ID]],projects[Project_ID],0))</f>
        <v>210035-64 VBB 3rd - new bridge VO</v>
      </c>
      <c r="H314" s="1" t="str">
        <f t="shared" si="8"/>
        <v>Normal Time</v>
      </c>
      <c r="I314" s="1"/>
      <c r="J314" s="15">
        <v>7.5</v>
      </c>
      <c r="K314" s="15"/>
      <c r="L314" s="15"/>
      <c r="M314" s="15"/>
      <c r="N314" s="15"/>
      <c r="O314" s="15" t="str">
        <f>INDEX(projects[job number],MATCH(TimeEntry[[#This Row],[Project_ID]], projects[Project_ID],0))</f>
        <v>210035-64</v>
      </c>
      <c r="P314" s="15" t="str">
        <f>INDEX(projects[Project_Name],MATCH(TimeEntry[[#This Row],[Project_ID]], projects[Project_ID],0))</f>
        <v>VBB 3rd - new bridge VO</v>
      </c>
      <c r="Q314" s="6">
        <f>IF(TimeEntry[[#This Row],[Date]]=0,"",WEEKDAY(C314,2))</f>
        <v>4</v>
      </c>
      <c r="R314" s="9">
        <f>YEAR(TimeEntry[[#This Row],[WkEnd]])</f>
        <v>2020</v>
      </c>
      <c r="S314" s="9">
        <f>WEEKNUM(TimeEntry[[#This Row],[WkEnd]])</f>
        <v>11</v>
      </c>
      <c r="T314" s="9" t="str">
        <f>TimeEntry[[#This Row],[Year]]&amp;"-"&amp;TimeEntry[[#This Row],[WkNo]]</f>
        <v>2020-11</v>
      </c>
    </row>
    <row r="315" spans="1:20" x14ac:dyDescent="0.25">
      <c r="A315" s="6">
        <f>MOD(IF(ROW()=2,0.1,IF(INDEX(TimeEntry[WkEnd],ROW()-1)  =  INDEX(TimeEntry[WkEnd],ROW()-2),    INDEX(TimeEntry[format],ROW()-2),    INDEX(TimeEntry[format],ROW()-2)    +1)),2)</f>
        <v>1.1000000000000001</v>
      </c>
      <c r="B315" s="7"/>
      <c r="C315" s="8">
        <v>43896</v>
      </c>
      <c r="D315" s="8"/>
      <c r="E315" s="1" t="s">
        <v>453</v>
      </c>
      <c r="F315" s="8">
        <f>IF(TimeEntry[[#This Row],[Date]]=0,F314,C315+(7-Q315))</f>
        <v>43898</v>
      </c>
      <c r="G315" s="35" t="str">
        <f>INDEX(projects[Charge_Code],MATCH(TimeEntry[[#This Row],[Project_ID]],projects[Project_ID],0))</f>
        <v>210035-64 VBB 3rd - new bridge VO</v>
      </c>
      <c r="H315" s="1" t="str">
        <f t="shared" si="8"/>
        <v>Normal Time</v>
      </c>
      <c r="I315" s="1"/>
      <c r="J315" s="15">
        <v>7.5</v>
      </c>
      <c r="K315" s="15"/>
      <c r="L315" s="15"/>
      <c r="M315" s="15"/>
      <c r="N315" s="15"/>
      <c r="O315" s="15" t="str">
        <f>INDEX(projects[job number],MATCH(TimeEntry[[#This Row],[Project_ID]], projects[Project_ID],0))</f>
        <v>210035-64</v>
      </c>
      <c r="P315" s="15" t="str">
        <f>INDEX(projects[Project_Name],MATCH(TimeEntry[[#This Row],[Project_ID]], projects[Project_ID],0))</f>
        <v>VBB 3rd - new bridge VO</v>
      </c>
      <c r="Q315" s="6">
        <f>IF(TimeEntry[[#This Row],[Date]]=0,"",WEEKDAY(C315,2))</f>
        <v>5</v>
      </c>
      <c r="R315" s="9">
        <f>YEAR(TimeEntry[[#This Row],[WkEnd]])</f>
        <v>2020</v>
      </c>
      <c r="S315" s="9">
        <f>WEEKNUM(TimeEntry[[#This Row],[WkEnd]])</f>
        <v>11</v>
      </c>
      <c r="T315" s="9" t="str">
        <f>TimeEntry[[#This Row],[Year]]&amp;"-"&amp;TimeEntry[[#This Row],[WkNo]]</f>
        <v>2020-11</v>
      </c>
    </row>
    <row r="316" spans="1:20" x14ac:dyDescent="0.25">
      <c r="A316" s="6">
        <f>MOD(IF(ROW()=2,0.1,IF(INDEX(TimeEntry[WkEnd],ROW()-1)  =  INDEX(TimeEntry[WkEnd],ROW()-2),    INDEX(TimeEntry[format],ROW()-2),    INDEX(TimeEntry[format],ROW()-2)    +1)),2)</f>
        <v>0.10000000000000009</v>
      </c>
      <c r="B316" s="7"/>
      <c r="C316" s="8">
        <v>43885</v>
      </c>
      <c r="D316" s="8"/>
      <c r="E316" s="1" t="s">
        <v>453</v>
      </c>
      <c r="F316" s="8">
        <f>IF(TimeEntry[[#This Row],[Date]]=0,F315,C316+(7-Q316))</f>
        <v>43891</v>
      </c>
      <c r="G316" s="35" t="str">
        <f>INDEX(projects[Charge_Code],MATCH(TimeEntry[[#This Row],[Project_ID]],projects[Project_ID],0))</f>
        <v>210035-64 VBB 3rd - new bridge VO</v>
      </c>
      <c r="H316" s="1" t="str">
        <f t="shared" si="8"/>
        <v>Normal Time</v>
      </c>
      <c r="I316" s="1"/>
      <c r="J316" s="15">
        <v>7.5</v>
      </c>
      <c r="K316" s="15"/>
      <c r="L316" s="15"/>
      <c r="M316" s="15"/>
      <c r="N316" s="15"/>
      <c r="O316" s="15" t="str">
        <f>INDEX(projects[job number],MATCH(TimeEntry[[#This Row],[Project_ID]], projects[Project_ID],0))</f>
        <v>210035-64</v>
      </c>
      <c r="P316" s="15" t="str">
        <f>INDEX(projects[Project_Name],MATCH(TimeEntry[[#This Row],[Project_ID]], projects[Project_ID],0))</f>
        <v>VBB 3rd - new bridge VO</v>
      </c>
      <c r="Q316" s="6">
        <f>IF(TimeEntry[[#This Row],[Date]]=0,"",WEEKDAY(C316,2))</f>
        <v>1</v>
      </c>
      <c r="R316" s="9">
        <f>YEAR(TimeEntry[[#This Row],[WkEnd]])</f>
        <v>2020</v>
      </c>
      <c r="S316" s="9">
        <f>WEEKNUM(TimeEntry[[#This Row],[WkEnd]])</f>
        <v>10</v>
      </c>
      <c r="T316" s="9" t="str">
        <f>TimeEntry[[#This Row],[Year]]&amp;"-"&amp;TimeEntry[[#This Row],[WkNo]]</f>
        <v>2020-10</v>
      </c>
    </row>
    <row r="317" spans="1:20" x14ac:dyDescent="0.25">
      <c r="A317" s="6">
        <f>MOD(IF(ROW()=2,0.1,IF(INDEX(TimeEntry[WkEnd],ROW()-1)  =  INDEX(TimeEntry[WkEnd],ROW()-2),    INDEX(TimeEntry[format],ROW()-2),    INDEX(TimeEntry[format],ROW()-2)    +1)),2)</f>
        <v>0.10000000000000009</v>
      </c>
      <c r="B317" s="7"/>
      <c r="C317" s="8">
        <v>43886</v>
      </c>
      <c r="D317" s="8"/>
      <c r="E317" s="1" t="s">
        <v>453</v>
      </c>
      <c r="F317" s="8">
        <f>IF(TimeEntry[[#This Row],[Date]]=0,F316,C317+(7-Q317))</f>
        <v>43891</v>
      </c>
      <c r="G317" s="35" t="str">
        <f>INDEX(projects[Charge_Code],MATCH(TimeEntry[[#This Row],[Project_ID]],projects[Project_ID],0))</f>
        <v>210035-64 VBB 3rd - new bridge VO</v>
      </c>
      <c r="H317" s="1" t="str">
        <f t="shared" si="8"/>
        <v>Normal Time</v>
      </c>
      <c r="I317" s="1"/>
      <c r="J317" s="15">
        <v>7.5</v>
      </c>
      <c r="K317" s="15"/>
      <c r="L317" s="15"/>
      <c r="M317" s="15"/>
      <c r="N317" s="15"/>
      <c r="O317" s="15" t="str">
        <f>INDEX(projects[job number],MATCH(TimeEntry[[#This Row],[Project_ID]], projects[Project_ID],0))</f>
        <v>210035-64</v>
      </c>
      <c r="P317" s="15" t="str">
        <f>INDEX(projects[Project_Name],MATCH(TimeEntry[[#This Row],[Project_ID]], projects[Project_ID],0))</f>
        <v>VBB 3rd - new bridge VO</v>
      </c>
      <c r="Q317" s="6">
        <f>IF(TimeEntry[[#This Row],[Date]]=0,"",WEEKDAY(C317,2))</f>
        <v>2</v>
      </c>
      <c r="R317" s="9">
        <f>YEAR(TimeEntry[[#This Row],[WkEnd]])</f>
        <v>2020</v>
      </c>
      <c r="S317" s="9">
        <f>WEEKNUM(TimeEntry[[#This Row],[WkEnd]])</f>
        <v>10</v>
      </c>
      <c r="T317" s="9" t="str">
        <f>TimeEntry[[#This Row],[Year]]&amp;"-"&amp;TimeEntry[[#This Row],[WkNo]]</f>
        <v>2020-10</v>
      </c>
    </row>
    <row r="318" spans="1:20" x14ac:dyDescent="0.25">
      <c r="A318" s="6">
        <f>MOD(IF(ROW()=2,0.1,IF(INDEX(TimeEntry[WkEnd],ROW()-1)  =  INDEX(TimeEntry[WkEnd],ROW()-2),    INDEX(TimeEntry[format],ROW()-2),    INDEX(TimeEntry[format],ROW()-2)    +1)),2)</f>
        <v>0.10000000000000009</v>
      </c>
      <c r="B318" s="7"/>
      <c r="C318" s="8">
        <v>43887</v>
      </c>
      <c r="D318" s="8"/>
      <c r="E318" s="1" t="s">
        <v>453</v>
      </c>
      <c r="F318" s="8">
        <f>IF(TimeEntry[[#This Row],[Date]]=0,F317,C318+(7-Q318))</f>
        <v>43891</v>
      </c>
      <c r="G318" s="35" t="str">
        <f>INDEX(projects[Charge_Code],MATCH(TimeEntry[[#This Row],[Project_ID]],projects[Project_ID],0))</f>
        <v>210035-64 VBB 3rd - new bridge VO</v>
      </c>
      <c r="H318" s="1" t="str">
        <f t="shared" si="8"/>
        <v>Normal Time</v>
      </c>
      <c r="I318" s="1"/>
      <c r="J318" s="15">
        <v>7.5</v>
      </c>
      <c r="K318" s="15"/>
      <c r="L318" s="15"/>
      <c r="M318" s="15"/>
      <c r="N318" s="15"/>
      <c r="O318" s="15" t="str">
        <f>INDEX(projects[job number],MATCH(TimeEntry[[#This Row],[Project_ID]], projects[Project_ID],0))</f>
        <v>210035-64</v>
      </c>
      <c r="P318" s="15" t="str">
        <f>INDEX(projects[Project_Name],MATCH(TimeEntry[[#This Row],[Project_ID]], projects[Project_ID],0))</f>
        <v>VBB 3rd - new bridge VO</v>
      </c>
      <c r="Q318" s="6">
        <f>IF(TimeEntry[[#This Row],[Date]]=0,"",WEEKDAY(C318,2))</f>
        <v>3</v>
      </c>
      <c r="R318" s="9">
        <f>YEAR(TimeEntry[[#This Row],[WkEnd]])</f>
        <v>2020</v>
      </c>
      <c r="S318" s="9">
        <f>WEEKNUM(TimeEntry[[#This Row],[WkEnd]])</f>
        <v>10</v>
      </c>
      <c r="T318" s="9" t="str">
        <f>TimeEntry[[#This Row],[Year]]&amp;"-"&amp;TimeEntry[[#This Row],[WkNo]]</f>
        <v>2020-10</v>
      </c>
    </row>
    <row r="319" spans="1:20" x14ac:dyDescent="0.25">
      <c r="A319" s="6">
        <f>MOD(IF(ROW()=2,0.1,IF(INDEX(TimeEntry[WkEnd],ROW()-1)  =  INDEX(TimeEntry[WkEnd],ROW()-2),    INDEX(TimeEntry[format],ROW()-2),    INDEX(TimeEntry[format],ROW()-2)    +1)),2)</f>
        <v>0.10000000000000009</v>
      </c>
      <c r="B319" s="7"/>
      <c r="C319" s="8">
        <v>43888</v>
      </c>
      <c r="D319" s="8"/>
      <c r="E319" s="1" t="s">
        <v>453</v>
      </c>
      <c r="F319" s="8">
        <f>IF(TimeEntry[[#This Row],[Date]]=0,F318,C319+(7-Q319))</f>
        <v>43891</v>
      </c>
      <c r="G319" s="35" t="str">
        <f>INDEX(projects[Charge_Code],MATCH(TimeEntry[[#This Row],[Project_ID]],projects[Project_ID],0))</f>
        <v>210035-64 VBB 3rd - new bridge VO</v>
      </c>
      <c r="H319" s="1" t="str">
        <f t="shared" si="8"/>
        <v>Normal Time</v>
      </c>
      <c r="I319" s="1"/>
      <c r="J319" s="15">
        <v>7.5</v>
      </c>
      <c r="K319" s="15"/>
      <c r="L319" s="15"/>
      <c r="M319" s="15"/>
      <c r="N319" s="15"/>
      <c r="O319" s="15" t="str">
        <f>INDEX(projects[job number],MATCH(TimeEntry[[#This Row],[Project_ID]], projects[Project_ID],0))</f>
        <v>210035-64</v>
      </c>
      <c r="P319" s="15" t="str">
        <f>INDEX(projects[Project_Name],MATCH(TimeEntry[[#This Row],[Project_ID]], projects[Project_ID],0))</f>
        <v>VBB 3rd - new bridge VO</v>
      </c>
      <c r="Q319" s="6">
        <f>IF(TimeEntry[[#This Row],[Date]]=0,"",WEEKDAY(C319,2))</f>
        <v>4</v>
      </c>
      <c r="R319" s="9">
        <f>YEAR(TimeEntry[[#This Row],[WkEnd]])</f>
        <v>2020</v>
      </c>
      <c r="S319" s="9">
        <f>WEEKNUM(TimeEntry[[#This Row],[WkEnd]])</f>
        <v>10</v>
      </c>
      <c r="T319" s="9" t="str">
        <f>TimeEntry[[#This Row],[Year]]&amp;"-"&amp;TimeEntry[[#This Row],[WkNo]]</f>
        <v>2020-10</v>
      </c>
    </row>
    <row r="320" spans="1:20" x14ac:dyDescent="0.25">
      <c r="A320" s="6">
        <f>MOD(IF(ROW()=2,0.1,IF(INDEX(TimeEntry[WkEnd],ROW()-1)  =  INDEX(TimeEntry[WkEnd],ROW()-2),    INDEX(TimeEntry[format],ROW()-2),    INDEX(TimeEntry[format],ROW()-2)    +1)),2)</f>
        <v>0.10000000000000009</v>
      </c>
      <c r="B320" s="7"/>
      <c r="C320" s="8">
        <v>43889</v>
      </c>
      <c r="D320" s="8"/>
      <c r="E320" s="1" t="s">
        <v>453</v>
      </c>
      <c r="F320" s="8">
        <f>IF(TimeEntry[[#This Row],[Date]]=0,F319,C320+(7-Q320))</f>
        <v>43891</v>
      </c>
      <c r="G320" s="35" t="str">
        <f>INDEX(projects[Charge_Code],MATCH(TimeEntry[[#This Row],[Project_ID]],projects[Project_ID],0))</f>
        <v>210035-64 VBB 3rd - new bridge VO</v>
      </c>
      <c r="H320" s="1" t="str">
        <f t="shared" si="8"/>
        <v>Normal Time</v>
      </c>
      <c r="I320" s="1"/>
      <c r="J320" s="15">
        <v>7.5</v>
      </c>
      <c r="K320" s="15"/>
      <c r="L320" s="15"/>
      <c r="M320" s="15"/>
      <c r="N320" s="15"/>
      <c r="O320" s="15" t="str">
        <f>INDEX(projects[job number],MATCH(TimeEntry[[#This Row],[Project_ID]], projects[Project_ID],0))</f>
        <v>210035-64</v>
      </c>
      <c r="P320" s="15" t="str">
        <f>INDEX(projects[Project_Name],MATCH(TimeEntry[[#This Row],[Project_ID]], projects[Project_ID],0))</f>
        <v>VBB 3rd - new bridge VO</v>
      </c>
      <c r="Q320" s="6">
        <f>IF(TimeEntry[[#This Row],[Date]]=0,"",WEEKDAY(C320,2))</f>
        <v>5</v>
      </c>
      <c r="R320" s="9">
        <f>YEAR(TimeEntry[[#This Row],[WkEnd]])</f>
        <v>2020</v>
      </c>
      <c r="S320" s="9">
        <f>WEEKNUM(TimeEntry[[#This Row],[WkEnd]])</f>
        <v>10</v>
      </c>
      <c r="T320" s="9" t="str">
        <f>TimeEntry[[#This Row],[Year]]&amp;"-"&amp;TimeEntry[[#This Row],[WkNo]]</f>
        <v>2020-10</v>
      </c>
    </row>
    <row r="321" spans="1:20" x14ac:dyDescent="0.25">
      <c r="A321" s="6">
        <f>MOD(IF(ROW()=2,0.1,IF(INDEX(TimeEntry[WkEnd],ROW()-1)  =  INDEX(TimeEntry[WkEnd],ROW()-2),    INDEX(TimeEntry[format],ROW()-2),    INDEX(TimeEntry[format],ROW()-2)    +1)),2)</f>
        <v>1.1000000000000001</v>
      </c>
      <c r="B321" s="7"/>
      <c r="C321" s="8">
        <v>43878</v>
      </c>
      <c r="D321" s="8"/>
      <c r="E321" s="1" t="s">
        <v>449</v>
      </c>
      <c r="F321" s="8">
        <f>IF(TimeEntry[[#This Row],[Date]]=0,F320,C321+(7-Q321))</f>
        <v>43884</v>
      </c>
      <c r="G321" s="35" t="str">
        <f>INDEX(projects[Charge_Code],MATCH(TimeEntry[[#This Row],[Project_ID]],projects[Project_ID],0))</f>
        <v>255670-17 LOWER KINGS ROAD ASSESSMENT (01-382)</v>
      </c>
      <c r="H321" s="1" t="str">
        <f t="shared" si="8"/>
        <v>Normal Time</v>
      </c>
      <c r="I321" s="1"/>
      <c r="J321" s="15">
        <v>5</v>
      </c>
      <c r="K321" s="15"/>
      <c r="L321" s="15"/>
      <c r="M321" s="15"/>
      <c r="N321" s="15"/>
      <c r="O321" s="15" t="str">
        <f>INDEX(projects[job number],MATCH(TimeEntry[[#This Row],[Project_ID]], projects[Project_ID],0))</f>
        <v>255670-17</v>
      </c>
      <c r="P321" s="15" t="str">
        <f>INDEX(projects[Project_Name],MATCH(TimeEntry[[#This Row],[Project_ID]], projects[Project_ID],0))</f>
        <v>LOWER KINGS ROAD ASSESSMENT</v>
      </c>
      <c r="Q321" s="6">
        <f>IF(TimeEntry[[#This Row],[Date]]=0,"",WEEKDAY(C321,2))</f>
        <v>1</v>
      </c>
      <c r="R321" s="9">
        <f>YEAR(TimeEntry[[#This Row],[WkEnd]])</f>
        <v>2020</v>
      </c>
      <c r="S321" s="9">
        <f>WEEKNUM(TimeEntry[[#This Row],[WkEnd]])</f>
        <v>9</v>
      </c>
      <c r="T321" s="9" t="str">
        <f>TimeEntry[[#This Row],[Year]]&amp;"-"&amp;TimeEntry[[#This Row],[WkNo]]</f>
        <v>2020-9</v>
      </c>
    </row>
    <row r="322" spans="1:20" x14ac:dyDescent="0.25">
      <c r="A322" s="6">
        <f>MOD(IF(ROW()=2,0.1,IF(INDEX(TimeEntry[WkEnd],ROW()-1)  =  INDEX(TimeEntry[WkEnd],ROW()-2),    INDEX(TimeEntry[format],ROW()-2),    INDEX(TimeEntry[format],ROW()-2)    +1)),2)</f>
        <v>1.1000000000000001</v>
      </c>
      <c r="B322" s="7"/>
      <c r="C322" s="8">
        <v>43878</v>
      </c>
      <c r="D322" s="8"/>
      <c r="E322" s="1" t="s">
        <v>453</v>
      </c>
      <c r="F322" s="8">
        <f>IF(TimeEntry[[#This Row],[Date]]=0,F321,C322+(7-Q322))</f>
        <v>43884</v>
      </c>
      <c r="G322" s="35" t="str">
        <f>INDEX(projects[Charge_Code],MATCH(TimeEntry[[#This Row],[Project_ID]],projects[Project_ID],0))</f>
        <v>210035-64 VBB 3rd - new bridge VO</v>
      </c>
      <c r="H322" s="1" t="str">
        <f t="shared" si="8"/>
        <v>Normal Time</v>
      </c>
      <c r="I322" s="1"/>
      <c r="J322" s="15">
        <v>2.5</v>
      </c>
      <c r="K322" s="15"/>
      <c r="L322" s="15"/>
      <c r="M322" s="15"/>
      <c r="N322" s="15"/>
      <c r="O322" s="15" t="str">
        <f>INDEX(projects[job number],MATCH(TimeEntry[[#This Row],[Project_ID]], projects[Project_ID],0))</f>
        <v>210035-64</v>
      </c>
      <c r="P322" s="15" t="str">
        <f>INDEX(projects[Project_Name],MATCH(TimeEntry[[#This Row],[Project_ID]], projects[Project_ID],0))</f>
        <v>VBB 3rd - new bridge VO</v>
      </c>
      <c r="Q322" s="6">
        <f>IF(TimeEntry[[#This Row],[Date]]=0,"",WEEKDAY(C322,2))</f>
        <v>1</v>
      </c>
      <c r="R322" s="9">
        <f>YEAR(TimeEntry[[#This Row],[WkEnd]])</f>
        <v>2020</v>
      </c>
      <c r="S322" s="9">
        <f>WEEKNUM(TimeEntry[[#This Row],[WkEnd]])</f>
        <v>9</v>
      </c>
      <c r="T322" s="9" t="str">
        <f>TimeEntry[[#This Row],[Year]]&amp;"-"&amp;TimeEntry[[#This Row],[WkNo]]</f>
        <v>2020-9</v>
      </c>
    </row>
    <row r="323" spans="1:20" x14ac:dyDescent="0.25">
      <c r="A323" s="6">
        <f>MOD(IF(ROW()=2,0.1,IF(INDEX(TimeEntry[WkEnd],ROW()-1)  =  INDEX(TimeEntry[WkEnd],ROW()-2),    INDEX(TimeEntry[format],ROW()-2),    INDEX(TimeEntry[format],ROW()-2)    +1)),2)</f>
        <v>1.1000000000000001</v>
      </c>
      <c r="B323" s="7"/>
      <c r="C323" s="8">
        <v>43879</v>
      </c>
      <c r="D323" s="8"/>
      <c r="E323" s="1" t="s">
        <v>453</v>
      </c>
      <c r="F323" s="8">
        <f>IF(TimeEntry[[#This Row],[Date]]=0,F322,C323+(7-Q323))</f>
        <v>43884</v>
      </c>
      <c r="G323" s="35" t="str">
        <f>INDEX(projects[Charge_Code],MATCH(TimeEntry[[#This Row],[Project_ID]],projects[Project_ID],0))</f>
        <v>210035-64 VBB 3rd - new bridge VO</v>
      </c>
      <c r="H323" s="1" t="str">
        <f t="shared" si="8"/>
        <v>Normal Time</v>
      </c>
      <c r="I323" s="1"/>
      <c r="J323" s="15">
        <v>7.5</v>
      </c>
      <c r="K323" s="15"/>
      <c r="L323" s="15"/>
      <c r="M323" s="15"/>
      <c r="N323" s="15"/>
      <c r="O323" s="15" t="str">
        <f>INDEX(projects[job number],MATCH(TimeEntry[[#This Row],[Project_ID]], projects[Project_ID],0))</f>
        <v>210035-64</v>
      </c>
      <c r="P323" s="15" t="str">
        <f>INDEX(projects[Project_Name],MATCH(TimeEntry[[#This Row],[Project_ID]], projects[Project_ID],0))</f>
        <v>VBB 3rd - new bridge VO</v>
      </c>
      <c r="Q323" s="6">
        <f>IF(TimeEntry[[#This Row],[Date]]=0,"",WEEKDAY(C323,2))</f>
        <v>2</v>
      </c>
      <c r="R323" s="9">
        <f>YEAR(TimeEntry[[#This Row],[WkEnd]])</f>
        <v>2020</v>
      </c>
      <c r="S323" s="9">
        <f>WEEKNUM(TimeEntry[[#This Row],[WkEnd]])</f>
        <v>9</v>
      </c>
      <c r="T323" s="9" t="str">
        <f>TimeEntry[[#This Row],[Year]]&amp;"-"&amp;TimeEntry[[#This Row],[WkNo]]</f>
        <v>2020-9</v>
      </c>
    </row>
    <row r="324" spans="1:20" x14ac:dyDescent="0.25">
      <c r="A324" s="6">
        <f>MOD(IF(ROW()=2,0.1,IF(INDEX(TimeEntry[WkEnd],ROW()-1)  =  INDEX(TimeEntry[WkEnd],ROW()-2),    INDEX(TimeEntry[format],ROW()-2),    INDEX(TimeEntry[format],ROW()-2)    +1)),2)</f>
        <v>1.1000000000000001</v>
      </c>
      <c r="B324" s="7"/>
      <c r="C324" s="8">
        <v>43880</v>
      </c>
      <c r="D324" s="8"/>
      <c r="E324" s="1" t="s">
        <v>453</v>
      </c>
      <c r="F324" s="8">
        <f>IF(TimeEntry[[#This Row],[Date]]=0,F323,C324+(7-Q324))</f>
        <v>43884</v>
      </c>
      <c r="G324" s="35" t="str">
        <f>INDEX(projects[Charge_Code],MATCH(TimeEntry[[#This Row],[Project_ID]],projects[Project_ID],0))</f>
        <v>210035-64 VBB 3rd - new bridge VO</v>
      </c>
      <c r="H324" s="1" t="str">
        <f t="shared" si="8"/>
        <v>Normal Time</v>
      </c>
      <c r="I324" s="1"/>
      <c r="J324" s="15">
        <v>7.5</v>
      </c>
      <c r="K324" s="15"/>
      <c r="L324" s="15"/>
      <c r="M324" s="15"/>
      <c r="N324" s="15"/>
      <c r="O324" s="15" t="str">
        <f>INDEX(projects[job number],MATCH(TimeEntry[[#This Row],[Project_ID]], projects[Project_ID],0))</f>
        <v>210035-64</v>
      </c>
      <c r="P324" s="15" t="str">
        <f>INDEX(projects[Project_Name],MATCH(TimeEntry[[#This Row],[Project_ID]], projects[Project_ID],0))</f>
        <v>VBB 3rd - new bridge VO</v>
      </c>
      <c r="Q324" s="6">
        <f>IF(TimeEntry[[#This Row],[Date]]=0,"",WEEKDAY(C324,2))</f>
        <v>3</v>
      </c>
      <c r="R324" s="9">
        <f>YEAR(TimeEntry[[#This Row],[WkEnd]])</f>
        <v>2020</v>
      </c>
      <c r="S324" s="9">
        <f>WEEKNUM(TimeEntry[[#This Row],[WkEnd]])</f>
        <v>9</v>
      </c>
      <c r="T324" s="9" t="str">
        <f>TimeEntry[[#This Row],[Year]]&amp;"-"&amp;TimeEntry[[#This Row],[WkNo]]</f>
        <v>2020-9</v>
      </c>
    </row>
    <row r="325" spans="1:20" x14ac:dyDescent="0.25">
      <c r="A325" s="6">
        <f>MOD(IF(ROW()=2,0.1,IF(INDEX(TimeEntry[WkEnd],ROW()-1)  =  INDEX(TimeEntry[WkEnd],ROW()-2),    INDEX(TimeEntry[format],ROW()-2),    INDEX(TimeEntry[format],ROW()-2)    +1)),2)</f>
        <v>1.1000000000000001</v>
      </c>
      <c r="B325" s="7"/>
      <c r="C325" s="8">
        <v>43881</v>
      </c>
      <c r="D325" s="8"/>
      <c r="E325" s="1" t="s">
        <v>453</v>
      </c>
      <c r="F325" s="8">
        <f>IF(TimeEntry[[#This Row],[Date]]=0,F324,C325+(7-Q325))</f>
        <v>43884</v>
      </c>
      <c r="G325" s="35" t="str">
        <f>INDEX(projects[Charge_Code],MATCH(TimeEntry[[#This Row],[Project_ID]],projects[Project_ID],0))</f>
        <v>210035-64 VBB 3rd - new bridge VO</v>
      </c>
      <c r="H325" s="1" t="str">
        <f t="shared" si="8"/>
        <v>Normal Time</v>
      </c>
      <c r="I325" s="1"/>
      <c r="J325" s="15">
        <v>5</v>
      </c>
      <c r="K325" s="15"/>
      <c r="L325" s="15"/>
      <c r="M325" s="15"/>
      <c r="N325" s="15"/>
      <c r="O325" s="15" t="str">
        <f>INDEX(projects[job number],MATCH(TimeEntry[[#This Row],[Project_ID]], projects[Project_ID],0))</f>
        <v>210035-64</v>
      </c>
      <c r="P325" s="15" t="str">
        <f>INDEX(projects[Project_Name],MATCH(TimeEntry[[#This Row],[Project_ID]], projects[Project_ID],0))</f>
        <v>VBB 3rd - new bridge VO</v>
      </c>
      <c r="Q325" s="6">
        <f>IF(TimeEntry[[#This Row],[Date]]=0,"",WEEKDAY(C325,2))</f>
        <v>4</v>
      </c>
      <c r="R325" s="9">
        <f>YEAR(TimeEntry[[#This Row],[WkEnd]])</f>
        <v>2020</v>
      </c>
      <c r="S325" s="9">
        <f>WEEKNUM(TimeEntry[[#This Row],[WkEnd]])</f>
        <v>9</v>
      </c>
      <c r="T325" s="9" t="str">
        <f>TimeEntry[[#This Row],[Year]]&amp;"-"&amp;TimeEntry[[#This Row],[WkNo]]</f>
        <v>2020-9</v>
      </c>
    </row>
    <row r="326" spans="1:20" x14ac:dyDescent="0.25">
      <c r="A326" s="6">
        <f>MOD(IF(ROW()=2,0.1,IF(INDEX(TimeEntry[WkEnd],ROW()-1)  =  INDEX(TimeEntry[WkEnd],ROW()-2),    INDEX(TimeEntry[format],ROW()-2),    INDEX(TimeEntry[format],ROW()-2)    +1)),2)</f>
        <v>1.1000000000000001</v>
      </c>
      <c r="B326" s="7"/>
      <c r="C326" s="8">
        <v>43881</v>
      </c>
      <c r="D326" s="8"/>
      <c r="E326" s="1" t="s">
        <v>449</v>
      </c>
      <c r="F326" s="8">
        <f>IF(TimeEntry[[#This Row],[Date]]=0,F325,C326+(7-Q326))</f>
        <v>43884</v>
      </c>
      <c r="G326" s="35" t="str">
        <f>INDEX(projects[Charge_Code],MATCH(TimeEntry[[#This Row],[Project_ID]],projects[Project_ID],0))</f>
        <v>255670-17 LOWER KINGS ROAD ASSESSMENT (01-382)</v>
      </c>
      <c r="H326" s="1" t="str">
        <f t="shared" si="8"/>
        <v>Normal Time</v>
      </c>
      <c r="I326" s="1"/>
      <c r="J326" s="15">
        <v>2.5</v>
      </c>
      <c r="K326" s="15"/>
      <c r="L326" s="15"/>
      <c r="M326" s="15"/>
      <c r="N326" s="15"/>
      <c r="O326" s="15" t="str">
        <f>INDEX(projects[job number],MATCH(TimeEntry[[#This Row],[Project_ID]], projects[Project_ID],0))</f>
        <v>255670-17</v>
      </c>
      <c r="P326" s="15" t="str">
        <f>INDEX(projects[Project_Name],MATCH(TimeEntry[[#This Row],[Project_ID]], projects[Project_ID],0))</f>
        <v>LOWER KINGS ROAD ASSESSMENT</v>
      </c>
      <c r="Q326" s="6">
        <f>IF(TimeEntry[[#This Row],[Date]]=0,"",WEEKDAY(C326,2))</f>
        <v>4</v>
      </c>
      <c r="R326" s="9">
        <f>YEAR(TimeEntry[[#This Row],[WkEnd]])</f>
        <v>2020</v>
      </c>
      <c r="S326" s="9">
        <f>WEEKNUM(TimeEntry[[#This Row],[WkEnd]])</f>
        <v>9</v>
      </c>
      <c r="T326" s="9" t="str">
        <f>TimeEntry[[#This Row],[Year]]&amp;"-"&amp;TimeEntry[[#This Row],[WkNo]]</f>
        <v>2020-9</v>
      </c>
    </row>
    <row r="327" spans="1:20" x14ac:dyDescent="0.25">
      <c r="A327" s="6">
        <f>MOD(IF(ROW()=2,0.1,IF(INDEX(TimeEntry[WkEnd],ROW()-1)  =  INDEX(TimeEntry[WkEnd],ROW()-2),    INDEX(TimeEntry[format],ROW()-2),    INDEX(TimeEntry[format],ROW()-2)    +1)),2)</f>
        <v>1.1000000000000001</v>
      </c>
      <c r="B327" s="7"/>
      <c r="C327" s="8">
        <v>43882</v>
      </c>
      <c r="D327" s="8"/>
      <c r="E327" s="1" t="s">
        <v>453</v>
      </c>
      <c r="F327" s="8">
        <f>IF(TimeEntry[[#This Row],[Date]]=0,F326,C327+(7-Q327))</f>
        <v>43884</v>
      </c>
      <c r="G327" s="35" t="str">
        <f>INDEX(projects[Charge_Code],MATCH(TimeEntry[[#This Row],[Project_ID]],projects[Project_ID],0))</f>
        <v>210035-64 VBB 3rd - new bridge VO</v>
      </c>
      <c r="H327" s="1" t="str">
        <f t="shared" si="8"/>
        <v>Normal Time</v>
      </c>
      <c r="I327" s="1"/>
      <c r="J327" s="15">
        <v>7.5</v>
      </c>
      <c r="K327" s="15"/>
      <c r="L327" s="15"/>
      <c r="M327" s="15"/>
      <c r="N327" s="15"/>
      <c r="O327" s="15" t="str">
        <f>INDEX(projects[job number],MATCH(TimeEntry[[#This Row],[Project_ID]], projects[Project_ID],0))</f>
        <v>210035-64</v>
      </c>
      <c r="P327" s="15" t="str">
        <f>INDEX(projects[Project_Name],MATCH(TimeEntry[[#This Row],[Project_ID]], projects[Project_ID],0))</f>
        <v>VBB 3rd - new bridge VO</v>
      </c>
      <c r="Q327" s="6">
        <f>IF(TimeEntry[[#This Row],[Date]]=0,"",WEEKDAY(C327,2))</f>
        <v>5</v>
      </c>
      <c r="R327" s="9">
        <f>YEAR(TimeEntry[[#This Row],[WkEnd]])</f>
        <v>2020</v>
      </c>
      <c r="S327" s="9">
        <f>WEEKNUM(TimeEntry[[#This Row],[WkEnd]])</f>
        <v>9</v>
      </c>
      <c r="T327" s="9" t="str">
        <f>TimeEntry[[#This Row],[Year]]&amp;"-"&amp;TimeEntry[[#This Row],[WkNo]]</f>
        <v>2020-9</v>
      </c>
    </row>
    <row r="328" spans="1:20" x14ac:dyDescent="0.25">
      <c r="A328" s="6">
        <f>MOD(IF(ROW()=2,0.1,IF(INDEX(TimeEntry[WkEnd],ROW()-1)  =  INDEX(TimeEntry[WkEnd],ROW()-2),    INDEX(TimeEntry[format],ROW()-2),    INDEX(TimeEntry[format],ROW()-2)    +1)),2)</f>
        <v>0.10000000000000009</v>
      </c>
      <c r="B328" s="7"/>
      <c r="C328" s="8">
        <v>43871</v>
      </c>
      <c r="D328" s="8"/>
      <c r="E328" s="1" t="s">
        <v>453</v>
      </c>
      <c r="F328" s="8">
        <f>IF(TimeEntry[[#This Row],[Date]]=0,F327,C328+(7-Q328))</f>
        <v>43877</v>
      </c>
      <c r="G328" s="35" t="str">
        <f>INDEX(projects[Charge_Code],MATCH(TimeEntry[[#This Row],[Project_ID]],projects[Project_ID],0))</f>
        <v>210035-64 VBB 3rd - new bridge VO</v>
      </c>
      <c r="H328" s="1" t="str">
        <f t="shared" si="8"/>
        <v>Normal Time</v>
      </c>
      <c r="I328" s="1"/>
      <c r="J328" s="15">
        <v>5</v>
      </c>
      <c r="K328" s="15"/>
      <c r="L328" s="15"/>
      <c r="M328" s="15"/>
      <c r="N328" s="15"/>
      <c r="O328" s="15" t="str">
        <f>INDEX(projects[job number],MATCH(TimeEntry[[#This Row],[Project_ID]], projects[Project_ID],0))</f>
        <v>210035-64</v>
      </c>
      <c r="P328" s="15" t="str">
        <f>INDEX(projects[Project_Name],MATCH(TimeEntry[[#This Row],[Project_ID]], projects[Project_ID],0))</f>
        <v>VBB 3rd - new bridge VO</v>
      </c>
      <c r="Q328" s="6">
        <f>IF(TimeEntry[[#This Row],[Date]]=0,"",WEEKDAY(C328,2))</f>
        <v>1</v>
      </c>
      <c r="R328" s="9">
        <f>YEAR(TimeEntry[[#This Row],[WkEnd]])</f>
        <v>2020</v>
      </c>
      <c r="S328" s="9">
        <f>WEEKNUM(TimeEntry[[#This Row],[WkEnd]])</f>
        <v>8</v>
      </c>
      <c r="T328" s="9" t="str">
        <f>TimeEntry[[#This Row],[Year]]&amp;"-"&amp;TimeEntry[[#This Row],[WkNo]]</f>
        <v>2020-8</v>
      </c>
    </row>
    <row r="329" spans="1:20" x14ac:dyDescent="0.25">
      <c r="A329" s="6">
        <f>MOD(IF(ROW()=2,0.1,IF(INDEX(TimeEntry[WkEnd],ROW()-1)  =  INDEX(TimeEntry[WkEnd],ROW()-2),    INDEX(TimeEntry[format],ROW()-2),    INDEX(TimeEntry[format],ROW()-2)    +1)),2)</f>
        <v>0.10000000000000009</v>
      </c>
      <c r="B329" s="7"/>
      <c r="C329" s="8">
        <v>43871</v>
      </c>
      <c r="D329" s="8"/>
      <c r="E329" s="1" t="s">
        <v>449</v>
      </c>
      <c r="F329" s="8">
        <f>IF(TimeEntry[[#This Row],[Date]]=0,F328,C329+(7-Q329))</f>
        <v>43877</v>
      </c>
      <c r="G329" s="35" t="str">
        <f>INDEX(projects[Charge_Code],MATCH(TimeEntry[[#This Row],[Project_ID]],projects[Project_ID],0))</f>
        <v>255670-17 LOWER KINGS ROAD ASSESSMENT (01-382)</v>
      </c>
      <c r="H329" s="1" t="str">
        <f t="shared" si="8"/>
        <v>Normal Time</v>
      </c>
      <c r="I329" s="1"/>
      <c r="J329" s="15">
        <v>2.5</v>
      </c>
      <c r="K329" s="15"/>
      <c r="L329" s="15"/>
      <c r="M329" s="15"/>
      <c r="N329" s="15"/>
      <c r="O329" s="15" t="str">
        <f>INDEX(projects[job number],MATCH(TimeEntry[[#This Row],[Project_ID]], projects[Project_ID],0))</f>
        <v>255670-17</v>
      </c>
      <c r="P329" s="15" t="str">
        <f>INDEX(projects[Project_Name],MATCH(TimeEntry[[#This Row],[Project_ID]], projects[Project_ID],0))</f>
        <v>LOWER KINGS ROAD ASSESSMENT</v>
      </c>
      <c r="Q329" s="6">
        <f>IF(TimeEntry[[#This Row],[Date]]=0,"",WEEKDAY(C329,2))</f>
        <v>1</v>
      </c>
      <c r="R329" s="9">
        <f>YEAR(TimeEntry[[#This Row],[WkEnd]])</f>
        <v>2020</v>
      </c>
      <c r="S329" s="9">
        <f>WEEKNUM(TimeEntry[[#This Row],[WkEnd]])</f>
        <v>8</v>
      </c>
      <c r="T329" s="9" t="str">
        <f>TimeEntry[[#This Row],[Year]]&amp;"-"&amp;TimeEntry[[#This Row],[WkNo]]</f>
        <v>2020-8</v>
      </c>
    </row>
    <row r="330" spans="1:20" x14ac:dyDescent="0.25">
      <c r="A330" s="6">
        <f>MOD(IF(ROW()=2,0.1,IF(INDEX(TimeEntry[WkEnd],ROW()-1)  =  INDEX(TimeEntry[WkEnd],ROW()-2),    INDEX(TimeEntry[format],ROW()-2),    INDEX(TimeEntry[format],ROW()-2)    +1)),2)</f>
        <v>0.10000000000000009</v>
      </c>
      <c r="B330" s="7"/>
      <c r="C330" s="8">
        <v>43872</v>
      </c>
      <c r="D330" s="8"/>
      <c r="E330" s="1" t="s">
        <v>453</v>
      </c>
      <c r="F330" s="8">
        <f>IF(TimeEntry[[#This Row],[Date]]=0,F329,C330+(7-Q330))</f>
        <v>43877</v>
      </c>
      <c r="G330" s="35" t="str">
        <f>INDEX(projects[Charge_Code],MATCH(TimeEntry[[#This Row],[Project_ID]],projects[Project_ID],0))</f>
        <v>210035-64 VBB 3rd - new bridge VO</v>
      </c>
      <c r="H330" s="1" t="str">
        <f t="shared" si="8"/>
        <v>Normal Time</v>
      </c>
      <c r="I330" s="1"/>
      <c r="J330" s="15">
        <v>7.5</v>
      </c>
      <c r="K330" s="15"/>
      <c r="L330" s="15"/>
      <c r="M330" s="15"/>
      <c r="N330" s="15"/>
      <c r="O330" s="15" t="str">
        <f>INDEX(projects[job number],MATCH(TimeEntry[[#This Row],[Project_ID]], projects[Project_ID],0))</f>
        <v>210035-64</v>
      </c>
      <c r="P330" s="15" t="str">
        <f>INDEX(projects[Project_Name],MATCH(TimeEntry[[#This Row],[Project_ID]], projects[Project_ID],0))</f>
        <v>VBB 3rd - new bridge VO</v>
      </c>
      <c r="Q330" s="6">
        <f>IF(TimeEntry[[#This Row],[Date]]=0,"",WEEKDAY(C330,2))</f>
        <v>2</v>
      </c>
      <c r="R330" s="9">
        <f>YEAR(TimeEntry[[#This Row],[WkEnd]])</f>
        <v>2020</v>
      </c>
      <c r="S330" s="9">
        <f>WEEKNUM(TimeEntry[[#This Row],[WkEnd]])</f>
        <v>8</v>
      </c>
      <c r="T330" s="9" t="str">
        <f>TimeEntry[[#This Row],[Year]]&amp;"-"&amp;TimeEntry[[#This Row],[WkNo]]</f>
        <v>2020-8</v>
      </c>
    </row>
    <row r="331" spans="1:20" x14ac:dyDescent="0.25">
      <c r="A331" s="6">
        <f>MOD(IF(ROW()=2,0.1,IF(INDEX(TimeEntry[WkEnd],ROW()-1)  =  INDEX(TimeEntry[WkEnd],ROW()-2),    INDEX(TimeEntry[format],ROW()-2),    INDEX(TimeEntry[format],ROW()-2)    +1)),2)</f>
        <v>0.10000000000000009</v>
      </c>
      <c r="B331" s="7"/>
      <c r="C331" s="8">
        <v>43873</v>
      </c>
      <c r="D331" s="8"/>
      <c r="E331" s="1" t="s">
        <v>453</v>
      </c>
      <c r="F331" s="8">
        <f>IF(TimeEntry[[#This Row],[Date]]=0,F330,C331+(7-Q331))</f>
        <v>43877</v>
      </c>
      <c r="G331" s="35" t="str">
        <f>INDEX(projects[Charge_Code],MATCH(TimeEntry[[#This Row],[Project_ID]],projects[Project_ID],0))</f>
        <v>210035-64 VBB 3rd - new bridge VO</v>
      </c>
      <c r="H331" s="1" t="str">
        <f t="shared" si="8"/>
        <v>Normal Time</v>
      </c>
      <c r="I331" s="1"/>
      <c r="J331" s="15">
        <v>7.5</v>
      </c>
      <c r="K331" s="15"/>
      <c r="L331" s="15"/>
      <c r="M331" s="15"/>
      <c r="N331" s="15"/>
      <c r="O331" s="15" t="str">
        <f>INDEX(projects[job number],MATCH(TimeEntry[[#This Row],[Project_ID]], projects[Project_ID],0))</f>
        <v>210035-64</v>
      </c>
      <c r="P331" s="15" t="str">
        <f>INDEX(projects[Project_Name],MATCH(TimeEntry[[#This Row],[Project_ID]], projects[Project_ID],0))</f>
        <v>VBB 3rd - new bridge VO</v>
      </c>
      <c r="Q331" s="6">
        <f>IF(TimeEntry[[#This Row],[Date]]=0,"",WEEKDAY(C331,2))</f>
        <v>3</v>
      </c>
      <c r="R331" s="9">
        <f>YEAR(TimeEntry[[#This Row],[WkEnd]])</f>
        <v>2020</v>
      </c>
      <c r="S331" s="9">
        <f>WEEKNUM(TimeEntry[[#This Row],[WkEnd]])</f>
        <v>8</v>
      </c>
      <c r="T331" s="9" t="str">
        <f>TimeEntry[[#This Row],[Year]]&amp;"-"&amp;TimeEntry[[#This Row],[WkNo]]</f>
        <v>2020-8</v>
      </c>
    </row>
    <row r="332" spans="1:20" x14ac:dyDescent="0.25">
      <c r="A332" s="6">
        <f>MOD(IF(ROW()=2,0.1,IF(INDEX(TimeEntry[WkEnd],ROW()-1)  =  INDEX(TimeEntry[WkEnd],ROW()-2),    INDEX(TimeEntry[format],ROW()-2),    INDEX(TimeEntry[format],ROW()-2)    +1)),2)</f>
        <v>0.10000000000000009</v>
      </c>
      <c r="B332" s="7"/>
      <c r="C332" s="8">
        <v>43874</v>
      </c>
      <c r="D332" s="8"/>
      <c r="E332" s="1" t="s">
        <v>453</v>
      </c>
      <c r="F332" s="8">
        <f>IF(TimeEntry[[#This Row],[Date]]=0,F331,C332+(7-Q332))</f>
        <v>43877</v>
      </c>
      <c r="G332" s="35" t="str">
        <f>INDEX(projects[Charge_Code],MATCH(TimeEntry[[#This Row],[Project_ID]],projects[Project_ID],0))</f>
        <v>210035-64 VBB 3rd - new bridge VO</v>
      </c>
      <c r="H332" s="1" t="str">
        <f t="shared" si="8"/>
        <v>Normal Time</v>
      </c>
      <c r="I332" s="1"/>
      <c r="J332" s="15">
        <v>7.5</v>
      </c>
      <c r="K332" s="15"/>
      <c r="L332" s="15"/>
      <c r="M332" s="15"/>
      <c r="N332" s="15"/>
      <c r="O332" s="15" t="str">
        <f>INDEX(projects[job number],MATCH(TimeEntry[[#This Row],[Project_ID]], projects[Project_ID],0))</f>
        <v>210035-64</v>
      </c>
      <c r="P332" s="15" t="str">
        <f>INDEX(projects[Project_Name],MATCH(TimeEntry[[#This Row],[Project_ID]], projects[Project_ID],0))</f>
        <v>VBB 3rd - new bridge VO</v>
      </c>
      <c r="Q332" s="6">
        <f>IF(TimeEntry[[#This Row],[Date]]=0,"",WEEKDAY(C332,2))</f>
        <v>4</v>
      </c>
      <c r="R332" s="9">
        <f>YEAR(TimeEntry[[#This Row],[WkEnd]])</f>
        <v>2020</v>
      </c>
      <c r="S332" s="9">
        <f>WEEKNUM(TimeEntry[[#This Row],[WkEnd]])</f>
        <v>8</v>
      </c>
      <c r="T332" s="9" t="str">
        <f>TimeEntry[[#This Row],[Year]]&amp;"-"&amp;TimeEntry[[#This Row],[WkNo]]</f>
        <v>2020-8</v>
      </c>
    </row>
    <row r="333" spans="1:20" x14ac:dyDescent="0.25">
      <c r="A333" s="6">
        <f>MOD(IF(ROW()=2,0.1,IF(INDEX(TimeEntry[WkEnd],ROW()-1)  =  INDEX(TimeEntry[WkEnd],ROW()-2),    INDEX(TimeEntry[format],ROW()-2),    INDEX(TimeEntry[format],ROW()-2)    +1)),2)</f>
        <v>0.10000000000000009</v>
      </c>
      <c r="B333" s="7"/>
      <c r="C333" s="8">
        <v>43875</v>
      </c>
      <c r="D333" s="8"/>
      <c r="E333" s="1" t="s">
        <v>453</v>
      </c>
      <c r="F333" s="8">
        <f>IF(TimeEntry[[#This Row],[Date]]=0,F332,C333+(7-Q333))</f>
        <v>43877</v>
      </c>
      <c r="G333" s="35" t="str">
        <f>INDEX(projects[Charge_Code],MATCH(TimeEntry[[#This Row],[Project_ID]],projects[Project_ID],0))</f>
        <v>210035-64 VBB 3rd - new bridge VO</v>
      </c>
      <c r="H333" s="1" t="str">
        <f t="shared" si="8"/>
        <v>Normal Time</v>
      </c>
      <c r="I333" s="1"/>
      <c r="J333" s="15">
        <v>2.5</v>
      </c>
      <c r="K333" s="15"/>
      <c r="L333" s="15"/>
      <c r="M333" s="15"/>
      <c r="N333" s="15"/>
      <c r="O333" s="15" t="str">
        <f>INDEX(projects[job number],MATCH(TimeEntry[[#This Row],[Project_ID]], projects[Project_ID],0))</f>
        <v>210035-64</v>
      </c>
      <c r="P333" s="15" t="str">
        <f>INDEX(projects[Project_Name],MATCH(TimeEntry[[#This Row],[Project_ID]], projects[Project_ID],0))</f>
        <v>VBB 3rd - new bridge VO</v>
      </c>
      <c r="Q333" s="6">
        <f>IF(TimeEntry[[#This Row],[Date]]=0,"",WEEKDAY(C333,2))</f>
        <v>5</v>
      </c>
      <c r="R333" s="9">
        <f>YEAR(TimeEntry[[#This Row],[WkEnd]])</f>
        <v>2020</v>
      </c>
      <c r="S333" s="9">
        <f>WEEKNUM(TimeEntry[[#This Row],[WkEnd]])</f>
        <v>8</v>
      </c>
      <c r="T333" s="9" t="str">
        <f>TimeEntry[[#This Row],[Year]]&amp;"-"&amp;TimeEntry[[#This Row],[WkNo]]</f>
        <v>2020-8</v>
      </c>
    </row>
    <row r="334" spans="1:20" x14ac:dyDescent="0.25">
      <c r="A334" s="6">
        <f>MOD(IF(ROW()=2,0.1,IF(INDEX(TimeEntry[WkEnd],ROW()-1)  =  INDEX(TimeEntry[WkEnd],ROW()-2),    INDEX(TimeEntry[format],ROW()-2),    INDEX(TimeEntry[format],ROW()-2)    +1)),2)</f>
        <v>0.10000000000000009</v>
      </c>
      <c r="B334" s="7"/>
      <c r="C334" s="8">
        <v>43875</v>
      </c>
      <c r="D334" s="8"/>
      <c r="E334" s="1" t="s">
        <v>449</v>
      </c>
      <c r="F334" s="8">
        <f>IF(TimeEntry[[#This Row],[Date]]=0,F333,C334+(7-Q334))</f>
        <v>43877</v>
      </c>
      <c r="G334" s="35" t="str">
        <f>INDEX(projects[Charge_Code],MATCH(TimeEntry[[#This Row],[Project_ID]],projects[Project_ID],0))</f>
        <v>255670-17 LOWER KINGS ROAD ASSESSMENT (01-382)</v>
      </c>
      <c r="H334" s="1" t="str">
        <f t="shared" si="8"/>
        <v>Normal Time</v>
      </c>
      <c r="I334" s="1"/>
      <c r="J334" s="15">
        <v>5</v>
      </c>
      <c r="K334" s="15"/>
      <c r="L334" s="15"/>
      <c r="M334" s="15"/>
      <c r="N334" s="15"/>
      <c r="O334" s="15" t="str">
        <f>INDEX(projects[job number],MATCH(TimeEntry[[#This Row],[Project_ID]], projects[Project_ID],0))</f>
        <v>255670-17</v>
      </c>
      <c r="P334" s="15" t="str">
        <f>INDEX(projects[Project_Name],MATCH(TimeEntry[[#This Row],[Project_ID]], projects[Project_ID],0))</f>
        <v>LOWER KINGS ROAD ASSESSMENT</v>
      </c>
      <c r="Q334" s="6">
        <f>IF(TimeEntry[[#This Row],[Date]]=0,"",WEEKDAY(C334,2))</f>
        <v>5</v>
      </c>
      <c r="R334" s="9">
        <f>YEAR(TimeEntry[[#This Row],[WkEnd]])</f>
        <v>2020</v>
      </c>
      <c r="S334" s="9">
        <f>WEEKNUM(TimeEntry[[#This Row],[WkEnd]])</f>
        <v>8</v>
      </c>
      <c r="T334" s="9" t="str">
        <f>TimeEntry[[#This Row],[Year]]&amp;"-"&amp;TimeEntry[[#This Row],[WkNo]]</f>
        <v>2020-8</v>
      </c>
    </row>
    <row r="335" spans="1:20" x14ac:dyDescent="0.25">
      <c r="A335" s="6">
        <f>MOD(IF(ROW()=2,0.1,IF(INDEX(TimeEntry[WkEnd],ROW()-1)  =  INDEX(TimeEntry[WkEnd],ROW()-2),    INDEX(TimeEntry[format],ROW()-2),    INDEX(TimeEntry[format],ROW()-2)    +1)),2)</f>
        <v>1.1000000000000001</v>
      </c>
      <c r="B335" s="7"/>
      <c r="C335" s="8">
        <v>43864</v>
      </c>
      <c r="D335" s="8"/>
      <c r="E335" s="1" t="s">
        <v>453</v>
      </c>
      <c r="F335" s="8">
        <f>IF(TimeEntry[[#This Row],[Date]]=0,F334,C335+(7-Q335))</f>
        <v>43870</v>
      </c>
      <c r="G335" s="35" t="str">
        <f>INDEX(projects[Charge_Code],MATCH(TimeEntry[[#This Row],[Project_ID]],projects[Project_ID],0))</f>
        <v>210035-64 VBB 3rd - new bridge VO</v>
      </c>
      <c r="H335" s="1" t="str">
        <f t="shared" si="8"/>
        <v>Normal Time</v>
      </c>
      <c r="I335" s="1"/>
      <c r="J335" s="15">
        <v>7.5</v>
      </c>
      <c r="K335" s="15"/>
      <c r="L335" s="15"/>
      <c r="M335" s="15"/>
      <c r="N335" s="15"/>
      <c r="O335" s="15" t="str">
        <f>INDEX(projects[job number],MATCH(TimeEntry[[#This Row],[Project_ID]], projects[Project_ID],0))</f>
        <v>210035-64</v>
      </c>
      <c r="P335" s="15" t="str">
        <f>INDEX(projects[Project_Name],MATCH(TimeEntry[[#This Row],[Project_ID]], projects[Project_ID],0))</f>
        <v>VBB 3rd - new bridge VO</v>
      </c>
      <c r="Q335" s="6">
        <f>IF(TimeEntry[[#This Row],[Date]]=0,"",WEEKDAY(C335,2))</f>
        <v>1</v>
      </c>
      <c r="R335" s="9">
        <f>YEAR(TimeEntry[[#This Row],[WkEnd]])</f>
        <v>2020</v>
      </c>
      <c r="S335" s="9">
        <f>WEEKNUM(TimeEntry[[#This Row],[WkEnd]])</f>
        <v>7</v>
      </c>
      <c r="T335" s="9" t="str">
        <f>TimeEntry[[#This Row],[Year]]&amp;"-"&amp;TimeEntry[[#This Row],[WkNo]]</f>
        <v>2020-7</v>
      </c>
    </row>
    <row r="336" spans="1:20" x14ac:dyDescent="0.25">
      <c r="A336" s="6">
        <f>MOD(IF(ROW()=2,0.1,IF(INDEX(TimeEntry[WkEnd],ROW()-1)  =  INDEX(TimeEntry[WkEnd],ROW()-2),    INDEX(TimeEntry[format],ROW()-2),    INDEX(TimeEntry[format],ROW()-2)    +1)),2)</f>
        <v>1.1000000000000001</v>
      </c>
      <c r="B336" s="7"/>
      <c r="C336" s="8">
        <v>43865</v>
      </c>
      <c r="D336" s="8"/>
      <c r="E336" s="1" t="s">
        <v>454</v>
      </c>
      <c r="F336" s="8">
        <f>IF(TimeEntry[[#This Row],[Date]]=0,F335,C336+(7-Q336))</f>
        <v>43870</v>
      </c>
      <c r="G336" s="35" t="str">
        <f>INDEX(projects[Charge_Code],MATCH(TimeEntry[[#This Row],[Project_ID]],projects[Project_ID],0))</f>
        <v>252076-05 Intro to bridges</v>
      </c>
      <c r="H336" s="1" t="str">
        <f t="shared" si="8"/>
        <v>Normal Time</v>
      </c>
      <c r="I336" s="1"/>
      <c r="J336" s="15">
        <v>4</v>
      </c>
      <c r="K336" s="15"/>
      <c r="L336" s="15"/>
      <c r="M336" s="15"/>
      <c r="N336" s="15"/>
      <c r="O336" s="15" t="str">
        <f>INDEX(projects[job number],MATCH(TimeEntry[[#This Row],[Project_ID]], projects[Project_ID],0))</f>
        <v>252076-05</v>
      </c>
      <c r="P336" s="15" t="str">
        <f>INDEX(projects[Project_Name],MATCH(TimeEntry[[#This Row],[Project_ID]], projects[Project_ID],0))</f>
        <v>Intro to bridges</v>
      </c>
      <c r="Q336" s="6">
        <f>IF(TimeEntry[[#This Row],[Date]]=0,"",WEEKDAY(C336,2))</f>
        <v>2</v>
      </c>
      <c r="R336" s="9">
        <f>YEAR(TimeEntry[[#This Row],[WkEnd]])</f>
        <v>2020</v>
      </c>
      <c r="S336" s="9">
        <f>WEEKNUM(TimeEntry[[#This Row],[WkEnd]])</f>
        <v>7</v>
      </c>
      <c r="T336" s="9" t="str">
        <f>TimeEntry[[#This Row],[Year]]&amp;"-"&amp;TimeEntry[[#This Row],[WkNo]]</f>
        <v>2020-7</v>
      </c>
    </row>
    <row r="337" spans="1:20" x14ac:dyDescent="0.25">
      <c r="A337" s="6">
        <f>MOD(IF(ROW()=2,0.1,IF(INDEX(TimeEntry[WkEnd],ROW()-1)  =  INDEX(TimeEntry[WkEnd],ROW()-2),    INDEX(TimeEntry[format],ROW()-2),    INDEX(TimeEntry[format],ROW()-2)    +1)),2)</f>
        <v>1.1000000000000001</v>
      </c>
      <c r="B337" s="7"/>
      <c r="C337" s="8">
        <v>43865</v>
      </c>
      <c r="D337" s="8"/>
      <c r="E337" s="1" t="s">
        <v>449</v>
      </c>
      <c r="F337" s="8">
        <f>IF(TimeEntry[[#This Row],[Date]]=0,F336,C337+(7-Q337))</f>
        <v>43870</v>
      </c>
      <c r="G337" s="35" t="str">
        <f>INDEX(projects[Charge_Code],MATCH(TimeEntry[[#This Row],[Project_ID]],projects[Project_ID],0))</f>
        <v>255670-17 LOWER KINGS ROAD ASSESSMENT (01-382)</v>
      </c>
      <c r="H337" s="1" t="str">
        <f t="shared" si="8"/>
        <v>Normal Time</v>
      </c>
      <c r="I337" s="1"/>
      <c r="J337" s="15">
        <v>3.5</v>
      </c>
      <c r="K337" s="15"/>
      <c r="L337" s="15"/>
      <c r="M337" s="15"/>
      <c r="N337" s="15"/>
      <c r="O337" s="15" t="str">
        <f>INDEX(projects[job number],MATCH(TimeEntry[[#This Row],[Project_ID]], projects[Project_ID],0))</f>
        <v>255670-17</v>
      </c>
      <c r="P337" s="15" t="str">
        <f>INDEX(projects[Project_Name],MATCH(TimeEntry[[#This Row],[Project_ID]], projects[Project_ID],0))</f>
        <v>LOWER KINGS ROAD ASSESSMENT</v>
      </c>
      <c r="Q337" s="6">
        <f>IF(TimeEntry[[#This Row],[Date]]=0,"",WEEKDAY(C337,2))</f>
        <v>2</v>
      </c>
      <c r="R337" s="9">
        <f>YEAR(TimeEntry[[#This Row],[WkEnd]])</f>
        <v>2020</v>
      </c>
      <c r="S337" s="9">
        <f>WEEKNUM(TimeEntry[[#This Row],[WkEnd]])</f>
        <v>7</v>
      </c>
      <c r="T337" s="9" t="str">
        <f>TimeEntry[[#This Row],[Year]]&amp;"-"&amp;TimeEntry[[#This Row],[WkNo]]</f>
        <v>2020-7</v>
      </c>
    </row>
    <row r="338" spans="1:20" x14ac:dyDescent="0.25">
      <c r="A338" s="6">
        <f>MOD(IF(ROW()=2,0.1,IF(INDEX(TimeEntry[WkEnd],ROW()-1)  =  INDEX(TimeEntry[WkEnd],ROW()-2),    INDEX(TimeEntry[format],ROW()-2),    INDEX(TimeEntry[format],ROW()-2)    +1)),2)</f>
        <v>1.1000000000000001</v>
      </c>
      <c r="B338" s="7"/>
      <c r="C338" s="8">
        <v>43866</v>
      </c>
      <c r="D338" s="8"/>
      <c r="E338" s="1" t="s">
        <v>453</v>
      </c>
      <c r="F338" s="8">
        <f>IF(TimeEntry[[#This Row],[Date]]=0,F337,C338+(7-Q338))</f>
        <v>43870</v>
      </c>
      <c r="G338" s="35" t="str">
        <f>INDEX(projects[Charge_Code],MATCH(TimeEntry[[#This Row],[Project_ID]],projects[Project_ID],0))</f>
        <v>210035-64 VBB 3rd - new bridge VO</v>
      </c>
      <c r="H338" s="1" t="str">
        <f t="shared" si="8"/>
        <v>Normal Time</v>
      </c>
      <c r="I338" s="1"/>
      <c r="J338" s="15">
        <v>7.5</v>
      </c>
      <c r="K338" s="15"/>
      <c r="L338" s="15"/>
      <c r="M338" s="15"/>
      <c r="N338" s="15"/>
      <c r="O338" s="15" t="str">
        <f>INDEX(projects[job number],MATCH(TimeEntry[[#This Row],[Project_ID]], projects[Project_ID],0))</f>
        <v>210035-64</v>
      </c>
      <c r="P338" s="15" t="str">
        <f>INDEX(projects[Project_Name],MATCH(TimeEntry[[#This Row],[Project_ID]], projects[Project_ID],0))</f>
        <v>VBB 3rd - new bridge VO</v>
      </c>
      <c r="Q338" s="6">
        <f>IF(TimeEntry[[#This Row],[Date]]=0,"",WEEKDAY(C338,2))</f>
        <v>3</v>
      </c>
      <c r="R338" s="9">
        <f>YEAR(TimeEntry[[#This Row],[WkEnd]])</f>
        <v>2020</v>
      </c>
      <c r="S338" s="9">
        <f>WEEKNUM(TimeEntry[[#This Row],[WkEnd]])</f>
        <v>7</v>
      </c>
      <c r="T338" s="9" t="str">
        <f>TimeEntry[[#This Row],[Year]]&amp;"-"&amp;TimeEntry[[#This Row],[WkNo]]</f>
        <v>2020-7</v>
      </c>
    </row>
    <row r="339" spans="1:20" x14ac:dyDescent="0.25">
      <c r="A339" s="6">
        <f>MOD(IF(ROW()=2,0.1,IF(INDEX(TimeEntry[WkEnd],ROW()-1)  =  INDEX(TimeEntry[WkEnd],ROW()-2),    INDEX(TimeEntry[format],ROW()-2),    INDEX(TimeEntry[format],ROW()-2)    +1)),2)</f>
        <v>1.1000000000000001</v>
      </c>
      <c r="B339" s="7"/>
      <c r="C339" s="8">
        <v>43867</v>
      </c>
      <c r="D339" s="8"/>
      <c r="E339" s="1" t="s">
        <v>453</v>
      </c>
      <c r="F339" s="8">
        <f>IF(TimeEntry[[#This Row],[Date]]=0,F338,C339+(7-Q339))</f>
        <v>43870</v>
      </c>
      <c r="G339" s="35" t="str">
        <f>INDEX(projects[Charge_Code],MATCH(TimeEntry[[#This Row],[Project_ID]],projects[Project_ID],0))</f>
        <v>210035-64 VBB 3rd - new bridge VO</v>
      </c>
      <c r="H339" s="1" t="str">
        <f t="shared" si="8"/>
        <v>Normal Time</v>
      </c>
      <c r="I339" s="1"/>
      <c r="J339" s="15">
        <v>7.5</v>
      </c>
      <c r="K339" s="15"/>
      <c r="L339" s="15"/>
      <c r="M339" s="15"/>
      <c r="N339" s="15"/>
      <c r="O339" s="15" t="str">
        <f>INDEX(projects[job number],MATCH(TimeEntry[[#This Row],[Project_ID]], projects[Project_ID],0))</f>
        <v>210035-64</v>
      </c>
      <c r="P339" s="15" t="str">
        <f>INDEX(projects[Project_Name],MATCH(TimeEntry[[#This Row],[Project_ID]], projects[Project_ID],0))</f>
        <v>VBB 3rd - new bridge VO</v>
      </c>
      <c r="Q339" s="6">
        <f>IF(TimeEntry[[#This Row],[Date]]=0,"",WEEKDAY(C339,2))</f>
        <v>4</v>
      </c>
      <c r="R339" s="9">
        <f>YEAR(TimeEntry[[#This Row],[WkEnd]])</f>
        <v>2020</v>
      </c>
      <c r="S339" s="9">
        <f>WEEKNUM(TimeEntry[[#This Row],[WkEnd]])</f>
        <v>7</v>
      </c>
      <c r="T339" s="9" t="str">
        <f>TimeEntry[[#This Row],[Year]]&amp;"-"&amp;TimeEntry[[#This Row],[WkNo]]</f>
        <v>2020-7</v>
      </c>
    </row>
    <row r="340" spans="1:20" x14ac:dyDescent="0.25">
      <c r="A340" s="6">
        <f>MOD(IF(ROW()=2,0.1,IF(INDEX(TimeEntry[WkEnd],ROW()-1)  =  INDEX(TimeEntry[WkEnd],ROW()-2),    INDEX(TimeEntry[format],ROW()-2),    INDEX(TimeEntry[format],ROW()-2)    +1)),2)</f>
        <v>1.1000000000000001</v>
      </c>
      <c r="B340" s="7"/>
      <c r="C340" s="8">
        <v>43868</v>
      </c>
      <c r="D340" s="8"/>
      <c r="E340" s="1" t="s">
        <v>453</v>
      </c>
      <c r="F340" s="8">
        <f>IF(TimeEntry[[#This Row],[Date]]=0,F339,C340+(7-Q340))</f>
        <v>43870</v>
      </c>
      <c r="G340" s="35" t="str">
        <f>INDEX(projects[Charge_Code],MATCH(TimeEntry[[#This Row],[Project_ID]],projects[Project_ID],0))</f>
        <v>210035-64 VBB 3rd - new bridge VO</v>
      </c>
      <c r="H340" s="1" t="str">
        <f t="shared" si="8"/>
        <v>Normal Time</v>
      </c>
      <c r="I340" s="1"/>
      <c r="J340" s="15">
        <v>5.5</v>
      </c>
      <c r="K340" s="15"/>
      <c r="L340" s="15"/>
      <c r="M340" s="15"/>
      <c r="N340" s="15"/>
      <c r="O340" s="15" t="str">
        <f>INDEX(projects[job number],MATCH(TimeEntry[[#This Row],[Project_ID]], projects[Project_ID],0))</f>
        <v>210035-64</v>
      </c>
      <c r="P340" s="15" t="str">
        <f>INDEX(projects[Project_Name],MATCH(TimeEntry[[#This Row],[Project_ID]], projects[Project_ID],0))</f>
        <v>VBB 3rd - new bridge VO</v>
      </c>
      <c r="Q340" s="6">
        <f>IF(TimeEntry[[#This Row],[Date]]=0,"",WEEKDAY(C340,2))</f>
        <v>5</v>
      </c>
      <c r="R340" s="9">
        <f>YEAR(TimeEntry[[#This Row],[WkEnd]])</f>
        <v>2020</v>
      </c>
      <c r="S340" s="9">
        <f>WEEKNUM(TimeEntry[[#This Row],[WkEnd]])</f>
        <v>7</v>
      </c>
      <c r="T340" s="9" t="str">
        <f>TimeEntry[[#This Row],[Year]]&amp;"-"&amp;TimeEntry[[#This Row],[WkNo]]</f>
        <v>2020-7</v>
      </c>
    </row>
    <row r="341" spans="1:20" x14ac:dyDescent="0.25">
      <c r="A341" s="6">
        <f>MOD(IF(ROW()=2,0.1,IF(INDEX(TimeEntry[WkEnd],ROW()-1)  =  INDEX(TimeEntry[WkEnd],ROW()-2),    INDEX(TimeEntry[format],ROW()-2),    INDEX(TimeEntry[format],ROW()-2)    +1)),2)</f>
        <v>1.1000000000000001</v>
      </c>
      <c r="B341" s="7"/>
      <c r="C341" s="8">
        <v>43868</v>
      </c>
      <c r="D341" s="8"/>
      <c r="E341" s="1" t="s">
        <v>449</v>
      </c>
      <c r="F341" s="8">
        <f>IF(TimeEntry[[#This Row],[Date]]=0,F340,C341+(7-Q341))</f>
        <v>43870</v>
      </c>
      <c r="G341" s="35" t="str">
        <f>INDEX(projects[Charge_Code],MATCH(TimeEntry[[#This Row],[Project_ID]],projects[Project_ID],0))</f>
        <v>255670-17 LOWER KINGS ROAD ASSESSMENT (01-382)</v>
      </c>
      <c r="H341" s="1" t="str">
        <f t="shared" si="8"/>
        <v>Normal Time</v>
      </c>
      <c r="I341" s="1"/>
      <c r="J341" s="15">
        <v>2</v>
      </c>
      <c r="K341" s="15"/>
      <c r="L341" s="15"/>
      <c r="M341" s="15"/>
      <c r="N341" s="15"/>
      <c r="O341" s="15" t="str">
        <f>INDEX(projects[job number],MATCH(TimeEntry[[#This Row],[Project_ID]], projects[Project_ID],0))</f>
        <v>255670-17</v>
      </c>
      <c r="P341" s="15" t="str">
        <f>INDEX(projects[Project_Name],MATCH(TimeEntry[[#This Row],[Project_ID]], projects[Project_ID],0))</f>
        <v>LOWER KINGS ROAD ASSESSMENT</v>
      </c>
      <c r="Q341" s="6">
        <f>IF(TimeEntry[[#This Row],[Date]]=0,"",WEEKDAY(C341,2))</f>
        <v>5</v>
      </c>
      <c r="R341" s="9">
        <f>YEAR(TimeEntry[[#This Row],[WkEnd]])</f>
        <v>2020</v>
      </c>
      <c r="S341" s="9">
        <f>WEEKNUM(TimeEntry[[#This Row],[WkEnd]])</f>
        <v>7</v>
      </c>
      <c r="T341" s="9" t="str">
        <f>TimeEntry[[#This Row],[Year]]&amp;"-"&amp;TimeEntry[[#This Row],[WkNo]]</f>
        <v>2020-7</v>
      </c>
    </row>
    <row r="342" spans="1:20" x14ac:dyDescent="0.25">
      <c r="A342" s="6">
        <f>MOD(IF(ROW()=2,0.1,IF(INDEX(TimeEntry[WkEnd],ROW()-1)  =  INDEX(TimeEntry[WkEnd],ROW()-2),    INDEX(TimeEntry[format],ROW()-2),    INDEX(TimeEntry[format],ROW()-2)    +1)),2)</f>
        <v>0.10000000000000009</v>
      </c>
      <c r="B342" s="7"/>
      <c r="C342" s="8">
        <v>43857</v>
      </c>
      <c r="D342" s="8"/>
      <c r="E342" s="1" t="s">
        <v>455</v>
      </c>
      <c r="F342" s="8">
        <f>IF(TimeEntry[[#This Row],[Date]]=0,F341,C342+(7-Q342))</f>
        <v>43863</v>
      </c>
      <c r="G342" s="35" t="str">
        <f>INDEX(projects[Charge_Code],MATCH(TimeEntry[[#This Row],[Project_ID]],projects[Project_ID],0))</f>
        <v>268017-25  KSC - Tunnel</v>
      </c>
      <c r="H342" s="1" t="str">
        <f t="shared" si="8"/>
        <v>Normal Time</v>
      </c>
      <c r="I342" s="1"/>
      <c r="J342" s="15">
        <v>7.5</v>
      </c>
      <c r="K342" s="15"/>
      <c r="L342" s="15"/>
      <c r="M342" s="15"/>
      <c r="N342" s="15"/>
      <c r="O342" s="15" t="str">
        <f>INDEX(projects[job number],MATCH(TimeEntry[[#This Row],[Project_ID]], projects[Project_ID],0))</f>
        <v xml:space="preserve">268017-25 </v>
      </c>
      <c r="P342" s="15" t="str">
        <f>INDEX(projects[Project_Name],MATCH(TimeEntry[[#This Row],[Project_ID]], projects[Project_ID],0))</f>
        <v>KSC - Tunnel</v>
      </c>
      <c r="Q342" s="6">
        <f>IF(TimeEntry[[#This Row],[Date]]=0,"",WEEKDAY(C342,2))</f>
        <v>1</v>
      </c>
      <c r="R342" s="9">
        <f>YEAR(TimeEntry[[#This Row],[WkEnd]])</f>
        <v>2020</v>
      </c>
      <c r="S342" s="9">
        <f>WEEKNUM(TimeEntry[[#This Row],[WkEnd]])</f>
        <v>6</v>
      </c>
      <c r="T342" s="9" t="str">
        <f>TimeEntry[[#This Row],[Year]]&amp;"-"&amp;TimeEntry[[#This Row],[WkNo]]</f>
        <v>2020-6</v>
      </c>
    </row>
    <row r="343" spans="1:20" x14ac:dyDescent="0.25">
      <c r="A343" s="6">
        <f>MOD(IF(ROW()=2,0.1,IF(INDEX(TimeEntry[WkEnd],ROW()-1)  =  INDEX(TimeEntry[WkEnd],ROW()-2),    INDEX(TimeEntry[format],ROW()-2),    INDEX(TimeEntry[format],ROW()-2)    +1)),2)</f>
        <v>0.10000000000000009</v>
      </c>
      <c r="B343" s="7"/>
      <c r="C343" s="8">
        <v>43858</v>
      </c>
      <c r="D343" s="8"/>
      <c r="E343" s="1" t="s">
        <v>453</v>
      </c>
      <c r="F343" s="8">
        <f>IF(TimeEntry[[#This Row],[Date]]=0,F342,C343+(7-Q343))</f>
        <v>43863</v>
      </c>
      <c r="G343" s="35" t="str">
        <f>INDEX(projects[Charge_Code],MATCH(TimeEntry[[#This Row],[Project_ID]],projects[Project_ID],0))</f>
        <v>210035-64 VBB 3rd - new bridge VO</v>
      </c>
      <c r="H343" s="1" t="str">
        <f t="shared" si="8"/>
        <v>Normal Time</v>
      </c>
      <c r="I343" s="1"/>
      <c r="J343" s="15">
        <v>7.5</v>
      </c>
      <c r="K343" s="15"/>
      <c r="L343" s="15"/>
      <c r="M343" s="15"/>
      <c r="N343" s="15"/>
      <c r="O343" s="15" t="str">
        <f>INDEX(projects[job number],MATCH(TimeEntry[[#This Row],[Project_ID]], projects[Project_ID],0))</f>
        <v>210035-64</v>
      </c>
      <c r="P343" s="15" t="str">
        <f>INDEX(projects[Project_Name],MATCH(TimeEntry[[#This Row],[Project_ID]], projects[Project_ID],0))</f>
        <v>VBB 3rd - new bridge VO</v>
      </c>
      <c r="Q343" s="6">
        <f>IF(TimeEntry[[#This Row],[Date]]=0,"",WEEKDAY(C343,2))</f>
        <v>2</v>
      </c>
      <c r="R343" s="9">
        <f>YEAR(TimeEntry[[#This Row],[WkEnd]])</f>
        <v>2020</v>
      </c>
      <c r="S343" s="9">
        <f>WEEKNUM(TimeEntry[[#This Row],[WkEnd]])</f>
        <v>6</v>
      </c>
      <c r="T343" s="9" t="str">
        <f>TimeEntry[[#This Row],[Year]]&amp;"-"&amp;TimeEntry[[#This Row],[WkNo]]</f>
        <v>2020-6</v>
      </c>
    </row>
    <row r="344" spans="1:20" x14ac:dyDescent="0.25">
      <c r="A344" s="6">
        <f>MOD(IF(ROW()=2,0.1,IF(INDEX(TimeEntry[WkEnd],ROW()-1)  =  INDEX(TimeEntry[WkEnd],ROW()-2),    INDEX(TimeEntry[format],ROW()-2),    INDEX(TimeEntry[format],ROW()-2)    +1)),2)</f>
        <v>0.10000000000000009</v>
      </c>
      <c r="B344" s="7"/>
      <c r="C344" s="8">
        <v>43859</v>
      </c>
      <c r="D344" s="8"/>
      <c r="E344" s="1" t="s">
        <v>455</v>
      </c>
      <c r="F344" s="8">
        <f>IF(TimeEntry[[#This Row],[Date]]=0,F343,C344+(7-Q344))</f>
        <v>43863</v>
      </c>
      <c r="G344" s="35" t="str">
        <f>INDEX(projects[Charge_Code],MATCH(TimeEntry[[#This Row],[Project_ID]],projects[Project_ID],0))</f>
        <v>268017-25  KSC - Tunnel</v>
      </c>
      <c r="H344" s="1" t="str">
        <f t="shared" si="8"/>
        <v>Normal Time</v>
      </c>
      <c r="I344" s="1"/>
      <c r="J344" s="15">
        <v>5</v>
      </c>
      <c r="K344" s="15"/>
      <c r="L344" s="15"/>
      <c r="M344" s="15"/>
      <c r="N344" s="15"/>
      <c r="O344" s="15" t="str">
        <f>INDEX(projects[job number],MATCH(TimeEntry[[#This Row],[Project_ID]], projects[Project_ID],0))</f>
        <v xml:space="preserve">268017-25 </v>
      </c>
      <c r="P344" s="15" t="str">
        <f>INDEX(projects[Project_Name],MATCH(TimeEntry[[#This Row],[Project_ID]], projects[Project_ID],0))</f>
        <v>KSC - Tunnel</v>
      </c>
      <c r="Q344" s="6">
        <f>IF(TimeEntry[[#This Row],[Date]]=0,"",WEEKDAY(C344,2))</f>
        <v>3</v>
      </c>
      <c r="R344" s="9">
        <f>YEAR(TimeEntry[[#This Row],[WkEnd]])</f>
        <v>2020</v>
      </c>
      <c r="S344" s="9">
        <f>WEEKNUM(TimeEntry[[#This Row],[WkEnd]])</f>
        <v>6</v>
      </c>
      <c r="T344" s="9" t="str">
        <f>TimeEntry[[#This Row],[Year]]&amp;"-"&amp;TimeEntry[[#This Row],[WkNo]]</f>
        <v>2020-6</v>
      </c>
    </row>
    <row r="345" spans="1:20" x14ac:dyDescent="0.25">
      <c r="A345" s="6">
        <f>MOD(IF(ROW()=2,0.1,IF(INDEX(TimeEntry[WkEnd],ROW()-1)  =  INDEX(TimeEntry[WkEnd],ROW()-2),    INDEX(TimeEntry[format],ROW()-2),    INDEX(TimeEntry[format],ROW()-2)    +1)),2)</f>
        <v>0.10000000000000009</v>
      </c>
      <c r="B345" s="7"/>
      <c r="C345" s="8">
        <v>43859</v>
      </c>
      <c r="D345" s="8"/>
      <c r="E345" s="1" t="s">
        <v>449</v>
      </c>
      <c r="F345" s="8">
        <f>IF(TimeEntry[[#This Row],[Date]]=0,F344,C345+(7-Q345))</f>
        <v>43863</v>
      </c>
      <c r="G345" s="35" t="str">
        <f>INDEX(projects[Charge_Code],MATCH(TimeEntry[[#This Row],[Project_ID]],projects[Project_ID],0))</f>
        <v>255670-17 LOWER KINGS ROAD ASSESSMENT (01-382)</v>
      </c>
      <c r="H345" s="1" t="str">
        <f t="shared" si="8"/>
        <v>Normal Time</v>
      </c>
      <c r="I345" s="1"/>
      <c r="J345" s="15">
        <v>2.5</v>
      </c>
      <c r="K345" s="15"/>
      <c r="L345" s="15"/>
      <c r="M345" s="15"/>
      <c r="N345" s="15"/>
      <c r="O345" s="15" t="str">
        <f>INDEX(projects[job number],MATCH(TimeEntry[[#This Row],[Project_ID]], projects[Project_ID],0))</f>
        <v>255670-17</v>
      </c>
      <c r="P345" s="15" t="str">
        <f>INDEX(projects[Project_Name],MATCH(TimeEntry[[#This Row],[Project_ID]], projects[Project_ID],0))</f>
        <v>LOWER KINGS ROAD ASSESSMENT</v>
      </c>
      <c r="Q345" s="6">
        <f>IF(TimeEntry[[#This Row],[Date]]=0,"",WEEKDAY(C345,2))</f>
        <v>3</v>
      </c>
      <c r="R345" s="9">
        <f>YEAR(TimeEntry[[#This Row],[WkEnd]])</f>
        <v>2020</v>
      </c>
      <c r="S345" s="9">
        <f>WEEKNUM(TimeEntry[[#This Row],[WkEnd]])</f>
        <v>6</v>
      </c>
      <c r="T345" s="9" t="str">
        <f>TimeEntry[[#This Row],[Year]]&amp;"-"&amp;TimeEntry[[#This Row],[WkNo]]</f>
        <v>2020-6</v>
      </c>
    </row>
    <row r="346" spans="1:20" x14ac:dyDescent="0.25">
      <c r="A346" s="6">
        <f>MOD(IF(ROW()=2,0.1,IF(INDEX(TimeEntry[WkEnd],ROW()-1)  =  INDEX(TimeEntry[WkEnd],ROW()-2),    INDEX(TimeEntry[format],ROW()-2),    INDEX(TimeEntry[format],ROW()-2)    +1)),2)</f>
        <v>0.10000000000000009</v>
      </c>
      <c r="B346" s="7"/>
      <c r="C346" s="8">
        <v>43860</v>
      </c>
      <c r="D346" s="8"/>
      <c r="E346" s="1" t="s">
        <v>453</v>
      </c>
      <c r="F346" s="8">
        <f>IF(TimeEntry[[#This Row],[Date]]=0,F345,C346+(7-Q346))</f>
        <v>43863</v>
      </c>
      <c r="G346" s="35" t="str">
        <f>INDEX(projects[Charge_Code],MATCH(TimeEntry[[#This Row],[Project_ID]],projects[Project_ID],0))</f>
        <v>210035-64 VBB 3rd - new bridge VO</v>
      </c>
      <c r="H346" s="1" t="str">
        <f t="shared" si="8"/>
        <v>Normal Time</v>
      </c>
      <c r="I346" s="1"/>
      <c r="J346" s="15">
        <v>7.5</v>
      </c>
      <c r="K346" s="15"/>
      <c r="L346" s="15"/>
      <c r="M346" s="15"/>
      <c r="N346" s="15"/>
      <c r="O346" s="15" t="str">
        <f>INDEX(projects[job number],MATCH(TimeEntry[[#This Row],[Project_ID]], projects[Project_ID],0))</f>
        <v>210035-64</v>
      </c>
      <c r="P346" s="15" t="str">
        <f>INDEX(projects[Project_Name],MATCH(TimeEntry[[#This Row],[Project_ID]], projects[Project_ID],0))</f>
        <v>VBB 3rd - new bridge VO</v>
      </c>
      <c r="Q346" s="6">
        <f>IF(TimeEntry[[#This Row],[Date]]=0,"",WEEKDAY(C346,2))</f>
        <v>4</v>
      </c>
      <c r="R346" s="9">
        <f>YEAR(TimeEntry[[#This Row],[WkEnd]])</f>
        <v>2020</v>
      </c>
      <c r="S346" s="9">
        <f>WEEKNUM(TimeEntry[[#This Row],[WkEnd]])</f>
        <v>6</v>
      </c>
      <c r="T346" s="9" t="str">
        <f>TimeEntry[[#This Row],[Year]]&amp;"-"&amp;TimeEntry[[#This Row],[WkNo]]</f>
        <v>2020-6</v>
      </c>
    </row>
    <row r="347" spans="1:20" x14ac:dyDescent="0.25">
      <c r="A347" s="6">
        <f>MOD(IF(ROW()=2,0.1,IF(INDEX(TimeEntry[WkEnd],ROW()-1)  =  INDEX(TimeEntry[WkEnd],ROW()-2),    INDEX(TimeEntry[format],ROW()-2),    INDEX(TimeEntry[format],ROW()-2)    +1)),2)</f>
        <v>0.10000000000000009</v>
      </c>
      <c r="B347" s="7"/>
      <c r="C347" s="8">
        <v>43861</v>
      </c>
      <c r="D347" s="8"/>
      <c r="E347" s="1" t="s">
        <v>455</v>
      </c>
      <c r="F347" s="8">
        <f>IF(TimeEntry[[#This Row],[Date]]=0,F346,C347+(7-Q347))</f>
        <v>43863</v>
      </c>
      <c r="G347" s="35" t="str">
        <f>INDEX(projects[Charge_Code],MATCH(TimeEntry[[#This Row],[Project_ID]],projects[Project_ID],0))</f>
        <v>268017-25  KSC - Tunnel</v>
      </c>
      <c r="H347" s="1" t="str">
        <f t="shared" si="8"/>
        <v>Normal Time</v>
      </c>
      <c r="I347" s="1"/>
      <c r="J347" s="15">
        <v>7.5</v>
      </c>
      <c r="K347" s="15"/>
      <c r="L347" s="15"/>
      <c r="M347" s="15"/>
      <c r="N347" s="15"/>
      <c r="O347" s="15" t="str">
        <f>INDEX(projects[job number],MATCH(TimeEntry[[#This Row],[Project_ID]], projects[Project_ID],0))</f>
        <v xml:space="preserve">268017-25 </v>
      </c>
      <c r="P347" s="15" t="str">
        <f>INDEX(projects[Project_Name],MATCH(TimeEntry[[#This Row],[Project_ID]], projects[Project_ID],0))</f>
        <v>KSC - Tunnel</v>
      </c>
      <c r="Q347" s="6">
        <f>IF(TimeEntry[[#This Row],[Date]]=0,"",WEEKDAY(C347,2))</f>
        <v>5</v>
      </c>
      <c r="R347" s="9">
        <f>YEAR(TimeEntry[[#This Row],[WkEnd]])</f>
        <v>2020</v>
      </c>
      <c r="S347" s="9">
        <f>WEEKNUM(TimeEntry[[#This Row],[WkEnd]])</f>
        <v>6</v>
      </c>
      <c r="T347" s="9" t="str">
        <f>TimeEntry[[#This Row],[Year]]&amp;"-"&amp;TimeEntry[[#This Row],[WkNo]]</f>
        <v>2020-6</v>
      </c>
    </row>
    <row r="348" spans="1:20" x14ac:dyDescent="0.25">
      <c r="A348" s="6">
        <f>MOD(IF(ROW()=2,0.1,IF(INDEX(TimeEntry[WkEnd],ROW()-1)  =  INDEX(TimeEntry[WkEnd],ROW()-2),    INDEX(TimeEntry[format],ROW()-2),    INDEX(TimeEntry[format],ROW()-2)    +1)),2)</f>
        <v>1.1000000000000001</v>
      </c>
      <c r="B348" s="7"/>
      <c r="C348" s="8">
        <v>43854</v>
      </c>
      <c r="D348" s="8"/>
      <c r="E348" s="1" t="s">
        <v>455</v>
      </c>
      <c r="F348" s="8">
        <f>IF(TimeEntry[[#This Row],[Date]]=0,F347,C348+(7-Q348))</f>
        <v>43856</v>
      </c>
      <c r="G348" s="35" t="str">
        <f>INDEX(projects[Charge_Code],MATCH(TimeEntry[[#This Row],[Project_ID]],projects[Project_ID],0))</f>
        <v>268017-25  KSC - Tunnel</v>
      </c>
      <c r="H348" s="1" t="str">
        <f t="shared" si="8"/>
        <v>Normal Time</v>
      </c>
      <c r="I348" s="1"/>
      <c r="J348" s="15">
        <v>7.5</v>
      </c>
      <c r="K348" s="15"/>
      <c r="L348" s="15"/>
      <c r="M348" s="15"/>
      <c r="N348" s="15"/>
      <c r="O348" s="15" t="str">
        <f>INDEX(projects[job number],MATCH(TimeEntry[[#This Row],[Project_ID]], projects[Project_ID],0))</f>
        <v xml:space="preserve">268017-25 </v>
      </c>
      <c r="P348" s="15" t="str">
        <f>INDEX(projects[Project_Name],MATCH(TimeEntry[[#This Row],[Project_ID]], projects[Project_ID],0))</f>
        <v>KSC - Tunnel</v>
      </c>
      <c r="Q348" s="6">
        <f>IF(TimeEntry[[#This Row],[Date]]=0,"",WEEKDAY(C348,2))</f>
        <v>5</v>
      </c>
      <c r="R348" s="9">
        <f>YEAR(TimeEntry[[#This Row],[WkEnd]])</f>
        <v>2020</v>
      </c>
      <c r="S348" s="9">
        <f>WEEKNUM(TimeEntry[[#This Row],[WkEnd]])</f>
        <v>5</v>
      </c>
      <c r="T348" s="9" t="str">
        <f>TimeEntry[[#This Row],[Year]]&amp;"-"&amp;TimeEntry[[#This Row],[WkNo]]</f>
        <v>2020-5</v>
      </c>
    </row>
    <row r="349" spans="1:20" x14ac:dyDescent="0.25">
      <c r="A349" s="6">
        <f>MOD(IF(ROW()=2,0.1,IF(INDEX(TimeEntry[WkEnd],ROW()-1)  =  INDEX(TimeEntry[WkEnd],ROW()-2),    INDEX(TimeEntry[format],ROW()-2),    INDEX(TimeEntry[format],ROW()-2)    +1)),2)</f>
        <v>1.1000000000000001</v>
      </c>
      <c r="B349" s="7"/>
      <c r="C349" s="8">
        <v>43853</v>
      </c>
      <c r="D349" s="8"/>
      <c r="E349" s="1" t="s">
        <v>453</v>
      </c>
      <c r="F349" s="8">
        <f>IF(TimeEntry[[#This Row],[Date]]=0,F348,C349+(7-Q349))</f>
        <v>43856</v>
      </c>
      <c r="G349" s="35" t="str">
        <f>INDEX(projects[Charge_Code],MATCH(TimeEntry[[#This Row],[Project_ID]],projects[Project_ID],0))</f>
        <v>210035-64 VBB 3rd - new bridge VO</v>
      </c>
      <c r="H349" s="1" t="str">
        <f t="shared" ref="H349:H412" si="9">"Normal Time"</f>
        <v>Normal Time</v>
      </c>
      <c r="I349" s="1"/>
      <c r="J349" s="15">
        <v>7.5</v>
      </c>
      <c r="K349" s="15"/>
      <c r="L349" s="15"/>
      <c r="M349" s="15"/>
      <c r="N349" s="15"/>
      <c r="O349" s="15" t="str">
        <f>INDEX(projects[job number],MATCH(TimeEntry[[#This Row],[Project_ID]], projects[Project_ID],0))</f>
        <v>210035-64</v>
      </c>
      <c r="P349" s="15" t="str">
        <f>INDEX(projects[Project_Name],MATCH(TimeEntry[[#This Row],[Project_ID]], projects[Project_ID],0))</f>
        <v>VBB 3rd - new bridge VO</v>
      </c>
      <c r="Q349" s="6">
        <f>IF(TimeEntry[[#This Row],[Date]]=0,"",WEEKDAY(C349,2))</f>
        <v>4</v>
      </c>
      <c r="R349" s="9">
        <f>YEAR(TimeEntry[[#This Row],[WkEnd]])</f>
        <v>2020</v>
      </c>
      <c r="S349" s="9">
        <f>WEEKNUM(TimeEntry[[#This Row],[WkEnd]])</f>
        <v>5</v>
      </c>
      <c r="T349" s="9" t="str">
        <f>TimeEntry[[#This Row],[Year]]&amp;"-"&amp;TimeEntry[[#This Row],[WkNo]]</f>
        <v>2020-5</v>
      </c>
    </row>
    <row r="350" spans="1:20" x14ac:dyDescent="0.25">
      <c r="A350" s="6">
        <f>MOD(IF(ROW()=2,0.1,IF(INDEX(TimeEntry[WkEnd],ROW()-1)  =  INDEX(TimeEntry[WkEnd],ROW()-2),    INDEX(TimeEntry[format],ROW()-2),    INDEX(TimeEntry[format],ROW()-2)    +1)),2)</f>
        <v>1.1000000000000001</v>
      </c>
      <c r="B350" s="7"/>
      <c r="C350" s="8">
        <v>43852</v>
      </c>
      <c r="D350" s="8"/>
      <c r="E350" s="1" t="s">
        <v>453</v>
      </c>
      <c r="F350" s="8">
        <f>IF(TimeEntry[[#This Row],[Date]]=0,F349,C350+(7-Q350))</f>
        <v>43856</v>
      </c>
      <c r="G350" s="35" t="str">
        <f>INDEX(projects[Charge_Code],MATCH(TimeEntry[[#This Row],[Project_ID]],projects[Project_ID],0))</f>
        <v>210035-64 VBB 3rd - new bridge VO</v>
      </c>
      <c r="H350" s="1" t="str">
        <f t="shared" si="9"/>
        <v>Normal Time</v>
      </c>
      <c r="I350" s="1"/>
      <c r="J350" s="15">
        <v>7.5</v>
      </c>
      <c r="K350" s="15"/>
      <c r="L350" s="15"/>
      <c r="M350" s="15"/>
      <c r="N350" s="15"/>
      <c r="O350" s="15" t="str">
        <f>INDEX(projects[job number],MATCH(TimeEntry[[#This Row],[Project_ID]], projects[Project_ID],0))</f>
        <v>210035-64</v>
      </c>
      <c r="P350" s="15" t="str">
        <f>INDEX(projects[Project_Name],MATCH(TimeEntry[[#This Row],[Project_ID]], projects[Project_ID],0))</f>
        <v>VBB 3rd - new bridge VO</v>
      </c>
      <c r="Q350" s="6">
        <f>IF(TimeEntry[[#This Row],[Date]]=0,"",WEEKDAY(C350,2))</f>
        <v>3</v>
      </c>
      <c r="R350" s="9">
        <f>YEAR(TimeEntry[[#This Row],[WkEnd]])</f>
        <v>2020</v>
      </c>
      <c r="S350" s="9">
        <f>WEEKNUM(TimeEntry[[#This Row],[WkEnd]])</f>
        <v>5</v>
      </c>
      <c r="T350" s="9" t="str">
        <f>TimeEntry[[#This Row],[Year]]&amp;"-"&amp;TimeEntry[[#This Row],[WkNo]]</f>
        <v>2020-5</v>
      </c>
    </row>
    <row r="351" spans="1:20" x14ac:dyDescent="0.25">
      <c r="A351" s="6">
        <f>MOD(IF(ROW()=2,0.1,IF(INDEX(TimeEntry[WkEnd],ROW()-1)  =  INDEX(TimeEntry[WkEnd],ROW()-2),    INDEX(TimeEntry[format],ROW()-2),    INDEX(TimeEntry[format],ROW()-2)    +1)),2)</f>
        <v>1.1000000000000001</v>
      </c>
      <c r="B351" s="7"/>
      <c r="C351" s="8">
        <v>43851</v>
      </c>
      <c r="D351" s="8"/>
      <c r="E351" s="1" t="s">
        <v>455</v>
      </c>
      <c r="F351" s="8">
        <f>IF(TimeEntry[[#This Row],[Date]]=0,F350,C351+(7-Q351))</f>
        <v>43856</v>
      </c>
      <c r="G351" s="35" t="str">
        <f>INDEX(projects[Charge_Code],MATCH(TimeEntry[[#This Row],[Project_ID]],projects[Project_ID],0))</f>
        <v>268017-25  KSC - Tunnel</v>
      </c>
      <c r="H351" s="1" t="str">
        <f t="shared" si="9"/>
        <v>Normal Time</v>
      </c>
      <c r="I351" s="1"/>
      <c r="J351" s="15">
        <v>7.5</v>
      </c>
      <c r="K351" s="15"/>
      <c r="L351" s="15"/>
      <c r="M351" s="15"/>
      <c r="N351" s="15"/>
      <c r="O351" s="15" t="str">
        <f>INDEX(projects[job number],MATCH(TimeEntry[[#This Row],[Project_ID]], projects[Project_ID],0))</f>
        <v xml:space="preserve">268017-25 </v>
      </c>
      <c r="P351" s="15" t="str">
        <f>INDEX(projects[Project_Name],MATCH(TimeEntry[[#This Row],[Project_ID]], projects[Project_ID],0))</f>
        <v>KSC - Tunnel</v>
      </c>
      <c r="Q351" s="6">
        <f>IF(TimeEntry[[#This Row],[Date]]=0,"",WEEKDAY(C351,2))</f>
        <v>2</v>
      </c>
      <c r="R351" s="9">
        <f>YEAR(TimeEntry[[#This Row],[WkEnd]])</f>
        <v>2020</v>
      </c>
      <c r="S351" s="9">
        <f>WEEKNUM(TimeEntry[[#This Row],[WkEnd]])</f>
        <v>5</v>
      </c>
      <c r="T351" s="9" t="str">
        <f>TimeEntry[[#This Row],[Year]]&amp;"-"&amp;TimeEntry[[#This Row],[WkNo]]</f>
        <v>2020-5</v>
      </c>
    </row>
    <row r="352" spans="1:20" x14ac:dyDescent="0.25">
      <c r="A352" s="6">
        <f>MOD(IF(ROW()=2,0.1,IF(INDEX(TimeEntry[WkEnd],ROW()-1)  =  INDEX(TimeEntry[WkEnd],ROW()-2),    INDEX(TimeEntry[format],ROW()-2),    INDEX(TimeEntry[format],ROW()-2)    +1)),2)</f>
        <v>1.1000000000000001</v>
      </c>
      <c r="B352" s="7"/>
      <c r="C352" s="8">
        <v>43850</v>
      </c>
      <c r="D352" s="8"/>
      <c r="E352" s="1" t="s">
        <v>455</v>
      </c>
      <c r="F352" s="8">
        <f>IF(TimeEntry[[#This Row],[Date]]=0,F351,C352+(7-Q352))</f>
        <v>43856</v>
      </c>
      <c r="G352" s="35" t="str">
        <f>INDEX(projects[Charge_Code],MATCH(TimeEntry[[#This Row],[Project_ID]],projects[Project_ID],0))</f>
        <v>268017-25  KSC - Tunnel</v>
      </c>
      <c r="H352" s="1" t="str">
        <f t="shared" si="9"/>
        <v>Normal Time</v>
      </c>
      <c r="I352" s="1"/>
      <c r="J352" s="15">
        <v>7.5</v>
      </c>
      <c r="K352" s="15"/>
      <c r="L352" s="15"/>
      <c r="M352" s="15"/>
      <c r="N352" s="15"/>
      <c r="O352" s="15" t="str">
        <f>INDEX(projects[job number],MATCH(TimeEntry[[#This Row],[Project_ID]], projects[Project_ID],0))</f>
        <v xml:space="preserve">268017-25 </v>
      </c>
      <c r="P352" s="15" t="str">
        <f>INDEX(projects[Project_Name],MATCH(TimeEntry[[#This Row],[Project_ID]], projects[Project_ID],0))</f>
        <v>KSC - Tunnel</v>
      </c>
      <c r="Q352" s="6">
        <f>IF(TimeEntry[[#This Row],[Date]]=0,"",WEEKDAY(C352,2))</f>
        <v>1</v>
      </c>
      <c r="R352" s="9">
        <f>YEAR(TimeEntry[[#This Row],[WkEnd]])</f>
        <v>2020</v>
      </c>
      <c r="S352" s="9">
        <f>WEEKNUM(TimeEntry[[#This Row],[WkEnd]])</f>
        <v>5</v>
      </c>
      <c r="T352" s="9" t="str">
        <f>TimeEntry[[#This Row],[Year]]&amp;"-"&amp;TimeEntry[[#This Row],[WkNo]]</f>
        <v>2020-5</v>
      </c>
    </row>
    <row r="353" spans="1:20" x14ac:dyDescent="0.25">
      <c r="A353" s="6">
        <f>MOD(IF(ROW()=2,0.1,IF(INDEX(TimeEntry[WkEnd],ROW()-1)  =  INDEX(TimeEntry[WkEnd],ROW()-2),    INDEX(TimeEntry[format],ROW()-2),    INDEX(TimeEntry[format],ROW()-2)    +1)),2)</f>
        <v>0.10000000000000009</v>
      </c>
      <c r="B353" s="7"/>
      <c r="C353" s="8">
        <v>43847</v>
      </c>
      <c r="D353" s="8"/>
      <c r="E353" s="1" t="s">
        <v>455</v>
      </c>
      <c r="F353" s="8">
        <f>IF(TimeEntry[[#This Row],[Date]]=0,F352,C353+(7-Q353))</f>
        <v>43849</v>
      </c>
      <c r="G353" s="35" t="str">
        <f>INDEX(projects[Charge_Code],MATCH(TimeEntry[[#This Row],[Project_ID]],projects[Project_ID],0))</f>
        <v>268017-25  KSC - Tunnel</v>
      </c>
      <c r="H353" s="1" t="str">
        <f t="shared" si="9"/>
        <v>Normal Time</v>
      </c>
      <c r="I353" s="1"/>
      <c r="J353" s="15">
        <v>7.5</v>
      </c>
      <c r="K353" s="15"/>
      <c r="L353" s="15"/>
      <c r="M353" s="15"/>
      <c r="N353" s="15"/>
      <c r="O353" s="15" t="str">
        <f>INDEX(projects[job number],MATCH(TimeEntry[[#This Row],[Project_ID]], projects[Project_ID],0))</f>
        <v xml:space="preserve">268017-25 </v>
      </c>
      <c r="P353" s="15" t="str">
        <f>INDEX(projects[Project_Name],MATCH(TimeEntry[[#This Row],[Project_ID]], projects[Project_ID],0))</f>
        <v>KSC - Tunnel</v>
      </c>
      <c r="Q353" s="6">
        <f>IF(TimeEntry[[#This Row],[Date]]=0,"",WEEKDAY(C353,2))</f>
        <v>5</v>
      </c>
      <c r="R353" s="9">
        <f>YEAR(TimeEntry[[#This Row],[WkEnd]])</f>
        <v>2020</v>
      </c>
      <c r="S353" s="9">
        <f>WEEKNUM(TimeEntry[[#This Row],[WkEnd]])</f>
        <v>4</v>
      </c>
      <c r="T353" s="9" t="str">
        <f>TimeEntry[[#This Row],[Year]]&amp;"-"&amp;TimeEntry[[#This Row],[WkNo]]</f>
        <v>2020-4</v>
      </c>
    </row>
    <row r="354" spans="1:20" x14ac:dyDescent="0.25">
      <c r="A354" s="6">
        <f>MOD(IF(ROW()=2,0.1,IF(INDEX(TimeEntry[WkEnd],ROW()-1)  =  INDEX(TimeEntry[WkEnd],ROW()-2),    INDEX(TimeEntry[format],ROW()-2),    INDEX(TimeEntry[format],ROW()-2)    +1)),2)</f>
        <v>0.10000000000000009</v>
      </c>
      <c r="B354" s="7"/>
      <c r="C354" s="8">
        <v>43846</v>
      </c>
      <c r="D354" s="8"/>
      <c r="E354" s="1" t="s">
        <v>455</v>
      </c>
      <c r="F354" s="8">
        <f>IF(TimeEntry[[#This Row],[Date]]=0,F353,C354+(7-Q354))</f>
        <v>43849</v>
      </c>
      <c r="G354" s="35" t="str">
        <f>INDEX(projects[Charge_Code],MATCH(TimeEntry[[#This Row],[Project_ID]],projects[Project_ID],0))</f>
        <v>268017-25  KSC - Tunnel</v>
      </c>
      <c r="H354" s="1" t="str">
        <f t="shared" si="9"/>
        <v>Normal Time</v>
      </c>
      <c r="I354" s="1"/>
      <c r="J354" s="15">
        <v>7.5</v>
      </c>
      <c r="K354" s="15"/>
      <c r="L354" s="15"/>
      <c r="M354" s="15"/>
      <c r="N354" s="15"/>
      <c r="O354" s="15" t="str">
        <f>INDEX(projects[job number],MATCH(TimeEntry[[#This Row],[Project_ID]], projects[Project_ID],0))</f>
        <v xml:space="preserve">268017-25 </v>
      </c>
      <c r="P354" s="15" t="str">
        <f>INDEX(projects[Project_Name],MATCH(TimeEntry[[#This Row],[Project_ID]], projects[Project_ID],0))</f>
        <v>KSC - Tunnel</v>
      </c>
      <c r="Q354" s="6">
        <f>IF(TimeEntry[[#This Row],[Date]]=0,"",WEEKDAY(C354,2))</f>
        <v>4</v>
      </c>
      <c r="R354" s="9">
        <f>YEAR(TimeEntry[[#This Row],[WkEnd]])</f>
        <v>2020</v>
      </c>
      <c r="S354" s="9">
        <f>WEEKNUM(TimeEntry[[#This Row],[WkEnd]])</f>
        <v>4</v>
      </c>
      <c r="T354" s="9" t="str">
        <f>TimeEntry[[#This Row],[Year]]&amp;"-"&amp;TimeEntry[[#This Row],[WkNo]]</f>
        <v>2020-4</v>
      </c>
    </row>
    <row r="355" spans="1:20" x14ac:dyDescent="0.25">
      <c r="A355" s="6">
        <f>MOD(IF(ROW()=2,0.1,IF(INDEX(TimeEntry[WkEnd],ROW()-1)  =  INDEX(TimeEntry[WkEnd],ROW()-2),    INDEX(TimeEntry[format],ROW()-2),    INDEX(TimeEntry[format],ROW()-2)    +1)),2)</f>
        <v>0.10000000000000009</v>
      </c>
      <c r="B355" s="7"/>
      <c r="C355" s="8">
        <v>43845</v>
      </c>
      <c r="D355" s="8"/>
      <c r="E355" s="1" t="s">
        <v>453</v>
      </c>
      <c r="F355" s="8">
        <f>IF(TimeEntry[[#This Row],[Date]]=0,F354,C355+(7-Q355))</f>
        <v>43849</v>
      </c>
      <c r="G355" s="35" t="str">
        <f>INDEX(projects[Charge_Code],MATCH(TimeEntry[[#This Row],[Project_ID]],projects[Project_ID],0))</f>
        <v>210035-64 VBB 3rd - new bridge VO</v>
      </c>
      <c r="H355" s="1" t="str">
        <f t="shared" si="9"/>
        <v>Normal Time</v>
      </c>
      <c r="I355" s="1"/>
      <c r="J355" s="15">
        <v>7.5</v>
      </c>
      <c r="K355" s="15"/>
      <c r="L355" s="15"/>
      <c r="M355" s="15"/>
      <c r="N355" s="15"/>
      <c r="O355" s="15" t="str">
        <f>INDEX(projects[job number],MATCH(TimeEntry[[#This Row],[Project_ID]], projects[Project_ID],0))</f>
        <v>210035-64</v>
      </c>
      <c r="P355" s="15" t="str">
        <f>INDEX(projects[Project_Name],MATCH(TimeEntry[[#This Row],[Project_ID]], projects[Project_ID],0))</f>
        <v>VBB 3rd - new bridge VO</v>
      </c>
      <c r="Q355" s="6">
        <f>IF(TimeEntry[[#This Row],[Date]]=0,"",WEEKDAY(C355,2))</f>
        <v>3</v>
      </c>
      <c r="R355" s="9">
        <f>YEAR(TimeEntry[[#This Row],[WkEnd]])</f>
        <v>2020</v>
      </c>
      <c r="S355" s="9">
        <f>WEEKNUM(TimeEntry[[#This Row],[WkEnd]])</f>
        <v>4</v>
      </c>
      <c r="T355" s="9" t="str">
        <f>TimeEntry[[#This Row],[Year]]&amp;"-"&amp;TimeEntry[[#This Row],[WkNo]]</f>
        <v>2020-4</v>
      </c>
    </row>
    <row r="356" spans="1:20" x14ac:dyDescent="0.25">
      <c r="A356" s="6">
        <f>MOD(IF(ROW()=2,0.1,IF(INDEX(TimeEntry[WkEnd],ROW()-1)  =  INDEX(TimeEntry[WkEnd],ROW()-2),    INDEX(TimeEntry[format],ROW()-2),    INDEX(TimeEntry[format],ROW()-2)    +1)),2)</f>
        <v>0.10000000000000009</v>
      </c>
      <c r="B356" s="7"/>
      <c r="C356" s="8">
        <v>43844</v>
      </c>
      <c r="D356" s="8"/>
      <c r="E356" s="1" t="s">
        <v>455</v>
      </c>
      <c r="F356" s="8">
        <f>IF(TimeEntry[[#This Row],[Date]]=0,F355,C356+(7-Q356))</f>
        <v>43849</v>
      </c>
      <c r="G356" s="35" t="str">
        <f>INDEX(projects[Charge_Code],MATCH(TimeEntry[[#This Row],[Project_ID]],projects[Project_ID],0))</f>
        <v>268017-25  KSC - Tunnel</v>
      </c>
      <c r="H356" s="1" t="str">
        <f t="shared" si="9"/>
        <v>Normal Time</v>
      </c>
      <c r="I356" s="1"/>
      <c r="J356" s="15">
        <v>7.5</v>
      </c>
      <c r="K356" s="15"/>
      <c r="L356" s="15"/>
      <c r="M356" s="15"/>
      <c r="N356" s="15"/>
      <c r="O356" s="15" t="str">
        <f>INDEX(projects[job number],MATCH(TimeEntry[[#This Row],[Project_ID]], projects[Project_ID],0))</f>
        <v xml:space="preserve">268017-25 </v>
      </c>
      <c r="P356" s="15" t="str">
        <f>INDEX(projects[Project_Name],MATCH(TimeEntry[[#This Row],[Project_ID]], projects[Project_ID],0))</f>
        <v>KSC - Tunnel</v>
      </c>
      <c r="Q356" s="6">
        <f>IF(TimeEntry[[#This Row],[Date]]=0,"",WEEKDAY(C356,2))</f>
        <v>2</v>
      </c>
      <c r="R356" s="9">
        <f>YEAR(TimeEntry[[#This Row],[WkEnd]])</f>
        <v>2020</v>
      </c>
      <c r="S356" s="9">
        <f>WEEKNUM(TimeEntry[[#This Row],[WkEnd]])</f>
        <v>4</v>
      </c>
      <c r="T356" s="9" t="str">
        <f>TimeEntry[[#This Row],[Year]]&amp;"-"&amp;TimeEntry[[#This Row],[WkNo]]</f>
        <v>2020-4</v>
      </c>
    </row>
    <row r="357" spans="1:20" x14ac:dyDescent="0.25">
      <c r="A357" s="6">
        <f>MOD(IF(ROW()=2,0.1,IF(INDEX(TimeEntry[WkEnd],ROW()-1)  =  INDEX(TimeEntry[WkEnd],ROW()-2),    INDEX(TimeEntry[format],ROW()-2),    INDEX(TimeEntry[format],ROW()-2)    +1)),2)</f>
        <v>0.10000000000000009</v>
      </c>
      <c r="B357" s="7"/>
      <c r="C357" s="8">
        <v>43843</v>
      </c>
      <c r="D357" s="8"/>
      <c r="E357" s="1" t="s">
        <v>455</v>
      </c>
      <c r="F357" s="8">
        <f>IF(TimeEntry[[#This Row],[Date]]=0,F356,C357+(7-Q357))</f>
        <v>43849</v>
      </c>
      <c r="G357" s="35" t="str">
        <f>INDEX(projects[Charge_Code],MATCH(TimeEntry[[#This Row],[Project_ID]],projects[Project_ID],0))</f>
        <v>268017-25  KSC - Tunnel</v>
      </c>
      <c r="H357" s="1" t="str">
        <f t="shared" si="9"/>
        <v>Normal Time</v>
      </c>
      <c r="I357" s="1"/>
      <c r="J357" s="15">
        <v>7.5</v>
      </c>
      <c r="K357" s="15"/>
      <c r="L357" s="15"/>
      <c r="M357" s="15"/>
      <c r="N357" s="15"/>
      <c r="O357" s="15" t="str">
        <f>INDEX(projects[job number],MATCH(TimeEntry[[#This Row],[Project_ID]], projects[Project_ID],0))</f>
        <v xml:space="preserve">268017-25 </v>
      </c>
      <c r="P357" s="15" t="str">
        <f>INDEX(projects[Project_Name],MATCH(TimeEntry[[#This Row],[Project_ID]], projects[Project_ID],0))</f>
        <v>KSC - Tunnel</v>
      </c>
      <c r="Q357" s="6">
        <f>IF(TimeEntry[[#This Row],[Date]]=0,"",WEEKDAY(C357,2))</f>
        <v>1</v>
      </c>
      <c r="R357" s="9">
        <f>YEAR(TimeEntry[[#This Row],[WkEnd]])</f>
        <v>2020</v>
      </c>
      <c r="S357" s="9">
        <f>WEEKNUM(TimeEntry[[#This Row],[WkEnd]])</f>
        <v>4</v>
      </c>
      <c r="T357" s="9" t="str">
        <f>TimeEntry[[#This Row],[Year]]&amp;"-"&amp;TimeEntry[[#This Row],[WkNo]]</f>
        <v>2020-4</v>
      </c>
    </row>
    <row r="358" spans="1:20" x14ac:dyDescent="0.25">
      <c r="A358" s="6">
        <f>MOD(IF(ROW()=2,0.1,IF(INDEX(TimeEntry[WkEnd],ROW()-1)  =  INDEX(TimeEntry[WkEnd],ROW()-2),    INDEX(TimeEntry[format],ROW()-2),    INDEX(TimeEntry[format],ROW()-2)    +1)),2)</f>
        <v>1.1000000000000001</v>
      </c>
      <c r="B358" s="7"/>
      <c r="C358" s="8">
        <v>43840</v>
      </c>
      <c r="D358" s="8"/>
      <c r="E358" s="1" t="s">
        <v>455</v>
      </c>
      <c r="F358" s="8">
        <f>IF(TimeEntry[[#This Row],[Date]]=0,F357,C358+(7-Q358))</f>
        <v>43842</v>
      </c>
      <c r="G358" s="35" t="str">
        <f>INDEX(projects[Charge_Code],MATCH(TimeEntry[[#This Row],[Project_ID]],projects[Project_ID],0))</f>
        <v>268017-25  KSC - Tunnel</v>
      </c>
      <c r="H358" s="1" t="str">
        <f t="shared" si="9"/>
        <v>Normal Time</v>
      </c>
      <c r="I358" s="1"/>
      <c r="J358" s="15">
        <v>7.5</v>
      </c>
      <c r="K358" s="15"/>
      <c r="L358" s="15"/>
      <c r="M358" s="15"/>
      <c r="N358" s="15"/>
      <c r="O358" s="15" t="str">
        <f>INDEX(projects[job number],MATCH(TimeEntry[[#This Row],[Project_ID]], projects[Project_ID],0))</f>
        <v xml:space="preserve">268017-25 </v>
      </c>
      <c r="P358" s="15" t="str">
        <f>INDEX(projects[Project_Name],MATCH(TimeEntry[[#This Row],[Project_ID]], projects[Project_ID],0))</f>
        <v>KSC - Tunnel</v>
      </c>
      <c r="Q358" s="6">
        <f>IF(TimeEntry[[#This Row],[Date]]=0,"",WEEKDAY(C358,2))</f>
        <v>5</v>
      </c>
      <c r="R358" s="9">
        <f>YEAR(TimeEntry[[#This Row],[WkEnd]])</f>
        <v>2020</v>
      </c>
      <c r="S358" s="9">
        <f>WEEKNUM(TimeEntry[[#This Row],[WkEnd]])</f>
        <v>3</v>
      </c>
      <c r="T358" s="9" t="str">
        <f>TimeEntry[[#This Row],[Year]]&amp;"-"&amp;TimeEntry[[#This Row],[WkNo]]</f>
        <v>2020-3</v>
      </c>
    </row>
    <row r="359" spans="1:20" x14ac:dyDescent="0.25">
      <c r="A359" s="6">
        <f>MOD(IF(ROW()=2,0.1,IF(INDEX(TimeEntry[WkEnd],ROW()-1)  =  INDEX(TimeEntry[WkEnd],ROW()-2),    INDEX(TimeEntry[format],ROW()-2),    INDEX(TimeEntry[format],ROW()-2)    +1)),2)</f>
        <v>1.1000000000000001</v>
      </c>
      <c r="B359" s="7"/>
      <c r="C359" s="8">
        <v>43839</v>
      </c>
      <c r="D359" s="8"/>
      <c r="E359" s="1" t="s">
        <v>455</v>
      </c>
      <c r="F359" s="8">
        <f>IF(TimeEntry[[#This Row],[Date]]=0,F358,C359+(7-Q359))</f>
        <v>43842</v>
      </c>
      <c r="G359" s="35" t="str">
        <f>INDEX(projects[Charge_Code],MATCH(TimeEntry[[#This Row],[Project_ID]],projects[Project_ID],0))</f>
        <v>268017-25  KSC - Tunnel</v>
      </c>
      <c r="H359" s="1" t="str">
        <f t="shared" si="9"/>
        <v>Normal Time</v>
      </c>
      <c r="I359" s="1"/>
      <c r="J359" s="15">
        <v>3.75</v>
      </c>
      <c r="K359" s="15"/>
      <c r="L359" s="15"/>
      <c r="M359" s="15"/>
      <c r="N359" s="15"/>
      <c r="O359" s="15" t="str">
        <f>INDEX(projects[job number],MATCH(TimeEntry[[#This Row],[Project_ID]], projects[Project_ID],0))</f>
        <v xml:space="preserve">268017-25 </v>
      </c>
      <c r="P359" s="15" t="str">
        <f>INDEX(projects[Project_Name],MATCH(TimeEntry[[#This Row],[Project_ID]], projects[Project_ID],0))</f>
        <v>KSC - Tunnel</v>
      </c>
      <c r="Q359" s="6">
        <f>IF(TimeEntry[[#This Row],[Date]]=0,"",WEEKDAY(C359,2))</f>
        <v>4</v>
      </c>
      <c r="R359" s="9">
        <f>YEAR(TimeEntry[[#This Row],[WkEnd]])</f>
        <v>2020</v>
      </c>
      <c r="S359" s="9">
        <f>WEEKNUM(TimeEntry[[#This Row],[WkEnd]])</f>
        <v>3</v>
      </c>
      <c r="T359" s="9" t="str">
        <f>TimeEntry[[#This Row],[Year]]&amp;"-"&amp;TimeEntry[[#This Row],[WkNo]]</f>
        <v>2020-3</v>
      </c>
    </row>
    <row r="360" spans="1:20" x14ac:dyDescent="0.25">
      <c r="A360" s="6">
        <f>MOD(IF(ROW()=2,0.1,IF(INDEX(TimeEntry[WkEnd],ROW()-1)  =  INDEX(TimeEntry[WkEnd],ROW()-2),    INDEX(TimeEntry[format],ROW()-2),    INDEX(TimeEntry[format],ROW()-2)    +1)),2)</f>
        <v>1.1000000000000001</v>
      </c>
      <c r="B360" s="7"/>
      <c r="C360" s="8">
        <v>43839</v>
      </c>
      <c r="D360" s="8"/>
      <c r="E360" s="1" t="s">
        <v>456</v>
      </c>
      <c r="F360" s="8">
        <f>IF(TimeEntry[[#This Row],[Date]]=0,F359,C360+(7-Q360))</f>
        <v>43842</v>
      </c>
      <c r="G360" s="35" t="str">
        <f>INDEX(projects[Charge_Code],MATCH(TimeEntry[[#This Row],[Project_ID]],projects[Project_ID],0))</f>
        <v>210035-51 VBB 3rd - new bridge</v>
      </c>
      <c r="H360" s="1" t="str">
        <f t="shared" si="9"/>
        <v>Normal Time</v>
      </c>
      <c r="I360" s="1"/>
      <c r="J360" s="15">
        <v>3.75</v>
      </c>
      <c r="K360" s="15"/>
      <c r="L360" s="15"/>
      <c r="M360" s="15"/>
      <c r="N360" s="15"/>
      <c r="O360" s="15" t="str">
        <f>INDEX(projects[job number],MATCH(TimeEntry[[#This Row],[Project_ID]], projects[Project_ID],0))</f>
        <v>210035-51</v>
      </c>
      <c r="P360" s="15" t="str">
        <f>INDEX(projects[Project_Name],MATCH(TimeEntry[[#This Row],[Project_ID]], projects[Project_ID],0))</f>
        <v>VBB 3rd - new bridge</v>
      </c>
      <c r="Q360" s="6">
        <f>IF(TimeEntry[[#This Row],[Date]]=0,"",WEEKDAY(C360,2))</f>
        <v>4</v>
      </c>
      <c r="R360" s="9">
        <f>YEAR(TimeEntry[[#This Row],[WkEnd]])</f>
        <v>2020</v>
      </c>
      <c r="S360" s="9">
        <f>WEEKNUM(TimeEntry[[#This Row],[WkEnd]])</f>
        <v>3</v>
      </c>
      <c r="T360" s="9" t="str">
        <f>TimeEntry[[#This Row],[Year]]&amp;"-"&amp;TimeEntry[[#This Row],[WkNo]]</f>
        <v>2020-3</v>
      </c>
    </row>
    <row r="361" spans="1:20" x14ac:dyDescent="0.25">
      <c r="A361" s="6">
        <f>MOD(IF(ROW()=2,0.1,IF(INDEX(TimeEntry[WkEnd],ROW()-1)  =  INDEX(TimeEntry[WkEnd],ROW()-2),    INDEX(TimeEntry[format],ROW()-2),    INDEX(TimeEntry[format],ROW()-2)    +1)),2)</f>
        <v>1.1000000000000001</v>
      </c>
      <c r="B361" s="7"/>
      <c r="C361" s="8">
        <v>43838</v>
      </c>
      <c r="D361" s="8"/>
      <c r="E361" s="1" t="s">
        <v>456</v>
      </c>
      <c r="F361" s="8">
        <f>IF(TimeEntry[[#This Row],[Date]]=0,F360,C361+(7-Q361))</f>
        <v>43842</v>
      </c>
      <c r="G361" s="35" t="str">
        <f>INDEX(projects[Charge_Code],MATCH(TimeEntry[[#This Row],[Project_ID]],projects[Project_ID],0))</f>
        <v>210035-51 VBB 3rd - new bridge</v>
      </c>
      <c r="H361" s="1" t="str">
        <f t="shared" si="9"/>
        <v>Normal Time</v>
      </c>
      <c r="I361" s="1"/>
      <c r="J361" s="15">
        <v>7.5</v>
      </c>
      <c r="K361" s="15"/>
      <c r="L361" s="15"/>
      <c r="M361" s="15"/>
      <c r="N361" s="15"/>
      <c r="O361" s="15" t="str">
        <f>INDEX(projects[job number],MATCH(TimeEntry[[#This Row],[Project_ID]], projects[Project_ID],0))</f>
        <v>210035-51</v>
      </c>
      <c r="P361" s="15" t="str">
        <f>INDEX(projects[Project_Name],MATCH(TimeEntry[[#This Row],[Project_ID]], projects[Project_ID],0))</f>
        <v>VBB 3rd - new bridge</v>
      </c>
      <c r="Q361" s="6">
        <f>IF(TimeEntry[[#This Row],[Date]]=0,"",WEEKDAY(C361,2))</f>
        <v>3</v>
      </c>
      <c r="R361" s="9">
        <f>YEAR(TimeEntry[[#This Row],[WkEnd]])</f>
        <v>2020</v>
      </c>
      <c r="S361" s="9">
        <f>WEEKNUM(TimeEntry[[#This Row],[WkEnd]])</f>
        <v>3</v>
      </c>
      <c r="T361" s="9" t="str">
        <f>TimeEntry[[#This Row],[Year]]&amp;"-"&amp;TimeEntry[[#This Row],[WkNo]]</f>
        <v>2020-3</v>
      </c>
    </row>
    <row r="362" spans="1:20" x14ac:dyDescent="0.25">
      <c r="A362" s="6">
        <f>MOD(IF(ROW()=2,0.1,IF(INDEX(TimeEntry[WkEnd],ROW()-1)  =  INDEX(TimeEntry[WkEnd],ROW()-2),    INDEX(TimeEntry[format],ROW()-2),    INDEX(TimeEntry[format],ROW()-2)    +1)),2)</f>
        <v>1.1000000000000001</v>
      </c>
      <c r="B362" s="7"/>
      <c r="C362" s="8">
        <v>43837</v>
      </c>
      <c r="D362" s="8"/>
      <c r="E362" s="1" t="s">
        <v>456</v>
      </c>
      <c r="F362" s="8">
        <f>IF(TimeEntry[[#This Row],[Date]]=0,F361,C362+(7-Q362))</f>
        <v>43842</v>
      </c>
      <c r="G362" s="35" t="str">
        <f>INDEX(projects[Charge_Code],MATCH(TimeEntry[[#This Row],[Project_ID]],projects[Project_ID],0))</f>
        <v>210035-51 VBB 3rd - new bridge</v>
      </c>
      <c r="H362" s="1" t="str">
        <f t="shared" si="9"/>
        <v>Normal Time</v>
      </c>
      <c r="I362" s="1"/>
      <c r="J362" s="15">
        <v>3.5</v>
      </c>
      <c r="K362" s="15"/>
      <c r="L362" s="15"/>
      <c r="M362" s="15"/>
      <c r="N362" s="15"/>
      <c r="O362" s="15" t="str">
        <f>INDEX(projects[job number],MATCH(TimeEntry[[#This Row],[Project_ID]], projects[Project_ID],0))</f>
        <v>210035-51</v>
      </c>
      <c r="P362" s="15" t="str">
        <f>INDEX(projects[Project_Name],MATCH(TimeEntry[[#This Row],[Project_ID]], projects[Project_ID],0))</f>
        <v>VBB 3rd - new bridge</v>
      </c>
      <c r="Q362" s="6">
        <f>IF(TimeEntry[[#This Row],[Date]]=0,"",WEEKDAY(C362,2))</f>
        <v>2</v>
      </c>
      <c r="R362" s="9">
        <f>YEAR(TimeEntry[[#This Row],[WkEnd]])</f>
        <v>2020</v>
      </c>
      <c r="S362" s="9">
        <f>WEEKNUM(TimeEntry[[#This Row],[WkEnd]])</f>
        <v>3</v>
      </c>
      <c r="T362" s="9" t="str">
        <f>TimeEntry[[#This Row],[Year]]&amp;"-"&amp;TimeEntry[[#This Row],[WkNo]]</f>
        <v>2020-3</v>
      </c>
    </row>
    <row r="363" spans="1:20" x14ac:dyDescent="0.25">
      <c r="A363" s="6">
        <f>MOD(IF(ROW()=2,0.1,IF(INDEX(TimeEntry[WkEnd],ROW()-1)  =  INDEX(TimeEntry[WkEnd],ROW()-2),    INDEX(TimeEntry[format],ROW()-2),    INDEX(TimeEntry[format],ROW()-2)    +1)),2)</f>
        <v>1.1000000000000001</v>
      </c>
      <c r="B363" s="7"/>
      <c r="C363" s="8">
        <v>43837</v>
      </c>
      <c r="D363" s="8"/>
      <c r="E363" s="1" t="s">
        <v>455</v>
      </c>
      <c r="F363" s="8">
        <f>IF(TimeEntry[[#This Row],[Date]]=0,F362,C363+(7-Q363))</f>
        <v>43842</v>
      </c>
      <c r="G363" s="35" t="str">
        <f>INDEX(projects[Charge_Code],MATCH(TimeEntry[[#This Row],[Project_ID]],projects[Project_ID],0))</f>
        <v>268017-25  KSC - Tunnel</v>
      </c>
      <c r="H363" s="1" t="str">
        <f t="shared" si="9"/>
        <v>Normal Time</v>
      </c>
      <c r="I363" s="1"/>
      <c r="J363" s="15">
        <v>4</v>
      </c>
      <c r="K363" s="15"/>
      <c r="L363" s="15"/>
      <c r="M363" s="15"/>
      <c r="N363" s="15"/>
      <c r="O363" s="15" t="str">
        <f>INDEX(projects[job number],MATCH(TimeEntry[[#This Row],[Project_ID]], projects[Project_ID],0))</f>
        <v xml:space="preserve">268017-25 </v>
      </c>
      <c r="P363" s="15" t="str">
        <f>INDEX(projects[Project_Name],MATCH(TimeEntry[[#This Row],[Project_ID]], projects[Project_ID],0))</f>
        <v>KSC - Tunnel</v>
      </c>
      <c r="Q363" s="6">
        <f>IF(TimeEntry[[#This Row],[Date]]=0,"",WEEKDAY(C363,2))</f>
        <v>2</v>
      </c>
      <c r="R363" s="9">
        <f>YEAR(TimeEntry[[#This Row],[WkEnd]])</f>
        <v>2020</v>
      </c>
      <c r="S363" s="9">
        <f>WEEKNUM(TimeEntry[[#This Row],[WkEnd]])</f>
        <v>3</v>
      </c>
      <c r="T363" s="9" t="str">
        <f>TimeEntry[[#This Row],[Year]]&amp;"-"&amp;TimeEntry[[#This Row],[WkNo]]</f>
        <v>2020-3</v>
      </c>
    </row>
    <row r="364" spans="1:20" x14ac:dyDescent="0.25">
      <c r="A364" s="6">
        <f>MOD(IF(ROW()=2,0.1,IF(INDEX(TimeEntry[WkEnd],ROW()-1)  =  INDEX(TimeEntry[WkEnd],ROW()-2),    INDEX(TimeEntry[format],ROW()-2),    INDEX(TimeEntry[format],ROW()-2)    +1)),2)</f>
        <v>1.1000000000000001</v>
      </c>
      <c r="B364" s="7"/>
      <c r="C364" s="8">
        <v>43836</v>
      </c>
      <c r="D364" s="8"/>
      <c r="E364" s="1" t="s">
        <v>455</v>
      </c>
      <c r="F364" s="8">
        <f>IF(TimeEntry[[#This Row],[Date]]=0,F363,C364+(7-Q364))</f>
        <v>43842</v>
      </c>
      <c r="G364" s="35" t="str">
        <f>INDEX(projects[Charge_Code],MATCH(TimeEntry[[#This Row],[Project_ID]],projects[Project_ID],0))</f>
        <v>268017-25  KSC - Tunnel</v>
      </c>
      <c r="H364" s="1" t="str">
        <f t="shared" si="9"/>
        <v>Normal Time</v>
      </c>
      <c r="I364" s="1"/>
      <c r="J364" s="15">
        <v>7.5</v>
      </c>
      <c r="K364" s="15"/>
      <c r="L364" s="15"/>
      <c r="M364" s="15"/>
      <c r="N364" s="15"/>
      <c r="O364" s="15" t="str">
        <f>INDEX(projects[job number],MATCH(TimeEntry[[#This Row],[Project_ID]], projects[Project_ID],0))</f>
        <v xml:space="preserve">268017-25 </v>
      </c>
      <c r="P364" s="15" t="str">
        <f>INDEX(projects[Project_Name],MATCH(TimeEntry[[#This Row],[Project_ID]], projects[Project_ID],0))</f>
        <v>KSC - Tunnel</v>
      </c>
      <c r="Q364" s="6">
        <f>IF(TimeEntry[[#This Row],[Date]]=0,"",WEEKDAY(C364,2))</f>
        <v>1</v>
      </c>
      <c r="R364" s="9">
        <f>YEAR(TimeEntry[[#This Row],[WkEnd]])</f>
        <v>2020</v>
      </c>
      <c r="S364" s="9">
        <f>WEEKNUM(TimeEntry[[#This Row],[WkEnd]])</f>
        <v>3</v>
      </c>
      <c r="T364" s="9" t="str">
        <f>TimeEntry[[#This Row],[Year]]&amp;"-"&amp;TimeEntry[[#This Row],[WkNo]]</f>
        <v>2020-3</v>
      </c>
    </row>
    <row r="365" spans="1:20" x14ac:dyDescent="0.25">
      <c r="A365" s="6">
        <f>MOD(IF(ROW()=2,0.1,IF(INDEX(TimeEntry[WkEnd],ROW()-1)  =  INDEX(TimeEntry[WkEnd],ROW()-2),    INDEX(TimeEntry[format],ROW()-2),    INDEX(TimeEntry[format],ROW()-2)    +1)),2)</f>
        <v>0.10000000000000009</v>
      </c>
      <c r="B365" s="7"/>
      <c r="C365" s="8">
        <v>43833</v>
      </c>
      <c r="D365" s="8"/>
      <c r="E365" s="1" t="s">
        <v>445</v>
      </c>
      <c r="F365" s="8">
        <f>IF(TimeEntry[[#This Row],[Date]]=0,F364,C365+(7-Q365))</f>
        <v>43835</v>
      </c>
      <c r="G365" s="35" t="str">
        <f>INDEX(projects[Charge_Code],MATCH(TimeEntry[[#This Row],[Project_ID]],projects[Project_ID],0))</f>
        <v>LEAVE</v>
      </c>
      <c r="H365" s="1" t="str">
        <f t="shared" si="9"/>
        <v>Normal Time</v>
      </c>
      <c r="I365" s="1"/>
      <c r="J365" s="15">
        <v>7.5</v>
      </c>
      <c r="K365" s="15"/>
      <c r="L365" s="15"/>
      <c r="M365" s="15"/>
      <c r="N365" s="15"/>
      <c r="O365" s="15" t="str">
        <f>INDEX(projects[job number],MATCH(TimeEntry[[#This Row],[Project_ID]], projects[Project_ID],0))</f>
        <v>LEAVE</v>
      </c>
      <c r="P365" s="15">
        <f>INDEX(projects[Project_Name],MATCH(TimeEntry[[#This Row],[Project_ID]], projects[Project_ID],0))</f>
        <v>0</v>
      </c>
      <c r="Q365" s="6">
        <f>IF(TimeEntry[[#This Row],[Date]]=0,"",WEEKDAY(C365,2))</f>
        <v>5</v>
      </c>
      <c r="R365" s="9">
        <f>YEAR(TimeEntry[[#This Row],[WkEnd]])</f>
        <v>2020</v>
      </c>
      <c r="S365" s="9">
        <f>WEEKNUM(TimeEntry[[#This Row],[WkEnd]])</f>
        <v>2</v>
      </c>
      <c r="T365" s="9" t="str">
        <f>TimeEntry[[#This Row],[Year]]&amp;"-"&amp;TimeEntry[[#This Row],[WkNo]]</f>
        <v>2020-2</v>
      </c>
    </row>
    <row r="366" spans="1:20" x14ac:dyDescent="0.25">
      <c r="A366" s="6">
        <f>MOD(IF(ROW()=2,0.1,IF(INDEX(TimeEntry[WkEnd],ROW()-1)  =  INDEX(TimeEntry[WkEnd],ROW()-2),    INDEX(TimeEntry[format],ROW()-2),    INDEX(TimeEntry[format],ROW()-2)    +1)),2)</f>
        <v>0.10000000000000009</v>
      </c>
      <c r="B366" s="7"/>
      <c r="C366" s="8">
        <v>43832</v>
      </c>
      <c r="D366" s="8"/>
      <c r="E366" s="1" t="s">
        <v>445</v>
      </c>
      <c r="F366" s="8">
        <f>IF(TimeEntry[[#This Row],[Date]]=0,F365,C366+(7-Q366))</f>
        <v>43835</v>
      </c>
      <c r="G366" s="35" t="str">
        <f>INDEX(projects[Charge_Code],MATCH(TimeEntry[[#This Row],[Project_ID]],projects[Project_ID],0))</f>
        <v>LEAVE</v>
      </c>
      <c r="H366" s="1" t="str">
        <f t="shared" si="9"/>
        <v>Normal Time</v>
      </c>
      <c r="I366" s="1"/>
      <c r="J366" s="15">
        <v>7.5</v>
      </c>
      <c r="K366" s="15"/>
      <c r="L366" s="15"/>
      <c r="M366" s="15"/>
      <c r="N366" s="15"/>
      <c r="O366" s="15" t="str">
        <f>INDEX(projects[job number],MATCH(TimeEntry[[#This Row],[Project_ID]], projects[Project_ID],0))</f>
        <v>LEAVE</v>
      </c>
      <c r="P366" s="15">
        <f>INDEX(projects[Project_Name],MATCH(TimeEntry[[#This Row],[Project_ID]], projects[Project_ID],0))</f>
        <v>0</v>
      </c>
      <c r="Q366" s="6">
        <f>IF(TimeEntry[[#This Row],[Date]]=0,"",WEEKDAY(C366,2))</f>
        <v>4</v>
      </c>
      <c r="R366" s="9">
        <f>YEAR(TimeEntry[[#This Row],[WkEnd]])</f>
        <v>2020</v>
      </c>
      <c r="S366" s="9">
        <f>WEEKNUM(TimeEntry[[#This Row],[WkEnd]])</f>
        <v>2</v>
      </c>
      <c r="T366" s="9" t="str">
        <f>TimeEntry[[#This Row],[Year]]&amp;"-"&amp;TimeEntry[[#This Row],[WkNo]]</f>
        <v>2020-2</v>
      </c>
    </row>
    <row r="367" spans="1:20" x14ac:dyDescent="0.25">
      <c r="A367" s="6">
        <f>MOD(IF(ROW()=2,0.1,IF(INDEX(TimeEntry[WkEnd],ROW()-1)  =  INDEX(TimeEntry[WkEnd],ROW()-2),    INDEX(TimeEntry[format],ROW()-2),    INDEX(TimeEntry[format],ROW()-2)    +1)),2)</f>
        <v>0.10000000000000009</v>
      </c>
      <c r="B367" s="7"/>
      <c r="C367" s="8">
        <v>43831</v>
      </c>
      <c r="D367" s="8"/>
      <c r="E367" s="1" t="s">
        <v>451</v>
      </c>
      <c r="F367" s="8">
        <f>IF(TimeEntry[[#This Row],[Date]]=0,F366,C367+(7-Q367))</f>
        <v>43835</v>
      </c>
      <c r="G367" s="35" t="str">
        <f>INDEX(projects[Charge_Code],MATCH(TimeEntry[[#This Row],[Project_ID]],projects[Project_ID],0))</f>
        <v>BANK HOLIDAY Bank Holiday</v>
      </c>
      <c r="H367" s="1" t="str">
        <f t="shared" si="9"/>
        <v>Normal Time</v>
      </c>
      <c r="I367" s="1"/>
      <c r="J367" s="15">
        <v>7.5</v>
      </c>
      <c r="K367" s="15"/>
      <c r="L367" s="15"/>
      <c r="M367" s="15"/>
      <c r="N367" s="15"/>
      <c r="O367" s="15" t="str">
        <f>INDEX(projects[job number],MATCH(TimeEntry[[#This Row],[Project_ID]], projects[Project_ID],0))</f>
        <v>BANK HOLIDAY</v>
      </c>
      <c r="P367" s="15" t="str">
        <f>INDEX(projects[Project_Name],MATCH(TimeEntry[[#This Row],[Project_ID]], projects[Project_ID],0))</f>
        <v>Bank Holiday</v>
      </c>
      <c r="Q367" s="6">
        <f>IF(TimeEntry[[#This Row],[Date]]=0,"",WEEKDAY(C367,2))</f>
        <v>3</v>
      </c>
      <c r="R367" s="9">
        <f>YEAR(TimeEntry[[#This Row],[WkEnd]])</f>
        <v>2020</v>
      </c>
      <c r="S367" s="9">
        <f>WEEKNUM(TimeEntry[[#This Row],[WkEnd]])</f>
        <v>2</v>
      </c>
      <c r="T367" s="9" t="str">
        <f>TimeEntry[[#This Row],[Year]]&amp;"-"&amp;TimeEntry[[#This Row],[WkNo]]</f>
        <v>2020-2</v>
      </c>
    </row>
    <row r="368" spans="1:20" x14ac:dyDescent="0.25">
      <c r="A368" s="6">
        <f>MOD(IF(ROW()=2,0.1,IF(INDEX(TimeEntry[WkEnd],ROW()-1)  =  INDEX(TimeEntry[WkEnd],ROW()-2),    INDEX(TimeEntry[format],ROW()-2),    INDEX(TimeEntry[format],ROW()-2)    +1)),2)</f>
        <v>0.10000000000000009</v>
      </c>
      <c r="B368" s="7"/>
      <c r="C368" s="8">
        <v>43830</v>
      </c>
      <c r="D368" s="8"/>
      <c r="E368" s="1" t="s">
        <v>445</v>
      </c>
      <c r="F368" s="8">
        <f>IF(TimeEntry[[#This Row],[Date]]=0,F367,C368+(7-Q368))</f>
        <v>43835</v>
      </c>
      <c r="G368" s="35" t="str">
        <f>INDEX(projects[Charge_Code],MATCH(TimeEntry[[#This Row],[Project_ID]],projects[Project_ID],0))</f>
        <v>LEAVE</v>
      </c>
      <c r="H368" s="1" t="str">
        <f t="shared" si="9"/>
        <v>Normal Time</v>
      </c>
      <c r="I368" s="1"/>
      <c r="J368" s="15">
        <v>7.5</v>
      </c>
      <c r="K368" s="15"/>
      <c r="L368" s="15"/>
      <c r="M368" s="15"/>
      <c r="N368" s="15"/>
      <c r="O368" s="15" t="str">
        <f>INDEX(projects[job number],MATCH(TimeEntry[[#This Row],[Project_ID]], projects[Project_ID],0))</f>
        <v>LEAVE</v>
      </c>
      <c r="P368" s="15">
        <f>INDEX(projects[Project_Name],MATCH(TimeEntry[[#This Row],[Project_ID]], projects[Project_ID],0))</f>
        <v>0</v>
      </c>
      <c r="Q368" s="6">
        <f>IF(TimeEntry[[#This Row],[Date]]=0,"",WEEKDAY(C368,2))</f>
        <v>2</v>
      </c>
      <c r="R368" s="9">
        <f>YEAR(TimeEntry[[#This Row],[WkEnd]])</f>
        <v>2020</v>
      </c>
      <c r="S368" s="9">
        <f>WEEKNUM(TimeEntry[[#This Row],[WkEnd]])</f>
        <v>2</v>
      </c>
      <c r="T368" s="9" t="str">
        <f>TimeEntry[[#This Row],[Year]]&amp;"-"&amp;TimeEntry[[#This Row],[WkNo]]</f>
        <v>2020-2</v>
      </c>
    </row>
    <row r="369" spans="1:20" x14ac:dyDescent="0.25">
      <c r="A369" s="6">
        <f>MOD(IF(ROW()=2,0.1,IF(INDEX(TimeEntry[WkEnd],ROW()-1)  =  INDEX(TimeEntry[WkEnd],ROW()-2),    INDEX(TimeEntry[format],ROW()-2),    INDEX(TimeEntry[format],ROW()-2)    +1)),2)</f>
        <v>0.10000000000000009</v>
      </c>
      <c r="B369" s="7"/>
      <c r="C369" s="8">
        <v>43829</v>
      </c>
      <c r="D369" s="8"/>
      <c r="E369" s="1" t="s">
        <v>445</v>
      </c>
      <c r="F369" s="8">
        <f>IF(TimeEntry[[#This Row],[Date]]=0,F368,C369+(7-Q369))</f>
        <v>43835</v>
      </c>
      <c r="G369" s="35" t="str">
        <f>INDEX(projects[Charge_Code],MATCH(TimeEntry[[#This Row],[Project_ID]],projects[Project_ID],0))</f>
        <v>LEAVE</v>
      </c>
      <c r="H369" s="1" t="str">
        <f t="shared" si="9"/>
        <v>Normal Time</v>
      </c>
      <c r="I369" s="1"/>
      <c r="J369" s="15">
        <v>7.5</v>
      </c>
      <c r="K369" s="15"/>
      <c r="L369" s="15"/>
      <c r="M369" s="15"/>
      <c r="N369" s="15"/>
      <c r="O369" s="15" t="str">
        <f>INDEX(projects[job number],MATCH(TimeEntry[[#This Row],[Project_ID]], projects[Project_ID],0))</f>
        <v>LEAVE</v>
      </c>
      <c r="P369" s="15">
        <f>INDEX(projects[Project_Name],MATCH(TimeEntry[[#This Row],[Project_ID]], projects[Project_ID],0))</f>
        <v>0</v>
      </c>
      <c r="Q369" s="6">
        <f>IF(TimeEntry[[#This Row],[Date]]=0,"",WEEKDAY(C369,2))</f>
        <v>1</v>
      </c>
      <c r="R369" s="9">
        <f>YEAR(TimeEntry[[#This Row],[WkEnd]])</f>
        <v>2020</v>
      </c>
      <c r="S369" s="9">
        <f>WEEKNUM(TimeEntry[[#This Row],[WkEnd]])</f>
        <v>2</v>
      </c>
      <c r="T369" s="9" t="str">
        <f>TimeEntry[[#This Row],[Year]]&amp;"-"&amp;TimeEntry[[#This Row],[WkNo]]</f>
        <v>2020-2</v>
      </c>
    </row>
    <row r="370" spans="1:20" x14ac:dyDescent="0.25">
      <c r="A370" s="6">
        <f>MOD(IF(ROW()=2,0.1,IF(INDEX(TimeEntry[WkEnd],ROW()-1)  =  INDEX(TimeEntry[WkEnd],ROW()-2),    INDEX(TimeEntry[format],ROW()-2),    INDEX(TimeEntry[format],ROW()-2)    +1)),2)</f>
        <v>1.1000000000000001</v>
      </c>
      <c r="B370" s="7"/>
      <c r="C370" s="8">
        <v>43826</v>
      </c>
      <c r="D370" s="8"/>
      <c r="E370" s="1" t="s">
        <v>445</v>
      </c>
      <c r="F370" s="8">
        <f>IF(TimeEntry[[#This Row],[Date]]=0,F369,C370+(7-Q370))</f>
        <v>43828</v>
      </c>
      <c r="G370" s="35" t="str">
        <f>INDEX(projects[Charge_Code],MATCH(TimeEntry[[#This Row],[Project_ID]],projects[Project_ID],0))</f>
        <v>LEAVE</v>
      </c>
      <c r="H370" s="1" t="str">
        <f t="shared" si="9"/>
        <v>Normal Time</v>
      </c>
      <c r="I370" s="1"/>
      <c r="J370" s="15">
        <v>7.5</v>
      </c>
      <c r="K370" s="15"/>
      <c r="L370" s="15"/>
      <c r="M370" s="15"/>
      <c r="N370" s="15"/>
      <c r="O370" s="15" t="str">
        <f>INDEX(projects[job number],MATCH(TimeEntry[[#This Row],[Project_ID]], projects[Project_ID],0))</f>
        <v>LEAVE</v>
      </c>
      <c r="P370" s="15">
        <f>INDEX(projects[Project_Name],MATCH(TimeEntry[[#This Row],[Project_ID]], projects[Project_ID],0))</f>
        <v>0</v>
      </c>
      <c r="Q370" s="6">
        <f>IF(TimeEntry[[#This Row],[Date]]=0,"",WEEKDAY(C370,2))</f>
        <v>5</v>
      </c>
      <c r="R370" s="9">
        <f>YEAR(TimeEntry[[#This Row],[WkEnd]])</f>
        <v>2019</v>
      </c>
      <c r="S370" s="9">
        <f>WEEKNUM(TimeEntry[[#This Row],[WkEnd]])</f>
        <v>53</v>
      </c>
      <c r="T370" s="9" t="str">
        <f>TimeEntry[[#This Row],[Year]]&amp;"-"&amp;TimeEntry[[#This Row],[WkNo]]</f>
        <v>2019-53</v>
      </c>
    </row>
    <row r="371" spans="1:20" x14ac:dyDescent="0.25">
      <c r="A371" s="6">
        <f>MOD(IF(ROW()=2,0.1,IF(INDEX(TimeEntry[WkEnd],ROW()-1)  =  INDEX(TimeEntry[WkEnd],ROW()-2),    INDEX(TimeEntry[format],ROW()-2),    INDEX(TimeEntry[format],ROW()-2)    +1)),2)</f>
        <v>1.1000000000000001</v>
      </c>
      <c r="B371" s="7"/>
      <c r="C371" s="8">
        <v>43825</v>
      </c>
      <c r="D371" s="8"/>
      <c r="E371" s="1" t="s">
        <v>451</v>
      </c>
      <c r="F371" s="8">
        <f>IF(TimeEntry[[#This Row],[Date]]=0,F370,C371+(7-Q371))</f>
        <v>43828</v>
      </c>
      <c r="G371" s="35" t="str">
        <f>INDEX(projects[Charge_Code],MATCH(TimeEntry[[#This Row],[Project_ID]],projects[Project_ID],0))</f>
        <v>BANK HOLIDAY Bank Holiday</v>
      </c>
      <c r="H371" s="1" t="str">
        <f t="shared" si="9"/>
        <v>Normal Time</v>
      </c>
      <c r="I371" s="1"/>
      <c r="J371" s="15">
        <v>7.5</v>
      </c>
      <c r="K371" s="15"/>
      <c r="L371" s="15"/>
      <c r="M371" s="15"/>
      <c r="N371" s="15"/>
      <c r="O371" s="15" t="str">
        <f>INDEX(projects[job number],MATCH(TimeEntry[[#This Row],[Project_ID]], projects[Project_ID],0))</f>
        <v>BANK HOLIDAY</v>
      </c>
      <c r="P371" s="15" t="str">
        <f>INDEX(projects[Project_Name],MATCH(TimeEntry[[#This Row],[Project_ID]], projects[Project_ID],0))</f>
        <v>Bank Holiday</v>
      </c>
      <c r="Q371" s="6">
        <f>IF(TimeEntry[[#This Row],[Date]]=0,"",WEEKDAY(C371,2))</f>
        <v>4</v>
      </c>
      <c r="R371" s="9">
        <f>YEAR(TimeEntry[[#This Row],[WkEnd]])</f>
        <v>2019</v>
      </c>
      <c r="S371" s="9">
        <f>WEEKNUM(TimeEntry[[#This Row],[WkEnd]])</f>
        <v>53</v>
      </c>
      <c r="T371" s="9" t="str">
        <f>TimeEntry[[#This Row],[Year]]&amp;"-"&amp;TimeEntry[[#This Row],[WkNo]]</f>
        <v>2019-53</v>
      </c>
    </row>
    <row r="372" spans="1:20" x14ac:dyDescent="0.25">
      <c r="A372" s="6">
        <f>MOD(IF(ROW()=2,0.1,IF(INDEX(TimeEntry[WkEnd],ROW()-1)  =  INDEX(TimeEntry[WkEnd],ROW()-2),    INDEX(TimeEntry[format],ROW()-2),    INDEX(TimeEntry[format],ROW()-2)    +1)),2)</f>
        <v>1.1000000000000001</v>
      </c>
      <c r="B372" s="7"/>
      <c r="C372" s="8">
        <v>43824</v>
      </c>
      <c r="D372" s="8"/>
      <c r="E372" s="1" t="s">
        <v>451</v>
      </c>
      <c r="F372" s="8">
        <f>IF(TimeEntry[[#This Row],[Date]]=0,F371,C372+(7-Q372))</f>
        <v>43828</v>
      </c>
      <c r="G372" s="35" t="str">
        <f>INDEX(projects[Charge_Code],MATCH(TimeEntry[[#This Row],[Project_ID]],projects[Project_ID],0))</f>
        <v>BANK HOLIDAY Bank Holiday</v>
      </c>
      <c r="H372" s="1" t="str">
        <f t="shared" si="9"/>
        <v>Normal Time</v>
      </c>
      <c r="I372" s="1"/>
      <c r="J372" s="15">
        <v>7.5</v>
      </c>
      <c r="K372" s="15"/>
      <c r="L372" s="15"/>
      <c r="M372" s="15"/>
      <c r="N372" s="15"/>
      <c r="O372" s="15" t="str">
        <f>INDEX(projects[job number],MATCH(TimeEntry[[#This Row],[Project_ID]], projects[Project_ID],0))</f>
        <v>BANK HOLIDAY</v>
      </c>
      <c r="P372" s="15" t="str">
        <f>INDEX(projects[Project_Name],MATCH(TimeEntry[[#This Row],[Project_ID]], projects[Project_ID],0))</f>
        <v>Bank Holiday</v>
      </c>
      <c r="Q372" s="6">
        <f>IF(TimeEntry[[#This Row],[Date]]=0,"",WEEKDAY(C372,2))</f>
        <v>3</v>
      </c>
      <c r="R372" s="9">
        <f>YEAR(TimeEntry[[#This Row],[WkEnd]])</f>
        <v>2019</v>
      </c>
      <c r="S372" s="9">
        <f>WEEKNUM(TimeEntry[[#This Row],[WkEnd]])</f>
        <v>53</v>
      </c>
      <c r="T372" s="9" t="str">
        <f>TimeEntry[[#This Row],[Year]]&amp;"-"&amp;TimeEntry[[#This Row],[WkNo]]</f>
        <v>2019-53</v>
      </c>
    </row>
    <row r="373" spans="1:20" x14ac:dyDescent="0.25">
      <c r="A373" s="6">
        <f>MOD(IF(ROW()=2,0.1,IF(INDEX(TimeEntry[WkEnd],ROW()-1)  =  INDEX(TimeEntry[WkEnd],ROW()-2),    INDEX(TimeEntry[format],ROW()-2),    INDEX(TimeEntry[format],ROW()-2)    +1)),2)</f>
        <v>1.1000000000000001</v>
      </c>
      <c r="B373" s="7"/>
      <c r="C373" s="8">
        <v>43823</v>
      </c>
      <c r="D373" s="8"/>
      <c r="E373" s="1" t="s">
        <v>455</v>
      </c>
      <c r="F373" s="8">
        <f>IF(TimeEntry[[#This Row],[Date]]=0,F372,C373+(7-Q373))</f>
        <v>43828</v>
      </c>
      <c r="G373" s="35" t="str">
        <f>INDEX(projects[Charge_Code],MATCH(TimeEntry[[#This Row],[Project_ID]],projects[Project_ID],0))</f>
        <v>268017-25  KSC - Tunnel</v>
      </c>
      <c r="H373" s="1" t="str">
        <f t="shared" si="9"/>
        <v>Normal Time</v>
      </c>
      <c r="I373" s="1"/>
      <c r="J373" s="15">
        <v>7.5</v>
      </c>
      <c r="K373" s="15"/>
      <c r="L373" s="15"/>
      <c r="M373" s="15"/>
      <c r="N373" s="15"/>
      <c r="O373" s="15" t="str">
        <f>INDEX(projects[job number],MATCH(TimeEntry[[#This Row],[Project_ID]], projects[Project_ID],0))</f>
        <v xml:space="preserve">268017-25 </v>
      </c>
      <c r="P373" s="15" t="str">
        <f>INDEX(projects[Project_Name],MATCH(TimeEntry[[#This Row],[Project_ID]], projects[Project_ID],0))</f>
        <v>KSC - Tunnel</v>
      </c>
      <c r="Q373" s="6">
        <f>IF(TimeEntry[[#This Row],[Date]]=0,"",WEEKDAY(C373,2))</f>
        <v>2</v>
      </c>
      <c r="R373" s="9">
        <f>YEAR(TimeEntry[[#This Row],[WkEnd]])</f>
        <v>2019</v>
      </c>
      <c r="S373" s="9">
        <f>WEEKNUM(TimeEntry[[#This Row],[WkEnd]])</f>
        <v>53</v>
      </c>
      <c r="T373" s="9" t="str">
        <f>TimeEntry[[#This Row],[Year]]&amp;"-"&amp;TimeEntry[[#This Row],[WkNo]]</f>
        <v>2019-53</v>
      </c>
    </row>
    <row r="374" spans="1:20" x14ac:dyDescent="0.25">
      <c r="A374" s="6">
        <f>MOD(IF(ROW()=2,0.1,IF(INDEX(TimeEntry[WkEnd],ROW()-1)  =  INDEX(TimeEntry[WkEnd],ROW()-2),    INDEX(TimeEntry[format],ROW()-2),    INDEX(TimeEntry[format],ROW()-2)    +1)),2)</f>
        <v>1.1000000000000001</v>
      </c>
      <c r="B374" s="7"/>
      <c r="C374" s="8">
        <v>43822</v>
      </c>
      <c r="D374" s="8"/>
      <c r="E374" s="1" t="s">
        <v>455</v>
      </c>
      <c r="F374" s="8">
        <f>IF(TimeEntry[[#This Row],[Date]]=0,F373,C374+(7-Q374))</f>
        <v>43828</v>
      </c>
      <c r="G374" s="35" t="str">
        <f>INDEX(projects[Charge_Code],MATCH(TimeEntry[[#This Row],[Project_ID]],projects[Project_ID],0))</f>
        <v>268017-25  KSC - Tunnel</v>
      </c>
      <c r="H374" s="1" t="str">
        <f t="shared" si="9"/>
        <v>Normal Time</v>
      </c>
      <c r="I374" s="1"/>
      <c r="J374" s="15">
        <v>7.5</v>
      </c>
      <c r="K374" s="15"/>
      <c r="L374" s="15"/>
      <c r="M374" s="15"/>
      <c r="N374" s="15"/>
      <c r="O374" s="15" t="str">
        <f>INDEX(projects[job number],MATCH(TimeEntry[[#This Row],[Project_ID]], projects[Project_ID],0))</f>
        <v xml:space="preserve">268017-25 </v>
      </c>
      <c r="P374" s="15" t="str">
        <f>INDEX(projects[Project_Name],MATCH(TimeEntry[[#This Row],[Project_ID]], projects[Project_ID],0))</f>
        <v>KSC - Tunnel</v>
      </c>
      <c r="Q374" s="6">
        <f>IF(TimeEntry[[#This Row],[Date]]=0,"",WEEKDAY(C374,2))</f>
        <v>1</v>
      </c>
      <c r="R374" s="9">
        <f>YEAR(TimeEntry[[#This Row],[WkEnd]])</f>
        <v>2019</v>
      </c>
      <c r="S374" s="9">
        <f>WEEKNUM(TimeEntry[[#This Row],[WkEnd]])</f>
        <v>53</v>
      </c>
      <c r="T374" s="9" t="str">
        <f>TimeEntry[[#This Row],[Year]]&amp;"-"&amp;TimeEntry[[#This Row],[WkNo]]</f>
        <v>2019-53</v>
      </c>
    </row>
    <row r="375" spans="1:20" x14ac:dyDescent="0.25">
      <c r="A375" s="6">
        <f>MOD(IF(ROW()=2,0.1,IF(INDEX(TimeEntry[WkEnd],ROW()-1)  =  INDEX(TimeEntry[WkEnd],ROW()-2),    INDEX(TimeEntry[format],ROW()-2),    INDEX(TimeEntry[format],ROW()-2)    +1)),2)</f>
        <v>0.10000000000000009</v>
      </c>
      <c r="B375" s="7"/>
      <c r="C375" s="8">
        <v>43815</v>
      </c>
      <c r="D375" s="8"/>
      <c r="E375" s="1" t="s">
        <v>455</v>
      </c>
      <c r="F375" s="8">
        <f>IF(TimeEntry[[#This Row],[Date]]=0,F374,C375+(7-Q375))</f>
        <v>43821</v>
      </c>
      <c r="G375" s="35" t="str">
        <f>INDEX(projects[Charge_Code],MATCH(TimeEntry[[#This Row],[Project_ID]],projects[Project_ID],0))</f>
        <v>268017-25  KSC - Tunnel</v>
      </c>
      <c r="H375" s="1" t="str">
        <f t="shared" si="9"/>
        <v>Normal Time</v>
      </c>
      <c r="I375" s="1"/>
      <c r="J375" s="15">
        <v>5.5</v>
      </c>
      <c r="K375" s="15"/>
      <c r="L375" s="15"/>
      <c r="M375" s="15"/>
      <c r="N375" s="15"/>
      <c r="O375" s="15" t="str">
        <f>INDEX(projects[job number],MATCH(TimeEntry[[#This Row],[Project_ID]], projects[Project_ID],0))</f>
        <v xml:space="preserve">268017-25 </v>
      </c>
      <c r="P375" s="15" t="str">
        <f>INDEX(projects[Project_Name],MATCH(TimeEntry[[#This Row],[Project_ID]], projects[Project_ID],0))</f>
        <v>KSC - Tunnel</v>
      </c>
      <c r="Q375" s="6">
        <f>IF(TimeEntry[[#This Row],[Date]]=0,"",WEEKDAY(C375,2))</f>
        <v>1</v>
      </c>
      <c r="R375" s="9">
        <f>YEAR(TimeEntry[[#This Row],[WkEnd]])</f>
        <v>2019</v>
      </c>
      <c r="S375" s="9">
        <f>WEEKNUM(TimeEntry[[#This Row],[WkEnd]])</f>
        <v>52</v>
      </c>
      <c r="T375" s="9" t="str">
        <f>TimeEntry[[#This Row],[Year]]&amp;"-"&amp;TimeEntry[[#This Row],[WkNo]]</f>
        <v>2019-52</v>
      </c>
    </row>
    <row r="376" spans="1:20" x14ac:dyDescent="0.25">
      <c r="A376" s="6">
        <f>MOD(IF(ROW()=2,0.1,IF(INDEX(TimeEntry[WkEnd],ROW()-1)  =  INDEX(TimeEntry[WkEnd],ROW()-2),    INDEX(TimeEntry[format],ROW()-2),    INDEX(TimeEntry[format],ROW()-2)    +1)),2)</f>
        <v>0.10000000000000009</v>
      </c>
      <c r="B376" s="7"/>
      <c r="C376" s="8">
        <v>43815</v>
      </c>
      <c r="D376" s="8"/>
      <c r="E376" s="1" t="s">
        <v>455</v>
      </c>
      <c r="F376" s="8">
        <f>IF(TimeEntry[[#This Row],[Date]]=0,F375,C376+(7-Q376))</f>
        <v>43821</v>
      </c>
      <c r="G376" s="35" t="str">
        <f>INDEX(projects[Charge_Code],MATCH(TimeEntry[[#This Row],[Project_ID]],projects[Project_ID],0))</f>
        <v>268017-25  KSC - Tunnel</v>
      </c>
      <c r="H376" s="1" t="str">
        <f t="shared" si="9"/>
        <v>Normal Time</v>
      </c>
      <c r="I376" s="1"/>
      <c r="J376" s="15">
        <v>2</v>
      </c>
      <c r="K376" s="15"/>
      <c r="L376" s="15"/>
      <c r="M376" s="15"/>
      <c r="N376" s="15"/>
      <c r="O376" s="15" t="str">
        <f>INDEX(projects[job number],MATCH(TimeEntry[[#This Row],[Project_ID]], projects[Project_ID],0))</f>
        <v xml:space="preserve">268017-25 </v>
      </c>
      <c r="P376" s="15" t="str">
        <f>INDEX(projects[Project_Name],MATCH(TimeEntry[[#This Row],[Project_ID]], projects[Project_ID],0))</f>
        <v>KSC - Tunnel</v>
      </c>
      <c r="Q376" s="6">
        <f>IF(TimeEntry[[#This Row],[Date]]=0,"",WEEKDAY(C376,2))</f>
        <v>1</v>
      </c>
      <c r="R376" s="9">
        <f>YEAR(TimeEntry[[#This Row],[WkEnd]])</f>
        <v>2019</v>
      </c>
      <c r="S376" s="9">
        <f>WEEKNUM(TimeEntry[[#This Row],[WkEnd]])</f>
        <v>52</v>
      </c>
      <c r="T376" s="9" t="str">
        <f>TimeEntry[[#This Row],[Year]]&amp;"-"&amp;TimeEntry[[#This Row],[WkNo]]</f>
        <v>2019-52</v>
      </c>
    </row>
    <row r="377" spans="1:20" x14ac:dyDescent="0.25">
      <c r="A377" s="6">
        <f>MOD(IF(ROW()=2,0.1,IF(INDEX(TimeEntry[WkEnd],ROW()-1)  =  INDEX(TimeEntry[WkEnd],ROW()-2),    INDEX(TimeEntry[format],ROW()-2),    INDEX(TimeEntry[format],ROW()-2)    +1)),2)</f>
        <v>0.10000000000000009</v>
      </c>
      <c r="B377" s="7"/>
      <c r="C377" s="8">
        <v>43816</v>
      </c>
      <c r="D377" s="8"/>
      <c r="E377" s="1" t="s">
        <v>455</v>
      </c>
      <c r="F377" s="8">
        <f>IF(TimeEntry[[#This Row],[Date]]=0,F376,C377+(7-Q377))</f>
        <v>43821</v>
      </c>
      <c r="G377" s="35" t="str">
        <f>INDEX(projects[Charge_Code],MATCH(TimeEntry[[#This Row],[Project_ID]],projects[Project_ID],0))</f>
        <v>268017-25  KSC - Tunnel</v>
      </c>
      <c r="H377" s="1" t="str">
        <f t="shared" si="9"/>
        <v>Normal Time</v>
      </c>
      <c r="I377" s="1"/>
      <c r="J377" s="15">
        <v>7.5</v>
      </c>
      <c r="K377" s="15"/>
      <c r="L377" s="15"/>
      <c r="M377" s="15"/>
      <c r="N377" s="15"/>
      <c r="O377" s="15" t="str">
        <f>INDEX(projects[job number],MATCH(TimeEntry[[#This Row],[Project_ID]], projects[Project_ID],0))</f>
        <v xml:space="preserve">268017-25 </v>
      </c>
      <c r="P377" s="15" t="str">
        <f>INDEX(projects[Project_Name],MATCH(TimeEntry[[#This Row],[Project_ID]], projects[Project_ID],0))</f>
        <v>KSC - Tunnel</v>
      </c>
      <c r="Q377" s="6">
        <f>IF(TimeEntry[[#This Row],[Date]]=0,"",WEEKDAY(C377,2))</f>
        <v>2</v>
      </c>
      <c r="R377" s="9">
        <f>YEAR(TimeEntry[[#This Row],[WkEnd]])</f>
        <v>2019</v>
      </c>
      <c r="S377" s="9">
        <f>WEEKNUM(TimeEntry[[#This Row],[WkEnd]])</f>
        <v>52</v>
      </c>
      <c r="T377" s="9" t="str">
        <f>TimeEntry[[#This Row],[Year]]&amp;"-"&amp;TimeEntry[[#This Row],[WkNo]]</f>
        <v>2019-52</v>
      </c>
    </row>
    <row r="378" spans="1:20" x14ac:dyDescent="0.25">
      <c r="A378" s="6">
        <f>MOD(IF(ROW()=2,0.1,IF(INDEX(TimeEntry[WkEnd],ROW()-1)  =  INDEX(TimeEntry[WkEnd],ROW()-2),    INDEX(TimeEntry[format],ROW()-2),    INDEX(TimeEntry[format],ROW()-2)    +1)),2)</f>
        <v>0.10000000000000009</v>
      </c>
      <c r="B378" s="7"/>
      <c r="C378" s="8">
        <v>43817</v>
      </c>
      <c r="D378" s="8"/>
      <c r="E378" s="1" t="s">
        <v>456</v>
      </c>
      <c r="F378" s="8">
        <f>IF(TimeEntry[[#This Row],[Date]]=0,F377,C378+(7-Q378))</f>
        <v>43821</v>
      </c>
      <c r="G378" s="35" t="str">
        <f>INDEX(projects[Charge_Code],MATCH(TimeEntry[[#This Row],[Project_ID]],projects[Project_ID],0))</f>
        <v>210035-51 VBB 3rd - new bridge</v>
      </c>
      <c r="H378" s="1" t="str">
        <f t="shared" si="9"/>
        <v>Normal Time</v>
      </c>
      <c r="I378" s="1"/>
      <c r="J378" s="15">
        <v>7.5</v>
      </c>
      <c r="K378" s="15"/>
      <c r="L378" s="15"/>
      <c r="M378" s="15"/>
      <c r="N378" s="15"/>
      <c r="O378" s="15" t="str">
        <f>INDEX(projects[job number],MATCH(TimeEntry[[#This Row],[Project_ID]], projects[Project_ID],0))</f>
        <v>210035-51</v>
      </c>
      <c r="P378" s="15" t="str">
        <f>INDEX(projects[Project_Name],MATCH(TimeEntry[[#This Row],[Project_ID]], projects[Project_ID],0))</f>
        <v>VBB 3rd - new bridge</v>
      </c>
      <c r="Q378" s="6">
        <f>IF(TimeEntry[[#This Row],[Date]]=0,"",WEEKDAY(C378,2))</f>
        <v>3</v>
      </c>
      <c r="R378" s="9">
        <f>YEAR(TimeEntry[[#This Row],[WkEnd]])</f>
        <v>2019</v>
      </c>
      <c r="S378" s="9">
        <f>WEEKNUM(TimeEntry[[#This Row],[WkEnd]])</f>
        <v>52</v>
      </c>
      <c r="T378" s="9" t="str">
        <f>TimeEntry[[#This Row],[Year]]&amp;"-"&amp;TimeEntry[[#This Row],[WkNo]]</f>
        <v>2019-52</v>
      </c>
    </row>
    <row r="379" spans="1:20" x14ac:dyDescent="0.25">
      <c r="A379" s="6">
        <f>MOD(IF(ROW()=2,0.1,IF(INDEX(TimeEntry[WkEnd],ROW()-1)  =  INDEX(TimeEntry[WkEnd],ROW()-2),    INDEX(TimeEntry[format],ROW()-2),    INDEX(TimeEntry[format],ROW()-2)    +1)),2)</f>
        <v>0.10000000000000009</v>
      </c>
      <c r="B379" s="7"/>
      <c r="C379" s="8">
        <v>43818</v>
      </c>
      <c r="D379" s="8"/>
      <c r="E379" s="1" t="s">
        <v>455</v>
      </c>
      <c r="F379" s="8">
        <f>IF(TimeEntry[[#This Row],[Date]]=0,F378,C379+(7-Q379))</f>
        <v>43821</v>
      </c>
      <c r="G379" s="35" t="str">
        <f>INDEX(projects[Charge_Code],MATCH(TimeEntry[[#This Row],[Project_ID]],projects[Project_ID],0))</f>
        <v>268017-25  KSC - Tunnel</v>
      </c>
      <c r="H379" s="1" t="str">
        <f t="shared" si="9"/>
        <v>Normal Time</v>
      </c>
      <c r="I379" s="1"/>
      <c r="J379" s="15">
        <v>7.5</v>
      </c>
      <c r="K379" s="15"/>
      <c r="L379" s="15"/>
      <c r="M379" s="15"/>
      <c r="N379" s="15"/>
      <c r="O379" s="15" t="str">
        <f>INDEX(projects[job number],MATCH(TimeEntry[[#This Row],[Project_ID]], projects[Project_ID],0))</f>
        <v xml:space="preserve">268017-25 </v>
      </c>
      <c r="P379" s="15" t="str">
        <f>INDEX(projects[Project_Name],MATCH(TimeEntry[[#This Row],[Project_ID]], projects[Project_ID],0))</f>
        <v>KSC - Tunnel</v>
      </c>
      <c r="Q379" s="6">
        <f>IF(TimeEntry[[#This Row],[Date]]=0,"",WEEKDAY(C379,2))</f>
        <v>4</v>
      </c>
      <c r="R379" s="9">
        <f>YEAR(TimeEntry[[#This Row],[WkEnd]])</f>
        <v>2019</v>
      </c>
      <c r="S379" s="9">
        <f>WEEKNUM(TimeEntry[[#This Row],[WkEnd]])</f>
        <v>52</v>
      </c>
      <c r="T379" s="9" t="str">
        <f>TimeEntry[[#This Row],[Year]]&amp;"-"&amp;TimeEntry[[#This Row],[WkNo]]</f>
        <v>2019-52</v>
      </c>
    </row>
    <row r="380" spans="1:20" x14ac:dyDescent="0.25">
      <c r="A380" s="6">
        <f>MOD(IF(ROW()=2,0.1,IF(INDEX(TimeEntry[WkEnd],ROW()-1)  =  INDEX(TimeEntry[WkEnd],ROW()-2),    INDEX(TimeEntry[format],ROW()-2),    INDEX(TimeEntry[format],ROW()-2)    +1)),2)</f>
        <v>0.10000000000000009</v>
      </c>
      <c r="B380" s="7"/>
      <c r="C380" s="8">
        <v>43819</v>
      </c>
      <c r="D380" s="8"/>
      <c r="E380" s="1" t="s">
        <v>457</v>
      </c>
      <c r="F380" s="8">
        <f>IF(TimeEntry[[#This Row],[Date]]=0,F379,C380+(7-Q380))</f>
        <v>43821</v>
      </c>
      <c r="G380" s="35" t="str">
        <f>INDEX(projects[Charge_Code],MATCH(TimeEntry[[#This Row],[Project_ID]],projects[Project_ID],0))</f>
        <v>255375-00 M25 West MSA</v>
      </c>
      <c r="H380" s="1" t="str">
        <f t="shared" si="9"/>
        <v>Normal Time</v>
      </c>
      <c r="I380" s="1"/>
      <c r="J380" s="15">
        <v>4</v>
      </c>
      <c r="K380" s="15"/>
      <c r="L380" s="15"/>
      <c r="M380" s="15"/>
      <c r="N380" s="15"/>
      <c r="O380" s="15" t="str">
        <f>INDEX(projects[job number],MATCH(TimeEntry[[#This Row],[Project_ID]], projects[Project_ID],0))</f>
        <v>255375-00</v>
      </c>
      <c r="P380" s="15" t="str">
        <f>INDEX(projects[Project_Name],MATCH(TimeEntry[[#This Row],[Project_ID]], projects[Project_ID],0))</f>
        <v>M25 West MSA</v>
      </c>
      <c r="Q380" s="6">
        <f>IF(TimeEntry[[#This Row],[Date]]=0,"",WEEKDAY(C380,2))</f>
        <v>5</v>
      </c>
      <c r="R380" s="9">
        <f>YEAR(TimeEntry[[#This Row],[WkEnd]])</f>
        <v>2019</v>
      </c>
      <c r="S380" s="9">
        <f>WEEKNUM(TimeEntry[[#This Row],[WkEnd]])</f>
        <v>52</v>
      </c>
      <c r="T380" s="9" t="str">
        <f>TimeEntry[[#This Row],[Year]]&amp;"-"&amp;TimeEntry[[#This Row],[WkNo]]</f>
        <v>2019-52</v>
      </c>
    </row>
    <row r="381" spans="1:20" x14ac:dyDescent="0.25">
      <c r="A381" s="6">
        <f>MOD(IF(ROW()=2,0.1,IF(INDEX(TimeEntry[WkEnd],ROW()-1)  =  INDEX(TimeEntry[WkEnd],ROW()-2),    INDEX(TimeEntry[format],ROW()-2),    INDEX(TimeEntry[format],ROW()-2)    +1)),2)</f>
        <v>0.10000000000000009</v>
      </c>
      <c r="B381" s="7"/>
      <c r="C381" s="8">
        <v>43819</v>
      </c>
      <c r="D381" s="8"/>
      <c r="E381" s="1" t="s">
        <v>455</v>
      </c>
      <c r="F381" s="8">
        <f>IF(TimeEntry[[#This Row],[Date]]=0,F380,C381+(7-Q381))</f>
        <v>43821</v>
      </c>
      <c r="G381" s="35" t="str">
        <f>INDEX(projects[Charge_Code],MATCH(TimeEntry[[#This Row],[Project_ID]],projects[Project_ID],0))</f>
        <v>268017-25  KSC - Tunnel</v>
      </c>
      <c r="H381" s="1" t="str">
        <f t="shared" si="9"/>
        <v>Normal Time</v>
      </c>
      <c r="I381" s="1"/>
      <c r="J381" s="15">
        <v>3.5</v>
      </c>
      <c r="K381" s="15"/>
      <c r="L381" s="15"/>
      <c r="M381" s="15"/>
      <c r="N381" s="15"/>
      <c r="O381" s="15" t="str">
        <f>INDEX(projects[job number],MATCH(TimeEntry[[#This Row],[Project_ID]], projects[Project_ID],0))</f>
        <v xml:space="preserve">268017-25 </v>
      </c>
      <c r="P381" s="15" t="str">
        <f>INDEX(projects[Project_Name],MATCH(TimeEntry[[#This Row],[Project_ID]], projects[Project_ID],0))</f>
        <v>KSC - Tunnel</v>
      </c>
      <c r="Q381" s="6">
        <f>IF(TimeEntry[[#This Row],[Date]]=0,"",WEEKDAY(C381,2))</f>
        <v>5</v>
      </c>
      <c r="R381" s="9">
        <f>YEAR(TimeEntry[[#This Row],[WkEnd]])</f>
        <v>2019</v>
      </c>
      <c r="S381" s="9">
        <f>WEEKNUM(TimeEntry[[#This Row],[WkEnd]])</f>
        <v>52</v>
      </c>
      <c r="T381" s="9" t="str">
        <f>TimeEntry[[#This Row],[Year]]&amp;"-"&amp;TimeEntry[[#This Row],[WkNo]]</f>
        <v>2019-52</v>
      </c>
    </row>
    <row r="382" spans="1:20" x14ac:dyDescent="0.25">
      <c r="A382" s="6">
        <f>MOD(IF(ROW()=2,0.1,IF(INDEX(TimeEntry[WkEnd],ROW()-1)  =  INDEX(TimeEntry[WkEnd],ROW()-2),    INDEX(TimeEntry[format],ROW()-2),    INDEX(TimeEntry[format],ROW()-2)    +1)),2)</f>
        <v>1.1000000000000001</v>
      </c>
      <c r="B382" s="7"/>
      <c r="C382" s="8">
        <v>43808</v>
      </c>
      <c r="D382" s="8"/>
      <c r="E382" s="1" t="s">
        <v>455</v>
      </c>
      <c r="F382" s="8">
        <f>IF(TimeEntry[[#This Row],[Date]]=0,F381,C382+(7-Q382))</f>
        <v>43814</v>
      </c>
      <c r="G382" s="35" t="str">
        <f>INDEX(projects[Charge_Code],MATCH(TimeEntry[[#This Row],[Project_ID]],projects[Project_ID],0))</f>
        <v>268017-25  KSC - Tunnel</v>
      </c>
      <c r="H382" s="1" t="str">
        <f t="shared" si="9"/>
        <v>Normal Time</v>
      </c>
      <c r="I382" s="1"/>
      <c r="J382" s="15">
        <v>7.5</v>
      </c>
      <c r="K382" s="15"/>
      <c r="L382" s="15"/>
      <c r="M382" s="15"/>
      <c r="N382" s="15"/>
      <c r="O382" s="15" t="str">
        <f>INDEX(projects[job number],MATCH(TimeEntry[[#This Row],[Project_ID]], projects[Project_ID],0))</f>
        <v xml:space="preserve">268017-25 </v>
      </c>
      <c r="P382" s="15" t="str">
        <f>INDEX(projects[Project_Name],MATCH(TimeEntry[[#This Row],[Project_ID]], projects[Project_ID],0))</f>
        <v>KSC - Tunnel</v>
      </c>
      <c r="Q382" s="6">
        <f>IF(TimeEntry[[#This Row],[Date]]=0,"",WEEKDAY(C382,2))</f>
        <v>1</v>
      </c>
      <c r="R382" s="9">
        <f>YEAR(TimeEntry[[#This Row],[WkEnd]])</f>
        <v>2019</v>
      </c>
      <c r="S382" s="9">
        <f>WEEKNUM(TimeEntry[[#This Row],[WkEnd]])</f>
        <v>51</v>
      </c>
      <c r="T382" s="9" t="str">
        <f>TimeEntry[[#This Row],[Year]]&amp;"-"&amp;TimeEntry[[#This Row],[WkNo]]</f>
        <v>2019-51</v>
      </c>
    </row>
    <row r="383" spans="1:20" x14ac:dyDescent="0.25">
      <c r="A383" s="6">
        <f>MOD(IF(ROW()=2,0.1,IF(INDEX(TimeEntry[WkEnd],ROW()-1)  =  INDEX(TimeEntry[WkEnd],ROW()-2),    INDEX(TimeEntry[format],ROW()-2),    INDEX(TimeEntry[format],ROW()-2)    +1)),2)</f>
        <v>1.1000000000000001</v>
      </c>
      <c r="B383" s="7"/>
      <c r="C383" s="8">
        <v>43809</v>
      </c>
      <c r="D383" s="8"/>
      <c r="E383" s="1" t="s">
        <v>455</v>
      </c>
      <c r="F383" s="8">
        <f>IF(TimeEntry[[#This Row],[Date]]=0,F382,C383+(7-Q383))</f>
        <v>43814</v>
      </c>
      <c r="G383" s="35" t="str">
        <f>INDEX(projects[Charge_Code],MATCH(TimeEntry[[#This Row],[Project_ID]],projects[Project_ID],0))</f>
        <v>268017-25  KSC - Tunnel</v>
      </c>
      <c r="H383" s="1" t="str">
        <f t="shared" si="9"/>
        <v>Normal Time</v>
      </c>
      <c r="I383" s="1"/>
      <c r="J383" s="15">
        <v>7.5</v>
      </c>
      <c r="K383" s="15"/>
      <c r="L383" s="15"/>
      <c r="M383" s="15"/>
      <c r="N383" s="15"/>
      <c r="O383" s="15" t="str">
        <f>INDEX(projects[job number],MATCH(TimeEntry[[#This Row],[Project_ID]], projects[Project_ID],0))</f>
        <v xml:space="preserve">268017-25 </v>
      </c>
      <c r="P383" s="15" t="str">
        <f>INDEX(projects[Project_Name],MATCH(TimeEntry[[#This Row],[Project_ID]], projects[Project_ID],0))</f>
        <v>KSC - Tunnel</v>
      </c>
      <c r="Q383" s="6">
        <f>IF(TimeEntry[[#This Row],[Date]]=0,"",WEEKDAY(C383,2))</f>
        <v>2</v>
      </c>
      <c r="R383" s="9">
        <f>YEAR(TimeEntry[[#This Row],[WkEnd]])</f>
        <v>2019</v>
      </c>
      <c r="S383" s="9">
        <f>WEEKNUM(TimeEntry[[#This Row],[WkEnd]])</f>
        <v>51</v>
      </c>
      <c r="T383" s="9" t="str">
        <f>TimeEntry[[#This Row],[Year]]&amp;"-"&amp;TimeEntry[[#This Row],[WkNo]]</f>
        <v>2019-51</v>
      </c>
    </row>
    <row r="384" spans="1:20" x14ac:dyDescent="0.25">
      <c r="A384" s="6">
        <f>MOD(IF(ROW()=2,0.1,IF(INDEX(TimeEntry[WkEnd],ROW()-1)  =  INDEX(TimeEntry[WkEnd],ROW()-2),    INDEX(TimeEntry[format],ROW()-2),    INDEX(TimeEntry[format],ROW()-2)    +1)),2)</f>
        <v>1.1000000000000001</v>
      </c>
      <c r="B384" s="7"/>
      <c r="C384" s="8">
        <v>43810</v>
      </c>
      <c r="D384" s="8"/>
      <c r="E384" s="1" t="s">
        <v>456</v>
      </c>
      <c r="F384" s="8">
        <f>IF(TimeEntry[[#This Row],[Date]]=0,F383,C384+(7-Q384))</f>
        <v>43814</v>
      </c>
      <c r="G384" s="35" t="str">
        <f>INDEX(projects[Charge_Code],MATCH(TimeEntry[[#This Row],[Project_ID]],projects[Project_ID],0))</f>
        <v>210035-51 VBB 3rd - new bridge</v>
      </c>
      <c r="H384" s="1" t="str">
        <f t="shared" si="9"/>
        <v>Normal Time</v>
      </c>
      <c r="I384" s="1"/>
      <c r="J384" s="15">
        <v>7.5</v>
      </c>
      <c r="K384" s="15"/>
      <c r="L384" s="15"/>
      <c r="M384" s="15"/>
      <c r="N384" s="15"/>
      <c r="O384" s="15" t="str">
        <f>INDEX(projects[job number],MATCH(TimeEntry[[#This Row],[Project_ID]], projects[Project_ID],0))</f>
        <v>210035-51</v>
      </c>
      <c r="P384" s="15" t="str">
        <f>INDEX(projects[Project_Name],MATCH(TimeEntry[[#This Row],[Project_ID]], projects[Project_ID],0))</f>
        <v>VBB 3rd - new bridge</v>
      </c>
      <c r="Q384" s="6">
        <f>IF(TimeEntry[[#This Row],[Date]]=0,"",WEEKDAY(C384,2))</f>
        <v>3</v>
      </c>
      <c r="R384" s="9">
        <f>YEAR(TimeEntry[[#This Row],[WkEnd]])</f>
        <v>2019</v>
      </c>
      <c r="S384" s="9">
        <f>WEEKNUM(TimeEntry[[#This Row],[WkEnd]])</f>
        <v>51</v>
      </c>
      <c r="T384" s="9" t="str">
        <f>TimeEntry[[#This Row],[Year]]&amp;"-"&amp;TimeEntry[[#This Row],[WkNo]]</f>
        <v>2019-51</v>
      </c>
    </row>
    <row r="385" spans="1:20" x14ac:dyDescent="0.25">
      <c r="A385" s="6">
        <f>MOD(IF(ROW()=2,0.1,IF(INDEX(TimeEntry[WkEnd],ROW()-1)  =  INDEX(TimeEntry[WkEnd],ROW()-2),    INDEX(TimeEntry[format],ROW()-2),    INDEX(TimeEntry[format],ROW()-2)    +1)),2)</f>
        <v>1.1000000000000001</v>
      </c>
      <c r="B385" s="7"/>
      <c r="C385" s="8">
        <v>43811</v>
      </c>
      <c r="D385" s="8"/>
      <c r="E385" s="1" t="s">
        <v>457</v>
      </c>
      <c r="F385" s="8">
        <f>IF(TimeEntry[[#This Row],[Date]]=0,F384,C385+(7-Q385))</f>
        <v>43814</v>
      </c>
      <c r="G385" s="35" t="str">
        <f>INDEX(projects[Charge_Code],MATCH(TimeEntry[[#This Row],[Project_ID]],projects[Project_ID],0))</f>
        <v>255375-00 M25 West MSA</v>
      </c>
      <c r="H385" s="1" t="str">
        <f t="shared" si="9"/>
        <v>Normal Time</v>
      </c>
      <c r="I385" s="1"/>
      <c r="J385" s="15">
        <v>7.5</v>
      </c>
      <c r="K385" s="15"/>
      <c r="L385" s="15"/>
      <c r="M385" s="15"/>
      <c r="N385" s="15"/>
      <c r="O385" s="15" t="str">
        <f>INDEX(projects[job number],MATCH(TimeEntry[[#This Row],[Project_ID]], projects[Project_ID],0))</f>
        <v>255375-00</v>
      </c>
      <c r="P385" s="15" t="str">
        <f>INDEX(projects[Project_Name],MATCH(TimeEntry[[#This Row],[Project_ID]], projects[Project_ID],0))</f>
        <v>M25 West MSA</v>
      </c>
      <c r="Q385" s="6">
        <f>IF(TimeEntry[[#This Row],[Date]]=0,"",WEEKDAY(C385,2))</f>
        <v>4</v>
      </c>
      <c r="R385" s="9">
        <f>YEAR(TimeEntry[[#This Row],[WkEnd]])</f>
        <v>2019</v>
      </c>
      <c r="S385" s="9">
        <f>WEEKNUM(TimeEntry[[#This Row],[WkEnd]])</f>
        <v>51</v>
      </c>
      <c r="T385" s="9" t="str">
        <f>TimeEntry[[#This Row],[Year]]&amp;"-"&amp;TimeEntry[[#This Row],[WkNo]]</f>
        <v>2019-51</v>
      </c>
    </row>
    <row r="386" spans="1:20" x14ac:dyDescent="0.25">
      <c r="A386" s="6">
        <f>MOD(IF(ROW()=2,0.1,IF(INDEX(TimeEntry[WkEnd],ROW()-1)  =  INDEX(TimeEntry[WkEnd],ROW()-2),    INDEX(TimeEntry[format],ROW()-2),    INDEX(TimeEntry[format],ROW()-2)    +1)),2)</f>
        <v>1.1000000000000001</v>
      </c>
      <c r="B386" s="7"/>
      <c r="C386" s="8">
        <v>43812</v>
      </c>
      <c r="D386" s="8"/>
      <c r="E386" s="1" t="s">
        <v>455</v>
      </c>
      <c r="F386" s="8">
        <f>IF(TimeEntry[[#This Row],[Date]]=0,F385,C386+(7-Q386))</f>
        <v>43814</v>
      </c>
      <c r="G386" s="35" t="str">
        <f>INDEX(projects[Charge_Code],MATCH(TimeEntry[[#This Row],[Project_ID]],projects[Project_ID],0))</f>
        <v>268017-25  KSC - Tunnel</v>
      </c>
      <c r="H386" s="1" t="str">
        <f t="shared" si="9"/>
        <v>Normal Time</v>
      </c>
      <c r="I386" s="1"/>
      <c r="J386" s="15">
        <v>7.5</v>
      </c>
      <c r="K386" s="15"/>
      <c r="L386" s="15"/>
      <c r="M386" s="15"/>
      <c r="N386" s="15"/>
      <c r="O386" s="15" t="str">
        <f>INDEX(projects[job number],MATCH(TimeEntry[[#This Row],[Project_ID]], projects[Project_ID],0))</f>
        <v xml:space="preserve">268017-25 </v>
      </c>
      <c r="P386" s="15" t="str">
        <f>INDEX(projects[Project_Name],MATCH(TimeEntry[[#This Row],[Project_ID]], projects[Project_ID],0))</f>
        <v>KSC - Tunnel</v>
      </c>
      <c r="Q386" s="6">
        <f>IF(TimeEntry[[#This Row],[Date]]=0,"",WEEKDAY(C386,2))</f>
        <v>5</v>
      </c>
      <c r="R386" s="9">
        <f>YEAR(TimeEntry[[#This Row],[WkEnd]])</f>
        <v>2019</v>
      </c>
      <c r="S386" s="9">
        <f>WEEKNUM(TimeEntry[[#This Row],[WkEnd]])</f>
        <v>51</v>
      </c>
      <c r="T386" s="9" t="str">
        <f>TimeEntry[[#This Row],[Year]]&amp;"-"&amp;TimeEntry[[#This Row],[WkNo]]</f>
        <v>2019-51</v>
      </c>
    </row>
    <row r="387" spans="1:20" x14ac:dyDescent="0.25">
      <c r="A387" s="6">
        <f>MOD(IF(ROW()=2,0.1,IF(INDEX(TimeEntry[WkEnd],ROW()-1)  =  INDEX(TimeEntry[WkEnd],ROW()-2),    INDEX(TimeEntry[format],ROW()-2),    INDEX(TimeEntry[format],ROW()-2)    +1)),2)</f>
        <v>0.10000000000000009</v>
      </c>
      <c r="B387" s="7"/>
      <c r="C387" s="8">
        <v>43801</v>
      </c>
      <c r="D387" s="8"/>
      <c r="E387" s="1" t="s">
        <v>455</v>
      </c>
      <c r="F387" s="8">
        <f>IF(TimeEntry[[#This Row],[Date]]=0,F386,C387+(7-Q387))</f>
        <v>43807</v>
      </c>
      <c r="G387" s="35" t="str">
        <f>INDEX(projects[Charge_Code],MATCH(TimeEntry[[#This Row],[Project_ID]],projects[Project_ID],0))</f>
        <v>268017-25  KSC - Tunnel</v>
      </c>
      <c r="H387" s="1" t="str">
        <f t="shared" si="9"/>
        <v>Normal Time</v>
      </c>
      <c r="I387" s="1"/>
      <c r="J387" s="15">
        <v>5.5</v>
      </c>
      <c r="K387" s="15"/>
      <c r="L387" s="15"/>
      <c r="M387" s="15"/>
      <c r="N387" s="15"/>
      <c r="O387" s="15" t="str">
        <f>INDEX(projects[job number],MATCH(TimeEntry[[#This Row],[Project_ID]], projects[Project_ID],0))</f>
        <v xml:space="preserve">268017-25 </v>
      </c>
      <c r="P387" s="15" t="str">
        <f>INDEX(projects[Project_Name],MATCH(TimeEntry[[#This Row],[Project_ID]], projects[Project_ID],0))</f>
        <v>KSC - Tunnel</v>
      </c>
      <c r="Q387" s="6">
        <f>IF(TimeEntry[[#This Row],[Date]]=0,"",WEEKDAY(C387,2))</f>
        <v>1</v>
      </c>
      <c r="R387" s="9">
        <f>YEAR(TimeEntry[[#This Row],[WkEnd]])</f>
        <v>2019</v>
      </c>
      <c r="S387" s="9">
        <f>WEEKNUM(TimeEntry[[#This Row],[WkEnd]])</f>
        <v>50</v>
      </c>
      <c r="T387" s="9" t="str">
        <f>TimeEntry[[#This Row],[Year]]&amp;"-"&amp;TimeEntry[[#This Row],[WkNo]]</f>
        <v>2019-50</v>
      </c>
    </row>
    <row r="388" spans="1:20" x14ac:dyDescent="0.25">
      <c r="A388" s="6">
        <f>MOD(IF(ROW()=2,0.1,IF(INDEX(TimeEntry[WkEnd],ROW()-1)  =  INDEX(TimeEntry[WkEnd],ROW()-2),    INDEX(TimeEntry[format],ROW()-2),    INDEX(TimeEntry[format],ROW()-2)    +1)),2)</f>
        <v>0.10000000000000009</v>
      </c>
      <c r="B388" s="7"/>
      <c r="C388" s="8">
        <v>43801</v>
      </c>
      <c r="D388" s="8"/>
      <c r="E388" s="1" t="s">
        <v>455</v>
      </c>
      <c r="F388" s="8">
        <f>IF(TimeEntry[[#This Row],[Date]]=0,F387,C388+(7-Q388))</f>
        <v>43807</v>
      </c>
      <c r="G388" s="35" t="str">
        <f>INDEX(projects[Charge_Code],MATCH(TimeEntry[[#This Row],[Project_ID]],projects[Project_ID],0))</f>
        <v>268017-25  KSC - Tunnel</v>
      </c>
      <c r="H388" s="1" t="str">
        <f t="shared" si="9"/>
        <v>Normal Time</v>
      </c>
      <c r="I388" s="1"/>
      <c r="J388" s="15">
        <v>2</v>
      </c>
      <c r="K388" s="15"/>
      <c r="L388" s="15"/>
      <c r="M388" s="15"/>
      <c r="N388" s="15"/>
      <c r="O388" s="15" t="str">
        <f>INDEX(projects[job number],MATCH(TimeEntry[[#This Row],[Project_ID]], projects[Project_ID],0))</f>
        <v xml:space="preserve">268017-25 </v>
      </c>
      <c r="P388" s="15" t="str">
        <f>INDEX(projects[Project_Name],MATCH(TimeEntry[[#This Row],[Project_ID]], projects[Project_ID],0))</f>
        <v>KSC - Tunnel</v>
      </c>
      <c r="Q388" s="6">
        <f>IF(TimeEntry[[#This Row],[Date]]=0,"",WEEKDAY(C388,2))</f>
        <v>1</v>
      </c>
      <c r="R388" s="9">
        <f>YEAR(TimeEntry[[#This Row],[WkEnd]])</f>
        <v>2019</v>
      </c>
      <c r="S388" s="9">
        <f>WEEKNUM(TimeEntry[[#This Row],[WkEnd]])</f>
        <v>50</v>
      </c>
      <c r="T388" s="9" t="str">
        <f>TimeEntry[[#This Row],[Year]]&amp;"-"&amp;TimeEntry[[#This Row],[WkNo]]</f>
        <v>2019-50</v>
      </c>
    </row>
    <row r="389" spans="1:20" x14ac:dyDescent="0.25">
      <c r="A389" s="6">
        <f>MOD(IF(ROW()=2,0.1,IF(INDEX(TimeEntry[WkEnd],ROW()-1)  =  INDEX(TimeEntry[WkEnd],ROW()-2),    INDEX(TimeEntry[format],ROW()-2),    INDEX(TimeEntry[format],ROW()-2)    +1)),2)</f>
        <v>0.10000000000000009</v>
      </c>
      <c r="B389" s="7"/>
      <c r="C389" s="8">
        <v>43802</v>
      </c>
      <c r="D389" s="8"/>
      <c r="E389" s="1" t="s">
        <v>456</v>
      </c>
      <c r="F389" s="8">
        <f>IF(TimeEntry[[#This Row],[Date]]=0,F388,C389+(7-Q389))</f>
        <v>43807</v>
      </c>
      <c r="G389" s="35" t="str">
        <f>INDEX(projects[Charge_Code],MATCH(TimeEntry[[#This Row],[Project_ID]],projects[Project_ID],0))</f>
        <v>210035-51 VBB 3rd - new bridge</v>
      </c>
      <c r="H389" s="1" t="str">
        <f t="shared" si="9"/>
        <v>Normal Time</v>
      </c>
      <c r="I389" s="1"/>
      <c r="J389" s="15">
        <v>2.5</v>
      </c>
      <c r="K389" s="15"/>
      <c r="L389" s="15"/>
      <c r="M389" s="15"/>
      <c r="N389" s="15"/>
      <c r="O389" s="15" t="str">
        <f>INDEX(projects[job number],MATCH(TimeEntry[[#This Row],[Project_ID]], projects[Project_ID],0))</f>
        <v>210035-51</v>
      </c>
      <c r="P389" s="15" t="str">
        <f>INDEX(projects[Project_Name],MATCH(TimeEntry[[#This Row],[Project_ID]], projects[Project_ID],0))</f>
        <v>VBB 3rd - new bridge</v>
      </c>
      <c r="Q389" s="6">
        <f>IF(TimeEntry[[#This Row],[Date]]=0,"",WEEKDAY(C389,2))</f>
        <v>2</v>
      </c>
      <c r="R389" s="9">
        <f>YEAR(TimeEntry[[#This Row],[WkEnd]])</f>
        <v>2019</v>
      </c>
      <c r="S389" s="9">
        <f>WEEKNUM(TimeEntry[[#This Row],[WkEnd]])</f>
        <v>50</v>
      </c>
      <c r="T389" s="9" t="str">
        <f>TimeEntry[[#This Row],[Year]]&amp;"-"&amp;TimeEntry[[#This Row],[WkNo]]</f>
        <v>2019-50</v>
      </c>
    </row>
    <row r="390" spans="1:20" x14ac:dyDescent="0.25">
      <c r="A390" s="6">
        <f>MOD(IF(ROW()=2,0.1,IF(INDEX(TimeEntry[WkEnd],ROW()-1)  =  INDEX(TimeEntry[WkEnd],ROW()-2),    INDEX(TimeEntry[format],ROW()-2),    INDEX(TimeEntry[format],ROW()-2)    +1)),2)</f>
        <v>0.10000000000000009</v>
      </c>
      <c r="B390" s="7"/>
      <c r="C390" s="8">
        <v>43802</v>
      </c>
      <c r="D390" s="8"/>
      <c r="E390" s="1" t="s">
        <v>456</v>
      </c>
      <c r="F390" s="8">
        <f>IF(TimeEntry[[#This Row],[Date]]=0,F389,C390+(7-Q390))</f>
        <v>43807</v>
      </c>
      <c r="G390" s="35" t="str">
        <f>INDEX(projects[Charge_Code],MATCH(TimeEntry[[#This Row],[Project_ID]],projects[Project_ID],0))</f>
        <v>210035-51 VBB 3rd - new bridge</v>
      </c>
      <c r="H390" s="1" t="str">
        <f t="shared" si="9"/>
        <v>Normal Time</v>
      </c>
      <c r="I390" s="1"/>
      <c r="J390" s="15">
        <v>2</v>
      </c>
      <c r="K390" s="15"/>
      <c r="L390" s="15"/>
      <c r="M390" s="15"/>
      <c r="N390" s="15"/>
      <c r="O390" s="15" t="str">
        <f>INDEX(projects[job number],MATCH(TimeEntry[[#This Row],[Project_ID]], projects[Project_ID],0))</f>
        <v>210035-51</v>
      </c>
      <c r="P390" s="15" t="str">
        <f>INDEX(projects[Project_Name],MATCH(TimeEntry[[#This Row],[Project_ID]], projects[Project_ID],0))</f>
        <v>VBB 3rd - new bridge</v>
      </c>
      <c r="Q390" s="6">
        <f>IF(TimeEntry[[#This Row],[Date]]=0,"",WEEKDAY(C390,2))</f>
        <v>2</v>
      </c>
      <c r="R390" s="9">
        <f>YEAR(TimeEntry[[#This Row],[WkEnd]])</f>
        <v>2019</v>
      </c>
      <c r="S390" s="9">
        <f>WEEKNUM(TimeEntry[[#This Row],[WkEnd]])</f>
        <v>50</v>
      </c>
      <c r="T390" s="9" t="str">
        <f>TimeEntry[[#This Row],[Year]]&amp;"-"&amp;TimeEntry[[#This Row],[WkNo]]</f>
        <v>2019-50</v>
      </c>
    </row>
    <row r="391" spans="1:20" x14ac:dyDescent="0.25">
      <c r="A391" s="6">
        <f>MOD(IF(ROW()=2,0.1,IF(INDEX(TimeEntry[WkEnd],ROW()-1)  =  INDEX(TimeEntry[WkEnd],ROW()-2),    INDEX(TimeEntry[format],ROW()-2),    INDEX(TimeEntry[format],ROW()-2)    +1)),2)</f>
        <v>0.10000000000000009</v>
      </c>
      <c r="B391" s="7"/>
      <c r="C391" s="8">
        <v>43802</v>
      </c>
      <c r="D391" s="8"/>
      <c r="E391" s="1" t="s">
        <v>455</v>
      </c>
      <c r="F391" s="8">
        <f>IF(TimeEntry[[#This Row],[Date]]=0,F390,C391+(7-Q391))</f>
        <v>43807</v>
      </c>
      <c r="G391" s="35" t="str">
        <f>INDEX(projects[Charge_Code],MATCH(TimeEntry[[#This Row],[Project_ID]],projects[Project_ID],0))</f>
        <v>268017-25  KSC - Tunnel</v>
      </c>
      <c r="H391" s="1" t="str">
        <f t="shared" si="9"/>
        <v>Normal Time</v>
      </c>
      <c r="I391" s="1"/>
      <c r="J391" s="15">
        <v>3</v>
      </c>
      <c r="K391" s="15"/>
      <c r="L391" s="15"/>
      <c r="M391" s="15"/>
      <c r="N391" s="15"/>
      <c r="O391" s="15" t="str">
        <f>INDEX(projects[job number],MATCH(TimeEntry[[#This Row],[Project_ID]], projects[Project_ID],0))</f>
        <v xml:space="preserve">268017-25 </v>
      </c>
      <c r="P391" s="15" t="str">
        <f>INDEX(projects[Project_Name],MATCH(TimeEntry[[#This Row],[Project_ID]], projects[Project_ID],0))</f>
        <v>KSC - Tunnel</v>
      </c>
      <c r="Q391" s="6">
        <f>IF(TimeEntry[[#This Row],[Date]]=0,"",WEEKDAY(C391,2))</f>
        <v>2</v>
      </c>
      <c r="R391" s="9">
        <f>YEAR(TimeEntry[[#This Row],[WkEnd]])</f>
        <v>2019</v>
      </c>
      <c r="S391" s="9">
        <f>WEEKNUM(TimeEntry[[#This Row],[WkEnd]])</f>
        <v>50</v>
      </c>
      <c r="T391" s="9" t="str">
        <f>TimeEntry[[#This Row],[Year]]&amp;"-"&amp;TimeEntry[[#This Row],[WkNo]]</f>
        <v>2019-50</v>
      </c>
    </row>
    <row r="392" spans="1:20" x14ac:dyDescent="0.25">
      <c r="A392" s="6">
        <f>MOD(IF(ROW()=2,0.1,IF(INDEX(TimeEntry[WkEnd],ROW()-1)  =  INDEX(TimeEntry[WkEnd],ROW()-2),    INDEX(TimeEntry[format],ROW()-2),    INDEX(TimeEntry[format],ROW()-2)    +1)),2)</f>
        <v>0.10000000000000009</v>
      </c>
      <c r="B392" s="7"/>
      <c r="C392" s="8">
        <v>43803</v>
      </c>
      <c r="D392" s="8"/>
      <c r="E392" s="1" t="s">
        <v>455</v>
      </c>
      <c r="F392" s="8">
        <f>IF(TimeEntry[[#This Row],[Date]]=0,F391,C392+(7-Q392))</f>
        <v>43807</v>
      </c>
      <c r="G392" s="35" t="str">
        <f>INDEX(projects[Charge_Code],MATCH(TimeEntry[[#This Row],[Project_ID]],projects[Project_ID],0))</f>
        <v>268017-25  KSC - Tunnel</v>
      </c>
      <c r="H392" s="1" t="str">
        <f t="shared" si="9"/>
        <v>Normal Time</v>
      </c>
      <c r="I392" s="1"/>
      <c r="J392" s="15">
        <v>2</v>
      </c>
      <c r="K392" s="15"/>
      <c r="L392" s="15"/>
      <c r="M392" s="15"/>
      <c r="N392" s="15"/>
      <c r="O392" s="15" t="str">
        <f>INDEX(projects[job number],MATCH(TimeEntry[[#This Row],[Project_ID]], projects[Project_ID],0))</f>
        <v xml:space="preserve">268017-25 </v>
      </c>
      <c r="P392" s="15" t="str">
        <f>INDEX(projects[Project_Name],MATCH(TimeEntry[[#This Row],[Project_ID]], projects[Project_ID],0))</f>
        <v>KSC - Tunnel</v>
      </c>
      <c r="Q392" s="6">
        <f>IF(TimeEntry[[#This Row],[Date]]=0,"",WEEKDAY(C392,2))</f>
        <v>3</v>
      </c>
      <c r="R392" s="9">
        <f>YEAR(TimeEntry[[#This Row],[WkEnd]])</f>
        <v>2019</v>
      </c>
      <c r="S392" s="9">
        <f>WEEKNUM(TimeEntry[[#This Row],[WkEnd]])</f>
        <v>50</v>
      </c>
      <c r="T392" s="9" t="str">
        <f>TimeEntry[[#This Row],[Year]]&amp;"-"&amp;TimeEntry[[#This Row],[WkNo]]</f>
        <v>2019-50</v>
      </c>
    </row>
    <row r="393" spans="1:20" x14ac:dyDescent="0.25">
      <c r="A393" s="6">
        <f>MOD(IF(ROW()=2,0.1,IF(INDEX(TimeEntry[WkEnd],ROW()-1)  =  INDEX(TimeEntry[WkEnd],ROW()-2),    INDEX(TimeEntry[format],ROW()-2),    INDEX(TimeEntry[format],ROW()-2)    +1)),2)</f>
        <v>0.10000000000000009</v>
      </c>
      <c r="B393" s="7"/>
      <c r="C393" s="8">
        <v>43803</v>
      </c>
      <c r="D393" s="8"/>
      <c r="E393" s="1" t="s">
        <v>456</v>
      </c>
      <c r="F393" s="8">
        <f>IF(TimeEntry[[#This Row],[Date]]=0,F392,C393+(7-Q393))</f>
        <v>43807</v>
      </c>
      <c r="G393" s="35" t="str">
        <f>INDEX(projects[Charge_Code],MATCH(TimeEntry[[#This Row],[Project_ID]],projects[Project_ID],0))</f>
        <v>210035-51 VBB 3rd - new bridge</v>
      </c>
      <c r="H393" s="1" t="str">
        <f t="shared" si="9"/>
        <v>Normal Time</v>
      </c>
      <c r="I393" s="1"/>
      <c r="J393" s="15">
        <v>5.5</v>
      </c>
      <c r="K393" s="15"/>
      <c r="L393" s="15"/>
      <c r="M393" s="15"/>
      <c r="N393" s="15"/>
      <c r="O393" s="15" t="str">
        <f>INDEX(projects[job number],MATCH(TimeEntry[[#This Row],[Project_ID]], projects[Project_ID],0))</f>
        <v>210035-51</v>
      </c>
      <c r="P393" s="15" t="str">
        <f>INDEX(projects[Project_Name],MATCH(TimeEntry[[#This Row],[Project_ID]], projects[Project_ID],0))</f>
        <v>VBB 3rd - new bridge</v>
      </c>
      <c r="Q393" s="6">
        <f>IF(TimeEntry[[#This Row],[Date]]=0,"",WEEKDAY(C393,2))</f>
        <v>3</v>
      </c>
      <c r="R393" s="9">
        <f>YEAR(TimeEntry[[#This Row],[WkEnd]])</f>
        <v>2019</v>
      </c>
      <c r="S393" s="9">
        <f>WEEKNUM(TimeEntry[[#This Row],[WkEnd]])</f>
        <v>50</v>
      </c>
      <c r="T393" s="9" t="str">
        <f>TimeEntry[[#This Row],[Year]]&amp;"-"&amp;TimeEntry[[#This Row],[WkNo]]</f>
        <v>2019-50</v>
      </c>
    </row>
    <row r="394" spans="1:20" x14ac:dyDescent="0.25">
      <c r="A394" s="6">
        <f>MOD(IF(ROW()=2,0.1,IF(INDEX(TimeEntry[WkEnd],ROW()-1)  =  INDEX(TimeEntry[WkEnd],ROW()-2),    INDEX(TimeEntry[format],ROW()-2),    INDEX(TimeEntry[format],ROW()-2)    +1)),2)</f>
        <v>0.10000000000000009</v>
      </c>
      <c r="B394" s="7"/>
      <c r="C394" s="8">
        <v>43804</v>
      </c>
      <c r="D394" s="8"/>
      <c r="E394" s="1" t="s">
        <v>456</v>
      </c>
      <c r="F394" s="8">
        <f>IF(TimeEntry[[#This Row],[Date]]=0,F393,C394+(7-Q394))</f>
        <v>43807</v>
      </c>
      <c r="G394" s="35" t="str">
        <f>INDEX(projects[Charge_Code],MATCH(TimeEntry[[#This Row],[Project_ID]],projects[Project_ID],0))</f>
        <v>210035-51 VBB 3rd - new bridge</v>
      </c>
      <c r="H394" s="1" t="str">
        <f t="shared" si="9"/>
        <v>Normal Time</v>
      </c>
      <c r="I394" s="1"/>
      <c r="J394" s="15">
        <v>2.5</v>
      </c>
      <c r="K394" s="15"/>
      <c r="L394" s="15"/>
      <c r="M394" s="15"/>
      <c r="N394" s="15"/>
      <c r="O394" s="15" t="str">
        <f>INDEX(projects[job number],MATCH(TimeEntry[[#This Row],[Project_ID]], projects[Project_ID],0))</f>
        <v>210035-51</v>
      </c>
      <c r="P394" s="15" t="str">
        <f>INDEX(projects[Project_Name],MATCH(TimeEntry[[#This Row],[Project_ID]], projects[Project_ID],0))</f>
        <v>VBB 3rd - new bridge</v>
      </c>
      <c r="Q394" s="6">
        <f>IF(TimeEntry[[#This Row],[Date]]=0,"",WEEKDAY(C394,2))</f>
        <v>4</v>
      </c>
      <c r="R394" s="9">
        <f>YEAR(TimeEntry[[#This Row],[WkEnd]])</f>
        <v>2019</v>
      </c>
      <c r="S394" s="9">
        <f>WEEKNUM(TimeEntry[[#This Row],[WkEnd]])</f>
        <v>50</v>
      </c>
      <c r="T394" s="9" t="str">
        <f>TimeEntry[[#This Row],[Year]]&amp;"-"&amp;TimeEntry[[#This Row],[WkNo]]</f>
        <v>2019-50</v>
      </c>
    </row>
    <row r="395" spans="1:20" x14ac:dyDescent="0.25">
      <c r="A395" s="6">
        <f>MOD(IF(ROW()=2,0.1,IF(INDEX(TimeEntry[WkEnd],ROW()-1)  =  INDEX(TimeEntry[WkEnd],ROW()-2),    INDEX(TimeEntry[format],ROW()-2),    INDEX(TimeEntry[format],ROW()-2)    +1)),2)</f>
        <v>0.10000000000000009</v>
      </c>
      <c r="B395" s="7"/>
      <c r="C395" s="8">
        <v>43804</v>
      </c>
      <c r="D395" s="8"/>
      <c r="E395" s="1" t="s">
        <v>456</v>
      </c>
      <c r="F395" s="8">
        <f>IF(TimeEntry[[#This Row],[Date]]=0,F394,C395+(7-Q395))</f>
        <v>43807</v>
      </c>
      <c r="G395" s="35" t="str">
        <f>INDEX(projects[Charge_Code],MATCH(TimeEntry[[#This Row],[Project_ID]],projects[Project_ID],0))</f>
        <v>210035-51 VBB 3rd - new bridge</v>
      </c>
      <c r="H395" s="1" t="str">
        <f t="shared" si="9"/>
        <v>Normal Time</v>
      </c>
      <c r="I395" s="1"/>
      <c r="J395" s="15">
        <v>2</v>
      </c>
      <c r="K395" s="15"/>
      <c r="L395" s="15"/>
      <c r="M395" s="15"/>
      <c r="N395" s="15"/>
      <c r="O395" s="15" t="str">
        <f>INDEX(projects[job number],MATCH(TimeEntry[[#This Row],[Project_ID]], projects[Project_ID],0))</f>
        <v>210035-51</v>
      </c>
      <c r="P395" s="15" t="str">
        <f>INDEX(projects[Project_Name],MATCH(TimeEntry[[#This Row],[Project_ID]], projects[Project_ID],0))</f>
        <v>VBB 3rd - new bridge</v>
      </c>
      <c r="Q395" s="6">
        <f>IF(TimeEntry[[#This Row],[Date]]=0,"",WEEKDAY(C395,2))</f>
        <v>4</v>
      </c>
      <c r="R395" s="9">
        <f>YEAR(TimeEntry[[#This Row],[WkEnd]])</f>
        <v>2019</v>
      </c>
      <c r="S395" s="9">
        <f>WEEKNUM(TimeEntry[[#This Row],[WkEnd]])</f>
        <v>50</v>
      </c>
      <c r="T395" s="9" t="str">
        <f>TimeEntry[[#This Row],[Year]]&amp;"-"&amp;TimeEntry[[#This Row],[WkNo]]</f>
        <v>2019-50</v>
      </c>
    </row>
    <row r="396" spans="1:20" x14ac:dyDescent="0.25">
      <c r="A396" s="6">
        <f>MOD(IF(ROW()=2,0.1,IF(INDEX(TimeEntry[WkEnd],ROW()-1)  =  INDEX(TimeEntry[WkEnd],ROW()-2),    INDEX(TimeEntry[format],ROW()-2),    INDEX(TimeEntry[format],ROW()-2)    +1)),2)</f>
        <v>0.10000000000000009</v>
      </c>
      <c r="B396" s="7"/>
      <c r="C396" s="8">
        <v>43804</v>
      </c>
      <c r="D396" s="8"/>
      <c r="E396" s="1" t="s">
        <v>455</v>
      </c>
      <c r="F396" s="8">
        <f>IF(TimeEntry[[#This Row],[Date]]=0,F395,C396+(7-Q396))</f>
        <v>43807</v>
      </c>
      <c r="G396" s="35" t="str">
        <f>INDEX(projects[Charge_Code],MATCH(TimeEntry[[#This Row],[Project_ID]],projects[Project_ID],0))</f>
        <v>268017-25  KSC - Tunnel</v>
      </c>
      <c r="H396" s="1" t="str">
        <f t="shared" si="9"/>
        <v>Normal Time</v>
      </c>
      <c r="I396" s="1"/>
      <c r="J396" s="15">
        <v>3</v>
      </c>
      <c r="K396" s="15"/>
      <c r="L396" s="15"/>
      <c r="M396" s="15"/>
      <c r="N396" s="15"/>
      <c r="O396" s="15" t="str">
        <f>INDEX(projects[job number],MATCH(TimeEntry[[#This Row],[Project_ID]], projects[Project_ID],0))</f>
        <v xml:space="preserve">268017-25 </v>
      </c>
      <c r="P396" s="15" t="str">
        <f>INDEX(projects[Project_Name],MATCH(TimeEntry[[#This Row],[Project_ID]], projects[Project_ID],0))</f>
        <v>KSC - Tunnel</v>
      </c>
      <c r="Q396" s="6">
        <f>IF(TimeEntry[[#This Row],[Date]]=0,"",WEEKDAY(C396,2))</f>
        <v>4</v>
      </c>
      <c r="R396" s="9">
        <f>YEAR(TimeEntry[[#This Row],[WkEnd]])</f>
        <v>2019</v>
      </c>
      <c r="S396" s="9">
        <f>WEEKNUM(TimeEntry[[#This Row],[WkEnd]])</f>
        <v>50</v>
      </c>
      <c r="T396" s="9" t="str">
        <f>TimeEntry[[#This Row],[Year]]&amp;"-"&amp;TimeEntry[[#This Row],[WkNo]]</f>
        <v>2019-50</v>
      </c>
    </row>
    <row r="397" spans="1:20" x14ac:dyDescent="0.25">
      <c r="A397" s="6">
        <f>MOD(IF(ROW()=2,0.1,IF(INDEX(TimeEntry[WkEnd],ROW()-1)  =  INDEX(TimeEntry[WkEnd],ROW()-2),    INDEX(TimeEntry[format],ROW()-2),    INDEX(TimeEntry[format],ROW()-2)    +1)),2)</f>
        <v>0.10000000000000009</v>
      </c>
      <c r="B397" s="7"/>
      <c r="C397" s="8">
        <v>43805</v>
      </c>
      <c r="D397" s="8"/>
      <c r="E397" s="1" t="s">
        <v>455</v>
      </c>
      <c r="F397" s="8">
        <f>IF(TimeEntry[[#This Row],[Date]]=0,F396,C397+(7-Q397))</f>
        <v>43807</v>
      </c>
      <c r="G397" s="35" t="str">
        <f>INDEX(projects[Charge_Code],MATCH(TimeEntry[[#This Row],[Project_ID]],projects[Project_ID],0))</f>
        <v>268017-25  KSC - Tunnel</v>
      </c>
      <c r="H397" s="1" t="str">
        <f t="shared" si="9"/>
        <v>Normal Time</v>
      </c>
      <c r="I397" s="1"/>
      <c r="J397" s="15">
        <v>4.5</v>
      </c>
      <c r="K397" s="15"/>
      <c r="L397" s="15"/>
      <c r="M397" s="15"/>
      <c r="N397" s="15"/>
      <c r="O397" s="15" t="str">
        <f>INDEX(projects[job number],MATCH(TimeEntry[[#This Row],[Project_ID]], projects[Project_ID],0))</f>
        <v xml:space="preserve">268017-25 </v>
      </c>
      <c r="P397" s="15" t="str">
        <f>INDEX(projects[Project_Name],MATCH(TimeEntry[[#This Row],[Project_ID]], projects[Project_ID],0))</f>
        <v>KSC - Tunnel</v>
      </c>
      <c r="Q397" s="6">
        <f>IF(TimeEntry[[#This Row],[Date]]=0,"",WEEKDAY(C397,2))</f>
        <v>5</v>
      </c>
      <c r="R397" s="9">
        <f>YEAR(TimeEntry[[#This Row],[WkEnd]])</f>
        <v>2019</v>
      </c>
      <c r="S397" s="9">
        <f>WEEKNUM(TimeEntry[[#This Row],[WkEnd]])</f>
        <v>50</v>
      </c>
      <c r="T397" s="9" t="str">
        <f>TimeEntry[[#This Row],[Year]]&amp;"-"&amp;TimeEntry[[#This Row],[WkNo]]</f>
        <v>2019-50</v>
      </c>
    </row>
    <row r="398" spans="1:20" x14ac:dyDescent="0.25">
      <c r="A398" s="6">
        <f>MOD(IF(ROW()=2,0.1,IF(INDEX(TimeEntry[WkEnd],ROW()-1)  =  INDEX(TimeEntry[WkEnd],ROW()-2),    INDEX(TimeEntry[format],ROW()-2),    INDEX(TimeEntry[format],ROW()-2)    +1)),2)</f>
        <v>0.10000000000000009</v>
      </c>
      <c r="B398" s="7"/>
      <c r="C398" s="8">
        <v>43805</v>
      </c>
      <c r="D398" s="8"/>
      <c r="E398" s="1" t="s">
        <v>456</v>
      </c>
      <c r="F398" s="8">
        <f>IF(TimeEntry[[#This Row],[Date]]=0,F397,C398+(7-Q398))</f>
        <v>43807</v>
      </c>
      <c r="G398" s="35" t="str">
        <f>INDEX(projects[Charge_Code],MATCH(TimeEntry[[#This Row],[Project_ID]],projects[Project_ID],0))</f>
        <v>210035-51 VBB 3rd - new bridge</v>
      </c>
      <c r="H398" s="1" t="str">
        <f t="shared" si="9"/>
        <v>Normal Time</v>
      </c>
      <c r="I398" s="1"/>
      <c r="J398" s="15">
        <v>3</v>
      </c>
      <c r="K398" s="15"/>
      <c r="L398" s="15"/>
      <c r="M398" s="15"/>
      <c r="N398" s="15"/>
      <c r="O398" s="15" t="str">
        <f>INDEX(projects[job number],MATCH(TimeEntry[[#This Row],[Project_ID]], projects[Project_ID],0))</f>
        <v>210035-51</v>
      </c>
      <c r="P398" s="15" t="str">
        <f>INDEX(projects[Project_Name],MATCH(TimeEntry[[#This Row],[Project_ID]], projects[Project_ID],0))</f>
        <v>VBB 3rd - new bridge</v>
      </c>
      <c r="Q398" s="6">
        <f>IF(TimeEntry[[#This Row],[Date]]=0,"",WEEKDAY(C398,2))</f>
        <v>5</v>
      </c>
      <c r="R398" s="9">
        <f>YEAR(TimeEntry[[#This Row],[WkEnd]])</f>
        <v>2019</v>
      </c>
      <c r="S398" s="9">
        <f>WEEKNUM(TimeEntry[[#This Row],[WkEnd]])</f>
        <v>50</v>
      </c>
      <c r="T398" s="9" t="str">
        <f>TimeEntry[[#This Row],[Year]]&amp;"-"&amp;TimeEntry[[#This Row],[WkNo]]</f>
        <v>2019-50</v>
      </c>
    </row>
    <row r="399" spans="1:20" x14ac:dyDescent="0.25">
      <c r="A399" s="6">
        <f>MOD(IF(ROW()=2,0.1,IF(INDEX(TimeEntry[WkEnd],ROW()-1)  =  INDEX(TimeEntry[WkEnd],ROW()-2),    INDEX(TimeEntry[format],ROW()-2),    INDEX(TimeEntry[format],ROW()-2)    +1)),2)</f>
        <v>1.1000000000000001</v>
      </c>
      <c r="B399" s="7"/>
      <c r="C399" s="8">
        <v>43794</v>
      </c>
      <c r="D399" s="8"/>
      <c r="E399" s="1" t="s">
        <v>455</v>
      </c>
      <c r="F399" s="8">
        <f>IF(TimeEntry[[#This Row],[Date]]=0,F398,C399+(7-Q399))</f>
        <v>43800</v>
      </c>
      <c r="G399" s="35" t="str">
        <f>INDEX(projects[Charge_Code],MATCH(TimeEntry[[#This Row],[Project_ID]],projects[Project_ID],0))</f>
        <v>268017-25  KSC - Tunnel</v>
      </c>
      <c r="H399" s="1" t="str">
        <f t="shared" si="9"/>
        <v>Normal Time</v>
      </c>
      <c r="I399" s="1"/>
      <c r="J399" s="15">
        <v>5.5</v>
      </c>
      <c r="K399" s="15"/>
      <c r="L399" s="15"/>
      <c r="M399" s="15"/>
      <c r="N399" s="15"/>
      <c r="O399" s="15" t="str">
        <f>INDEX(projects[job number],MATCH(TimeEntry[[#This Row],[Project_ID]], projects[Project_ID],0))</f>
        <v xml:space="preserve">268017-25 </v>
      </c>
      <c r="P399" s="15" t="str">
        <f>INDEX(projects[Project_Name],MATCH(TimeEntry[[#This Row],[Project_ID]], projects[Project_ID],0))</f>
        <v>KSC - Tunnel</v>
      </c>
      <c r="Q399" s="6">
        <f>IF(TimeEntry[[#This Row],[Date]]=0,"",WEEKDAY(C399,2))</f>
        <v>1</v>
      </c>
      <c r="R399" s="9">
        <f>YEAR(TimeEntry[[#This Row],[WkEnd]])</f>
        <v>2019</v>
      </c>
      <c r="S399" s="9">
        <f>WEEKNUM(TimeEntry[[#This Row],[WkEnd]])</f>
        <v>49</v>
      </c>
      <c r="T399" s="9" t="str">
        <f>TimeEntry[[#This Row],[Year]]&amp;"-"&amp;TimeEntry[[#This Row],[WkNo]]</f>
        <v>2019-49</v>
      </c>
    </row>
    <row r="400" spans="1:20" x14ac:dyDescent="0.25">
      <c r="A400" s="6">
        <f>MOD(IF(ROW()=2,0.1,IF(INDEX(TimeEntry[WkEnd],ROW()-1)  =  INDEX(TimeEntry[WkEnd],ROW()-2),    INDEX(TimeEntry[format],ROW()-2),    INDEX(TimeEntry[format],ROW()-2)    +1)),2)</f>
        <v>1.1000000000000001</v>
      </c>
      <c r="B400" s="7"/>
      <c r="C400" s="8">
        <v>43794</v>
      </c>
      <c r="D400" s="8"/>
      <c r="E400" s="1" t="s">
        <v>455</v>
      </c>
      <c r="F400" s="8">
        <f>IF(TimeEntry[[#This Row],[Date]]=0,F399,C400+(7-Q400))</f>
        <v>43800</v>
      </c>
      <c r="G400" s="35" t="str">
        <f>INDEX(projects[Charge_Code],MATCH(TimeEntry[[#This Row],[Project_ID]],projects[Project_ID],0))</f>
        <v>268017-25  KSC - Tunnel</v>
      </c>
      <c r="H400" s="1" t="str">
        <f t="shared" si="9"/>
        <v>Normal Time</v>
      </c>
      <c r="I400" s="1"/>
      <c r="J400" s="15">
        <v>2</v>
      </c>
      <c r="K400" s="15"/>
      <c r="L400" s="15"/>
      <c r="M400" s="15"/>
      <c r="N400" s="15"/>
      <c r="O400" s="15" t="str">
        <f>INDEX(projects[job number],MATCH(TimeEntry[[#This Row],[Project_ID]], projects[Project_ID],0))</f>
        <v xml:space="preserve">268017-25 </v>
      </c>
      <c r="P400" s="15" t="str">
        <f>INDEX(projects[Project_Name],MATCH(TimeEntry[[#This Row],[Project_ID]], projects[Project_ID],0))</f>
        <v>KSC - Tunnel</v>
      </c>
      <c r="Q400" s="6">
        <f>IF(TimeEntry[[#This Row],[Date]]=0,"",WEEKDAY(C400,2))</f>
        <v>1</v>
      </c>
      <c r="R400" s="9">
        <f>YEAR(TimeEntry[[#This Row],[WkEnd]])</f>
        <v>2019</v>
      </c>
      <c r="S400" s="9">
        <f>WEEKNUM(TimeEntry[[#This Row],[WkEnd]])</f>
        <v>49</v>
      </c>
      <c r="T400" s="9" t="str">
        <f>TimeEntry[[#This Row],[Year]]&amp;"-"&amp;TimeEntry[[#This Row],[WkNo]]</f>
        <v>2019-49</v>
      </c>
    </row>
    <row r="401" spans="1:20" x14ac:dyDescent="0.25">
      <c r="A401" s="6">
        <f>MOD(IF(ROW()=2,0.1,IF(INDEX(TimeEntry[WkEnd],ROW()-1)  =  INDEX(TimeEntry[WkEnd],ROW()-2),    INDEX(TimeEntry[format],ROW()-2),    INDEX(TimeEntry[format],ROW()-2)    +1)),2)</f>
        <v>1.1000000000000001</v>
      </c>
      <c r="B401" s="7"/>
      <c r="C401" s="8">
        <v>43795</v>
      </c>
      <c r="D401" s="8"/>
      <c r="E401" s="1" t="s">
        <v>456</v>
      </c>
      <c r="F401" s="8">
        <f>IF(TimeEntry[[#This Row],[Date]]=0,F400,C401+(7-Q401))</f>
        <v>43800</v>
      </c>
      <c r="G401" s="35" t="str">
        <f>INDEX(projects[Charge_Code],MATCH(TimeEntry[[#This Row],[Project_ID]],projects[Project_ID],0))</f>
        <v>210035-51 VBB 3rd - new bridge</v>
      </c>
      <c r="H401" s="1" t="str">
        <f t="shared" si="9"/>
        <v>Normal Time</v>
      </c>
      <c r="I401" s="1"/>
      <c r="J401" s="15">
        <v>5.5</v>
      </c>
      <c r="K401" s="15"/>
      <c r="L401" s="15"/>
      <c r="M401" s="15"/>
      <c r="N401" s="15"/>
      <c r="O401" s="15" t="str">
        <f>INDEX(projects[job number],MATCH(TimeEntry[[#This Row],[Project_ID]], projects[Project_ID],0))</f>
        <v>210035-51</v>
      </c>
      <c r="P401" s="15" t="str">
        <f>INDEX(projects[Project_Name],MATCH(TimeEntry[[#This Row],[Project_ID]], projects[Project_ID],0))</f>
        <v>VBB 3rd - new bridge</v>
      </c>
      <c r="Q401" s="6">
        <f>IF(TimeEntry[[#This Row],[Date]]=0,"",WEEKDAY(C401,2))</f>
        <v>2</v>
      </c>
      <c r="R401" s="9">
        <f>YEAR(TimeEntry[[#This Row],[WkEnd]])</f>
        <v>2019</v>
      </c>
      <c r="S401" s="9">
        <f>WEEKNUM(TimeEntry[[#This Row],[WkEnd]])</f>
        <v>49</v>
      </c>
      <c r="T401" s="9" t="str">
        <f>TimeEntry[[#This Row],[Year]]&amp;"-"&amp;TimeEntry[[#This Row],[WkNo]]</f>
        <v>2019-49</v>
      </c>
    </row>
    <row r="402" spans="1:20" x14ac:dyDescent="0.25">
      <c r="A402" s="6">
        <f>MOD(IF(ROW()=2,0.1,IF(INDEX(TimeEntry[WkEnd],ROW()-1)  =  INDEX(TimeEntry[WkEnd],ROW()-2),    INDEX(TimeEntry[format],ROW()-2),    INDEX(TimeEntry[format],ROW()-2)    +1)),2)</f>
        <v>1.1000000000000001</v>
      </c>
      <c r="B402" s="7"/>
      <c r="C402" s="8">
        <v>43795</v>
      </c>
      <c r="D402" s="8"/>
      <c r="E402" s="1" t="s">
        <v>446</v>
      </c>
      <c r="F402" s="8">
        <f>IF(TimeEntry[[#This Row],[Date]]=0,F401,C402+(7-Q402))</f>
        <v>43800</v>
      </c>
      <c r="G402" s="35" t="str">
        <f>INDEX(projects[Charge_Code],MATCH(TimeEntry[[#This Row],[Project_ID]],projects[Project_ID],0))</f>
        <v>074097-29 BCST Appraisal</v>
      </c>
      <c r="H402" s="1" t="str">
        <f t="shared" si="9"/>
        <v>Normal Time</v>
      </c>
      <c r="I402" s="1"/>
      <c r="J402" s="15">
        <v>2</v>
      </c>
      <c r="K402" s="15"/>
      <c r="L402" s="15"/>
      <c r="M402" s="15"/>
      <c r="N402" s="15"/>
      <c r="O402" s="15" t="str">
        <f>INDEX(projects[job number],MATCH(TimeEntry[[#This Row],[Project_ID]], projects[Project_ID],0))</f>
        <v>074097-29</v>
      </c>
      <c r="P402" s="15" t="str">
        <f>INDEX(projects[Project_Name],MATCH(TimeEntry[[#This Row],[Project_ID]], projects[Project_ID],0))</f>
        <v>BCST Appraisal</v>
      </c>
      <c r="Q402" s="6">
        <f>IF(TimeEntry[[#This Row],[Date]]=0,"",WEEKDAY(C402,2))</f>
        <v>2</v>
      </c>
      <c r="R402" s="9">
        <f>YEAR(TimeEntry[[#This Row],[WkEnd]])</f>
        <v>2019</v>
      </c>
      <c r="S402" s="9">
        <f>WEEKNUM(TimeEntry[[#This Row],[WkEnd]])</f>
        <v>49</v>
      </c>
      <c r="T402" s="9" t="str">
        <f>TimeEntry[[#This Row],[Year]]&amp;"-"&amp;TimeEntry[[#This Row],[WkNo]]</f>
        <v>2019-49</v>
      </c>
    </row>
    <row r="403" spans="1:20" x14ac:dyDescent="0.25">
      <c r="A403" s="6">
        <f>MOD(IF(ROW()=2,0.1,IF(INDEX(TimeEntry[WkEnd],ROW()-1)  =  INDEX(TimeEntry[WkEnd],ROW()-2),    INDEX(TimeEntry[format],ROW()-2),    INDEX(TimeEntry[format],ROW()-2)    +1)),2)</f>
        <v>1.1000000000000001</v>
      </c>
      <c r="B403" s="7"/>
      <c r="C403" s="8">
        <v>43796</v>
      </c>
      <c r="D403" s="8"/>
      <c r="E403" s="1" t="s">
        <v>455</v>
      </c>
      <c r="F403" s="8">
        <f>IF(TimeEntry[[#This Row],[Date]]=0,F402,C403+(7-Q403))</f>
        <v>43800</v>
      </c>
      <c r="G403" s="35" t="str">
        <f>INDEX(projects[Charge_Code],MATCH(TimeEntry[[#This Row],[Project_ID]],projects[Project_ID],0))</f>
        <v>268017-25  KSC - Tunnel</v>
      </c>
      <c r="H403" s="1" t="str">
        <f t="shared" si="9"/>
        <v>Normal Time</v>
      </c>
      <c r="I403" s="1"/>
      <c r="J403" s="15">
        <v>1</v>
      </c>
      <c r="K403" s="15"/>
      <c r="L403" s="15"/>
      <c r="M403" s="15"/>
      <c r="N403" s="15"/>
      <c r="O403" s="15" t="str">
        <f>INDEX(projects[job number],MATCH(TimeEntry[[#This Row],[Project_ID]], projects[Project_ID],0))</f>
        <v xml:space="preserve">268017-25 </v>
      </c>
      <c r="P403" s="15" t="str">
        <f>INDEX(projects[Project_Name],MATCH(TimeEntry[[#This Row],[Project_ID]], projects[Project_ID],0))</f>
        <v>KSC - Tunnel</v>
      </c>
      <c r="Q403" s="6">
        <f>IF(TimeEntry[[#This Row],[Date]]=0,"",WEEKDAY(C403,2))</f>
        <v>3</v>
      </c>
      <c r="R403" s="9">
        <f>YEAR(TimeEntry[[#This Row],[WkEnd]])</f>
        <v>2019</v>
      </c>
      <c r="S403" s="9">
        <f>WEEKNUM(TimeEntry[[#This Row],[WkEnd]])</f>
        <v>49</v>
      </c>
      <c r="T403" s="9" t="str">
        <f>TimeEntry[[#This Row],[Year]]&amp;"-"&amp;TimeEntry[[#This Row],[WkNo]]</f>
        <v>2019-49</v>
      </c>
    </row>
    <row r="404" spans="1:20" x14ac:dyDescent="0.25">
      <c r="A404" s="6">
        <f>MOD(IF(ROW()=2,0.1,IF(INDEX(TimeEntry[WkEnd],ROW()-1)  =  INDEX(TimeEntry[WkEnd],ROW()-2),    INDEX(TimeEntry[format],ROW()-2),    INDEX(TimeEntry[format],ROW()-2)    +1)),2)</f>
        <v>1.1000000000000001</v>
      </c>
      <c r="B404" s="7"/>
      <c r="C404" s="8">
        <v>43796</v>
      </c>
      <c r="D404" s="8"/>
      <c r="E404" s="1" t="s">
        <v>456</v>
      </c>
      <c r="F404" s="8">
        <f>IF(TimeEntry[[#This Row],[Date]]=0,F403,C404+(7-Q404))</f>
        <v>43800</v>
      </c>
      <c r="G404" s="35" t="str">
        <f>INDEX(projects[Charge_Code],MATCH(TimeEntry[[#This Row],[Project_ID]],projects[Project_ID],0))</f>
        <v>210035-51 VBB 3rd - new bridge</v>
      </c>
      <c r="H404" s="1" t="str">
        <f t="shared" si="9"/>
        <v>Normal Time</v>
      </c>
      <c r="I404" s="1"/>
      <c r="J404" s="15">
        <v>2.5</v>
      </c>
      <c r="K404" s="15"/>
      <c r="L404" s="15"/>
      <c r="M404" s="15"/>
      <c r="N404" s="15"/>
      <c r="O404" s="15" t="str">
        <f>INDEX(projects[job number],MATCH(TimeEntry[[#This Row],[Project_ID]], projects[Project_ID],0))</f>
        <v>210035-51</v>
      </c>
      <c r="P404" s="15" t="str">
        <f>INDEX(projects[Project_Name],MATCH(TimeEntry[[#This Row],[Project_ID]], projects[Project_ID],0))</f>
        <v>VBB 3rd - new bridge</v>
      </c>
      <c r="Q404" s="6">
        <f>IF(TimeEntry[[#This Row],[Date]]=0,"",WEEKDAY(C404,2))</f>
        <v>3</v>
      </c>
      <c r="R404" s="9">
        <f>YEAR(TimeEntry[[#This Row],[WkEnd]])</f>
        <v>2019</v>
      </c>
      <c r="S404" s="9">
        <f>WEEKNUM(TimeEntry[[#This Row],[WkEnd]])</f>
        <v>49</v>
      </c>
      <c r="T404" s="9" t="str">
        <f>TimeEntry[[#This Row],[Year]]&amp;"-"&amp;TimeEntry[[#This Row],[WkNo]]</f>
        <v>2019-49</v>
      </c>
    </row>
    <row r="405" spans="1:20" x14ac:dyDescent="0.25">
      <c r="A405" s="6">
        <f>MOD(IF(ROW()=2,0.1,IF(INDEX(TimeEntry[WkEnd],ROW()-1)  =  INDEX(TimeEntry[WkEnd],ROW()-2),    INDEX(TimeEntry[format],ROW()-2),    INDEX(TimeEntry[format],ROW()-2)    +1)),2)</f>
        <v>1.1000000000000001</v>
      </c>
      <c r="B405" s="7"/>
      <c r="C405" s="8">
        <v>43796</v>
      </c>
      <c r="D405" s="8"/>
      <c r="E405" s="1" t="s">
        <v>455</v>
      </c>
      <c r="F405" s="8">
        <f>IF(TimeEntry[[#This Row],[Date]]=0,F404,C405+(7-Q405))</f>
        <v>43800</v>
      </c>
      <c r="G405" s="35" t="str">
        <f>INDEX(projects[Charge_Code],MATCH(TimeEntry[[#This Row],[Project_ID]],projects[Project_ID],0))</f>
        <v>268017-25  KSC - Tunnel</v>
      </c>
      <c r="H405" s="1" t="str">
        <f t="shared" si="9"/>
        <v>Normal Time</v>
      </c>
      <c r="I405" s="1"/>
      <c r="J405" s="15">
        <v>4</v>
      </c>
      <c r="K405" s="15"/>
      <c r="L405" s="15"/>
      <c r="M405" s="15"/>
      <c r="N405" s="15"/>
      <c r="O405" s="15" t="str">
        <f>INDEX(projects[job number],MATCH(TimeEntry[[#This Row],[Project_ID]], projects[Project_ID],0))</f>
        <v xml:space="preserve">268017-25 </v>
      </c>
      <c r="P405" s="15" t="str">
        <f>INDEX(projects[Project_Name],MATCH(TimeEntry[[#This Row],[Project_ID]], projects[Project_ID],0))</f>
        <v>KSC - Tunnel</v>
      </c>
      <c r="Q405" s="6">
        <f>IF(TimeEntry[[#This Row],[Date]]=0,"",WEEKDAY(C405,2))</f>
        <v>3</v>
      </c>
      <c r="R405" s="9">
        <f>YEAR(TimeEntry[[#This Row],[WkEnd]])</f>
        <v>2019</v>
      </c>
      <c r="S405" s="9">
        <f>WEEKNUM(TimeEntry[[#This Row],[WkEnd]])</f>
        <v>49</v>
      </c>
      <c r="T405" s="9" t="str">
        <f>TimeEntry[[#This Row],[Year]]&amp;"-"&amp;TimeEntry[[#This Row],[WkNo]]</f>
        <v>2019-49</v>
      </c>
    </row>
    <row r="406" spans="1:20" x14ac:dyDescent="0.25">
      <c r="A406" s="6">
        <f>MOD(IF(ROW()=2,0.1,IF(INDEX(TimeEntry[WkEnd],ROW()-1)  =  INDEX(TimeEntry[WkEnd],ROW()-2),    INDEX(TimeEntry[format],ROW()-2),    INDEX(TimeEntry[format],ROW()-2)    +1)),2)</f>
        <v>1.1000000000000001</v>
      </c>
      <c r="B406" s="7"/>
      <c r="C406" s="8">
        <v>43797</v>
      </c>
      <c r="D406" s="8"/>
      <c r="E406" s="1" t="s">
        <v>455</v>
      </c>
      <c r="F406" s="8">
        <f>IF(TimeEntry[[#This Row],[Date]]=0,F405,C406+(7-Q406))</f>
        <v>43800</v>
      </c>
      <c r="G406" s="35" t="str">
        <f>INDEX(projects[Charge_Code],MATCH(TimeEntry[[#This Row],[Project_ID]],projects[Project_ID],0))</f>
        <v>268017-25  KSC - Tunnel</v>
      </c>
      <c r="H406" s="1" t="str">
        <f t="shared" si="9"/>
        <v>Normal Time</v>
      </c>
      <c r="I406" s="1"/>
      <c r="J406" s="15">
        <v>7.5</v>
      </c>
      <c r="K406" s="15"/>
      <c r="L406" s="15"/>
      <c r="M406" s="15"/>
      <c r="N406" s="15"/>
      <c r="O406" s="15" t="str">
        <f>INDEX(projects[job number],MATCH(TimeEntry[[#This Row],[Project_ID]], projects[Project_ID],0))</f>
        <v xml:space="preserve">268017-25 </v>
      </c>
      <c r="P406" s="15" t="str">
        <f>INDEX(projects[Project_Name],MATCH(TimeEntry[[#This Row],[Project_ID]], projects[Project_ID],0))</f>
        <v>KSC - Tunnel</v>
      </c>
      <c r="Q406" s="6">
        <f>IF(TimeEntry[[#This Row],[Date]]=0,"",WEEKDAY(C406,2))</f>
        <v>4</v>
      </c>
      <c r="R406" s="9">
        <f>YEAR(TimeEntry[[#This Row],[WkEnd]])</f>
        <v>2019</v>
      </c>
      <c r="S406" s="9">
        <f>WEEKNUM(TimeEntry[[#This Row],[WkEnd]])</f>
        <v>49</v>
      </c>
      <c r="T406" s="9" t="str">
        <f>TimeEntry[[#This Row],[Year]]&amp;"-"&amp;TimeEntry[[#This Row],[WkNo]]</f>
        <v>2019-49</v>
      </c>
    </row>
    <row r="407" spans="1:20" x14ac:dyDescent="0.25">
      <c r="A407" s="6">
        <f>MOD(IF(ROW()=2,0.1,IF(INDEX(TimeEntry[WkEnd],ROW()-1)  =  INDEX(TimeEntry[WkEnd],ROW()-2),    INDEX(TimeEntry[format],ROW()-2),    INDEX(TimeEntry[format],ROW()-2)    +1)),2)</f>
        <v>1.1000000000000001</v>
      </c>
      <c r="B407" s="7"/>
      <c r="C407" s="8">
        <v>43798</v>
      </c>
      <c r="D407" s="8"/>
      <c r="E407" s="1" t="s">
        <v>456</v>
      </c>
      <c r="F407" s="8">
        <f>IF(TimeEntry[[#This Row],[Date]]=0,F406,C407+(7-Q407))</f>
        <v>43800</v>
      </c>
      <c r="G407" s="35" t="str">
        <f>INDEX(projects[Charge_Code],MATCH(TimeEntry[[#This Row],[Project_ID]],projects[Project_ID],0))</f>
        <v>210035-51 VBB 3rd - new bridge</v>
      </c>
      <c r="H407" s="1" t="str">
        <f t="shared" si="9"/>
        <v>Normal Time</v>
      </c>
      <c r="I407" s="1"/>
      <c r="J407" s="15">
        <v>7.5</v>
      </c>
      <c r="K407" s="15"/>
      <c r="L407" s="15"/>
      <c r="M407" s="15"/>
      <c r="N407" s="15"/>
      <c r="O407" s="15" t="str">
        <f>INDEX(projects[job number],MATCH(TimeEntry[[#This Row],[Project_ID]], projects[Project_ID],0))</f>
        <v>210035-51</v>
      </c>
      <c r="P407" s="15" t="str">
        <f>INDEX(projects[Project_Name],MATCH(TimeEntry[[#This Row],[Project_ID]], projects[Project_ID],0))</f>
        <v>VBB 3rd - new bridge</v>
      </c>
      <c r="Q407" s="6">
        <f>IF(TimeEntry[[#This Row],[Date]]=0,"",WEEKDAY(C407,2))</f>
        <v>5</v>
      </c>
      <c r="R407" s="9">
        <f>YEAR(TimeEntry[[#This Row],[WkEnd]])</f>
        <v>2019</v>
      </c>
      <c r="S407" s="9">
        <f>WEEKNUM(TimeEntry[[#This Row],[WkEnd]])</f>
        <v>49</v>
      </c>
      <c r="T407" s="9" t="str">
        <f>TimeEntry[[#This Row],[Year]]&amp;"-"&amp;TimeEntry[[#This Row],[WkNo]]</f>
        <v>2019-49</v>
      </c>
    </row>
    <row r="408" spans="1:20" x14ac:dyDescent="0.25">
      <c r="A408" s="6">
        <f>MOD(IF(ROW()=2,0.1,IF(INDEX(TimeEntry[WkEnd],ROW()-1)  =  INDEX(TimeEntry[WkEnd],ROW()-2),    INDEX(TimeEntry[format],ROW()-2),    INDEX(TimeEntry[format],ROW()-2)    +1)),2)</f>
        <v>0.10000000000000009</v>
      </c>
      <c r="B408" s="7"/>
      <c r="C408" s="8">
        <v>43787</v>
      </c>
      <c r="D408" s="8"/>
      <c r="E408" s="1" t="s">
        <v>455</v>
      </c>
      <c r="F408" s="8">
        <f>IF(TimeEntry[[#This Row],[Date]]=0,F407,C408+(7-Q408))</f>
        <v>43793</v>
      </c>
      <c r="G408" s="35" t="str">
        <f>INDEX(projects[Charge_Code],MATCH(TimeEntry[[#This Row],[Project_ID]],projects[Project_ID],0))</f>
        <v>268017-25  KSC - Tunnel</v>
      </c>
      <c r="H408" s="1" t="str">
        <f t="shared" si="9"/>
        <v>Normal Time</v>
      </c>
      <c r="I408" s="1"/>
      <c r="J408" s="15">
        <v>5.5</v>
      </c>
      <c r="K408" s="15"/>
      <c r="L408" s="15"/>
      <c r="M408" s="15"/>
      <c r="N408" s="15"/>
      <c r="O408" s="15" t="str">
        <f>INDEX(projects[job number],MATCH(TimeEntry[[#This Row],[Project_ID]], projects[Project_ID],0))</f>
        <v xml:space="preserve">268017-25 </v>
      </c>
      <c r="P408" s="15" t="str">
        <f>INDEX(projects[Project_Name],MATCH(TimeEntry[[#This Row],[Project_ID]], projects[Project_ID],0))</f>
        <v>KSC - Tunnel</v>
      </c>
      <c r="Q408" s="6">
        <f>IF(TimeEntry[[#This Row],[Date]]=0,"",WEEKDAY(C408,2))</f>
        <v>1</v>
      </c>
      <c r="R408" s="9">
        <f>YEAR(TimeEntry[[#This Row],[WkEnd]])</f>
        <v>2019</v>
      </c>
      <c r="S408" s="9">
        <f>WEEKNUM(TimeEntry[[#This Row],[WkEnd]])</f>
        <v>48</v>
      </c>
      <c r="T408" s="9" t="str">
        <f>TimeEntry[[#This Row],[Year]]&amp;"-"&amp;TimeEntry[[#This Row],[WkNo]]</f>
        <v>2019-48</v>
      </c>
    </row>
    <row r="409" spans="1:20" x14ac:dyDescent="0.25">
      <c r="A409" s="6">
        <f>MOD(IF(ROW()=2,0.1,IF(INDEX(TimeEntry[WkEnd],ROW()-1)  =  INDEX(TimeEntry[WkEnd],ROW()-2),    INDEX(TimeEntry[format],ROW()-2),    INDEX(TimeEntry[format],ROW()-2)    +1)),2)</f>
        <v>0.10000000000000009</v>
      </c>
      <c r="B409" s="7"/>
      <c r="C409" s="8">
        <v>43787</v>
      </c>
      <c r="D409" s="8"/>
      <c r="E409" s="1" t="s">
        <v>455</v>
      </c>
      <c r="F409" s="8">
        <f>IF(TimeEntry[[#This Row],[Date]]=0,F408,C409+(7-Q409))</f>
        <v>43793</v>
      </c>
      <c r="G409" s="35" t="str">
        <f>INDEX(projects[Charge_Code],MATCH(TimeEntry[[#This Row],[Project_ID]],projects[Project_ID],0))</f>
        <v>268017-25  KSC - Tunnel</v>
      </c>
      <c r="H409" s="1" t="str">
        <f t="shared" si="9"/>
        <v>Normal Time</v>
      </c>
      <c r="I409" s="1"/>
      <c r="J409" s="15">
        <v>2</v>
      </c>
      <c r="K409" s="15"/>
      <c r="L409" s="15"/>
      <c r="M409" s="15"/>
      <c r="N409" s="15"/>
      <c r="O409" s="15" t="str">
        <f>INDEX(projects[job number],MATCH(TimeEntry[[#This Row],[Project_ID]], projects[Project_ID],0))</f>
        <v xml:space="preserve">268017-25 </v>
      </c>
      <c r="P409" s="15" t="str">
        <f>INDEX(projects[Project_Name],MATCH(TimeEntry[[#This Row],[Project_ID]], projects[Project_ID],0))</f>
        <v>KSC - Tunnel</v>
      </c>
      <c r="Q409" s="6">
        <f>IF(TimeEntry[[#This Row],[Date]]=0,"",WEEKDAY(C409,2))</f>
        <v>1</v>
      </c>
      <c r="R409" s="9">
        <f>YEAR(TimeEntry[[#This Row],[WkEnd]])</f>
        <v>2019</v>
      </c>
      <c r="S409" s="9">
        <f>WEEKNUM(TimeEntry[[#This Row],[WkEnd]])</f>
        <v>48</v>
      </c>
      <c r="T409" s="9" t="str">
        <f>TimeEntry[[#This Row],[Year]]&amp;"-"&amp;TimeEntry[[#This Row],[WkNo]]</f>
        <v>2019-48</v>
      </c>
    </row>
    <row r="410" spans="1:20" x14ac:dyDescent="0.25">
      <c r="A410" s="6">
        <f>MOD(IF(ROW()=2,0.1,IF(INDEX(TimeEntry[WkEnd],ROW()-1)  =  INDEX(TimeEntry[WkEnd],ROW()-2),    INDEX(TimeEntry[format],ROW()-2),    INDEX(TimeEntry[format],ROW()-2)    +1)),2)</f>
        <v>0.10000000000000009</v>
      </c>
      <c r="B410" s="7"/>
      <c r="C410" s="8">
        <v>43788</v>
      </c>
      <c r="D410" s="8"/>
      <c r="E410" s="1" t="s">
        <v>458</v>
      </c>
      <c r="F410" s="8">
        <f>IF(TimeEntry[[#This Row],[Date]]=0,F409,C410+(7-Q410))</f>
        <v>43793</v>
      </c>
      <c r="G410" s="35" t="str">
        <f>INDEX(projects[Charge_Code],MATCH(TimeEntry[[#This Row],[Project_ID]],projects[Project_ID],0))</f>
        <v>210035-58  VBB Afkeurmemo Oostbrug</v>
      </c>
      <c r="H410" s="1" t="str">
        <f t="shared" si="9"/>
        <v>Normal Time</v>
      </c>
      <c r="I410" s="1"/>
      <c r="J410" s="15">
        <v>2</v>
      </c>
      <c r="K410" s="15"/>
      <c r="L410" s="15"/>
      <c r="M410" s="15"/>
      <c r="N410" s="15"/>
      <c r="O410" s="15" t="str">
        <f>INDEX(projects[job number],MATCH(TimeEntry[[#This Row],[Project_ID]], projects[Project_ID],0))</f>
        <v xml:space="preserve">210035-58 </v>
      </c>
      <c r="P410" s="15" t="str">
        <f>INDEX(projects[Project_Name],MATCH(TimeEntry[[#This Row],[Project_ID]], projects[Project_ID],0))</f>
        <v>VBB Afkeurmemo Oostbrug</v>
      </c>
      <c r="Q410" s="6">
        <f>IF(TimeEntry[[#This Row],[Date]]=0,"",WEEKDAY(C410,2))</f>
        <v>2</v>
      </c>
      <c r="R410" s="9">
        <f>YEAR(TimeEntry[[#This Row],[WkEnd]])</f>
        <v>2019</v>
      </c>
      <c r="S410" s="9">
        <f>WEEKNUM(TimeEntry[[#This Row],[WkEnd]])</f>
        <v>48</v>
      </c>
      <c r="T410" s="9" t="str">
        <f>TimeEntry[[#This Row],[Year]]&amp;"-"&amp;TimeEntry[[#This Row],[WkNo]]</f>
        <v>2019-48</v>
      </c>
    </row>
    <row r="411" spans="1:20" x14ac:dyDescent="0.25">
      <c r="A411" s="6">
        <f>MOD(IF(ROW()=2,0.1,IF(INDEX(TimeEntry[WkEnd],ROW()-1)  =  INDEX(TimeEntry[WkEnd],ROW()-2),    INDEX(TimeEntry[format],ROW()-2),    INDEX(TimeEntry[format],ROW()-2)    +1)),2)</f>
        <v>0.10000000000000009</v>
      </c>
      <c r="B411" s="7"/>
      <c r="C411" s="8">
        <v>43788</v>
      </c>
      <c r="D411" s="8"/>
      <c r="E411" s="1" t="s">
        <v>456</v>
      </c>
      <c r="F411" s="8">
        <f>IF(TimeEntry[[#This Row],[Date]]=0,F410,C411+(7-Q411))</f>
        <v>43793</v>
      </c>
      <c r="G411" s="35" t="str">
        <f>INDEX(projects[Charge_Code],MATCH(TimeEntry[[#This Row],[Project_ID]],projects[Project_ID],0))</f>
        <v>210035-51 VBB 3rd - new bridge</v>
      </c>
      <c r="H411" s="1" t="str">
        <f t="shared" si="9"/>
        <v>Normal Time</v>
      </c>
      <c r="I411" s="1"/>
      <c r="J411" s="15">
        <v>5.5</v>
      </c>
      <c r="K411" s="15"/>
      <c r="L411" s="15"/>
      <c r="M411" s="15"/>
      <c r="N411" s="15"/>
      <c r="O411" s="15" t="str">
        <f>INDEX(projects[job number],MATCH(TimeEntry[[#This Row],[Project_ID]], projects[Project_ID],0))</f>
        <v>210035-51</v>
      </c>
      <c r="P411" s="15" t="str">
        <f>INDEX(projects[Project_Name],MATCH(TimeEntry[[#This Row],[Project_ID]], projects[Project_ID],0))</f>
        <v>VBB 3rd - new bridge</v>
      </c>
      <c r="Q411" s="6">
        <f>IF(TimeEntry[[#This Row],[Date]]=0,"",WEEKDAY(C411,2))</f>
        <v>2</v>
      </c>
      <c r="R411" s="9">
        <f>YEAR(TimeEntry[[#This Row],[WkEnd]])</f>
        <v>2019</v>
      </c>
      <c r="S411" s="9">
        <f>WEEKNUM(TimeEntry[[#This Row],[WkEnd]])</f>
        <v>48</v>
      </c>
      <c r="T411" s="9" t="str">
        <f>TimeEntry[[#This Row],[Year]]&amp;"-"&amp;TimeEntry[[#This Row],[WkNo]]</f>
        <v>2019-48</v>
      </c>
    </row>
    <row r="412" spans="1:20" x14ac:dyDescent="0.25">
      <c r="A412" s="6">
        <f>MOD(IF(ROW()=2,0.1,IF(INDEX(TimeEntry[WkEnd],ROW()-1)  =  INDEX(TimeEntry[WkEnd],ROW()-2),    INDEX(TimeEntry[format],ROW()-2),    INDEX(TimeEntry[format],ROW()-2)    +1)),2)</f>
        <v>0.10000000000000009</v>
      </c>
      <c r="B412" s="7"/>
      <c r="C412" s="8">
        <v>43789</v>
      </c>
      <c r="D412" s="8"/>
      <c r="E412" s="1" t="s">
        <v>458</v>
      </c>
      <c r="F412" s="8">
        <f>IF(TimeEntry[[#This Row],[Date]]=0,F411,C412+(7-Q412))</f>
        <v>43793</v>
      </c>
      <c r="G412" s="35" t="str">
        <f>INDEX(projects[Charge_Code],MATCH(TimeEntry[[#This Row],[Project_ID]],projects[Project_ID],0))</f>
        <v>210035-58  VBB Afkeurmemo Oostbrug</v>
      </c>
      <c r="H412" s="1" t="str">
        <f t="shared" si="9"/>
        <v>Normal Time</v>
      </c>
      <c r="I412" s="1"/>
      <c r="J412" s="15">
        <v>3.75</v>
      </c>
      <c r="K412" s="15"/>
      <c r="L412" s="15"/>
      <c r="M412" s="15"/>
      <c r="N412" s="15"/>
      <c r="O412" s="15" t="str">
        <f>INDEX(projects[job number],MATCH(TimeEntry[[#This Row],[Project_ID]], projects[Project_ID],0))</f>
        <v xml:space="preserve">210035-58 </v>
      </c>
      <c r="P412" s="15" t="str">
        <f>INDEX(projects[Project_Name],MATCH(TimeEntry[[#This Row],[Project_ID]], projects[Project_ID],0))</f>
        <v>VBB Afkeurmemo Oostbrug</v>
      </c>
      <c r="Q412" s="6">
        <f>IF(TimeEntry[[#This Row],[Date]]=0,"",WEEKDAY(C412,2))</f>
        <v>3</v>
      </c>
      <c r="R412" s="9">
        <f>YEAR(TimeEntry[[#This Row],[WkEnd]])</f>
        <v>2019</v>
      </c>
      <c r="S412" s="9">
        <f>WEEKNUM(TimeEntry[[#This Row],[WkEnd]])</f>
        <v>48</v>
      </c>
      <c r="T412" s="9" t="str">
        <f>TimeEntry[[#This Row],[Year]]&amp;"-"&amp;TimeEntry[[#This Row],[WkNo]]</f>
        <v>2019-48</v>
      </c>
    </row>
    <row r="413" spans="1:20" x14ac:dyDescent="0.25">
      <c r="A413" s="6">
        <f>MOD(IF(ROW()=2,0.1,IF(INDEX(TimeEntry[WkEnd],ROW()-1)  =  INDEX(TimeEntry[WkEnd],ROW()-2),    INDEX(TimeEntry[format],ROW()-2),    INDEX(TimeEntry[format],ROW()-2)    +1)),2)</f>
        <v>0.10000000000000009</v>
      </c>
      <c r="B413" s="7"/>
      <c r="C413" s="8">
        <v>43789</v>
      </c>
      <c r="D413" s="8"/>
      <c r="E413" s="1" t="s">
        <v>456</v>
      </c>
      <c r="F413" s="8">
        <f>IF(TimeEntry[[#This Row],[Date]]=0,F412,C413+(7-Q413))</f>
        <v>43793</v>
      </c>
      <c r="G413" s="35" t="str">
        <f>INDEX(projects[Charge_Code],MATCH(TimeEntry[[#This Row],[Project_ID]],projects[Project_ID],0))</f>
        <v>210035-51 VBB 3rd - new bridge</v>
      </c>
      <c r="H413" s="1" t="str">
        <f t="shared" ref="H413:H476" si="10">"Normal Time"</f>
        <v>Normal Time</v>
      </c>
      <c r="I413" s="1"/>
      <c r="J413" s="15">
        <v>3.75</v>
      </c>
      <c r="K413" s="15"/>
      <c r="L413" s="15"/>
      <c r="M413" s="15"/>
      <c r="N413" s="15"/>
      <c r="O413" s="15" t="str">
        <f>INDEX(projects[job number],MATCH(TimeEntry[[#This Row],[Project_ID]], projects[Project_ID],0))</f>
        <v>210035-51</v>
      </c>
      <c r="P413" s="15" t="str">
        <f>INDEX(projects[Project_Name],MATCH(TimeEntry[[#This Row],[Project_ID]], projects[Project_ID],0))</f>
        <v>VBB 3rd - new bridge</v>
      </c>
      <c r="Q413" s="6">
        <f>IF(TimeEntry[[#This Row],[Date]]=0,"",WEEKDAY(C413,2))</f>
        <v>3</v>
      </c>
      <c r="R413" s="9">
        <f>YEAR(TimeEntry[[#This Row],[WkEnd]])</f>
        <v>2019</v>
      </c>
      <c r="S413" s="9">
        <f>WEEKNUM(TimeEntry[[#This Row],[WkEnd]])</f>
        <v>48</v>
      </c>
      <c r="T413" s="9" t="str">
        <f>TimeEntry[[#This Row],[Year]]&amp;"-"&amp;TimeEntry[[#This Row],[WkNo]]</f>
        <v>2019-48</v>
      </c>
    </row>
    <row r="414" spans="1:20" x14ac:dyDescent="0.25">
      <c r="A414" s="6">
        <f>MOD(IF(ROW()=2,0.1,IF(INDEX(TimeEntry[WkEnd],ROW()-1)  =  INDEX(TimeEntry[WkEnd],ROW()-2),    INDEX(TimeEntry[format],ROW()-2),    INDEX(TimeEntry[format],ROW()-2)    +1)),2)</f>
        <v>0.10000000000000009</v>
      </c>
      <c r="B414" s="7"/>
      <c r="C414" s="8">
        <v>43790</v>
      </c>
      <c r="D414" s="8"/>
      <c r="E414" s="1" t="s">
        <v>455</v>
      </c>
      <c r="F414" s="8">
        <f>IF(TimeEntry[[#This Row],[Date]]=0,F413,C414+(7-Q414))</f>
        <v>43793</v>
      </c>
      <c r="G414" s="35" t="str">
        <f>INDEX(projects[Charge_Code],MATCH(TimeEntry[[#This Row],[Project_ID]],projects[Project_ID],0))</f>
        <v>268017-25  KSC - Tunnel</v>
      </c>
      <c r="H414" s="1" t="str">
        <f t="shared" si="10"/>
        <v>Normal Time</v>
      </c>
      <c r="I414" s="1"/>
      <c r="J414" s="15">
        <v>3.75</v>
      </c>
      <c r="K414" s="15"/>
      <c r="L414" s="15"/>
      <c r="M414" s="15"/>
      <c r="N414" s="15"/>
      <c r="O414" s="15" t="str">
        <f>INDEX(projects[job number],MATCH(TimeEntry[[#This Row],[Project_ID]], projects[Project_ID],0))</f>
        <v xml:space="preserve">268017-25 </v>
      </c>
      <c r="P414" s="15" t="str">
        <f>INDEX(projects[Project_Name],MATCH(TimeEntry[[#This Row],[Project_ID]], projects[Project_ID],0))</f>
        <v>KSC - Tunnel</v>
      </c>
      <c r="Q414" s="6">
        <f>IF(TimeEntry[[#This Row],[Date]]=0,"",WEEKDAY(C414,2))</f>
        <v>4</v>
      </c>
      <c r="R414" s="9">
        <f>YEAR(TimeEntry[[#This Row],[WkEnd]])</f>
        <v>2019</v>
      </c>
      <c r="S414" s="9">
        <f>WEEKNUM(TimeEntry[[#This Row],[WkEnd]])</f>
        <v>48</v>
      </c>
      <c r="T414" s="9" t="str">
        <f>TimeEntry[[#This Row],[Year]]&amp;"-"&amp;TimeEntry[[#This Row],[WkNo]]</f>
        <v>2019-48</v>
      </c>
    </row>
    <row r="415" spans="1:20" x14ac:dyDescent="0.25">
      <c r="A415" s="6">
        <f>MOD(IF(ROW()=2,0.1,IF(INDEX(TimeEntry[WkEnd],ROW()-1)  =  INDEX(TimeEntry[WkEnd],ROW()-2),    INDEX(TimeEntry[format],ROW()-2),    INDEX(TimeEntry[format],ROW()-2)    +1)),2)</f>
        <v>0.10000000000000009</v>
      </c>
      <c r="B415" s="7"/>
      <c r="C415" s="8">
        <v>43790</v>
      </c>
      <c r="D415" s="8"/>
      <c r="E415" s="1" t="s">
        <v>456</v>
      </c>
      <c r="F415" s="8">
        <f>IF(TimeEntry[[#This Row],[Date]]=0,F414,C415+(7-Q415))</f>
        <v>43793</v>
      </c>
      <c r="G415" s="35" t="str">
        <f>INDEX(projects[Charge_Code],MATCH(TimeEntry[[#This Row],[Project_ID]],projects[Project_ID],0))</f>
        <v>210035-51 VBB 3rd - new bridge</v>
      </c>
      <c r="H415" s="1" t="str">
        <f t="shared" si="10"/>
        <v>Normal Time</v>
      </c>
      <c r="I415" s="1"/>
      <c r="J415" s="15">
        <v>3.75</v>
      </c>
      <c r="K415" s="15"/>
      <c r="L415" s="15"/>
      <c r="M415" s="15"/>
      <c r="N415" s="15"/>
      <c r="O415" s="15" t="str">
        <f>INDEX(projects[job number],MATCH(TimeEntry[[#This Row],[Project_ID]], projects[Project_ID],0))</f>
        <v>210035-51</v>
      </c>
      <c r="P415" s="15" t="str">
        <f>INDEX(projects[Project_Name],MATCH(TimeEntry[[#This Row],[Project_ID]], projects[Project_ID],0))</f>
        <v>VBB 3rd - new bridge</v>
      </c>
      <c r="Q415" s="6">
        <f>IF(TimeEntry[[#This Row],[Date]]=0,"",WEEKDAY(C415,2))</f>
        <v>4</v>
      </c>
      <c r="R415" s="9">
        <f>YEAR(TimeEntry[[#This Row],[WkEnd]])</f>
        <v>2019</v>
      </c>
      <c r="S415" s="9">
        <f>WEEKNUM(TimeEntry[[#This Row],[WkEnd]])</f>
        <v>48</v>
      </c>
      <c r="T415" s="9" t="str">
        <f>TimeEntry[[#This Row],[Year]]&amp;"-"&amp;TimeEntry[[#This Row],[WkNo]]</f>
        <v>2019-48</v>
      </c>
    </row>
    <row r="416" spans="1:20" x14ac:dyDescent="0.25">
      <c r="A416" s="6">
        <f>MOD(IF(ROW()=2,0.1,IF(INDEX(TimeEntry[WkEnd],ROW()-1)  =  INDEX(TimeEntry[WkEnd],ROW()-2),    INDEX(TimeEntry[format],ROW()-2),    INDEX(TimeEntry[format],ROW()-2)    +1)),2)</f>
        <v>0.10000000000000009</v>
      </c>
      <c r="B416" s="7"/>
      <c r="C416" s="8">
        <v>43791</v>
      </c>
      <c r="D416" s="8"/>
      <c r="E416" s="1" t="s">
        <v>455</v>
      </c>
      <c r="F416" s="8">
        <f>IF(TimeEntry[[#This Row],[Date]]=0,F415,C416+(7-Q416))</f>
        <v>43793</v>
      </c>
      <c r="G416" s="35" t="str">
        <f>INDEX(projects[Charge_Code],MATCH(TimeEntry[[#This Row],[Project_ID]],projects[Project_ID],0))</f>
        <v>268017-25  KSC - Tunnel</v>
      </c>
      <c r="H416" s="1" t="str">
        <f t="shared" si="10"/>
        <v>Normal Time</v>
      </c>
      <c r="I416" s="1"/>
      <c r="J416" s="15">
        <v>5.5</v>
      </c>
      <c r="K416" s="15"/>
      <c r="L416" s="15"/>
      <c r="M416" s="15"/>
      <c r="N416" s="15"/>
      <c r="O416" s="15" t="str">
        <f>INDEX(projects[job number],MATCH(TimeEntry[[#This Row],[Project_ID]], projects[Project_ID],0))</f>
        <v xml:space="preserve">268017-25 </v>
      </c>
      <c r="P416" s="15" t="str">
        <f>INDEX(projects[Project_Name],MATCH(TimeEntry[[#This Row],[Project_ID]], projects[Project_ID],0))</f>
        <v>KSC - Tunnel</v>
      </c>
      <c r="Q416" s="6">
        <f>IF(TimeEntry[[#This Row],[Date]]=0,"",WEEKDAY(C416,2))</f>
        <v>5</v>
      </c>
      <c r="R416" s="9">
        <f>YEAR(TimeEntry[[#This Row],[WkEnd]])</f>
        <v>2019</v>
      </c>
      <c r="S416" s="9">
        <f>WEEKNUM(TimeEntry[[#This Row],[WkEnd]])</f>
        <v>48</v>
      </c>
      <c r="T416" s="9" t="str">
        <f>TimeEntry[[#This Row],[Year]]&amp;"-"&amp;TimeEntry[[#This Row],[WkNo]]</f>
        <v>2019-48</v>
      </c>
    </row>
    <row r="417" spans="1:20" x14ac:dyDescent="0.25">
      <c r="A417" s="6">
        <f>MOD(IF(ROW()=2,0.1,IF(INDEX(TimeEntry[WkEnd],ROW()-1)  =  INDEX(TimeEntry[WkEnd],ROW()-2),    INDEX(TimeEntry[format],ROW()-2),    INDEX(TimeEntry[format],ROW()-2)    +1)),2)</f>
        <v>0.10000000000000009</v>
      </c>
      <c r="B417" s="7"/>
      <c r="C417" s="8">
        <v>43791</v>
      </c>
      <c r="D417" s="8"/>
      <c r="E417" s="1" t="s">
        <v>446</v>
      </c>
      <c r="F417" s="8">
        <f>IF(TimeEntry[[#This Row],[Date]]=0,F416,C417+(7-Q417))</f>
        <v>43793</v>
      </c>
      <c r="G417" s="35" t="str">
        <f>INDEX(projects[Charge_Code],MATCH(TimeEntry[[#This Row],[Project_ID]],projects[Project_ID],0))</f>
        <v>074097-29 BCST Appraisal</v>
      </c>
      <c r="H417" s="1" t="str">
        <f t="shared" si="10"/>
        <v>Normal Time</v>
      </c>
      <c r="I417" s="1"/>
      <c r="J417" s="15">
        <v>2</v>
      </c>
      <c r="K417" s="15"/>
      <c r="L417" s="15"/>
      <c r="M417" s="15"/>
      <c r="N417" s="15"/>
      <c r="O417" s="15" t="str">
        <f>INDEX(projects[job number],MATCH(TimeEntry[[#This Row],[Project_ID]], projects[Project_ID],0))</f>
        <v>074097-29</v>
      </c>
      <c r="P417" s="15" t="str">
        <f>INDEX(projects[Project_Name],MATCH(TimeEntry[[#This Row],[Project_ID]], projects[Project_ID],0))</f>
        <v>BCST Appraisal</v>
      </c>
      <c r="Q417" s="6">
        <f>IF(TimeEntry[[#This Row],[Date]]=0,"",WEEKDAY(C417,2))</f>
        <v>5</v>
      </c>
      <c r="R417" s="9">
        <f>YEAR(TimeEntry[[#This Row],[WkEnd]])</f>
        <v>2019</v>
      </c>
      <c r="S417" s="9">
        <f>WEEKNUM(TimeEntry[[#This Row],[WkEnd]])</f>
        <v>48</v>
      </c>
      <c r="T417" s="9" t="str">
        <f>TimeEntry[[#This Row],[Year]]&amp;"-"&amp;TimeEntry[[#This Row],[WkNo]]</f>
        <v>2019-48</v>
      </c>
    </row>
    <row r="418" spans="1:20" x14ac:dyDescent="0.25">
      <c r="A418" s="6">
        <f>MOD(IF(ROW()=2,0.1,IF(INDEX(TimeEntry[WkEnd],ROW()-1)  =  INDEX(TimeEntry[WkEnd],ROW()-2),    INDEX(TimeEntry[format],ROW()-2),    INDEX(TimeEntry[format],ROW()-2)    +1)),2)</f>
        <v>1.1000000000000001</v>
      </c>
      <c r="B418" s="7"/>
      <c r="C418" s="8">
        <v>43780</v>
      </c>
      <c r="D418" s="8"/>
      <c r="E418" s="1" t="s">
        <v>456</v>
      </c>
      <c r="F418" s="8">
        <f>IF(TimeEntry[[#This Row],[Date]]=0,F417,C418+(7-Q418))</f>
        <v>43786</v>
      </c>
      <c r="G418" s="35" t="str">
        <f>INDEX(projects[Charge_Code],MATCH(TimeEntry[[#This Row],[Project_ID]],projects[Project_ID],0))</f>
        <v>210035-51 VBB 3rd - new bridge</v>
      </c>
      <c r="H418" s="1" t="str">
        <f t="shared" si="10"/>
        <v>Normal Time</v>
      </c>
      <c r="I418" s="1"/>
      <c r="J418" s="15">
        <v>2.5</v>
      </c>
      <c r="K418" s="15"/>
      <c r="L418" s="15"/>
      <c r="M418" s="15"/>
      <c r="N418" s="15"/>
      <c r="O418" s="15" t="str">
        <f>INDEX(projects[job number],MATCH(TimeEntry[[#This Row],[Project_ID]], projects[Project_ID],0))</f>
        <v>210035-51</v>
      </c>
      <c r="P418" s="15" t="str">
        <f>INDEX(projects[Project_Name],MATCH(TimeEntry[[#This Row],[Project_ID]], projects[Project_ID],0))</f>
        <v>VBB 3rd - new bridge</v>
      </c>
      <c r="Q418" s="6">
        <f>IF(TimeEntry[[#This Row],[Date]]=0,"",WEEKDAY(C418,2))</f>
        <v>1</v>
      </c>
      <c r="R418" s="9">
        <f>YEAR(TimeEntry[[#This Row],[WkEnd]])</f>
        <v>2019</v>
      </c>
      <c r="S418" s="9">
        <f>WEEKNUM(TimeEntry[[#This Row],[WkEnd]])</f>
        <v>47</v>
      </c>
      <c r="T418" s="9" t="str">
        <f>TimeEntry[[#This Row],[Year]]&amp;"-"&amp;TimeEntry[[#This Row],[WkNo]]</f>
        <v>2019-47</v>
      </c>
    </row>
    <row r="419" spans="1:20" x14ac:dyDescent="0.25">
      <c r="A419" s="6">
        <f>MOD(IF(ROW()=2,0.1,IF(INDEX(TimeEntry[WkEnd],ROW()-1)  =  INDEX(TimeEntry[WkEnd],ROW()-2),    INDEX(TimeEntry[format],ROW()-2),    INDEX(TimeEntry[format],ROW()-2)    +1)),2)</f>
        <v>1.1000000000000001</v>
      </c>
      <c r="B419" s="7"/>
      <c r="C419" s="8">
        <v>43781</v>
      </c>
      <c r="D419" s="8"/>
      <c r="E419" s="1" t="s">
        <v>455</v>
      </c>
      <c r="F419" s="8">
        <f>IF(TimeEntry[[#This Row],[Date]]=0,F418,C419+(7-Q419))</f>
        <v>43786</v>
      </c>
      <c r="G419" s="35" t="str">
        <f>INDEX(projects[Charge_Code],MATCH(TimeEntry[[#This Row],[Project_ID]],projects[Project_ID],0))</f>
        <v>268017-25  KSC - Tunnel</v>
      </c>
      <c r="H419" s="1" t="str">
        <f t="shared" si="10"/>
        <v>Normal Time</v>
      </c>
      <c r="I419" s="1"/>
      <c r="J419" s="15">
        <v>5</v>
      </c>
      <c r="K419" s="15"/>
      <c r="L419" s="15"/>
      <c r="M419" s="15"/>
      <c r="N419" s="15"/>
      <c r="O419" s="15" t="str">
        <f>INDEX(projects[job number],MATCH(TimeEntry[[#This Row],[Project_ID]], projects[Project_ID],0))</f>
        <v xml:space="preserve">268017-25 </v>
      </c>
      <c r="P419" s="15" t="str">
        <f>INDEX(projects[Project_Name],MATCH(TimeEntry[[#This Row],[Project_ID]], projects[Project_ID],0))</f>
        <v>KSC - Tunnel</v>
      </c>
      <c r="Q419" s="6">
        <f>IF(TimeEntry[[#This Row],[Date]]=0,"",WEEKDAY(C419,2))</f>
        <v>2</v>
      </c>
      <c r="R419" s="9">
        <f>YEAR(TimeEntry[[#This Row],[WkEnd]])</f>
        <v>2019</v>
      </c>
      <c r="S419" s="9">
        <f>WEEKNUM(TimeEntry[[#This Row],[WkEnd]])</f>
        <v>47</v>
      </c>
      <c r="T419" s="9" t="str">
        <f>TimeEntry[[#This Row],[Year]]&amp;"-"&amp;TimeEntry[[#This Row],[WkNo]]</f>
        <v>2019-47</v>
      </c>
    </row>
    <row r="420" spans="1:20" x14ac:dyDescent="0.25">
      <c r="A420" s="6">
        <f>MOD(IF(ROW()=2,0.1,IF(INDEX(TimeEntry[WkEnd],ROW()-1)  =  INDEX(TimeEntry[WkEnd],ROW()-2),    INDEX(TimeEntry[format],ROW()-2),    INDEX(TimeEntry[format],ROW()-2)    +1)),2)</f>
        <v>1.1000000000000001</v>
      </c>
      <c r="B420" s="7"/>
      <c r="C420" s="8">
        <v>43781</v>
      </c>
      <c r="D420" s="8"/>
      <c r="E420" s="1" t="s">
        <v>455</v>
      </c>
      <c r="F420" s="8">
        <f>IF(TimeEntry[[#This Row],[Date]]=0,F419,C420+(7-Q420))</f>
        <v>43786</v>
      </c>
      <c r="G420" s="35" t="str">
        <f>INDEX(projects[Charge_Code],MATCH(TimeEntry[[#This Row],[Project_ID]],projects[Project_ID],0))</f>
        <v>268017-25  KSC - Tunnel</v>
      </c>
      <c r="H420" s="1" t="str">
        <f t="shared" si="10"/>
        <v>Normal Time</v>
      </c>
      <c r="I420" s="1"/>
      <c r="J420" s="15">
        <v>7.5</v>
      </c>
      <c r="K420" s="15"/>
      <c r="L420" s="15"/>
      <c r="M420" s="15"/>
      <c r="N420" s="15"/>
      <c r="O420" s="15" t="str">
        <f>INDEX(projects[job number],MATCH(TimeEntry[[#This Row],[Project_ID]], projects[Project_ID],0))</f>
        <v xml:space="preserve">268017-25 </v>
      </c>
      <c r="P420" s="15" t="str">
        <f>INDEX(projects[Project_Name],MATCH(TimeEntry[[#This Row],[Project_ID]], projects[Project_ID],0))</f>
        <v>KSC - Tunnel</v>
      </c>
      <c r="Q420" s="6">
        <f>IF(TimeEntry[[#This Row],[Date]]=0,"",WEEKDAY(C420,2))</f>
        <v>2</v>
      </c>
      <c r="R420" s="9">
        <f>YEAR(TimeEntry[[#This Row],[WkEnd]])</f>
        <v>2019</v>
      </c>
      <c r="S420" s="9">
        <f>WEEKNUM(TimeEntry[[#This Row],[WkEnd]])</f>
        <v>47</v>
      </c>
      <c r="T420" s="9" t="str">
        <f>TimeEntry[[#This Row],[Year]]&amp;"-"&amp;TimeEntry[[#This Row],[WkNo]]</f>
        <v>2019-47</v>
      </c>
    </row>
    <row r="421" spans="1:20" x14ac:dyDescent="0.25">
      <c r="A421" s="6">
        <f>MOD(IF(ROW()=2,0.1,IF(INDEX(TimeEntry[WkEnd],ROW()-1)  =  INDEX(TimeEntry[WkEnd],ROW()-2),    INDEX(TimeEntry[format],ROW()-2),    INDEX(TimeEntry[format],ROW()-2)    +1)),2)</f>
        <v>1.1000000000000001</v>
      </c>
      <c r="B421" s="7"/>
      <c r="C421" s="8">
        <v>43782</v>
      </c>
      <c r="D421" s="8"/>
      <c r="E421" s="1" t="s">
        <v>456</v>
      </c>
      <c r="F421" s="8">
        <f>IF(TimeEntry[[#This Row],[Date]]=0,F420,C421+(7-Q421))</f>
        <v>43786</v>
      </c>
      <c r="G421" s="35" t="str">
        <f>INDEX(projects[Charge_Code],MATCH(TimeEntry[[#This Row],[Project_ID]],projects[Project_ID],0))</f>
        <v>210035-51 VBB 3rd - new bridge</v>
      </c>
      <c r="H421" s="1" t="str">
        <f t="shared" si="10"/>
        <v>Normal Time</v>
      </c>
      <c r="I421" s="1"/>
      <c r="J421" s="15">
        <v>7.5</v>
      </c>
      <c r="K421" s="15"/>
      <c r="L421" s="15"/>
      <c r="M421" s="15"/>
      <c r="N421" s="15"/>
      <c r="O421" s="15" t="str">
        <f>INDEX(projects[job number],MATCH(TimeEntry[[#This Row],[Project_ID]], projects[Project_ID],0))</f>
        <v>210035-51</v>
      </c>
      <c r="P421" s="15" t="str">
        <f>INDEX(projects[Project_Name],MATCH(TimeEntry[[#This Row],[Project_ID]], projects[Project_ID],0))</f>
        <v>VBB 3rd - new bridge</v>
      </c>
      <c r="Q421" s="6">
        <f>IF(TimeEntry[[#This Row],[Date]]=0,"",WEEKDAY(C421,2))</f>
        <v>3</v>
      </c>
      <c r="R421" s="9">
        <f>YEAR(TimeEntry[[#This Row],[WkEnd]])</f>
        <v>2019</v>
      </c>
      <c r="S421" s="9">
        <f>WEEKNUM(TimeEntry[[#This Row],[WkEnd]])</f>
        <v>47</v>
      </c>
      <c r="T421" s="9" t="str">
        <f>TimeEntry[[#This Row],[Year]]&amp;"-"&amp;TimeEntry[[#This Row],[WkNo]]</f>
        <v>2019-47</v>
      </c>
    </row>
    <row r="422" spans="1:20" x14ac:dyDescent="0.25">
      <c r="A422" s="6">
        <f>MOD(IF(ROW()=2,0.1,IF(INDEX(TimeEntry[WkEnd],ROW()-1)  =  INDEX(TimeEntry[WkEnd],ROW()-2),    INDEX(TimeEntry[format],ROW()-2),    INDEX(TimeEntry[format],ROW()-2)    +1)),2)</f>
        <v>1.1000000000000001</v>
      </c>
      <c r="B422" s="7"/>
      <c r="C422" s="8">
        <v>43783</v>
      </c>
      <c r="D422" s="8"/>
      <c r="E422" s="1" t="s">
        <v>455</v>
      </c>
      <c r="F422" s="8">
        <f>IF(TimeEntry[[#This Row],[Date]]=0,F421,C422+(7-Q422))</f>
        <v>43786</v>
      </c>
      <c r="G422" s="35" t="str">
        <f>INDEX(projects[Charge_Code],MATCH(TimeEntry[[#This Row],[Project_ID]],projects[Project_ID],0))</f>
        <v>268017-25  KSC - Tunnel</v>
      </c>
      <c r="H422" s="1" t="str">
        <f t="shared" si="10"/>
        <v>Normal Time</v>
      </c>
      <c r="I422" s="1"/>
      <c r="J422" s="15">
        <v>7.5</v>
      </c>
      <c r="K422" s="15"/>
      <c r="L422" s="15"/>
      <c r="M422" s="15"/>
      <c r="N422" s="15"/>
      <c r="O422" s="15" t="str">
        <f>INDEX(projects[job number],MATCH(TimeEntry[[#This Row],[Project_ID]], projects[Project_ID],0))</f>
        <v xml:space="preserve">268017-25 </v>
      </c>
      <c r="P422" s="15" t="str">
        <f>INDEX(projects[Project_Name],MATCH(TimeEntry[[#This Row],[Project_ID]], projects[Project_ID],0))</f>
        <v>KSC - Tunnel</v>
      </c>
      <c r="Q422" s="6">
        <f>IF(TimeEntry[[#This Row],[Date]]=0,"",WEEKDAY(C422,2))</f>
        <v>4</v>
      </c>
      <c r="R422" s="9">
        <f>YEAR(TimeEntry[[#This Row],[WkEnd]])</f>
        <v>2019</v>
      </c>
      <c r="S422" s="9">
        <f>WEEKNUM(TimeEntry[[#This Row],[WkEnd]])</f>
        <v>47</v>
      </c>
      <c r="T422" s="9" t="str">
        <f>TimeEntry[[#This Row],[Year]]&amp;"-"&amp;TimeEntry[[#This Row],[WkNo]]</f>
        <v>2019-47</v>
      </c>
    </row>
    <row r="423" spans="1:20" x14ac:dyDescent="0.25">
      <c r="A423" s="6">
        <f>MOD(IF(ROW()=2,0.1,IF(INDEX(TimeEntry[WkEnd],ROW()-1)  =  INDEX(TimeEntry[WkEnd],ROW()-2),    INDEX(TimeEntry[format],ROW()-2),    INDEX(TimeEntry[format],ROW()-2)    +1)),2)</f>
        <v>1.1000000000000001</v>
      </c>
      <c r="B423" s="7"/>
      <c r="C423" s="8">
        <v>43784</v>
      </c>
      <c r="D423" s="8"/>
      <c r="E423" s="1" t="s">
        <v>455</v>
      </c>
      <c r="F423" s="8">
        <f>IF(TimeEntry[[#This Row],[Date]]=0,F422,C423+(7-Q423))</f>
        <v>43786</v>
      </c>
      <c r="G423" s="35" t="str">
        <f>INDEX(projects[Charge_Code],MATCH(TimeEntry[[#This Row],[Project_ID]],projects[Project_ID],0))</f>
        <v>268017-25  KSC - Tunnel</v>
      </c>
      <c r="H423" s="1" t="str">
        <f t="shared" si="10"/>
        <v>Normal Time</v>
      </c>
      <c r="I423" s="1"/>
      <c r="J423" s="15">
        <v>7.5</v>
      </c>
      <c r="K423" s="15"/>
      <c r="L423" s="15"/>
      <c r="M423" s="15"/>
      <c r="N423" s="15"/>
      <c r="O423" s="15" t="str">
        <f>INDEX(projects[job number],MATCH(TimeEntry[[#This Row],[Project_ID]], projects[Project_ID],0))</f>
        <v xml:space="preserve">268017-25 </v>
      </c>
      <c r="P423" s="15" t="str">
        <f>INDEX(projects[Project_Name],MATCH(TimeEntry[[#This Row],[Project_ID]], projects[Project_ID],0))</f>
        <v>KSC - Tunnel</v>
      </c>
      <c r="Q423" s="6">
        <f>IF(TimeEntry[[#This Row],[Date]]=0,"",WEEKDAY(C423,2))</f>
        <v>5</v>
      </c>
      <c r="R423" s="9">
        <f>YEAR(TimeEntry[[#This Row],[WkEnd]])</f>
        <v>2019</v>
      </c>
      <c r="S423" s="9">
        <f>WEEKNUM(TimeEntry[[#This Row],[WkEnd]])</f>
        <v>47</v>
      </c>
      <c r="T423" s="9" t="str">
        <f>TimeEntry[[#This Row],[Year]]&amp;"-"&amp;TimeEntry[[#This Row],[WkNo]]</f>
        <v>2019-47</v>
      </c>
    </row>
    <row r="424" spans="1:20" x14ac:dyDescent="0.25">
      <c r="A424" s="6">
        <f>MOD(IF(ROW()=2,0.1,IF(INDEX(TimeEntry[WkEnd],ROW()-1)  =  INDEX(TimeEntry[WkEnd],ROW()-2),    INDEX(TimeEntry[format],ROW()-2),    INDEX(TimeEntry[format],ROW()-2)    +1)),2)</f>
        <v>0.10000000000000009</v>
      </c>
      <c r="B424" s="7"/>
      <c r="C424" s="8">
        <v>43773</v>
      </c>
      <c r="D424" s="8"/>
      <c r="E424" s="1" t="s">
        <v>455</v>
      </c>
      <c r="F424" s="8">
        <f>IF(TimeEntry[[#This Row],[Date]]=0,F423,C424+(7-Q424))</f>
        <v>43779</v>
      </c>
      <c r="G424" s="35" t="str">
        <f>INDEX(projects[Charge_Code],MATCH(TimeEntry[[#This Row],[Project_ID]],projects[Project_ID],0))</f>
        <v>268017-25  KSC - Tunnel</v>
      </c>
      <c r="H424" s="1" t="str">
        <f t="shared" si="10"/>
        <v>Normal Time</v>
      </c>
      <c r="I424" s="1"/>
      <c r="J424" s="15">
        <v>5.5</v>
      </c>
      <c r="K424" s="15"/>
      <c r="L424" s="15"/>
      <c r="M424" s="15"/>
      <c r="N424" s="15"/>
      <c r="O424" s="15" t="str">
        <f>INDEX(projects[job number],MATCH(TimeEntry[[#This Row],[Project_ID]], projects[Project_ID],0))</f>
        <v xml:space="preserve">268017-25 </v>
      </c>
      <c r="P424" s="15" t="str">
        <f>INDEX(projects[Project_Name],MATCH(TimeEntry[[#This Row],[Project_ID]], projects[Project_ID],0))</f>
        <v>KSC - Tunnel</v>
      </c>
      <c r="Q424" s="6">
        <f>IF(TimeEntry[[#This Row],[Date]]=0,"",WEEKDAY(C424,2))</f>
        <v>1</v>
      </c>
      <c r="R424" s="9">
        <f>YEAR(TimeEntry[[#This Row],[WkEnd]])</f>
        <v>2019</v>
      </c>
      <c r="S424" s="9">
        <f>WEEKNUM(TimeEntry[[#This Row],[WkEnd]])</f>
        <v>46</v>
      </c>
      <c r="T424" s="9" t="str">
        <f>TimeEntry[[#This Row],[Year]]&amp;"-"&amp;TimeEntry[[#This Row],[WkNo]]</f>
        <v>2019-46</v>
      </c>
    </row>
    <row r="425" spans="1:20" x14ac:dyDescent="0.25">
      <c r="A425" s="6">
        <f>MOD(IF(ROW()=2,0.1,IF(INDEX(TimeEntry[WkEnd],ROW()-1)  =  INDEX(TimeEntry[WkEnd],ROW()-2),    INDEX(TimeEntry[format],ROW()-2),    INDEX(TimeEntry[format],ROW()-2)    +1)),2)</f>
        <v>0.10000000000000009</v>
      </c>
      <c r="B425" s="7"/>
      <c r="C425" s="8">
        <v>43773</v>
      </c>
      <c r="D425" s="8"/>
      <c r="E425" s="1" t="s">
        <v>455</v>
      </c>
      <c r="F425" s="8">
        <f>IF(TimeEntry[[#This Row],[Date]]=0,F424,C425+(7-Q425))</f>
        <v>43779</v>
      </c>
      <c r="G425" s="35" t="str">
        <f>INDEX(projects[Charge_Code],MATCH(TimeEntry[[#This Row],[Project_ID]],projects[Project_ID],0))</f>
        <v>268017-25  KSC - Tunnel</v>
      </c>
      <c r="H425" s="1" t="str">
        <f t="shared" si="10"/>
        <v>Normal Time</v>
      </c>
      <c r="I425" s="1"/>
      <c r="J425" s="15">
        <v>2</v>
      </c>
      <c r="K425" s="15"/>
      <c r="L425" s="15"/>
      <c r="M425" s="15"/>
      <c r="N425" s="15"/>
      <c r="O425" s="15" t="str">
        <f>INDEX(projects[job number],MATCH(TimeEntry[[#This Row],[Project_ID]], projects[Project_ID],0))</f>
        <v xml:space="preserve">268017-25 </v>
      </c>
      <c r="P425" s="15" t="str">
        <f>INDEX(projects[Project_Name],MATCH(TimeEntry[[#This Row],[Project_ID]], projects[Project_ID],0))</f>
        <v>KSC - Tunnel</v>
      </c>
      <c r="Q425" s="6">
        <f>IF(TimeEntry[[#This Row],[Date]]=0,"",WEEKDAY(C425,2))</f>
        <v>1</v>
      </c>
      <c r="R425" s="9">
        <f>YEAR(TimeEntry[[#This Row],[WkEnd]])</f>
        <v>2019</v>
      </c>
      <c r="S425" s="9">
        <f>WEEKNUM(TimeEntry[[#This Row],[WkEnd]])</f>
        <v>46</v>
      </c>
      <c r="T425" s="9" t="str">
        <f>TimeEntry[[#This Row],[Year]]&amp;"-"&amp;TimeEntry[[#This Row],[WkNo]]</f>
        <v>2019-46</v>
      </c>
    </row>
    <row r="426" spans="1:20" x14ac:dyDescent="0.25">
      <c r="A426" s="6">
        <f>MOD(IF(ROW()=2,0.1,IF(INDEX(TimeEntry[WkEnd],ROW()-1)  =  INDEX(TimeEntry[WkEnd],ROW()-2),    INDEX(TimeEntry[format],ROW()-2),    INDEX(TimeEntry[format],ROW()-2)    +1)),2)</f>
        <v>0.10000000000000009</v>
      </c>
      <c r="B426" s="7"/>
      <c r="C426" s="8">
        <v>43774</v>
      </c>
      <c r="D426" s="8"/>
      <c r="E426" s="1" t="e">
        <v>#N/A</v>
      </c>
      <c r="F426" s="8">
        <f>IF(TimeEntry[[#This Row],[Date]]=0,F425,C426+(7-Q426))</f>
        <v>43779</v>
      </c>
      <c r="G426" s="35" t="e">
        <f>INDEX(projects[Charge_Code],MATCH(TimeEntry[[#This Row],[Project_ID]],projects[Project_ID],0))</f>
        <v>#N/A</v>
      </c>
      <c r="H426" s="1" t="str">
        <f t="shared" si="10"/>
        <v>Normal Time</v>
      </c>
      <c r="I426" s="1"/>
      <c r="J426" s="15">
        <v>2</v>
      </c>
      <c r="K426" s="15"/>
      <c r="L426" s="15"/>
      <c r="M426" s="15"/>
      <c r="N426" s="15"/>
      <c r="O426" s="15" t="e">
        <f>INDEX(projects[job number],MATCH(TimeEntry[[#This Row],[Project_ID]], projects[Project_ID],0))</f>
        <v>#N/A</v>
      </c>
      <c r="P426" s="15" t="e">
        <f>INDEX(projects[Project_Name],MATCH(TimeEntry[[#This Row],[Project_ID]], projects[Project_ID],0))</f>
        <v>#N/A</v>
      </c>
      <c r="Q426" s="6">
        <f>IF(TimeEntry[[#This Row],[Date]]=0,"",WEEKDAY(C426,2))</f>
        <v>2</v>
      </c>
      <c r="R426" s="9">
        <f>YEAR(TimeEntry[[#This Row],[WkEnd]])</f>
        <v>2019</v>
      </c>
      <c r="S426" s="9">
        <f>WEEKNUM(TimeEntry[[#This Row],[WkEnd]])</f>
        <v>46</v>
      </c>
      <c r="T426" s="9" t="str">
        <f>TimeEntry[[#This Row],[Year]]&amp;"-"&amp;TimeEntry[[#This Row],[WkNo]]</f>
        <v>2019-46</v>
      </c>
    </row>
    <row r="427" spans="1:20" x14ac:dyDescent="0.25">
      <c r="A427" s="6">
        <f>MOD(IF(ROW()=2,0.1,IF(INDEX(TimeEntry[WkEnd],ROW()-1)  =  INDEX(TimeEntry[WkEnd],ROW()-2),    INDEX(TimeEntry[format],ROW()-2),    INDEX(TimeEntry[format],ROW()-2)    +1)),2)</f>
        <v>0.10000000000000009</v>
      </c>
      <c r="B427" s="7"/>
      <c r="C427" s="8">
        <v>43774</v>
      </c>
      <c r="D427" s="8"/>
      <c r="E427" s="1" t="s">
        <v>455</v>
      </c>
      <c r="F427" s="8">
        <f>IF(TimeEntry[[#This Row],[Date]]=0,F426,C427+(7-Q427))</f>
        <v>43779</v>
      </c>
      <c r="G427" s="35" t="str">
        <f>INDEX(projects[Charge_Code],MATCH(TimeEntry[[#This Row],[Project_ID]],projects[Project_ID],0))</f>
        <v>268017-25  KSC - Tunnel</v>
      </c>
      <c r="H427" s="1" t="str">
        <f t="shared" si="10"/>
        <v>Normal Time</v>
      </c>
      <c r="I427" s="1"/>
      <c r="J427" s="15">
        <v>5.5</v>
      </c>
      <c r="K427" s="15"/>
      <c r="L427" s="15"/>
      <c r="M427" s="15"/>
      <c r="N427" s="15"/>
      <c r="O427" s="15" t="str">
        <f>INDEX(projects[job number],MATCH(TimeEntry[[#This Row],[Project_ID]], projects[Project_ID],0))</f>
        <v xml:space="preserve">268017-25 </v>
      </c>
      <c r="P427" s="15" t="str">
        <f>INDEX(projects[Project_Name],MATCH(TimeEntry[[#This Row],[Project_ID]], projects[Project_ID],0))</f>
        <v>KSC - Tunnel</v>
      </c>
      <c r="Q427" s="6">
        <f>IF(TimeEntry[[#This Row],[Date]]=0,"",WEEKDAY(C427,2))</f>
        <v>2</v>
      </c>
      <c r="R427" s="9">
        <f>YEAR(TimeEntry[[#This Row],[WkEnd]])</f>
        <v>2019</v>
      </c>
      <c r="S427" s="9">
        <f>WEEKNUM(TimeEntry[[#This Row],[WkEnd]])</f>
        <v>46</v>
      </c>
      <c r="T427" s="9" t="str">
        <f>TimeEntry[[#This Row],[Year]]&amp;"-"&amp;TimeEntry[[#This Row],[WkNo]]</f>
        <v>2019-46</v>
      </c>
    </row>
    <row r="428" spans="1:20" x14ac:dyDescent="0.25">
      <c r="A428" s="6">
        <f>MOD(IF(ROW()=2,0.1,IF(INDEX(TimeEntry[WkEnd],ROW()-1)  =  INDEX(TimeEntry[WkEnd],ROW()-2),    INDEX(TimeEntry[format],ROW()-2),    INDEX(TimeEntry[format],ROW()-2)    +1)),2)</f>
        <v>0.10000000000000009</v>
      </c>
      <c r="B428" s="7"/>
      <c r="C428" s="8">
        <v>43775</v>
      </c>
      <c r="D428" s="8"/>
      <c r="E428" s="1" t="s">
        <v>456</v>
      </c>
      <c r="F428" s="8">
        <f>IF(TimeEntry[[#This Row],[Date]]=0,F427,C428+(7-Q428))</f>
        <v>43779</v>
      </c>
      <c r="G428" s="35" t="str">
        <f>INDEX(projects[Charge_Code],MATCH(TimeEntry[[#This Row],[Project_ID]],projects[Project_ID],0))</f>
        <v>210035-51 VBB 3rd - new bridge</v>
      </c>
      <c r="H428" s="1" t="str">
        <f t="shared" si="10"/>
        <v>Normal Time</v>
      </c>
      <c r="I428" s="1"/>
      <c r="J428" s="15">
        <v>3.75</v>
      </c>
      <c r="K428" s="15"/>
      <c r="L428" s="15"/>
      <c r="M428" s="15"/>
      <c r="N428" s="15"/>
      <c r="O428" s="15" t="str">
        <f>INDEX(projects[job number],MATCH(TimeEntry[[#This Row],[Project_ID]], projects[Project_ID],0))</f>
        <v>210035-51</v>
      </c>
      <c r="P428" s="15" t="str">
        <f>INDEX(projects[Project_Name],MATCH(TimeEntry[[#This Row],[Project_ID]], projects[Project_ID],0))</f>
        <v>VBB 3rd - new bridge</v>
      </c>
      <c r="Q428" s="6">
        <f>IF(TimeEntry[[#This Row],[Date]]=0,"",WEEKDAY(C428,2))</f>
        <v>3</v>
      </c>
      <c r="R428" s="9">
        <f>YEAR(TimeEntry[[#This Row],[WkEnd]])</f>
        <v>2019</v>
      </c>
      <c r="S428" s="9">
        <f>WEEKNUM(TimeEntry[[#This Row],[WkEnd]])</f>
        <v>46</v>
      </c>
      <c r="T428" s="9" t="str">
        <f>TimeEntry[[#This Row],[Year]]&amp;"-"&amp;TimeEntry[[#This Row],[WkNo]]</f>
        <v>2019-46</v>
      </c>
    </row>
    <row r="429" spans="1:20" x14ac:dyDescent="0.25">
      <c r="A429" s="6">
        <f>MOD(IF(ROW()=2,0.1,IF(INDEX(TimeEntry[WkEnd],ROW()-1)  =  INDEX(TimeEntry[WkEnd],ROW()-2),    INDEX(TimeEntry[format],ROW()-2),    INDEX(TimeEntry[format],ROW()-2)    +1)),2)</f>
        <v>0.10000000000000009</v>
      </c>
      <c r="B429" s="7"/>
      <c r="C429" s="8">
        <v>43775</v>
      </c>
      <c r="D429" s="8"/>
      <c r="E429" s="1" t="s">
        <v>455</v>
      </c>
      <c r="F429" s="8">
        <f>IF(TimeEntry[[#This Row],[Date]]=0,F428,C429+(7-Q429))</f>
        <v>43779</v>
      </c>
      <c r="G429" s="35" t="str">
        <f>INDEX(projects[Charge_Code],MATCH(TimeEntry[[#This Row],[Project_ID]],projects[Project_ID],0))</f>
        <v>268017-25  KSC - Tunnel</v>
      </c>
      <c r="H429" s="1" t="str">
        <f t="shared" si="10"/>
        <v>Normal Time</v>
      </c>
      <c r="I429" s="1"/>
      <c r="J429" s="15">
        <v>3.75</v>
      </c>
      <c r="K429" s="15"/>
      <c r="L429" s="15"/>
      <c r="M429" s="15"/>
      <c r="N429" s="15"/>
      <c r="O429" s="15" t="str">
        <f>INDEX(projects[job number],MATCH(TimeEntry[[#This Row],[Project_ID]], projects[Project_ID],0))</f>
        <v xml:space="preserve">268017-25 </v>
      </c>
      <c r="P429" s="15" t="str">
        <f>INDEX(projects[Project_Name],MATCH(TimeEntry[[#This Row],[Project_ID]], projects[Project_ID],0))</f>
        <v>KSC - Tunnel</v>
      </c>
      <c r="Q429" s="6">
        <f>IF(TimeEntry[[#This Row],[Date]]=0,"",WEEKDAY(C429,2))</f>
        <v>3</v>
      </c>
      <c r="R429" s="9">
        <f>YEAR(TimeEntry[[#This Row],[WkEnd]])</f>
        <v>2019</v>
      </c>
      <c r="S429" s="9">
        <f>WEEKNUM(TimeEntry[[#This Row],[WkEnd]])</f>
        <v>46</v>
      </c>
      <c r="T429" s="9" t="str">
        <f>TimeEntry[[#This Row],[Year]]&amp;"-"&amp;TimeEntry[[#This Row],[WkNo]]</f>
        <v>2019-46</v>
      </c>
    </row>
    <row r="430" spans="1:20" x14ac:dyDescent="0.25">
      <c r="A430" s="6">
        <f>MOD(IF(ROW()=2,0.1,IF(INDEX(TimeEntry[WkEnd],ROW()-1)  =  INDEX(TimeEntry[WkEnd],ROW()-2),    INDEX(TimeEntry[format],ROW()-2),    INDEX(TimeEntry[format],ROW()-2)    +1)),2)</f>
        <v>0.10000000000000009</v>
      </c>
      <c r="B430" s="7"/>
      <c r="C430" s="8">
        <v>43776</v>
      </c>
      <c r="D430" s="8"/>
      <c r="E430" s="1" t="s">
        <v>455</v>
      </c>
      <c r="F430" s="8">
        <f>IF(TimeEntry[[#This Row],[Date]]=0,F429,C430+(7-Q430))</f>
        <v>43779</v>
      </c>
      <c r="G430" s="35" t="str">
        <f>INDEX(projects[Charge_Code],MATCH(TimeEntry[[#This Row],[Project_ID]],projects[Project_ID],0))</f>
        <v>268017-25  KSC - Tunnel</v>
      </c>
      <c r="H430" s="1" t="str">
        <f t="shared" si="10"/>
        <v>Normal Time</v>
      </c>
      <c r="I430" s="1"/>
      <c r="J430" s="15">
        <v>3.75</v>
      </c>
      <c r="K430" s="15"/>
      <c r="L430" s="15"/>
      <c r="M430" s="15"/>
      <c r="N430" s="15"/>
      <c r="O430" s="15" t="str">
        <f>INDEX(projects[job number],MATCH(TimeEntry[[#This Row],[Project_ID]], projects[Project_ID],0))</f>
        <v xml:space="preserve">268017-25 </v>
      </c>
      <c r="P430" s="15" t="str">
        <f>INDEX(projects[Project_Name],MATCH(TimeEntry[[#This Row],[Project_ID]], projects[Project_ID],0))</f>
        <v>KSC - Tunnel</v>
      </c>
      <c r="Q430" s="6">
        <f>IF(TimeEntry[[#This Row],[Date]]=0,"",WEEKDAY(C430,2))</f>
        <v>4</v>
      </c>
      <c r="R430" s="9">
        <f>YEAR(TimeEntry[[#This Row],[WkEnd]])</f>
        <v>2019</v>
      </c>
      <c r="S430" s="9">
        <f>WEEKNUM(TimeEntry[[#This Row],[WkEnd]])</f>
        <v>46</v>
      </c>
      <c r="T430" s="9" t="str">
        <f>TimeEntry[[#This Row],[Year]]&amp;"-"&amp;TimeEntry[[#This Row],[WkNo]]</f>
        <v>2019-46</v>
      </c>
    </row>
    <row r="431" spans="1:20" x14ac:dyDescent="0.25">
      <c r="A431" s="6">
        <f>MOD(IF(ROW()=2,0.1,IF(INDEX(TimeEntry[WkEnd],ROW()-1)  =  INDEX(TimeEntry[WkEnd],ROW()-2),    INDEX(TimeEntry[format],ROW()-2),    INDEX(TimeEntry[format],ROW()-2)    +1)),2)</f>
        <v>0.10000000000000009</v>
      </c>
      <c r="B431" s="7"/>
      <c r="C431" s="8">
        <v>43776</v>
      </c>
      <c r="D431" s="8"/>
      <c r="E431" s="1" t="s">
        <v>456</v>
      </c>
      <c r="F431" s="8">
        <f>IF(TimeEntry[[#This Row],[Date]]=0,F430,C431+(7-Q431))</f>
        <v>43779</v>
      </c>
      <c r="G431" s="35" t="str">
        <f>INDEX(projects[Charge_Code],MATCH(TimeEntry[[#This Row],[Project_ID]],projects[Project_ID],0))</f>
        <v>210035-51 VBB 3rd - new bridge</v>
      </c>
      <c r="H431" s="1" t="str">
        <f t="shared" si="10"/>
        <v>Normal Time</v>
      </c>
      <c r="I431" s="1"/>
      <c r="J431" s="15">
        <v>3.75</v>
      </c>
      <c r="K431" s="15"/>
      <c r="L431" s="15"/>
      <c r="M431" s="15"/>
      <c r="N431" s="15"/>
      <c r="O431" s="15" t="str">
        <f>INDEX(projects[job number],MATCH(TimeEntry[[#This Row],[Project_ID]], projects[Project_ID],0))</f>
        <v>210035-51</v>
      </c>
      <c r="P431" s="15" t="str">
        <f>INDEX(projects[Project_Name],MATCH(TimeEntry[[#This Row],[Project_ID]], projects[Project_ID],0))</f>
        <v>VBB 3rd - new bridge</v>
      </c>
      <c r="Q431" s="6">
        <f>IF(TimeEntry[[#This Row],[Date]]=0,"",WEEKDAY(C431,2))</f>
        <v>4</v>
      </c>
      <c r="R431" s="9">
        <f>YEAR(TimeEntry[[#This Row],[WkEnd]])</f>
        <v>2019</v>
      </c>
      <c r="S431" s="9">
        <f>WEEKNUM(TimeEntry[[#This Row],[WkEnd]])</f>
        <v>46</v>
      </c>
      <c r="T431" s="9" t="str">
        <f>TimeEntry[[#This Row],[Year]]&amp;"-"&amp;TimeEntry[[#This Row],[WkNo]]</f>
        <v>2019-46</v>
      </c>
    </row>
    <row r="432" spans="1:20" x14ac:dyDescent="0.25">
      <c r="A432" s="6">
        <f>MOD(IF(ROW()=2,0.1,IF(INDEX(TimeEntry[WkEnd],ROW()-1)  =  INDEX(TimeEntry[WkEnd],ROW()-2),    INDEX(TimeEntry[format],ROW()-2),    INDEX(TimeEntry[format],ROW()-2)    +1)),2)</f>
        <v>0.10000000000000009</v>
      </c>
      <c r="B432" s="7"/>
      <c r="C432" s="8">
        <v>43777</v>
      </c>
      <c r="D432" s="8"/>
      <c r="E432" s="1" t="s">
        <v>456</v>
      </c>
      <c r="F432" s="8">
        <f>IF(TimeEntry[[#This Row],[Date]]=0,F431,C432+(7-Q432))</f>
        <v>43779</v>
      </c>
      <c r="G432" s="35" t="str">
        <f>INDEX(projects[Charge_Code],MATCH(TimeEntry[[#This Row],[Project_ID]],projects[Project_ID],0))</f>
        <v>210035-51 VBB 3rd - new bridge</v>
      </c>
      <c r="H432" s="1" t="str">
        <f t="shared" si="10"/>
        <v>Normal Time</v>
      </c>
      <c r="I432" s="1"/>
      <c r="J432" s="15">
        <v>3.75</v>
      </c>
      <c r="K432" s="15"/>
      <c r="L432" s="15"/>
      <c r="M432" s="15"/>
      <c r="N432" s="15"/>
      <c r="O432" s="15" t="str">
        <f>INDEX(projects[job number],MATCH(TimeEntry[[#This Row],[Project_ID]], projects[Project_ID],0))</f>
        <v>210035-51</v>
      </c>
      <c r="P432" s="15" t="str">
        <f>INDEX(projects[Project_Name],MATCH(TimeEntry[[#This Row],[Project_ID]], projects[Project_ID],0))</f>
        <v>VBB 3rd - new bridge</v>
      </c>
      <c r="Q432" s="6">
        <f>IF(TimeEntry[[#This Row],[Date]]=0,"",WEEKDAY(C432,2))</f>
        <v>5</v>
      </c>
      <c r="R432" s="9">
        <f>YEAR(TimeEntry[[#This Row],[WkEnd]])</f>
        <v>2019</v>
      </c>
      <c r="S432" s="9">
        <f>WEEKNUM(TimeEntry[[#This Row],[WkEnd]])</f>
        <v>46</v>
      </c>
      <c r="T432" s="9" t="str">
        <f>TimeEntry[[#This Row],[Year]]&amp;"-"&amp;TimeEntry[[#This Row],[WkNo]]</f>
        <v>2019-46</v>
      </c>
    </row>
    <row r="433" spans="1:20" x14ac:dyDescent="0.25">
      <c r="A433" s="6">
        <f>MOD(IF(ROW()=2,0.1,IF(INDEX(TimeEntry[WkEnd],ROW()-1)  =  INDEX(TimeEntry[WkEnd],ROW()-2),    INDEX(TimeEntry[format],ROW()-2),    INDEX(TimeEntry[format],ROW()-2)    +1)),2)</f>
        <v>0.10000000000000009</v>
      </c>
      <c r="B433" s="7"/>
      <c r="C433" s="8">
        <v>43777</v>
      </c>
      <c r="D433" s="8"/>
      <c r="E433" s="1" t="s">
        <v>455</v>
      </c>
      <c r="F433" s="8">
        <f>IF(TimeEntry[[#This Row],[Date]]=0,F432,C433+(7-Q433))</f>
        <v>43779</v>
      </c>
      <c r="G433" s="35" t="str">
        <f>INDEX(projects[Charge_Code],MATCH(TimeEntry[[#This Row],[Project_ID]],projects[Project_ID],0))</f>
        <v>268017-25  KSC - Tunnel</v>
      </c>
      <c r="H433" s="1" t="str">
        <f t="shared" si="10"/>
        <v>Normal Time</v>
      </c>
      <c r="I433" s="1"/>
      <c r="J433" s="15">
        <v>3.75</v>
      </c>
      <c r="K433" s="15"/>
      <c r="L433" s="15"/>
      <c r="M433" s="15"/>
      <c r="N433" s="15"/>
      <c r="O433" s="15" t="str">
        <f>INDEX(projects[job number],MATCH(TimeEntry[[#This Row],[Project_ID]], projects[Project_ID],0))</f>
        <v xml:space="preserve">268017-25 </v>
      </c>
      <c r="P433" s="15" t="str">
        <f>INDEX(projects[Project_Name],MATCH(TimeEntry[[#This Row],[Project_ID]], projects[Project_ID],0))</f>
        <v>KSC - Tunnel</v>
      </c>
      <c r="Q433" s="6">
        <f>IF(TimeEntry[[#This Row],[Date]]=0,"",WEEKDAY(C433,2))</f>
        <v>5</v>
      </c>
      <c r="R433" s="9">
        <f>YEAR(TimeEntry[[#This Row],[WkEnd]])</f>
        <v>2019</v>
      </c>
      <c r="S433" s="9">
        <f>WEEKNUM(TimeEntry[[#This Row],[WkEnd]])</f>
        <v>46</v>
      </c>
      <c r="T433" s="9" t="str">
        <f>TimeEntry[[#This Row],[Year]]&amp;"-"&amp;TimeEntry[[#This Row],[WkNo]]</f>
        <v>2019-46</v>
      </c>
    </row>
    <row r="434" spans="1:20" x14ac:dyDescent="0.25">
      <c r="A434" s="6">
        <f>MOD(IF(ROW()=2,0.1,IF(INDEX(TimeEntry[WkEnd],ROW()-1)  =  INDEX(TimeEntry[WkEnd],ROW()-2),    INDEX(TimeEntry[format],ROW()-2),    INDEX(TimeEntry[format],ROW()-2)    +1)),2)</f>
        <v>1.1000000000000001</v>
      </c>
      <c r="B434" s="7"/>
      <c r="C434" s="8">
        <v>43766</v>
      </c>
      <c r="D434" s="8"/>
      <c r="E434" s="1" t="s">
        <v>455</v>
      </c>
      <c r="F434" s="8">
        <f>IF(TimeEntry[[#This Row],[Date]]=0,F433,C434+(7-Q434))</f>
        <v>43772</v>
      </c>
      <c r="G434" s="35" t="str">
        <f>INDEX(projects[Charge_Code],MATCH(TimeEntry[[#This Row],[Project_ID]],projects[Project_ID],0))</f>
        <v>268017-25  KSC - Tunnel</v>
      </c>
      <c r="H434" s="1" t="str">
        <f t="shared" si="10"/>
        <v>Normal Time</v>
      </c>
      <c r="I434" s="1"/>
      <c r="J434" s="15">
        <v>5</v>
      </c>
      <c r="K434" s="15"/>
      <c r="L434" s="15"/>
      <c r="M434" s="15"/>
      <c r="N434" s="15"/>
      <c r="O434" s="15" t="str">
        <f>INDEX(projects[job number],MATCH(TimeEntry[[#This Row],[Project_ID]], projects[Project_ID],0))</f>
        <v xml:space="preserve">268017-25 </v>
      </c>
      <c r="P434" s="15" t="str">
        <f>INDEX(projects[Project_Name],MATCH(TimeEntry[[#This Row],[Project_ID]], projects[Project_ID],0))</f>
        <v>KSC - Tunnel</v>
      </c>
      <c r="Q434" s="6">
        <f>IF(TimeEntry[[#This Row],[Date]]=0,"",WEEKDAY(C434,2))</f>
        <v>1</v>
      </c>
      <c r="R434" s="9">
        <f>YEAR(TimeEntry[[#This Row],[WkEnd]])</f>
        <v>2019</v>
      </c>
      <c r="S434" s="9">
        <f>WEEKNUM(TimeEntry[[#This Row],[WkEnd]])</f>
        <v>45</v>
      </c>
      <c r="T434" s="9" t="str">
        <f>TimeEntry[[#This Row],[Year]]&amp;"-"&amp;TimeEntry[[#This Row],[WkNo]]</f>
        <v>2019-45</v>
      </c>
    </row>
    <row r="435" spans="1:20" x14ac:dyDescent="0.25">
      <c r="A435" s="6">
        <f>MOD(IF(ROW()=2,0.1,IF(INDEX(TimeEntry[WkEnd],ROW()-1)  =  INDEX(TimeEntry[WkEnd],ROW()-2),    INDEX(TimeEntry[format],ROW()-2),    INDEX(TimeEntry[format],ROW()-2)    +1)),2)</f>
        <v>1.1000000000000001</v>
      </c>
      <c r="B435" s="7"/>
      <c r="C435" s="8">
        <v>43766</v>
      </c>
      <c r="D435" s="8"/>
      <c r="E435" s="1" t="s">
        <v>455</v>
      </c>
      <c r="F435" s="8">
        <f>IF(TimeEntry[[#This Row],[Date]]=0,F434,C435+(7-Q435))</f>
        <v>43772</v>
      </c>
      <c r="G435" s="35" t="str">
        <f>INDEX(projects[Charge_Code],MATCH(TimeEntry[[#This Row],[Project_ID]],projects[Project_ID],0))</f>
        <v>268017-25  KSC - Tunnel</v>
      </c>
      <c r="H435" s="1" t="str">
        <f t="shared" si="10"/>
        <v>Normal Time</v>
      </c>
      <c r="I435" s="1"/>
      <c r="J435" s="15">
        <v>2.5</v>
      </c>
      <c r="K435" s="15"/>
      <c r="L435" s="15"/>
      <c r="M435" s="15"/>
      <c r="N435" s="15"/>
      <c r="O435" s="15" t="str">
        <f>INDEX(projects[job number],MATCH(TimeEntry[[#This Row],[Project_ID]], projects[Project_ID],0))</f>
        <v xml:space="preserve">268017-25 </v>
      </c>
      <c r="P435" s="15" t="str">
        <f>INDEX(projects[Project_Name],MATCH(TimeEntry[[#This Row],[Project_ID]], projects[Project_ID],0))</f>
        <v>KSC - Tunnel</v>
      </c>
      <c r="Q435" s="6">
        <f>IF(TimeEntry[[#This Row],[Date]]=0,"",WEEKDAY(C435,2))</f>
        <v>1</v>
      </c>
      <c r="R435" s="9">
        <f>YEAR(TimeEntry[[#This Row],[WkEnd]])</f>
        <v>2019</v>
      </c>
      <c r="S435" s="9">
        <f>WEEKNUM(TimeEntry[[#This Row],[WkEnd]])</f>
        <v>45</v>
      </c>
      <c r="T435" s="9" t="str">
        <f>TimeEntry[[#This Row],[Year]]&amp;"-"&amp;TimeEntry[[#This Row],[WkNo]]</f>
        <v>2019-45</v>
      </c>
    </row>
    <row r="436" spans="1:20" x14ac:dyDescent="0.25">
      <c r="A436" s="6">
        <f>MOD(IF(ROW()=2,0.1,IF(INDEX(TimeEntry[WkEnd],ROW()-1)  =  INDEX(TimeEntry[WkEnd],ROW()-2),    INDEX(TimeEntry[format],ROW()-2),    INDEX(TimeEntry[format],ROW()-2)    +1)),2)</f>
        <v>1.1000000000000001</v>
      </c>
      <c r="B436" s="7"/>
      <c r="C436" s="8">
        <v>43767</v>
      </c>
      <c r="D436" s="8"/>
      <c r="E436" s="1" t="s">
        <v>455</v>
      </c>
      <c r="F436" s="8">
        <f>IF(TimeEntry[[#This Row],[Date]]=0,F435,C436+(7-Q436))</f>
        <v>43772</v>
      </c>
      <c r="G436" s="35" t="str">
        <f>INDEX(projects[Charge_Code],MATCH(TimeEntry[[#This Row],[Project_ID]],projects[Project_ID],0))</f>
        <v>268017-25  KSC - Tunnel</v>
      </c>
      <c r="H436" s="1" t="str">
        <f t="shared" si="10"/>
        <v>Normal Time</v>
      </c>
      <c r="I436" s="1"/>
      <c r="J436" s="15">
        <v>7.5</v>
      </c>
      <c r="K436" s="15"/>
      <c r="L436" s="15"/>
      <c r="M436" s="15"/>
      <c r="N436" s="15"/>
      <c r="O436" s="15" t="str">
        <f>INDEX(projects[job number],MATCH(TimeEntry[[#This Row],[Project_ID]], projects[Project_ID],0))</f>
        <v xml:space="preserve">268017-25 </v>
      </c>
      <c r="P436" s="15" t="str">
        <f>INDEX(projects[Project_Name],MATCH(TimeEntry[[#This Row],[Project_ID]], projects[Project_ID],0))</f>
        <v>KSC - Tunnel</v>
      </c>
      <c r="Q436" s="6">
        <f>IF(TimeEntry[[#This Row],[Date]]=0,"",WEEKDAY(C436,2))</f>
        <v>2</v>
      </c>
      <c r="R436" s="9">
        <f>YEAR(TimeEntry[[#This Row],[WkEnd]])</f>
        <v>2019</v>
      </c>
      <c r="S436" s="9">
        <f>WEEKNUM(TimeEntry[[#This Row],[WkEnd]])</f>
        <v>45</v>
      </c>
      <c r="T436" s="9" t="str">
        <f>TimeEntry[[#This Row],[Year]]&amp;"-"&amp;TimeEntry[[#This Row],[WkNo]]</f>
        <v>2019-45</v>
      </c>
    </row>
    <row r="437" spans="1:20" x14ac:dyDescent="0.25">
      <c r="A437" s="6">
        <f>MOD(IF(ROW()=2,0.1,IF(INDEX(TimeEntry[WkEnd],ROW()-1)  =  INDEX(TimeEntry[WkEnd],ROW()-2),    INDEX(TimeEntry[format],ROW()-2),    INDEX(TimeEntry[format],ROW()-2)    +1)),2)</f>
        <v>1.1000000000000001</v>
      </c>
      <c r="B437" s="7"/>
      <c r="C437" s="8">
        <v>43768</v>
      </c>
      <c r="D437" s="8"/>
      <c r="E437" s="1" t="s">
        <v>455</v>
      </c>
      <c r="F437" s="8">
        <f>IF(TimeEntry[[#This Row],[Date]]=0,F436,C437+(7-Q437))</f>
        <v>43772</v>
      </c>
      <c r="G437" s="35" t="str">
        <f>INDEX(projects[Charge_Code],MATCH(TimeEntry[[#This Row],[Project_ID]],projects[Project_ID],0))</f>
        <v>268017-25  KSC - Tunnel</v>
      </c>
      <c r="H437" s="1" t="str">
        <f t="shared" si="10"/>
        <v>Normal Time</v>
      </c>
      <c r="I437" s="1"/>
      <c r="J437" s="15">
        <v>7.5</v>
      </c>
      <c r="K437" s="15"/>
      <c r="L437" s="15"/>
      <c r="M437" s="15"/>
      <c r="N437" s="15"/>
      <c r="O437" s="15" t="str">
        <f>INDEX(projects[job number],MATCH(TimeEntry[[#This Row],[Project_ID]], projects[Project_ID],0))</f>
        <v xml:space="preserve">268017-25 </v>
      </c>
      <c r="P437" s="15" t="str">
        <f>INDEX(projects[Project_Name],MATCH(TimeEntry[[#This Row],[Project_ID]], projects[Project_ID],0))</f>
        <v>KSC - Tunnel</v>
      </c>
      <c r="Q437" s="6">
        <f>IF(TimeEntry[[#This Row],[Date]]=0,"",WEEKDAY(C437,2))</f>
        <v>3</v>
      </c>
      <c r="R437" s="9">
        <f>YEAR(TimeEntry[[#This Row],[WkEnd]])</f>
        <v>2019</v>
      </c>
      <c r="S437" s="9">
        <f>WEEKNUM(TimeEntry[[#This Row],[WkEnd]])</f>
        <v>45</v>
      </c>
      <c r="T437" s="9" t="str">
        <f>TimeEntry[[#This Row],[Year]]&amp;"-"&amp;TimeEntry[[#This Row],[WkNo]]</f>
        <v>2019-45</v>
      </c>
    </row>
    <row r="438" spans="1:20" x14ac:dyDescent="0.25">
      <c r="A438" s="6">
        <f>MOD(IF(ROW()=2,0.1,IF(INDEX(TimeEntry[WkEnd],ROW()-1)  =  INDEX(TimeEntry[WkEnd],ROW()-2),    INDEX(TimeEntry[format],ROW()-2),    INDEX(TimeEntry[format],ROW()-2)    +1)),2)</f>
        <v>1.1000000000000001</v>
      </c>
      <c r="B438" s="7"/>
      <c r="C438" s="8">
        <v>43769</v>
      </c>
      <c r="D438" s="8"/>
      <c r="E438" s="1" t="s">
        <v>456</v>
      </c>
      <c r="F438" s="8">
        <f>IF(TimeEntry[[#This Row],[Date]]=0,F437,C438+(7-Q438))</f>
        <v>43772</v>
      </c>
      <c r="G438" s="35" t="str">
        <f>INDEX(projects[Charge_Code],MATCH(TimeEntry[[#This Row],[Project_ID]],projects[Project_ID],0))</f>
        <v>210035-51 VBB 3rd - new bridge</v>
      </c>
      <c r="H438" s="1" t="str">
        <f t="shared" si="10"/>
        <v>Normal Time</v>
      </c>
      <c r="I438" s="1"/>
      <c r="J438" s="15">
        <v>2</v>
      </c>
      <c r="K438" s="15"/>
      <c r="L438" s="15"/>
      <c r="M438" s="15"/>
      <c r="N438" s="15"/>
      <c r="O438" s="15" t="str">
        <f>INDEX(projects[job number],MATCH(TimeEntry[[#This Row],[Project_ID]], projects[Project_ID],0))</f>
        <v>210035-51</v>
      </c>
      <c r="P438" s="15" t="str">
        <f>INDEX(projects[Project_Name],MATCH(TimeEntry[[#This Row],[Project_ID]], projects[Project_ID],0))</f>
        <v>VBB 3rd - new bridge</v>
      </c>
      <c r="Q438" s="6">
        <f>IF(TimeEntry[[#This Row],[Date]]=0,"",WEEKDAY(C438,2))</f>
        <v>4</v>
      </c>
      <c r="R438" s="9">
        <f>YEAR(TimeEntry[[#This Row],[WkEnd]])</f>
        <v>2019</v>
      </c>
      <c r="S438" s="9">
        <f>WEEKNUM(TimeEntry[[#This Row],[WkEnd]])</f>
        <v>45</v>
      </c>
      <c r="T438" s="9" t="str">
        <f>TimeEntry[[#This Row],[Year]]&amp;"-"&amp;TimeEntry[[#This Row],[WkNo]]</f>
        <v>2019-45</v>
      </c>
    </row>
    <row r="439" spans="1:20" x14ac:dyDescent="0.25">
      <c r="A439" s="6">
        <f>MOD(IF(ROW()=2,0.1,IF(INDEX(TimeEntry[WkEnd],ROW()-1)  =  INDEX(TimeEntry[WkEnd],ROW()-2),    INDEX(TimeEntry[format],ROW()-2),    INDEX(TimeEntry[format],ROW()-2)    +1)),2)</f>
        <v>1.1000000000000001</v>
      </c>
      <c r="B439" s="7"/>
      <c r="C439" s="8">
        <v>43769</v>
      </c>
      <c r="D439" s="8"/>
      <c r="E439" s="1" t="s">
        <v>456</v>
      </c>
      <c r="F439" s="8">
        <f>IF(TimeEntry[[#This Row],[Date]]=0,F438,C439+(7-Q439))</f>
        <v>43772</v>
      </c>
      <c r="G439" s="35" t="str">
        <f>INDEX(projects[Charge_Code],MATCH(TimeEntry[[#This Row],[Project_ID]],projects[Project_ID],0))</f>
        <v>210035-51 VBB 3rd - new bridge</v>
      </c>
      <c r="H439" s="1" t="str">
        <f t="shared" si="10"/>
        <v>Normal Time</v>
      </c>
      <c r="I439" s="1"/>
      <c r="J439" s="15">
        <v>5.5</v>
      </c>
      <c r="K439" s="15"/>
      <c r="L439" s="15"/>
      <c r="M439" s="15"/>
      <c r="N439" s="15"/>
      <c r="O439" s="15" t="str">
        <f>INDEX(projects[job number],MATCH(TimeEntry[[#This Row],[Project_ID]], projects[Project_ID],0))</f>
        <v>210035-51</v>
      </c>
      <c r="P439" s="15" t="str">
        <f>INDEX(projects[Project_Name],MATCH(TimeEntry[[#This Row],[Project_ID]], projects[Project_ID],0))</f>
        <v>VBB 3rd - new bridge</v>
      </c>
      <c r="Q439" s="6">
        <f>IF(TimeEntry[[#This Row],[Date]]=0,"",WEEKDAY(C439,2))</f>
        <v>4</v>
      </c>
      <c r="R439" s="9">
        <f>YEAR(TimeEntry[[#This Row],[WkEnd]])</f>
        <v>2019</v>
      </c>
      <c r="S439" s="9">
        <f>WEEKNUM(TimeEntry[[#This Row],[WkEnd]])</f>
        <v>45</v>
      </c>
      <c r="T439" s="9" t="str">
        <f>TimeEntry[[#This Row],[Year]]&amp;"-"&amp;TimeEntry[[#This Row],[WkNo]]</f>
        <v>2019-45</v>
      </c>
    </row>
    <row r="440" spans="1:20" x14ac:dyDescent="0.25">
      <c r="A440" s="6">
        <f>MOD(IF(ROW()=2,0.1,IF(INDEX(TimeEntry[WkEnd],ROW()-1)  =  INDEX(TimeEntry[WkEnd],ROW()-2),    INDEX(TimeEntry[format],ROW()-2),    INDEX(TimeEntry[format],ROW()-2)    +1)),2)</f>
        <v>1.1000000000000001</v>
      </c>
      <c r="B440" s="7"/>
      <c r="C440" s="8">
        <v>43770</v>
      </c>
      <c r="D440" s="8"/>
      <c r="E440" s="1" t="s">
        <v>455</v>
      </c>
      <c r="F440" s="8">
        <f>IF(TimeEntry[[#This Row],[Date]]=0,F439,C440+(7-Q440))</f>
        <v>43772</v>
      </c>
      <c r="G440" s="35" t="str">
        <f>INDEX(projects[Charge_Code],MATCH(TimeEntry[[#This Row],[Project_ID]],projects[Project_ID],0))</f>
        <v>268017-25  KSC - Tunnel</v>
      </c>
      <c r="H440" s="1" t="str">
        <f t="shared" si="10"/>
        <v>Normal Time</v>
      </c>
      <c r="I440" s="1"/>
      <c r="J440" s="15">
        <v>7.5</v>
      </c>
      <c r="K440" s="15"/>
      <c r="L440" s="15"/>
      <c r="M440" s="15"/>
      <c r="N440" s="15"/>
      <c r="O440" s="15" t="str">
        <f>INDEX(projects[job number],MATCH(TimeEntry[[#This Row],[Project_ID]], projects[Project_ID],0))</f>
        <v xml:space="preserve">268017-25 </v>
      </c>
      <c r="P440" s="15" t="str">
        <f>INDEX(projects[Project_Name],MATCH(TimeEntry[[#This Row],[Project_ID]], projects[Project_ID],0))</f>
        <v>KSC - Tunnel</v>
      </c>
      <c r="Q440" s="6">
        <f>IF(TimeEntry[[#This Row],[Date]]=0,"",WEEKDAY(C440,2))</f>
        <v>5</v>
      </c>
      <c r="R440" s="9">
        <f>YEAR(TimeEntry[[#This Row],[WkEnd]])</f>
        <v>2019</v>
      </c>
      <c r="S440" s="9">
        <f>WEEKNUM(TimeEntry[[#This Row],[WkEnd]])</f>
        <v>45</v>
      </c>
      <c r="T440" s="9" t="str">
        <f>TimeEntry[[#This Row],[Year]]&amp;"-"&amp;TimeEntry[[#This Row],[WkNo]]</f>
        <v>2019-45</v>
      </c>
    </row>
    <row r="441" spans="1:20" x14ac:dyDescent="0.25">
      <c r="A441" s="6">
        <f>MOD(IF(ROW()=2,0.1,IF(INDEX(TimeEntry[WkEnd],ROW()-1)  =  INDEX(TimeEntry[WkEnd],ROW()-2),    INDEX(TimeEntry[format],ROW()-2),    INDEX(TimeEntry[format],ROW()-2)    +1)),2)</f>
        <v>0.10000000000000009</v>
      </c>
      <c r="B441" s="7"/>
      <c r="C441" s="8">
        <v>43759</v>
      </c>
      <c r="D441" s="8"/>
      <c r="E441" s="1" t="s">
        <v>455</v>
      </c>
      <c r="F441" s="8">
        <f>IF(TimeEntry[[#This Row],[Date]]=0,F440,C441+(7-Q441))</f>
        <v>43765</v>
      </c>
      <c r="G441" s="35" t="str">
        <f>INDEX(projects[Charge_Code],MATCH(TimeEntry[[#This Row],[Project_ID]],projects[Project_ID],0))</f>
        <v>268017-25  KSC - Tunnel</v>
      </c>
      <c r="H441" s="1" t="str">
        <f t="shared" si="10"/>
        <v>Normal Time</v>
      </c>
      <c r="I441" s="1"/>
      <c r="J441" s="15">
        <v>5</v>
      </c>
      <c r="K441" s="15"/>
      <c r="L441" s="15"/>
      <c r="M441" s="15"/>
      <c r="N441" s="15"/>
      <c r="O441" s="15" t="str">
        <f>INDEX(projects[job number],MATCH(TimeEntry[[#This Row],[Project_ID]], projects[Project_ID],0))</f>
        <v xml:space="preserve">268017-25 </v>
      </c>
      <c r="P441" s="15" t="str">
        <f>INDEX(projects[Project_Name],MATCH(TimeEntry[[#This Row],[Project_ID]], projects[Project_ID],0))</f>
        <v>KSC - Tunnel</v>
      </c>
      <c r="Q441" s="6">
        <f>IF(TimeEntry[[#This Row],[Date]]=0,"",WEEKDAY(C441,2))</f>
        <v>1</v>
      </c>
      <c r="R441" s="9">
        <f>YEAR(TimeEntry[[#This Row],[WkEnd]])</f>
        <v>2019</v>
      </c>
      <c r="S441" s="9">
        <f>WEEKNUM(TimeEntry[[#This Row],[WkEnd]])</f>
        <v>44</v>
      </c>
      <c r="T441" s="9" t="str">
        <f>TimeEntry[[#This Row],[Year]]&amp;"-"&amp;TimeEntry[[#This Row],[WkNo]]</f>
        <v>2019-44</v>
      </c>
    </row>
    <row r="442" spans="1:20" x14ac:dyDescent="0.25">
      <c r="A442" s="6">
        <f>MOD(IF(ROW()=2,0.1,IF(INDEX(TimeEntry[WkEnd],ROW()-1)  =  INDEX(TimeEntry[WkEnd],ROW()-2),    INDEX(TimeEntry[format],ROW()-2),    INDEX(TimeEntry[format],ROW()-2)    +1)),2)</f>
        <v>0.10000000000000009</v>
      </c>
      <c r="B442" s="7"/>
      <c r="C442" s="8">
        <v>43760</v>
      </c>
      <c r="D442" s="8"/>
      <c r="E442" s="1" t="s">
        <v>459</v>
      </c>
      <c r="F442" s="8">
        <f>IF(TimeEntry[[#This Row],[Date]]=0,F441,C442+(7-Q442))</f>
        <v>43765</v>
      </c>
      <c r="G442" s="35" t="str">
        <f>INDEX(projects[Charge_Code],MATCH(TimeEntry[[#This Row],[Project_ID]],projects[Project_ID],0))</f>
        <v>268017-10 KSC - PM</v>
      </c>
      <c r="H442" s="1" t="str">
        <f t="shared" si="10"/>
        <v>Normal Time</v>
      </c>
      <c r="I442" s="1"/>
      <c r="J442" s="15">
        <v>2.5</v>
      </c>
      <c r="K442" s="15"/>
      <c r="L442" s="15"/>
      <c r="M442" s="15"/>
      <c r="N442" s="15"/>
      <c r="O442" s="15" t="str">
        <f>INDEX(projects[job number],MATCH(TimeEntry[[#This Row],[Project_ID]], projects[Project_ID],0))</f>
        <v>268017-10</v>
      </c>
      <c r="P442" s="15" t="str">
        <f>INDEX(projects[Project_Name],MATCH(TimeEntry[[#This Row],[Project_ID]], projects[Project_ID],0))</f>
        <v>KSC - PM</v>
      </c>
      <c r="Q442" s="6">
        <f>IF(TimeEntry[[#This Row],[Date]]=0,"",WEEKDAY(C442,2))</f>
        <v>2</v>
      </c>
      <c r="R442" s="9">
        <f>YEAR(TimeEntry[[#This Row],[WkEnd]])</f>
        <v>2019</v>
      </c>
      <c r="S442" s="9">
        <f>WEEKNUM(TimeEntry[[#This Row],[WkEnd]])</f>
        <v>44</v>
      </c>
      <c r="T442" s="9" t="str">
        <f>TimeEntry[[#This Row],[Year]]&amp;"-"&amp;TimeEntry[[#This Row],[WkNo]]</f>
        <v>2019-44</v>
      </c>
    </row>
    <row r="443" spans="1:20" x14ac:dyDescent="0.25">
      <c r="A443" s="6">
        <f>MOD(IF(ROW()=2,0.1,IF(INDEX(TimeEntry[WkEnd],ROW()-1)  =  INDEX(TimeEntry[WkEnd],ROW()-2),    INDEX(TimeEntry[format],ROW()-2),    INDEX(TimeEntry[format],ROW()-2)    +1)),2)</f>
        <v>0.10000000000000009</v>
      </c>
      <c r="B443" s="7"/>
      <c r="C443" s="8">
        <v>43760</v>
      </c>
      <c r="D443" s="8"/>
      <c r="E443" s="1" t="s">
        <v>455</v>
      </c>
      <c r="F443" s="8">
        <f>IF(TimeEntry[[#This Row],[Date]]=0,F442,C443+(7-Q443))</f>
        <v>43765</v>
      </c>
      <c r="G443" s="35" t="str">
        <f>INDEX(projects[Charge_Code],MATCH(TimeEntry[[#This Row],[Project_ID]],projects[Project_ID],0))</f>
        <v>268017-25  KSC - Tunnel</v>
      </c>
      <c r="H443" s="1" t="str">
        <f t="shared" si="10"/>
        <v>Normal Time</v>
      </c>
      <c r="I443" s="1"/>
      <c r="J443" s="15">
        <v>7.5</v>
      </c>
      <c r="K443" s="15"/>
      <c r="L443" s="15"/>
      <c r="M443" s="15"/>
      <c r="N443" s="15"/>
      <c r="O443" s="15" t="str">
        <f>INDEX(projects[job number],MATCH(TimeEntry[[#This Row],[Project_ID]], projects[Project_ID],0))</f>
        <v xml:space="preserve">268017-25 </v>
      </c>
      <c r="P443" s="15" t="str">
        <f>INDEX(projects[Project_Name],MATCH(TimeEntry[[#This Row],[Project_ID]], projects[Project_ID],0))</f>
        <v>KSC - Tunnel</v>
      </c>
      <c r="Q443" s="6">
        <f>IF(TimeEntry[[#This Row],[Date]]=0,"",WEEKDAY(C443,2))</f>
        <v>2</v>
      </c>
      <c r="R443" s="9">
        <f>YEAR(TimeEntry[[#This Row],[WkEnd]])</f>
        <v>2019</v>
      </c>
      <c r="S443" s="9">
        <f>WEEKNUM(TimeEntry[[#This Row],[WkEnd]])</f>
        <v>44</v>
      </c>
      <c r="T443" s="9" t="str">
        <f>TimeEntry[[#This Row],[Year]]&amp;"-"&amp;TimeEntry[[#This Row],[WkNo]]</f>
        <v>2019-44</v>
      </c>
    </row>
    <row r="444" spans="1:20" x14ac:dyDescent="0.25">
      <c r="A444" s="6">
        <f>MOD(IF(ROW()=2,0.1,IF(INDEX(TimeEntry[WkEnd],ROW()-1)  =  INDEX(TimeEntry[WkEnd],ROW()-2),    INDEX(TimeEntry[format],ROW()-2),    INDEX(TimeEntry[format],ROW()-2)    +1)),2)</f>
        <v>0.10000000000000009</v>
      </c>
      <c r="B444" s="7"/>
      <c r="C444" s="8">
        <v>43761</v>
      </c>
      <c r="D444" s="8"/>
      <c r="E444" s="1" t="s">
        <v>460</v>
      </c>
      <c r="F444" s="8">
        <f>IF(TimeEntry[[#This Row],[Date]]=0,F443,C444+(7-Q444))</f>
        <v>43765</v>
      </c>
      <c r="G444" s="35" t="str">
        <f>INDEX(projects[Charge_Code],MATCH(TimeEntry[[#This Row],[Project_ID]],projects[Project_ID],0))</f>
        <v>265720-20 VBB - Assessment</v>
      </c>
      <c r="H444" s="1" t="str">
        <f t="shared" si="10"/>
        <v>Normal Time</v>
      </c>
      <c r="I444" s="1"/>
      <c r="J444" s="15">
        <v>7.5</v>
      </c>
      <c r="K444" s="15"/>
      <c r="L444" s="15"/>
      <c r="M444" s="15"/>
      <c r="N444" s="15"/>
      <c r="O444" s="15" t="str">
        <f>INDEX(projects[job number],MATCH(TimeEntry[[#This Row],[Project_ID]], projects[Project_ID],0))</f>
        <v>265720-20</v>
      </c>
      <c r="P444" s="15" t="str">
        <f>INDEX(projects[Project_Name],MATCH(TimeEntry[[#This Row],[Project_ID]], projects[Project_ID],0))</f>
        <v>VBB - Assessment</v>
      </c>
      <c r="Q444" s="6">
        <f>IF(TimeEntry[[#This Row],[Date]]=0,"",WEEKDAY(C444,2))</f>
        <v>3</v>
      </c>
      <c r="R444" s="9">
        <f>YEAR(TimeEntry[[#This Row],[WkEnd]])</f>
        <v>2019</v>
      </c>
      <c r="S444" s="9">
        <f>WEEKNUM(TimeEntry[[#This Row],[WkEnd]])</f>
        <v>44</v>
      </c>
      <c r="T444" s="9" t="str">
        <f>TimeEntry[[#This Row],[Year]]&amp;"-"&amp;TimeEntry[[#This Row],[WkNo]]</f>
        <v>2019-44</v>
      </c>
    </row>
    <row r="445" spans="1:20" x14ac:dyDescent="0.25">
      <c r="A445" s="6">
        <f>MOD(IF(ROW()=2,0.1,IF(INDEX(TimeEntry[WkEnd],ROW()-1)  =  INDEX(TimeEntry[WkEnd],ROW()-2),    INDEX(TimeEntry[format],ROW()-2),    INDEX(TimeEntry[format],ROW()-2)    +1)),2)</f>
        <v>0.10000000000000009</v>
      </c>
      <c r="B445" s="7"/>
      <c r="C445" s="8">
        <v>43762</v>
      </c>
      <c r="D445" s="8"/>
      <c r="E445" s="1" t="s">
        <v>456</v>
      </c>
      <c r="F445" s="8">
        <f>IF(TimeEntry[[#This Row],[Date]]=0,F444,C445+(7-Q445))</f>
        <v>43765</v>
      </c>
      <c r="G445" s="35" t="str">
        <f>INDEX(projects[Charge_Code],MATCH(TimeEntry[[#This Row],[Project_ID]],projects[Project_ID],0))</f>
        <v>210035-51 VBB 3rd - new bridge</v>
      </c>
      <c r="H445" s="1" t="str">
        <f t="shared" si="10"/>
        <v>Normal Time</v>
      </c>
      <c r="I445" s="1"/>
      <c r="J445" s="15">
        <v>7.5</v>
      </c>
      <c r="K445" s="15"/>
      <c r="L445" s="15"/>
      <c r="M445" s="15"/>
      <c r="N445" s="15"/>
      <c r="O445" s="15" t="str">
        <f>INDEX(projects[job number],MATCH(TimeEntry[[#This Row],[Project_ID]], projects[Project_ID],0))</f>
        <v>210035-51</v>
      </c>
      <c r="P445" s="15" t="str">
        <f>INDEX(projects[Project_Name],MATCH(TimeEntry[[#This Row],[Project_ID]], projects[Project_ID],0))</f>
        <v>VBB 3rd - new bridge</v>
      </c>
      <c r="Q445" s="6">
        <f>IF(TimeEntry[[#This Row],[Date]]=0,"",WEEKDAY(C445,2))</f>
        <v>4</v>
      </c>
      <c r="R445" s="9">
        <f>YEAR(TimeEntry[[#This Row],[WkEnd]])</f>
        <v>2019</v>
      </c>
      <c r="S445" s="9">
        <f>WEEKNUM(TimeEntry[[#This Row],[WkEnd]])</f>
        <v>44</v>
      </c>
      <c r="T445" s="9" t="str">
        <f>TimeEntry[[#This Row],[Year]]&amp;"-"&amp;TimeEntry[[#This Row],[WkNo]]</f>
        <v>2019-44</v>
      </c>
    </row>
    <row r="446" spans="1:20" x14ac:dyDescent="0.25">
      <c r="A446" s="6">
        <f>MOD(IF(ROW()=2,0.1,IF(INDEX(TimeEntry[WkEnd],ROW()-1)  =  INDEX(TimeEntry[WkEnd],ROW()-2),    INDEX(TimeEntry[format],ROW()-2),    INDEX(TimeEntry[format],ROW()-2)    +1)),2)</f>
        <v>0.10000000000000009</v>
      </c>
      <c r="B446" s="7"/>
      <c r="C446" s="8">
        <v>43763</v>
      </c>
      <c r="D446" s="8"/>
      <c r="E446" s="1" t="s">
        <v>455</v>
      </c>
      <c r="F446" s="8">
        <f>IF(TimeEntry[[#This Row],[Date]]=0,F445,C446+(7-Q446))</f>
        <v>43765</v>
      </c>
      <c r="G446" s="35" t="str">
        <f>INDEX(projects[Charge_Code],MATCH(TimeEntry[[#This Row],[Project_ID]],projects[Project_ID],0))</f>
        <v>268017-25  KSC - Tunnel</v>
      </c>
      <c r="H446" s="1" t="str">
        <f t="shared" si="10"/>
        <v>Normal Time</v>
      </c>
      <c r="I446" s="1"/>
      <c r="J446" s="15">
        <v>7.5</v>
      </c>
      <c r="K446" s="15"/>
      <c r="L446" s="15"/>
      <c r="M446" s="15"/>
      <c r="N446" s="15"/>
      <c r="O446" s="15" t="str">
        <f>INDEX(projects[job number],MATCH(TimeEntry[[#This Row],[Project_ID]], projects[Project_ID],0))</f>
        <v xml:space="preserve">268017-25 </v>
      </c>
      <c r="P446" s="15" t="str">
        <f>INDEX(projects[Project_Name],MATCH(TimeEntry[[#This Row],[Project_ID]], projects[Project_ID],0))</f>
        <v>KSC - Tunnel</v>
      </c>
      <c r="Q446" s="6">
        <f>IF(TimeEntry[[#This Row],[Date]]=0,"",WEEKDAY(C446,2))</f>
        <v>5</v>
      </c>
      <c r="R446" s="9">
        <f>YEAR(TimeEntry[[#This Row],[WkEnd]])</f>
        <v>2019</v>
      </c>
      <c r="S446" s="9">
        <f>WEEKNUM(TimeEntry[[#This Row],[WkEnd]])</f>
        <v>44</v>
      </c>
      <c r="T446" s="9" t="str">
        <f>TimeEntry[[#This Row],[Year]]&amp;"-"&amp;TimeEntry[[#This Row],[WkNo]]</f>
        <v>2019-44</v>
      </c>
    </row>
    <row r="447" spans="1:20" x14ac:dyDescent="0.25">
      <c r="A447" s="6">
        <f>MOD(IF(ROW()=2,0.1,IF(INDEX(TimeEntry[WkEnd],ROW()-1)  =  INDEX(TimeEntry[WkEnd],ROW()-2),    INDEX(TimeEntry[format],ROW()-2),    INDEX(TimeEntry[format],ROW()-2)    +1)),2)</f>
        <v>1.1000000000000001</v>
      </c>
      <c r="B447" s="7"/>
      <c r="C447" s="8">
        <v>43752</v>
      </c>
      <c r="D447" s="8"/>
      <c r="E447" s="1" t="s">
        <v>455</v>
      </c>
      <c r="F447" s="8">
        <f>IF(TimeEntry[[#This Row],[Date]]=0,F446,C447+(7-Q447))</f>
        <v>43758</v>
      </c>
      <c r="G447" s="35" t="str">
        <f>INDEX(projects[Charge_Code],MATCH(TimeEntry[[#This Row],[Project_ID]],projects[Project_ID],0))</f>
        <v>268017-25  KSC - Tunnel</v>
      </c>
      <c r="H447" s="1" t="str">
        <f t="shared" si="10"/>
        <v>Normal Time</v>
      </c>
      <c r="I447" s="1"/>
      <c r="J447" s="15">
        <v>3.75</v>
      </c>
      <c r="K447" s="15"/>
      <c r="L447" s="15"/>
      <c r="M447" s="15"/>
      <c r="N447" s="15"/>
      <c r="O447" s="15" t="str">
        <f>INDEX(projects[job number],MATCH(TimeEntry[[#This Row],[Project_ID]], projects[Project_ID],0))</f>
        <v xml:space="preserve">268017-25 </v>
      </c>
      <c r="P447" s="15" t="str">
        <f>INDEX(projects[Project_Name],MATCH(TimeEntry[[#This Row],[Project_ID]], projects[Project_ID],0))</f>
        <v>KSC - Tunnel</v>
      </c>
      <c r="Q447" s="6">
        <f>IF(TimeEntry[[#This Row],[Date]]=0,"",WEEKDAY(C447,2))</f>
        <v>1</v>
      </c>
      <c r="R447" s="9">
        <f>YEAR(TimeEntry[[#This Row],[WkEnd]])</f>
        <v>2019</v>
      </c>
      <c r="S447" s="9">
        <f>WEEKNUM(TimeEntry[[#This Row],[WkEnd]])</f>
        <v>43</v>
      </c>
      <c r="T447" s="9" t="str">
        <f>TimeEntry[[#This Row],[Year]]&amp;"-"&amp;TimeEntry[[#This Row],[WkNo]]</f>
        <v>2019-43</v>
      </c>
    </row>
    <row r="448" spans="1:20" x14ac:dyDescent="0.25">
      <c r="A448" s="6">
        <f>MOD(IF(ROW()=2,0.1,IF(INDEX(TimeEntry[WkEnd],ROW()-1)  =  INDEX(TimeEntry[WkEnd],ROW()-2),    INDEX(TimeEntry[format],ROW()-2),    INDEX(TimeEntry[format],ROW()-2)    +1)),2)</f>
        <v>1.1000000000000001</v>
      </c>
      <c r="B448" s="7"/>
      <c r="C448" s="8">
        <v>43752</v>
      </c>
      <c r="D448" s="8"/>
      <c r="E448" s="1" t="s">
        <v>459</v>
      </c>
      <c r="F448" s="8">
        <f>IF(TimeEntry[[#This Row],[Date]]=0,F447,C448+(7-Q448))</f>
        <v>43758</v>
      </c>
      <c r="G448" s="35" t="str">
        <f>INDEX(projects[Charge_Code],MATCH(TimeEntry[[#This Row],[Project_ID]],projects[Project_ID],0))</f>
        <v>268017-10 KSC - PM</v>
      </c>
      <c r="H448" s="1" t="str">
        <f t="shared" si="10"/>
        <v>Normal Time</v>
      </c>
      <c r="I448" s="1"/>
      <c r="J448" s="15">
        <v>3.75</v>
      </c>
      <c r="K448" s="15"/>
      <c r="L448" s="15"/>
      <c r="M448" s="15"/>
      <c r="N448" s="15"/>
      <c r="O448" s="15" t="str">
        <f>INDEX(projects[job number],MATCH(TimeEntry[[#This Row],[Project_ID]], projects[Project_ID],0))</f>
        <v>268017-10</v>
      </c>
      <c r="P448" s="15" t="str">
        <f>INDEX(projects[Project_Name],MATCH(TimeEntry[[#This Row],[Project_ID]], projects[Project_ID],0))</f>
        <v>KSC - PM</v>
      </c>
      <c r="Q448" s="6">
        <f>IF(TimeEntry[[#This Row],[Date]]=0,"",WEEKDAY(C448,2))</f>
        <v>1</v>
      </c>
      <c r="R448" s="9">
        <f>YEAR(TimeEntry[[#This Row],[WkEnd]])</f>
        <v>2019</v>
      </c>
      <c r="S448" s="9">
        <f>WEEKNUM(TimeEntry[[#This Row],[WkEnd]])</f>
        <v>43</v>
      </c>
      <c r="T448" s="9" t="str">
        <f>TimeEntry[[#This Row],[Year]]&amp;"-"&amp;TimeEntry[[#This Row],[WkNo]]</f>
        <v>2019-43</v>
      </c>
    </row>
    <row r="449" spans="1:20" x14ac:dyDescent="0.25">
      <c r="A449" s="6">
        <f>MOD(IF(ROW()=2,0.1,IF(INDEX(TimeEntry[WkEnd],ROW()-1)  =  INDEX(TimeEntry[WkEnd],ROW()-2),    INDEX(TimeEntry[format],ROW()-2),    INDEX(TimeEntry[format],ROW()-2)    +1)),2)</f>
        <v>1.1000000000000001</v>
      </c>
      <c r="B449" s="7"/>
      <c r="C449" s="8">
        <v>43753</v>
      </c>
      <c r="D449" s="8"/>
      <c r="E449" s="1" t="s">
        <v>459</v>
      </c>
      <c r="F449" s="8">
        <f>IF(TimeEntry[[#This Row],[Date]]=0,F448,C449+(7-Q449))</f>
        <v>43758</v>
      </c>
      <c r="G449" s="35" t="str">
        <f>INDEX(projects[Charge_Code],MATCH(TimeEntry[[#This Row],[Project_ID]],projects[Project_ID],0))</f>
        <v>268017-10 KSC - PM</v>
      </c>
      <c r="H449" s="1" t="str">
        <f t="shared" si="10"/>
        <v>Normal Time</v>
      </c>
      <c r="I449" s="1"/>
      <c r="J449" s="15">
        <v>7.5</v>
      </c>
      <c r="K449" s="15"/>
      <c r="L449" s="15"/>
      <c r="M449" s="15"/>
      <c r="N449" s="15"/>
      <c r="O449" s="15" t="str">
        <f>INDEX(projects[job number],MATCH(TimeEntry[[#This Row],[Project_ID]], projects[Project_ID],0))</f>
        <v>268017-10</v>
      </c>
      <c r="P449" s="15" t="str">
        <f>INDEX(projects[Project_Name],MATCH(TimeEntry[[#This Row],[Project_ID]], projects[Project_ID],0))</f>
        <v>KSC - PM</v>
      </c>
      <c r="Q449" s="6">
        <f>IF(TimeEntry[[#This Row],[Date]]=0,"",WEEKDAY(C449,2))</f>
        <v>2</v>
      </c>
      <c r="R449" s="9">
        <f>YEAR(TimeEntry[[#This Row],[WkEnd]])</f>
        <v>2019</v>
      </c>
      <c r="S449" s="9">
        <f>WEEKNUM(TimeEntry[[#This Row],[WkEnd]])</f>
        <v>43</v>
      </c>
      <c r="T449" s="9" t="str">
        <f>TimeEntry[[#This Row],[Year]]&amp;"-"&amp;TimeEntry[[#This Row],[WkNo]]</f>
        <v>2019-43</v>
      </c>
    </row>
    <row r="450" spans="1:20" x14ac:dyDescent="0.25">
      <c r="A450" s="6">
        <f>MOD(IF(ROW()=2,0.1,IF(INDEX(TimeEntry[WkEnd],ROW()-1)  =  INDEX(TimeEntry[WkEnd],ROW()-2),    INDEX(TimeEntry[format],ROW()-2),    INDEX(TimeEntry[format],ROW()-2)    +1)),2)</f>
        <v>1.1000000000000001</v>
      </c>
      <c r="B450" s="7"/>
      <c r="C450" s="8">
        <v>43754</v>
      </c>
      <c r="D450" s="8"/>
      <c r="E450" s="1" t="s">
        <v>461</v>
      </c>
      <c r="F450" s="8">
        <f>IF(TimeEntry[[#This Row],[Date]]=0,F449,C450+(7-Q450))</f>
        <v>43758</v>
      </c>
      <c r="G450" s="35" t="str">
        <f>INDEX(projects[Charge_Code],MATCH(TimeEntry[[#This Row],[Project_ID]],projects[Project_ID],0))</f>
        <v>236808-69 HCC - Nazeing (01-382)</v>
      </c>
      <c r="H450" s="1" t="str">
        <f t="shared" si="10"/>
        <v>Normal Time</v>
      </c>
      <c r="I450" s="1"/>
      <c r="J450" s="15">
        <v>7.5</v>
      </c>
      <c r="K450" s="15"/>
      <c r="L450" s="15"/>
      <c r="M450" s="15"/>
      <c r="N450" s="15"/>
      <c r="O450" s="15" t="str">
        <f>INDEX(projects[job number],MATCH(TimeEntry[[#This Row],[Project_ID]], projects[Project_ID],0))</f>
        <v>236808-69</v>
      </c>
      <c r="P450" s="15" t="str">
        <f>INDEX(projects[Project_Name],MATCH(TimeEntry[[#This Row],[Project_ID]], projects[Project_ID],0))</f>
        <v>HCC - Nazeing</v>
      </c>
      <c r="Q450" s="6">
        <f>IF(TimeEntry[[#This Row],[Date]]=0,"",WEEKDAY(C450,2))</f>
        <v>3</v>
      </c>
      <c r="R450" s="9">
        <f>YEAR(TimeEntry[[#This Row],[WkEnd]])</f>
        <v>2019</v>
      </c>
      <c r="S450" s="9">
        <f>WEEKNUM(TimeEntry[[#This Row],[WkEnd]])</f>
        <v>43</v>
      </c>
      <c r="T450" s="9" t="str">
        <f>TimeEntry[[#This Row],[Year]]&amp;"-"&amp;TimeEntry[[#This Row],[WkNo]]</f>
        <v>2019-43</v>
      </c>
    </row>
    <row r="451" spans="1:20" x14ac:dyDescent="0.25">
      <c r="A451" s="6">
        <f>MOD(IF(ROW()=2,0.1,IF(INDEX(TimeEntry[WkEnd],ROW()-1)  =  INDEX(TimeEntry[WkEnd],ROW()-2),    INDEX(TimeEntry[format],ROW()-2),    INDEX(TimeEntry[format],ROW()-2)    +1)),2)</f>
        <v>1.1000000000000001</v>
      </c>
      <c r="B451" s="7"/>
      <c r="C451" s="8">
        <v>43755</v>
      </c>
      <c r="D451" s="8"/>
      <c r="E451" s="1" t="s">
        <v>456</v>
      </c>
      <c r="F451" s="8">
        <f>IF(TimeEntry[[#This Row],[Date]]=0,F450,C451+(7-Q451))</f>
        <v>43758</v>
      </c>
      <c r="G451" s="35" t="str">
        <f>INDEX(projects[Charge_Code],MATCH(TimeEntry[[#This Row],[Project_ID]],projects[Project_ID],0))</f>
        <v>210035-51 VBB 3rd - new bridge</v>
      </c>
      <c r="H451" s="1" t="str">
        <f t="shared" si="10"/>
        <v>Normal Time</v>
      </c>
      <c r="I451" s="1"/>
      <c r="J451" s="15">
        <v>3.75</v>
      </c>
      <c r="K451" s="15"/>
      <c r="L451" s="15"/>
      <c r="M451" s="15"/>
      <c r="N451" s="15"/>
      <c r="O451" s="15" t="str">
        <f>INDEX(projects[job number],MATCH(TimeEntry[[#This Row],[Project_ID]], projects[Project_ID],0))</f>
        <v>210035-51</v>
      </c>
      <c r="P451" s="15" t="str">
        <f>INDEX(projects[Project_Name],MATCH(TimeEntry[[#This Row],[Project_ID]], projects[Project_ID],0))</f>
        <v>VBB 3rd - new bridge</v>
      </c>
      <c r="Q451" s="6">
        <f>IF(TimeEntry[[#This Row],[Date]]=0,"",WEEKDAY(C451,2))</f>
        <v>4</v>
      </c>
      <c r="R451" s="9">
        <f>YEAR(TimeEntry[[#This Row],[WkEnd]])</f>
        <v>2019</v>
      </c>
      <c r="S451" s="9">
        <f>WEEKNUM(TimeEntry[[#This Row],[WkEnd]])</f>
        <v>43</v>
      </c>
      <c r="T451" s="9" t="str">
        <f>TimeEntry[[#This Row],[Year]]&amp;"-"&amp;TimeEntry[[#This Row],[WkNo]]</f>
        <v>2019-43</v>
      </c>
    </row>
    <row r="452" spans="1:20" x14ac:dyDescent="0.25">
      <c r="A452" s="6">
        <f>MOD(IF(ROW()=2,0.1,IF(INDEX(TimeEntry[WkEnd],ROW()-1)  =  INDEX(TimeEntry[WkEnd],ROW()-2),    INDEX(TimeEntry[format],ROW()-2),    INDEX(TimeEntry[format],ROW()-2)    +1)),2)</f>
        <v>1.1000000000000001</v>
      </c>
      <c r="B452" s="7"/>
      <c r="C452" s="8">
        <v>43755</v>
      </c>
      <c r="D452" s="8"/>
      <c r="E452" s="1" t="s">
        <v>456</v>
      </c>
      <c r="F452" s="8">
        <f>IF(TimeEntry[[#This Row],[Date]]=0,F451,C452+(7-Q452))</f>
        <v>43758</v>
      </c>
      <c r="G452" s="35" t="str">
        <f>INDEX(projects[Charge_Code],MATCH(TimeEntry[[#This Row],[Project_ID]],projects[Project_ID],0))</f>
        <v>210035-51 VBB 3rd - new bridge</v>
      </c>
      <c r="H452" s="1" t="str">
        <f t="shared" si="10"/>
        <v>Normal Time</v>
      </c>
      <c r="I452" s="1"/>
      <c r="J452" s="15">
        <v>3.75</v>
      </c>
      <c r="K452" s="15"/>
      <c r="L452" s="15"/>
      <c r="M452" s="15"/>
      <c r="N452" s="15"/>
      <c r="O452" s="15" t="str">
        <f>INDEX(projects[job number],MATCH(TimeEntry[[#This Row],[Project_ID]], projects[Project_ID],0))</f>
        <v>210035-51</v>
      </c>
      <c r="P452" s="15" t="str">
        <f>INDEX(projects[Project_Name],MATCH(TimeEntry[[#This Row],[Project_ID]], projects[Project_ID],0))</f>
        <v>VBB 3rd - new bridge</v>
      </c>
      <c r="Q452" s="6">
        <f>IF(TimeEntry[[#This Row],[Date]]=0,"",WEEKDAY(C452,2))</f>
        <v>4</v>
      </c>
      <c r="R452" s="9">
        <f>YEAR(TimeEntry[[#This Row],[WkEnd]])</f>
        <v>2019</v>
      </c>
      <c r="S452" s="9">
        <f>WEEKNUM(TimeEntry[[#This Row],[WkEnd]])</f>
        <v>43</v>
      </c>
      <c r="T452" s="9" t="str">
        <f>TimeEntry[[#This Row],[Year]]&amp;"-"&amp;TimeEntry[[#This Row],[WkNo]]</f>
        <v>2019-43</v>
      </c>
    </row>
    <row r="453" spans="1:20" x14ac:dyDescent="0.25">
      <c r="A453" s="6">
        <f>MOD(IF(ROW()=2,0.1,IF(INDEX(TimeEntry[WkEnd],ROW()-1)  =  INDEX(TimeEntry[WkEnd],ROW()-2),    INDEX(TimeEntry[format],ROW()-2),    INDEX(TimeEntry[format],ROW()-2)    +1)),2)</f>
        <v>1.1000000000000001</v>
      </c>
      <c r="B453" s="7"/>
      <c r="C453" s="8">
        <v>43756</v>
      </c>
      <c r="D453" s="8"/>
      <c r="E453" s="1" t="s">
        <v>461</v>
      </c>
      <c r="F453" s="8">
        <f>IF(TimeEntry[[#This Row],[Date]]=0,F452,C453+(7-Q453))</f>
        <v>43758</v>
      </c>
      <c r="G453" s="35" t="str">
        <f>INDEX(projects[Charge_Code],MATCH(TimeEntry[[#This Row],[Project_ID]],projects[Project_ID],0))</f>
        <v>236808-69 HCC - Nazeing (01-382)</v>
      </c>
      <c r="H453" s="1" t="str">
        <f t="shared" si="10"/>
        <v>Normal Time</v>
      </c>
      <c r="I453" s="1"/>
      <c r="J453" s="15">
        <v>2</v>
      </c>
      <c r="K453" s="15"/>
      <c r="L453" s="15"/>
      <c r="M453" s="15"/>
      <c r="N453" s="15"/>
      <c r="O453" s="15" t="str">
        <f>INDEX(projects[job number],MATCH(TimeEntry[[#This Row],[Project_ID]], projects[Project_ID],0))</f>
        <v>236808-69</v>
      </c>
      <c r="P453" s="15" t="str">
        <f>INDEX(projects[Project_Name],MATCH(TimeEntry[[#This Row],[Project_ID]], projects[Project_ID],0))</f>
        <v>HCC - Nazeing</v>
      </c>
      <c r="Q453" s="6">
        <f>IF(TimeEntry[[#This Row],[Date]]=0,"",WEEKDAY(C453,2))</f>
        <v>5</v>
      </c>
      <c r="R453" s="9">
        <f>YEAR(TimeEntry[[#This Row],[WkEnd]])</f>
        <v>2019</v>
      </c>
      <c r="S453" s="9">
        <f>WEEKNUM(TimeEntry[[#This Row],[WkEnd]])</f>
        <v>43</v>
      </c>
      <c r="T453" s="9" t="str">
        <f>TimeEntry[[#This Row],[Year]]&amp;"-"&amp;TimeEntry[[#This Row],[WkNo]]</f>
        <v>2019-43</v>
      </c>
    </row>
    <row r="454" spans="1:20" x14ac:dyDescent="0.25">
      <c r="A454" s="6">
        <f>MOD(IF(ROW()=2,0.1,IF(INDEX(TimeEntry[WkEnd],ROW()-1)  =  INDEX(TimeEntry[WkEnd],ROW()-2),    INDEX(TimeEntry[format],ROW()-2),    INDEX(TimeEntry[format],ROW()-2)    +1)),2)</f>
        <v>1.1000000000000001</v>
      </c>
      <c r="B454" s="7"/>
      <c r="C454" s="8">
        <v>43756</v>
      </c>
      <c r="D454" s="8"/>
      <c r="E454" s="1" t="s">
        <v>455</v>
      </c>
      <c r="F454" s="8">
        <f>IF(TimeEntry[[#This Row],[Date]]=0,F453,C454+(7-Q454))</f>
        <v>43758</v>
      </c>
      <c r="G454" s="35" t="str">
        <f>INDEX(projects[Charge_Code],MATCH(TimeEntry[[#This Row],[Project_ID]],projects[Project_ID],0))</f>
        <v>268017-25  KSC - Tunnel</v>
      </c>
      <c r="H454" s="1" t="str">
        <f t="shared" si="10"/>
        <v>Normal Time</v>
      </c>
      <c r="I454" s="1"/>
      <c r="J454" s="15">
        <v>5.5</v>
      </c>
      <c r="K454" s="15"/>
      <c r="L454" s="15"/>
      <c r="M454" s="15"/>
      <c r="N454" s="15"/>
      <c r="O454" s="15" t="str">
        <f>INDEX(projects[job number],MATCH(TimeEntry[[#This Row],[Project_ID]], projects[Project_ID],0))</f>
        <v xml:space="preserve">268017-25 </v>
      </c>
      <c r="P454" s="15" t="str">
        <f>INDEX(projects[Project_Name],MATCH(TimeEntry[[#This Row],[Project_ID]], projects[Project_ID],0))</f>
        <v>KSC - Tunnel</v>
      </c>
      <c r="Q454" s="6">
        <f>IF(TimeEntry[[#This Row],[Date]]=0,"",WEEKDAY(C454,2))</f>
        <v>5</v>
      </c>
      <c r="R454" s="9">
        <f>YEAR(TimeEntry[[#This Row],[WkEnd]])</f>
        <v>2019</v>
      </c>
      <c r="S454" s="9">
        <f>WEEKNUM(TimeEntry[[#This Row],[WkEnd]])</f>
        <v>43</v>
      </c>
      <c r="T454" s="9" t="str">
        <f>TimeEntry[[#This Row],[Year]]&amp;"-"&amp;TimeEntry[[#This Row],[WkNo]]</f>
        <v>2019-43</v>
      </c>
    </row>
    <row r="455" spans="1:20" x14ac:dyDescent="0.25">
      <c r="A455" s="6">
        <f>MOD(IF(ROW()=2,0.1,IF(INDEX(TimeEntry[WkEnd],ROW()-1)  =  INDEX(TimeEntry[WkEnd],ROW()-2),    INDEX(TimeEntry[format],ROW()-2),    INDEX(TimeEntry[format],ROW()-2)    +1)),2)</f>
        <v>0.10000000000000009</v>
      </c>
      <c r="B455" s="7"/>
      <c r="C455" s="8">
        <v>43745</v>
      </c>
      <c r="D455" s="8"/>
      <c r="E455" s="1" t="s">
        <v>455</v>
      </c>
      <c r="F455" s="8">
        <f>IF(TimeEntry[[#This Row],[Date]]=0,F454,C455+(7-Q455))</f>
        <v>43751</v>
      </c>
      <c r="G455" s="35" t="str">
        <f>INDEX(projects[Charge_Code],MATCH(TimeEntry[[#This Row],[Project_ID]],projects[Project_ID],0))</f>
        <v>268017-25  KSC - Tunnel</v>
      </c>
      <c r="H455" s="1" t="str">
        <f t="shared" si="10"/>
        <v>Normal Time</v>
      </c>
      <c r="I455" s="1"/>
      <c r="J455" s="15">
        <v>2</v>
      </c>
      <c r="K455" s="15"/>
      <c r="L455" s="15"/>
      <c r="M455" s="15"/>
      <c r="N455" s="15"/>
      <c r="O455" s="15" t="str">
        <f>INDEX(projects[job number],MATCH(TimeEntry[[#This Row],[Project_ID]], projects[Project_ID],0))</f>
        <v xml:space="preserve">268017-25 </v>
      </c>
      <c r="P455" s="15" t="str">
        <f>INDEX(projects[Project_Name],MATCH(TimeEntry[[#This Row],[Project_ID]], projects[Project_ID],0))</f>
        <v>KSC - Tunnel</v>
      </c>
      <c r="Q455" s="6">
        <f>IF(TimeEntry[[#This Row],[Date]]=0,"",WEEKDAY(C455,2))</f>
        <v>1</v>
      </c>
      <c r="R455" s="9">
        <f>YEAR(TimeEntry[[#This Row],[WkEnd]])</f>
        <v>2019</v>
      </c>
      <c r="S455" s="9">
        <f>WEEKNUM(TimeEntry[[#This Row],[WkEnd]])</f>
        <v>42</v>
      </c>
      <c r="T455" s="9" t="str">
        <f>TimeEntry[[#This Row],[Year]]&amp;"-"&amp;TimeEntry[[#This Row],[WkNo]]</f>
        <v>2019-42</v>
      </c>
    </row>
    <row r="456" spans="1:20" x14ac:dyDescent="0.25">
      <c r="A456" s="6">
        <f>MOD(IF(ROW()=2,0.1,IF(INDEX(TimeEntry[WkEnd],ROW()-1)  =  INDEX(TimeEntry[WkEnd],ROW()-2),    INDEX(TimeEntry[format],ROW()-2),    INDEX(TimeEntry[format],ROW()-2)    +1)),2)</f>
        <v>0.10000000000000009</v>
      </c>
      <c r="B456" s="7"/>
      <c r="C456" s="8">
        <v>43745</v>
      </c>
      <c r="D456" s="8"/>
      <c r="E456" s="1" t="s">
        <v>455</v>
      </c>
      <c r="F456" s="8">
        <f>IF(TimeEntry[[#This Row],[Date]]=0,F455,C456+(7-Q456))</f>
        <v>43751</v>
      </c>
      <c r="G456" s="35" t="str">
        <f>INDEX(projects[Charge_Code],MATCH(TimeEntry[[#This Row],[Project_ID]],projects[Project_ID],0))</f>
        <v>268017-25  KSC - Tunnel</v>
      </c>
      <c r="H456" s="1" t="str">
        <f t="shared" si="10"/>
        <v>Normal Time</v>
      </c>
      <c r="I456" s="1"/>
      <c r="J456" s="15">
        <v>5.5</v>
      </c>
      <c r="K456" s="15"/>
      <c r="L456" s="15"/>
      <c r="M456" s="15"/>
      <c r="N456" s="15"/>
      <c r="O456" s="15" t="str">
        <f>INDEX(projects[job number],MATCH(TimeEntry[[#This Row],[Project_ID]], projects[Project_ID],0))</f>
        <v xml:space="preserve">268017-25 </v>
      </c>
      <c r="P456" s="15" t="str">
        <f>INDEX(projects[Project_Name],MATCH(TimeEntry[[#This Row],[Project_ID]], projects[Project_ID],0))</f>
        <v>KSC - Tunnel</v>
      </c>
      <c r="Q456" s="6">
        <f>IF(TimeEntry[[#This Row],[Date]]=0,"",WEEKDAY(C456,2))</f>
        <v>1</v>
      </c>
      <c r="R456" s="9">
        <f>YEAR(TimeEntry[[#This Row],[WkEnd]])</f>
        <v>2019</v>
      </c>
      <c r="S456" s="9">
        <f>WEEKNUM(TimeEntry[[#This Row],[WkEnd]])</f>
        <v>42</v>
      </c>
      <c r="T456" s="9" t="str">
        <f>TimeEntry[[#This Row],[Year]]&amp;"-"&amp;TimeEntry[[#This Row],[WkNo]]</f>
        <v>2019-42</v>
      </c>
    </row>
    <row r="457" spans="1:20" x14ac:dyDescent="0.25">
      <c r="A457" s="6">
        <f>MOD(IF(ROW()=2,0.1,IF(INDEX(TimeEntry[WkEnd],ROW()-1)  =  INDEX(TimeEntry[WkEnd],ROW()-2),    INDEX(TimeEntry[format],ROW()-2),    INDEX(TimeEntry[format],ROW()-2)    +1)),2)</f>
        <v>0.10000000000000009</v>
      </c>
      <c r="B457" s="7"/>
      <c r="C457" s="8">
        <v>43746</v>
      </c>
      <c r="D457" s="8"/>
      <c r="E457" s="1" t="s">
        <v>459</v>
      </c>
      <c r="F457" s="8">
        <f>IF(TimeEntry[[#This Row],[Date]]=0,F456,C457+(7-Q457))</f>
        <v>43751</v>
      </c>
      <c r="G457" s="35" t="str">
        <f>INDEX(projects[Charge_Code],MATCH(TimeEntry[[#This Row],[Project_ID]],projects[Project_ID],0))</f>
        <v>268017-10 KSC - PM</v>
      </c>
      <c r="H457" s="1" t="str">
        <f t="shared" si="10"/>
        <v>Normal Time</v>
      </c>
      <c r="I457" s="1"/>
      <c r="J457" s="15">
        <v>3.5</v>
      </c>
      <c r="K457" s="15"/>
      <c r="L457" s="15"/>
      <c r="M457" s="15"/>
      <c r="N457" s="15"/>
      <c r="O457" s="15" t="str">
        <f>INDEX(projects[job number],MATCH(TimeEntry[[#This Row],[Project_ID]], projects[Project_ID],0))</f>
        <v>268017-10</v>
      </c>
      <c r="P457" s="15" t="str">
        <f>INDEX(projects[Project_Name],MATCH(TimeEntry[[#This Row],[Project_ID]], projects[Project_ID],0))</f>
        <v>KSC - PM</v>
      </c>
      <c r="Q457" s="6">
        <f>IF(TimeEntry[[#This Row],[Date]]=0,"",WEEKDAY(C457,2))</f>
        <v>2</v>
      </c>
      <c r="R457" s="9">
        <f>YEAR(TimeEntry[[#This Row],[WkEnd]])</f>
        <v>2019</v>
      </c>
      <c r="S457" s="9">
        <f>WEEKNUM(TimeEntry[[#This Row],[WkEnd]])</f>
        <v>42</v>
      </c>
      <c r="T457" s="9" t="str">
        <f>TimeEntry[[#This Row],[Year]]&amp;"-"&amp;TimeEntry[[#This Row],[WkNo]]</f>
        <v>2019-42</v>
      </c>
    </row>
    <row r="458" spans="1:20" x14ac:dyDescent="0.25">
      <c r="A458" s="6">
        <f>MOD(IF(ROW()=2,0.1,IF(INDEX(TimeEntry[WkEnd],ROW()-1)  =  INDEX(TimeEntry[WkEnd],ROW()-2),    INDEX(TimeEntry[format],ROW()-2),    INDEX(TimeEntry[format],ROW()-2)    +1)),2)</f>
        <v>0.10000000000000009</v>
      </c>
      <c r="B458" s="7"/>
      <c r="C458" s="8">
        <v>43746</v>
      </c>
      <c r="D458" s="8"/>
      <c r="E458" s="1" t="s">
        <v>456</v>
      </c>
      <c r="F458" s="8">
        <f>IF(TimeEntry[[#This Row],[Date]]=0,F457,C458+(7-Q458))</f>
        <v>43751</v>
      </c>
      <c r="G458" s="35" t="str">
        <f>INDEX(projects[Charge_Code],MATCH(TimeEntry[[#This Row],[Project_ID]],projects[Project_ID],0))</f>
        <v>210035-51 VBB 3rd - new bridge</v>
      </c>
      <c r="H458" s="1" t="str">
        <f t="shared" si="10"/>
        <v>Normal Time</v>
      </c>
      <c r="I458" s="1"/>
      <c r="J458" s="15">
        <v>4</v>
      </c>
      <c r="K458" s="15"/>
      <c r="L458" s="15"/>
      <c r="M458" s="15"/>
      <c r="N458" s="15"/>
      <c r="O458" s="15" t="str">
        <f>INDEX(projects[job number],MATCH(TimeEntry[[#This Row],[Project_ID]], projects[Project_ID],0))</f>
        <v>210035-51</v>
      </c>
      <c r="P458" s="15" t="str">
        <f>INDEX(projects[Project_Name],MATCH(TimeEntry[[#This Row],[Project_ID]], projects[Project_ID],0))</f>
        <v>VBB 3rd - new bridge</v>
      </c>
      <c r="Q458" s="6">
        <f>IF(TimeEntry[[#This Row],[Date]]=0,"",WEEKDAY(C458,2))</f>
        <v>2</v>
      </c>
      <c r="R458" s="9">
        <f>YEAR(TimeEntry[[#This Row],[WkEnd]])</f>
        <v>2019</v>
      </c>
      <c r="S458" s="9">
        <f>WEEKNUM(TimeEntry[[#This Row],[WkEnd]])</f>
        <v>42</v>
      </c>
      <c r="T458" s="9" t="str">
        <f>TimeEntry[[#This Row],[Year]]&amp;"-"&amp;TimeEntry[[#This Row],[WkNo]]</f>
        <v>2019-42</v>
      </c>
    </row>
    <row r="459" spans="1:20" x14ac:dyDescent="0.25">
      <c r="A459" s="6">
        <f>MOD(IF(ROW()=2,0.1,IF(INDEX(TimeEntry[WkEnd],ROW()-1)  =  INDEX(TimeEntry[WkEnd],ROW()-2),    INDEX(TimeEntry[format],ROW()-2),    INDEX(TimeEntry[format],ROW()-2)    +1)),2)</f>
        <v>0.10000000000000009</v>
      </c>
      <c r="B459" s="7"/>
      <c r="C459" s="8">
        <v>43747</v>
      </c>
      <c r="D459" s="8"/>
      <c r="E459" s="1" t="s">
        <v>459</v>
      </c>
      <c r="F459" s="8">
        <f>IF(TimeEntry[[#This Row],[Date]]=0,F458,C459+(7-Q459))</f>
        <v>43751</v>
      </c>
      <c r="G459" s="35" t="str">
        <f>INDEX(projects[Charge_Code],MATCH(TimeEntry[[#This Row],[Project_ID]],projects[Project_ID],0))</f>
        <v>268017-10 KSC - PM</v>
      </c>
      <c r="H459" s="1" t="str">
        <f t="shared" si="10"/>
        <v>Normal Time</v>
      </c>
      <c r="I459" s="1"/>
      <c r="J459" s="15">
        <v>7.5</v>
      </c>
      <c r="K459" s="15"/>
      <c r="L459" s="15"/>
      <c r="M459" s="15"/>
      <c r="N459" s="15"/>
      <c r="O459" s="15" t="str">
        <f>INDEX(projects[job number],MATCH(TimeEntry[[#This Row],[Project_ID]], projects[Project_ID],0))</f>
        <v>268017-10</v>
      </c>
      <c r="P459" s="15" t="str">
        <f>INDEX(projects[Project_Name],MATCH(TimeEntry[[#This Row],[Project_ID]], projects[Project_ID],0))</f>
        <v>KSC - PM</v>
      </c>
      <c r="Q459" s="6">
        <f>IF(TimeEntry[[#This Row],[Date]]=0,"",WEEKDAY(C459,2))</f>
        <v>3</v>
      </c>
      <c r="R459" s="9">
        <f>YEAR(TimeEntry[[#This Row],[WkEnd]])</f>
        <v>2019</v>
      </c>
      <c r="S459" s="9">
        <f>WEEKNUM(TimeEntry[[#This Row],[WkEnd]])</f>
        <v>42</v>
      </c>
      <c r="T459" s="9" t="str">
        <f>TimeEntry[[#This Row],[Year]]&amp;"-"&amp;TimeEntry[[#This Row],[WkNo]]</f>
        <v>2019-42</v>
      </c>
    </row>
    <row r="460" spans="1:20" x14ac:dyDescent="0.25">
      <c r="A460" s="6">
        <f>MOD(IF(ROW()=2,0.1,IF(INDEX(TimeEntry[WkEnd],ROW()-1)  =  INDEX(TimeEntry[WkEnd],ROW()-2),    INDEX(TimeEntry[format],ROW()-2),    INDEX(TimeEntry[format],ROW()-2)    +1)),2)</f>
        <v>0.10000000000000009</v>
      </c>
      <c r="B460" s="7"/>
      <c r="C460" s="8">
        <v>43748</v>
      </c>
      <c r="D460" s="8"/>
      <c r="E460" s="1" t="s">
        <v>456</v>
      </c>
      <c r="F460" s="8">
        <f>IF(TimeEntry[[#This Row],[Date]]=0,F459,C460+(7-Q460))</f>
        <v>43751</v>
      </c>
      <c r="G460" s="35" t="str">
        <f>INDEX(projects[Charge_Code],MATCH(TimeEntry[[#This Row],[Project_ID]],projects[Project_ID],0))</f>
        <v>210035-51 VBB 3rd - new bridge</v>
      </c>
      <c r="H460" s="1" t="str">
        <f t="shared" si="10"/>
        <v>Normal Time</v>
      </c>
      <c r="I460" s="1"/>
      <c r="J460" s="15">
        <v>3</v>
      </c>
      <c r="K460" s="15"/>
      <c r="L460" s="15"/>
      <c r="M460" s="15"/>
      <c r="N460" s="15"/>
      <c r="O460" s="15" t="str">
        <f>INDEX(projects[job number],MATCH(TimeEntry[[#This Row],[Project_ID]], projects[Project_ID],0))</f>
        <v>210035-51</v>
      </c>
      <c r="P460" s="15" t="str">
        <f>INDEX(projects[Project_Name],MATCH(TimeEntry[[#This Row],[Project_ID]], projects[Project_ID],0))</f>
        <v>VBB 3rd - new bridge</v>
      </c>
      <c r="Q460" s="6">
        <f>IF(TimeEntry[[#This Row],[Date]]=0,"",WEEKDAY(C460,2))</f>
        <v>4</v>
      </c>
      <c r="R460" s="9">
        <f>YEAR(TimeEntry[[#This Row],[WkEnd]])</f>
        <v>2019</v>
      </c>
      <c r="S460" s="9">
        <f>WEEKNUM(TimeEntry[[#This Row],[WkEnd]])</f>
        <v>42</v>
      </c>
      <c r="T460" s="9" t="str">
        <f>TimeEntry[[#This Row],[Year]]&amp;"-"&amp;TimeEntry[[#This Row],[WkNo]]</f>
        <v>2019-42</v>
      </c>
    </row>
    <row r="461" spans="1:20" x14ac:dyDescent="0.25">
      <c r="A461" s="6">
        <f>MOD(IF(ROW()=2,0.1,IF(INDEX(TimeEntry[WkEnd],ROW()-1)  =  INDEX(TimeEntry[WkEnd],ROW()-2),    INDEX(TimeEntry[format],ROW()-2),    INDEX(TimeEntry[format],ROW()-2)    +1)),2)</f>
        <v>0.10000000000000009</v>
      </c>
      <c r="B461" s="7"/>
      <c r="C461" s="8">
        <v>43748</v>
      </c>
      <c r="D461" s="8"/>
      <c r="E461" s="1" t="s">
        <v>456</v>
      </c>
      <c r="F461" s="8">
        <f>IF(TimeEntry[[#This Row],[Date]]=0,F460,C461+(7-Q461))</f>
        <v>43751</v>
      </c>
      <c r="G461" s="35" t="str">
        <f>INDEX(projects[Charge_Code],MATCH(TimeEntry[[#This Row],[Project_ID]],projects[Project_ID],0))</f>
        <v>210035-51 VBB 3rd - new bridge</v>
      </c>
      <c r="H461" s="1" t="str">
        <f t="shared" si="10"/>
        <v>Normal Time</v>
      </c>
      <c r="I461" s="1"/>
      <c r="J461" s="15">
        <v>4.5</v>
      </c>
      <c r="K461" s="15"/>
      <c r="L461" s="15"/>
      <c r="M461" s="15"/>
      <c r="N461" s="15"/>
      <c r="O461" s="15" t="str">
        <f>INDEX(projects[job number],MATCH(TimeEntry[[#This Row],[Project_ID]], projects[Project_ID],0))</f>
        <v>210035-51</v>
      </c>
      <c r="P461" s="15" t="str">
        <f>INDEX(projects[Project_Name],MATCH(TimeEntry[[#This Row],[Project_ID]], projects[Project_ID],0))</f>
        <v>VBB 3rd - new bridge</v>
      </c>
      <c r="Q461" s="6">
        <f>IF(TimeEntry[[#This Row],[Date]]=0,"",WEEKDAY(C461,2))</f>
        <v>4</v>
      </c>
      <c r="R461" s="9">
        <f>YEAR(TimeEntry[[#This Row],[WkEnd]])</f>
        <v>2019</v>
      </c>
      <c r="S461" s="9">
        <f>WEEKNUM(TimeEntry[[#This Row],[WkEnd]])</f>
        <v>42</v>
      </c>
      <c r="T461" s="9" t="str">
        <f>TimeEntry[[#This Row],[Year]]&amp;"-"&amp;TimeEntry[[#This Row],[WkNo]]</f>
        <v>2019-42</v>
      </c>
    </row>
    <row r="462" spans="1:20" x14ac:dyDescent="0.25">
      <c r="A462" s="6">
        <f>MOD(IF(ROW()=2,0.1,IF(INDEX(TimeEntry[WkEnd],ROW()-1)  =  INDEX(TimeEntry[WkEnd],ROW()-2),    INDEX(TimeEntry[format],ROW()-2),    INDEX(TimeEntry[format],ROW()-2)    +1)),2)</f>
        <v>0.10000000000000009</v>
      </c>
      <c r="B462" s="7"/>
      <c r="C462" s="8">
        <v>43749</v>
      </c>
      <c r="D462" s="8"/>
      <c r="E462" s="1" t="s">
        <v>459</v>
      </c>
      <c r="F462" s="8">
        <f>IF(TimeEntry[[#This Row],[Date]]=0,F461,C462+(7-Q462))</f>
        <v>43751</v>
      </c>
      <c r="G462" s="35" t="str">
        <f>INDEX(projects[Charge_Code],MATCH(TimeEntry[[#This Row],[Project_ID]],projects[Project_ID],0))</f>
        <v>268017-10 KSC - PM</v>
      </c>
      <c r="H462" s="1" t="str">
        <f t="shared" si="10"/>
        <v>Normal Time</v>
      </c>
      <c r="I462" s="1"/>
      <c r="J462" s="15">
        <v>3</v>
      </c>
      <c r="K462" s="15"/>
      <c r="L462" s="15"/>
      <c r="M462" s="15"/>
      <c r="N462" s="15"/>
      <c r="O462" s="15" t="str">
        <f>INDEX(projects[job number],MATCH(TimeEntry[[#This Row],[Project_ID]], projects[Project_ID],0))</f>
        <v>268017-10</v>
      </c>
      <c r="P462" s="15" t="str">
        <f>INDEX(projects[Project_Name],MATCH(TimeEntry[[#This Row],[Project_ID]], projects[Project_ID],0))</f>
        <v>KSC - PM</v>
      </c>
      <c r="Q462" s="6">
        <f>IF(TimeEntry[[#This Row],[Date]]=0,"",WEEKDAY(C462,2))</f>
        <v>5</v>
      </c>
      <c r="R462" s="9">
        <f>YEAR(TimeEntry[[#This Row],[WkEnd]])</f>
        <v>2019</v>
      </c>
      <c r="S462" s="9">
        <f>WEEKNUM(TimeEntry[[#This Row],[WkEnd]])</f>
        <v>42</v>
      </c>
      <c r="T462" s="9" t="str">
        <f>TimeEntry[[#This Row],[Year]]&amp;"-"&amp;TimeEntry[[#This Row],[WkNo]]</f>
        <v>2019-42</v>
      </c>
    </row>
    <row r="463" spans="1:20" x14ac:dyDescent="0.25">
      <c r="A463" s="6">
        <f>MOD(IF(ROW()=2,0.1,IF(INDEX(TimeEntry[WkEnd],ROW()-1)  =  INDEX(TimeEntry[WkEnd],ROW()-2),    INDEX(TimeEntry[format],ROW()-2),    INDEX(TimeEntry[format],ROW()-2)    +1)),2)</f>
        <v>0.10000000000000009</v>
      </c>
      <c r="B463" s="7"/>
      <c r="C463" s="8">
        <v>43749</v>
      </c>
      <c r="D463" s="8"/>
      <c r="E463" s="1" t="s">
        <v>459</v>
      </c>
      <c r="F463" s="8">
        <f>IF(TimeEntry[[#This Row],[Date]]=0,F462,C463+(7-Q463))</f>
        <v>43751</v>
      </c>
      <c r="G463" s="35" t="str">
        <f>INDEX(projects[Charge_Code],MATCH(TimeEntry[[#This Row],[Project_ID]],projects[Project_ID],0))</f>
        <v>268017-10 KSC - PM</v>
      </c>
      <c r="H463" s="1" t="str">
        <f t="shared" si="10"/>
        <v>Normal Time</v>
      </c>
      <c r="I463" s="1"/>
      <c r="J463" s="15">
        <v>4.5</v>
      </c>
      <c r="K463" s="15"/>
      <c r="L463" s="15"/>
      <c r="M463" s="15"/>
      <c r="N463" s="15"/>
      <c r="O463" s="15" t="str">
        <f>INDEX(projects[job number],MATCH(TimeEntry[[#This Row],[Project_ID]], projects[Project_ID],0))</f>
        <v>268017-10</v>
      </c>
      <c r="P463" s="15" t="str">
        <f>INDEX(projects[Project_Name],MATCH(TimeEntry[[#This Row],[Project_ID]], projects[Project_ID],0))</f>
        <v>KSC - PM</v>
      </c>
      <c r="Q463" s="6">
        <f>IF(TimeEntry[[#This Row],[Date]]=0,"",WEEKDAY(C463,2))</f>
        <v>5</v>
      </c>
      <c r="R463" s="9">
        <f>YEAR(TimeEntry[[#This Row],[WkEnd]])</f>
        <v>2019</v>
      </c>
      <c r="S463" s="9">
        <f>WEEKNUM(TimeEntry[[#This Row],[WkEnd]])</f>
        <v>42</v>
      </c>
      <c r="T463" s="9" t="str">
        <f>TimeEntry[[#This Row],[Year]]&amp;"-"&amp;TimeEntry[[#This Row],[WkNo]]</f>
        <v>2019-42</v>
      </c>
    </row>
    <row r="464" spans="1:20" x14ac:dyDescent="0.25">
      <c r="A464" s="6">
        <f>MOD(IF(ROW()=2,0.1,IF(INDEX(TimeEntry[WkEnd],ROW()-1)  =  INDEX(TimeEntry[WkEnd],ROW()-2),    INDEX(TimeEntry[format],ROW()-2),    INDEX(TimeEntry[format],ROW()-2)    +1)),2)</f>
        <v>1.1000000000000001</v>
      </c>
      <c r="B464" s="7"/>
      <c r="C464" s="8">
        <v>43738</v>
      </c>
      <c r="D464" s="8"/>
      <c r="E464" s="1" t="s">
        <v>455</v>
      </c>
      <c r="F464" s="8">
        <f>IF(TimeEntry[[#This Row],[Date]]=0,F463,C464+(7-Q464))</f>
        <v>43744</v>
      </c>
      <c r="G464" s="35" t="str">
        <f>INDEX(projects[Charge_Code],MATCH(TimeEntry[[#This Row],[Project_ID]],projects[Project_ID],0))</f>
        <v>268017-25  KSC - Tunnel</v>
      </c>
      <c r="H464" s="1" t="str">
        <f t="shared" si="10"/>
        <v>Normal Time</v>
      </c>
      <c r="I464" s="1"/>
      <c r="J464" s="15">
        <v>5.5</v>
      </c>
      <c r="K464" s="15"/>
      <c r="L464" s="15"/>
      <c r="M464" s="15"/>
      <c r="N464" s="15"/>
      <c r="O464" s="15" t="str">
        <f>INDEX(projects[job number],MATCH(TimeEntry[[#This Row],[Project_ID]], projects[Project_ID],0))</f>
        <v xml:space="preserve">268017-25 </v>
      </c>
      <c r="P464" s="15" t="str">
        <f>INDEX(projects[Project_Name],MATCH(TimeEntry[[#This Row],[Project_ID]], projects[Project_ID],0))</f>
        <v>KSC - Tunnel</v>
      </c>
      <c r="Q464" s="6">
        <f>IF(TimeEntry[[#This Row],[Date]]=0,"",WEEKDAY(C464,2))</f>
        <v>1</v>
      </c>
      <c r="R464" s="9">
        <f>YEAR(TimeEntry[[#This Row],[WkEnd]])</f>
        <v>2019</v>
      </c>
      <c r="S464" s="9">
        <f>WEEKNUM(TimeEntry[[#This Row],[WkEnd]])</f>
        <v>41</v>
      </c>
      <c r="T464" s="9" t="str">
        <f>TimeEntry[[#This Row],[Year]]&amp;"-"&amp;TimeEntry[[#This Row],[WkNo]]</f>
        <v>2019-41</v>
      </c>
    </row>
    <row r="465" spans="1:20" x14ac:dyDescent="0.25">
      <c r="A465" s="6">
        <f>MOD(IF(ROW()=2,0.1,IF(INDEX(TimeEntry[WkEnd],ROW()-1)  =  INDEX(TimeEntry[WkEnd],ROW()-2),    INDEX(TimeEntry[format],ROW()-2),    INDEX(TimeEntry[format],ROW()-2)    +1)),2)</f>
        <v>1.1000000000000001</v>
      </c>
      <c r="B465" s="7"/>
      <c r="C465" s="8">
        <v>43738</v>
      </c>
      <c r="D465" s="8"/>
      <c r="E465" s="1" t="s">
        <v>455</v>
      </c>
      <c r="F465" s="8">
        <f>IF(TimeEntry[[#This Row],[Date]]=0,F464,C465+(7-Q465))</f>
        <v>43744</v>
      </c>
      <c r="G465" s="35" t="str">
        <f>INDEX(projects[Charge_Code],MATCH(TimeEntry[[#This Row],[Project_ID]],projects[Project_ID],0))</f>
        <v>268017-25  KSC - Tunnel</v>
      </c>
      <c r="H465" s="1" t="str">
        <f t="shared" si="10"/>
        <v>Normal Time</v>
      </c>
      <c r="I465" s="1"/>
      <c r="J465" s="15">
        <v>2</v>
      </c>
      <c r="K465" s="15"/>
      <c r="L465" s="15"/>
      <c r="M465" s="15"/>
      <c r="N465" s="15"/>
      <c r="O465" s="15" t="str">
        <f>INDEX(projects[job number],MATCH(TimeEntry[[#This Row],[Project_ID]], projects[Project_ID],0))</f>
        <v xml:space="preserve">268017-25 </v>
      </c>
      <c r="P465" s="15" t="str">
        <f>INDEX(projects[Project_Name],MATCH(TimeEntry[[#This Row],[Project_ID]], projects[Project_ID],0))</f>
        <v>KSC - Tunnel</v>
      </c>
      <c r="Q465" s="6">
        <f>IF(TimeEntry[[#This Row],[Date]]=0,"",WEEKDAY(C465,2))</f>
        <v>1</v>
      </c>
      <c r="R465" s="9">
        <f>YEAR(TimeEntry[[#This Row],[WkEnd]])</f>
        <v>2019</v>
      </c>
      <c r="S465" s="9">
        <f>WEEKNUM(TimeEntry[[#This Row],[WkEnd]])</f>
        <v>41</v>
      </c>
      <c r="T465" s="9" t="str">
        <f>TimeEntry[[#This Row],[Year]]&amp;"-"&amp;TimeEntry[[#This Row],[WkNo]]</f>
        <v>2019-41</v>
      </c>
    </row>
    <row r="466" spans="1:20" x14ac:dyDescent="0.25">
      <c r="A466" s="6">
        <f>MOD(IF(ROW()=2,0.1,IF(INDEX(TimeEntry[WkEnd],ROW()-1)  =  INDEX(TimeEntry[WkEnd],ROW()-2),    INDEX(TimeEntry[format],ROW()-2),    INDEX(TimeEntry[format],ROW()-2)    +1)),2)</f>
        <v>1.1000000000000001</v>
      </c>
      <c r="B466" s="7"/>
      <c r="C466" s="8">
        <v>43739</v>
      </c>
      <c r="D466" s="8"/>
      <c r="E466" s="1" t="s">
        <v>456</v>
      </c>
      <c r="F466" s="8">
        <f>IF(TimeEntry[[#This Row],[Date]]=0,F465,C466+(7-Q466))</f>
        <v>43744</v>
      </c>
      <c r="G466" s="35" t="str">
        <f>INDEX(projects[Charge_Code],MATCH(TimeEntry[[#This Row],[Project_ID]],projects[Project_ID],0))</f>
        <v>210035-51 VBB 3rd - new bridge</v>
      </c>
      <c r="H466" s="1" t="str">
        <f t="shared" si="10"/>
        <v>Normal Time</v>
      </c>
      <c r="I466" s="1"/>
      <c r="J466" s="15">
        <v>3.75</v>
      </c>
      <c r="K466" s="15"/>
      <c r="L466" s="15"/>
      <c r="M466" s="15"/>
      <c r="N466" s="15"/>
      <c r="O466" s="15" t="str">
        <f>INDEX(projects[job number],MATCH(TimeEntry[[#This Row],[Project_ID]], projects[Project_ID],0))</f>
        <v>210035-51</v>
      </c>
      <c r="P466" s="15" t="str">
        <f>INDEX(projects[Project_Name],MATCH(TimeEntry[[#This Row],[Project_ID]], projects[Project_ID],0))</f>
        <v>VBB 3rd - new bridge</v>
      </c>
      <c r="Q466" s="6">
        <f>IF(TimeEntry[[#This Row],[Date]]=0,"",WEEKDAY(C466,2))</f>
        <v>2</v>
      </c>
      <c r="R466" s="9">
        <f>YEAR(TimeEntry[[#This Row],[WkEnd]])</f>
        <v>2019</v>
      </c>
      <c r="S466" s="9">
        <f>WEEKNUM(TimeEntry[[#This Row],[WkEnd]])</f>
        <v>41</v>
      </c>
      <c r="T466" s="9" t="str">
        <f>TimeEntry[[#This Row],[Year]]&amp;"-"&amp;TimeEntry[[#This Row],[WkNo]]</f>
        <v>2019-41</v>
      </c>
    </row>
    <row r="467" spans="1:20" x14ac:dyDescent="0.25">
      <c r="A467" s="6">
        <f>MOD(IF(ROW()=2,0.1,IF(INDEX(TimeEntry[WkEnd],ROW()-1)  =  INDEX(TimeEntry[WkEnd],ROW()-2),    INDEX(TimeEntry[format],ROW()-2),    INDEX(TimeEntry[format],ROW()-2)    +1)),2)</f>
        <v>1.1000000000000001</v>
      </c>
      <c r="B467" s="7"/>
      <c r="C467" s="8">
        <v>43739</v>
      </c>
      <c r="D467" s="8"/>
      <c r="E467" s="1" t="s">
        <v>456</v>
      </c>
      <c r="F467" s="8">
        <f>IF(TimeEntry[[#This Row],[Date]]=0,F466,C467+(7-Q467))</f>
        <v>43744</v>
      </c>
      <c r="G467" s="35" t="str">
        <f>INDEX(projects[Charge_Code],MATCH(TimeEntry[[#This Row],[Project_ID]],projects[Project_ID],0))</f>
        <v>210035-51 VBB 3rd - new bridge</v>
      </c>
      <c r="H467" s="1" t="str">
        <f t="shared" si="10"/>
        <v>Normal Time</v>
      </c>
      <c r="I467" s="1"/>
      <c r="J467" s="15">
        <v>3.75</v>
      </c>
      <c r="K467" s="15"/>
      <c r="L467" s="15"/>
      <c r="M467" s="15"/>
      <c r="N467" s="15"/>
      <c r="O467" s="15" t="str">
        <f>INDEX(projects[job number],MATCH(TimeEntry[[#This Row],[Project_ID]], projects[Project_ID],0))</f>
        <v>210035-51</v>
      </c>
      <c r="P467" s="15" t="str">
        <f>INDEX(projects[Project_Name],MATCH(TimeEntry[[#This Row],[Project_ID]], projects[Project_ID],0))</f>
        <v>VBB 3rd - new bridge</v>
      </c>
      <c r="Q467" s="6">
        <f>IF(TimeEntry[[#This Row],[Date]]=0,"",WEEKDAY(C467,2))</f>
        <v>2</v>
      </c>
      <c r="R467" s="9">
        <f>YEAR(TimeEntry[[#This Row],[WkEnd]])</f>
        <v>2019</v>
      </c>
      <c r="S467" s="9">
        <f>WEEKNUM(TimeEntry[[#This Row],[WkEnd]])</f>
        <v>41</v>
      </c>
      <c r="T467" s="9" t="str">
        <f>TimeEntry[[#This Row],[Year]]&amp;"-"&amp;TimeEntry[[#This Row],[WkNo]]</f>
        <v>2019-41</v>
      </c>
    </row>
    <row r="468" spans="1:20" x14ac:dyDescent="0.25">
      <c r="A468" s="6">
        <f>MOD(IF(ROW()=2,0.1,IF(INDEX(TimeEntry[WkEnd],ROW()-1)  =  INDEX(TimeEntry[WkEnd],ROW()-2),    INDEX(TimeEntry[format],ROW()-2),    INDEX(TimeEntry[format],ROW()-2)    +1)),2)</f>
        <v>1.1000000000000001</v>
      </c>
      <c r="B468" s="7"/>
      <c r="C468" s="8">
        <v>43740</v>
      </c>
      <c r="D468" s="8"/>
      <c r="E468" s="1" t="s">
        <v>455</v>
      </c>
      <c r="F468" s="8">
        <f>IF(TimeEntry[[#This Row],[Date]]=0,F467,C468+(7-Q468))</f>
        <v>43744</v>
      </c>
      <c r="G468" s="35" t="str">
        <f>INDEX(projects[Charge_Code],MATCH(TimeEntry[[#This Row],[Project_ID]],projects[Project_ID],0))</f>
        <v>268017-25  KSC - Tunnel</v>
      </c>
      <c r="H468" s="1" t="str">
        <f t="shared" si="10"/>
        <v>Normal Time</v>
      </c>
      <c r="I468" s="1"/>
      <c r="J468" s="15">
        <v>3.75</v>
      </c>
      <c r="K468" s="15"/>
      <c r="L468" s="15"/>
      <c r="M468" s="15"/>
      <c r="N468" s="15"/>
      <c r="O468" s="15" t="str">
        <f>INDEX(projects[job number],MATCH(TimeEntry[[#This Row],[Project_ID]], projects[Project_ID],0))</f>
        <v xml:space="preserve">268017-25 </v>
      </c>
      <c r="P468" s="15" t="str">
        <f>INDEX(projects[Project_Name],MATCH(TimeEntry[[#This Row],[Project_ID]], projects[Project_ID],0))</f>
        <v>KSC - Tunnel</v>
      </c>
      <c r="Q468" s="6">
        <f>IF(TimeEntry[[#This Row],[Date]]=0,"",WEEKDAY(C468,2))</f>
        <v>3</v>
      </c>
      <c r="R468" s="9">
        <f>YEAR(TimeEntry[[#This Row],[WkEnd]])</f>
        <v>2019</v>
      </c>
      <c r="S468" s="9">
        <f>WEEKNUM(TimeEntry[[#This Row],[WkEnd]])</f>
        <v>41</v>
      </c>
      <c r="T468" s="9" t="str">
        <f>TimeEntry[[#This Row],[Year]]&amp;"-"&amp;TimeEntry[[#This Row],[WkNo]]</f>
        <v>2019-41</v>
      </c>
    </row>
    <row r="469" spans="1:20" x14ac:dyDescent="0.25">
      <c r="A469" s="6">
        <f>MOD(IF(ROW()=2,0.1,IF(INDEX(TimeEntry[WkEnd],ROW()-1)  =  INDEX(TimeEntry[WkEnd],ROW()-2),    INDEX(TimeEntry[format],ROW()-2),    INDEX(TimeEntry[format],ROW()-2)    +1)),2)</f>
        <v>1.1000000000000001</v>
      </c>
      <c r="B469" s="7"/>
      <c r="C469" s="8">
        <v>43740</v>
      </c>
      <c r="D469" s="8"/>
      <c r="E469" s="1" t="s">
        <v>456</v>
      </c>
      <c r="F469" s="8">
        <f>IF(TimeEntry[[#This Row],[Date]]=0,F468,C469+(7-Q469))</f>
        <v>43744</v>
      </c>
      <c r="G469" s="35" t="str">
        <f>INDEX(projects[Charge_Code],MATCH(TimeEntry[[#This Row],[Project_ID]],projects[Project_ID],0))</f>
        <v>210035-51 VBB 3rd - new bridge</v>
      </c>
      <c r="H469" s="1" t="str">
        <f t="shared" si="10"/>
        <v>Normal Time</v>
      </c>
      <c r="I469" s="1"/>
      <c r="J469" s="15">
        <v>3.75</v>
      </c>
      <c r="K469" s="15"/>
      <c r="L469" s="15"/>
      <c r="M469" s="15"/>
      <c r="N469" s="15"/>
      <c r="O469" s="15" t="str">
        <f>INDEX(projects[job number],MATCH(TimeEntry[[#This Row],[Project_ID]], projects[Project_ID],0))</f>
        <v>210035-51</v>
      </c>
      <c r="P469" s="15" t="str">
        <f>INDEX(projects[Project_Name],MATCH(TimeEntry[[#This Row],[Project_ID]], projects[Project_ID],0))</f>
        <v>VBB 3rd - new bridge</v>
      </c>
      <c r="Q469" s="6">
        <f>IF(TimeEntry[[#This Row],[Date]]=0,"",WEEKDAY(C469,2))</f>
        <v>3</v>
      </c>
      <c r="R469" s="9">
        <f>YEAR(TimeEntry[[#This Row],[WkEnd]])</f>
        <v>2019</v>
      </c>
      <c r="S469" s="9">
        <f>WEEKNUM(TimeEntry[[#This Row],[WkEnd]])</f>
        <v>41</v>
      </c>
      <c r="T469" s="9" t="str">
        <f>TimeEntry[[#This Row],[Year]]&amp;"-"&amp;TimeEntry[[#This Row],[WkNo]]</f>
        <v>2019-41</v>
      </c>
    </row>
    <row r="470" spans="1:20" x14ac:dyDescent="0.25">
      <c r="A470" s="6">
        <f>MOD(IF(ROW()=2,0.1,IF(INDEX(TimeEntry[WkEnd],ROW()-1)  =  INDEX(TimeEntry[WkEnd],ROW()-2),    INDEX(TimeEntry[format],ROW()-2),    INDEX(TimeEntry[format],ROW()-2)    +1)),2)</f>
        <v>1.1000000000000001</v>
      </c>
      <c r="B470" s="7"/>
      <c r="C470" s="8">
        <v>43741</v>
      </c>
      <c r="D470" s="8"/>
      <c r="E470" s="1" t="s">
        <v>456</v>
      </c>
      <c r="F470" s="8">
        <f>IF(TimeEntry[[#This Row],[Date]]=0,F469,C470+(7-Q470))</f>
        <v>43744</v>
      </c>
      <c r="G470" s="35" t="str">
        <f>INDEX(projects[Charge_Code],MATCH(TimeEntry[[#This Row],[Project_ID]],projects[Project_ID],0))</f>
        <v>210035-51 VBB 3rd - new bridge</v>
      </c>
      <c r="H470" s="1" t="str">
        <f t="shared" si="10"/>
        <v>Normal Time</v>
      </c>
      <c r="I470" s="1"/>
      <c r="J470" s="15">
        <v>3.75</v>
      </c>
      <c r="K470" s="15"/>
      <c r="L470" s="15"/>
      <c r="M470" s="15"/>
      <c r="N470" s="15"/>
      <c r="O470" s="15" t="str">
        <f>INDEX(projects[job number],MATCH(TimeEntry[[#This Row],[Project_ID]], projects[Project_ID],0))</f>
        <v>210035-51</v>
      </c>
      <c r="P470" s="15" t="str">
        <f>INDEX(projects[Project_Name],MATCH(TimeEntry[[#This Row],[Project_ID]], projects[Project_ID],0))</f>
        <v>VBB 3rd - new bridge</v>
      </c>
      <c r="Q470" s="6">
        <f>IF(TimeEntry[[#This Row],[Date]]=0,"",WEEKDAY(C470,2))</f>
        <v>4</v>
      </c>
      <c r="R470" s="9">
        <f>YEAR(TimeEntry[[#This Row],[WkEnd]])</f>
        <v>2019</v>
      </c>
      <c r="S470" s="9">
        <f>WEEKNUM(TimeEntry[[#This Row],[WkEnd]])</f>
        <v>41</v>
      </c>
      <c r="T470" s="9" t="str">
        <f>TimeEntry[[#This Row],[Year]]&amp;"-"&amp;TimeEntry[[#This Row],[WkNo]]</f>
        <v>2019-41</v>
      </c>
    </row>
    <row r="471" spans="1:20" x14ac:dyDescent="0.25">
      <c r="A471" s="6">
        <f>MOD(IF(ROW()=2,0.1,IF(INDEX(TimeEntry[WkEnd],ROW()-1)  =  INDEX(TimeEntry[WkEnd],ROW()-2),    INDEX(TimeEntry[format],ROW()-2),    INDEX(TimeEntry[format],ROW()-2)    +1)),2)</f>
        <v>1.1000000000000001</v>
      </c>
      <c r="B471" s="7"/>
      <c r="C471" s="8">
        <v>43741</v>
      </c>
      <c r="D471" s="8"/>
      <c r="E471" s="1" t="s">
        <v>455</v>
      </c>
      <c r="F471" s="8">
        <f>IF(TimeEntry[[#This Row],[Date]]=0,F470,C471+(7-Q471))</f>
        <v>43744</v>
      </c>
      <c r="G471" s="35" t="str">
        <f>INDEX(projects[Charge_Code],MATCH(TimeEntry[[#This Row],[Project_ID]],projects[Project_ID],0))</f>
        <v>268017-25  KSC - Tunnel</v>
      </c>
      <c r="H471" s="1" t="str">
        <f t="shared" si="10"/>
        <v>Normal Time</v>
      </c>
      <c r="I471" s="1"/>
      <c r="J471" s="15">
        <v>3.75</v>
      </c>
      <c r="K471" s="15"/>
      <c r="L471" s="15"/>
      <c r="M471" s="15"/>
      <c r="N471" s="15"/>
      <c r="O471" s="15" t="str">
        <f>INDEX(projects[job number],MATCH(TimeEntry[[#This Row],[Project_ID]], projects[Project_ID],0))</f>
        <v xml:space="preserve">268017-25 </v>
      </c>
      <c r="P471" s="15" t="str">
        <f>INDEX(projects[Project_Name],MATCH(TimeEntry[[#This Row],[Project_ID]], projects[Project_ID],0))</f>
        <v>KSC - Tunnel</v>
      </c>
      <c r="Q471" s="6">
        <f>IF(TimeEntry[[#This Row],[Date]]=0,"",WEEKDAY(C471,2))</f>
        <v>4</v>
      </c>
      <c r="R471" s="9">
        <f>YEAR(TimeEntry[[#This Row],[WkEnd]])</f>
        <v>2019</v>
      </c>
      <c r="S471" s="9">
        <f>WEEKNUM(TimeEntry[[#This Row],[WkEnd]])</f>
        <v>41</v>
      </c>
      <c r="T471" s="9" t="str">
        <f>TimeEntry[[#This Row],[Year]]&amp;"-"&amp;TimeEntry[[#This Row],[WkNo]]</f>
        <v>2019-41</v>
      </c>
    </row>
    <row r="472" spans="1:20" x14ac:dyDescent="0.25">
      <c r="A472" s="6">
        <f>MOD(IF(ROW()=2,0.1,IF(INDEX(TimeEntry[WkEnd],ROW()-1)  =  INDEX(TimeEntry[WkEnd],ROW()-2),    INDEX(TimeEntry[format],ROW()-2),    INDEX(TimeEntry[format],ROW()-2)    +1)),2)</f>
        <v>1.1000000000000001</v>
      </c>
      <c r="B472" s="7"/>
      <c r="C472" s="8">
        <v>43742</v>
      </c>
      <c r="D472" s="8"/>
      <c r="E472" s="1" t="s">
        <v>455</v>
      </c>
      <c r="F472" s="8">
        <f>IF(TimeEntry[[#This Row],[Date]]=0,F471,C472+(7-Q472))</f>
        <v>43744</v>
      </c>
      <c r="G472" s="35" t="str">
        <f>INDEX(projects[Charge_Code],MATCH(TimeEntry[[#This Row],[Project_ID]],projects[Project_ID],0))</f>
        <v>268017-25  KSC - Tunnel</v>
      </c>
      <c r="H472" s="1" t="str">
        <f t="shared" si="10"/>
        <v>Normal Time</v>
      </c>
      <c r="I472" s="1"/>
      <c r="J472" s="15">
        <v>3.75</v>
      </c>
      <c r="K472" s="15"/>
      <c r="L472" s="15"/>
      <c r="M472" s="15"/>
      <c r="N472" s="15"/>
      <c r="O472" s="15" t="str">
        <f>INDEX(projects[job number],MATCH(TimeEntry[[#This Row],[Project_ID]], projects[Project_ID],0))</f>
        <v xml:space="preserve">268017-25 </v>
      </c>
      <c r="P472" s="15" t="str">
        <f>INDEX(projects[Project_Name],MATCH(TimeEntry[[#This Row],[Project_ID]], projects[Project_ID],0))</f>
        <v>KSC - Tunnel</v>
      </c>
      <c r="Q472" s="6">
        <f>IF(TimeEntry[[#This Row],[Date]]=0,"",WEEKDAY(C472,2))</f>
        <v>5</v>
      </c>
      <c r="R472" s="9">
        <f>YEAR(TimeEntry[[#This Row],[WkEnd]])</f>
        <v>2019</v>
      </c>
      <c r="S472" s="9">
        <f>WEEKNUM(TimeEntry[[#This Row],[WkEnd]])</f>
        <v>41</v>
      </c>
      <c r="T472" s="9" t="str">
        <f>TimeEntry[[#This Row],[Year]]&amp;"-"&amp;TimeEntry[[#This Row],[WkNo]]</f>
        <v>2019-41</v>
      </c>
    </row>
    <row r="473" spans="1:20" x14ac:dyDescent="0.25">
      <c r="A473" s="6">
        <f>MOD(IF(ROW()=2,0.1,IF(INDEX(TimeEntry[WkEnd],ROW()-1)  =  INDEX(TimeEntry[WkEnd],ROW()-2),    INDEX(TimeEntry[format],ROW()-2),    INDEX(TimeEntry[format],ROW()-2)    +1)),2)</f>
        <v>1.1000000000000001</v>
      </c>
      <c r="B473" s="7"/>
      <c r="C473" s="8">
        <v>43742</v>
      </c>
      <c r="D473" s="8"/>
      <c r="E473" s="1" t="s">
        <v>456</v>
      </c>
      <c r="F473" s="8">
        <f>IF(TimeEntry[[#This Row],[Date]]=0,F472,C473+(7-Q473))</f>
        <v>43744</v>
      </c>
      <c r="G473" s="35" t="str">
        <f>INDEX(projects[Charge_Code],MATCH(TimeEntry[[#This Row],[Project_ID]],projects[Project_ID],0))</f>
        <v>210035-51 VBB 3rd - new bridge</v>
      </c>
      <c r="H473" s="1" t="str">
        <f t="shared" si="10"/>
        <v>Normal Time</v>
      </c>
      <c r="I473" s="1"/>
      <c r="J473" s="15">
        <v>3.75</v>
      </c>
      <c r="K473" s="15"/>
      <c r="L473" s="15"/>
      <c r="M473" s="15"/>
      <c r="N473" s="15"/>
      <c r="O473" s="15" t="str">
        <f>INDEX(projects[job number],MATCH(TimeEntry[[#This Row],[Project_ID]], projects[Project_ID],0))</f>
        <v>210035-51</v>
      </c>
      <c r="P473" s="15" t="str">
        <f>INDEX(projects[Project_Name],MATCH(TimeEntry[[#This Row],[Project_ID]], projects[Project_ID],0))</f>
        <v>VBB 3rd - new bridge</v>
      </c>
      <c r="Q473" s="6">
        <f>IF(TimeEntry[[#This Row],[Date]]=0,"",WEEKDAY(C473,2))</f>
        <v>5</v>
      </c>
      <c r="R473" s="9">
        <f>YEAR(TimeEntry[[#This Row],[WkEnd]])</f>
        <v>2019</v>
      </c>
      <c r="S473" s="9">
        <f>WEEKNUM(TimeEntry[[#This Row],[WkEnd]])</f>
        <v>41</v>
      </c>
      <c r="T473" s="9" t="str">
        <f>TimeEntry[[#This Row],[Year]]&amp;"-"&amp;TimeEntry[[#This Row],[WkNo]]</f>
        <v>2019-41</v>
      </c>
    </row>
    <row r="474" spans="1:20" x14ac:dyDescent="0.25">
      <c r="A474" s="6">
        <f>MOD(IF(ROW()=2,0.1,IF(INDEX(TimeEntry[WkEnd],ROW()-1)  =  INDEX(TimeEntry[WkEnd],ROW()-2),    INDEX(TimeEntry[format],ROW()-2),    INDEX(TimeEntry[format],ROW()-2)    +1)),2)</f>
        <v>0.10000000000000009</v>
      </c>
      <c r="B474" s="7"/>
      <c r="C474" s="8">
        <v>43731</v>
      </c>
      <c r="D474" s="8"/>
      <c r="E474" s="1" t="s">
        <v>455</v>
      </c>
      <c r="F474" s="8">
        <f>IF(TimeEntry[[#This Row],[Date]]=0,F473,C474+(7-Q474))</f>
        <v>43737</v>
      </c>
      <c r="G474" s="35" t="str">
        <f>INDEX(projects[Charge_Code],MATCH(TimeEntry[[#This Row],[Project_ID]],projects[Project_ID],0))</f>
        <v>268017-25  KSC - Tunnel</v>
      </c>
      <c r="H474" s="1" t="str">
        <f t="shared" si="10"/>
        <v>Normal Time</v>
      </c>
      <c r="I474" s="1"/>
      <c r="J474" s="15">
        <v>7.5</v>
      </c>
      <c r="K474" s="15"/>
      <c r="L474" s="15"/>
      <c r="M474" s="15"/>
      <c r="N474" s="15"/>
      <c r="O474" s="15" t="str">
        <f>INDEX(projects[job number],MATCH(TimeEntry[[#This Row],[Project_ID]], projects[Project_ID],0))</f>
        <v xml:space="preserve">268017-25 </v>
      </c>
      <c r="P474" s="15" t="str">
        <f>INDEX(projects[Project_Name],MATCH(TimeEntry[[#This Row],[Project_ID]], projects[Project_ID],0))</f>
        <v>KSC - Tunnel</v>
      </c>
      <c r="Q474" s="6">
        <f>IF(TimeEntry[[#This Row],[Date]]=0,"",WEEKDAY(C474,2))</f>
        <v>1</v>
      </c>
      <c r="R474" s="9">
        <f>YEAR(TimeEntry[[#This Row],[WkEnd]])</f>
        <v>2019</v>
      </c>
      <c r="S474" s="9">
        <f>WEEKNUM(TimeEntry[[#This Row],[WkEnd]])</f>
        <v>40</v>
      </c>
      <c r="T474" s="9" t="str">
        <f>TimeEntry[[#This Row],[Year]]&amp;"-"&amp;TimeEntry[[#This Row],[WkNo]]</f>
        <v>2019-40</v>
      </c>
    </row>
    <row r="475" spans="1:20" x14ac:dyDescent="0.25">
      <c r="A475" s="6">
        <f>MOD(IF(ROW()=2,0.1,IF(INDEX(TimeEntry[WkEnd],ROW()-1)  =  INDEX(TimeEntry[WkEnd],ROW()-2),    INDEX(TimeEntry[format],ROW()-2),    INDEX(TimeEntry[format],ROW()-2)    +1)),2)</f>
        <v>0.10000000000000009</v>
      </c>
      <c r="B475" s="7"/>
      <c r="C475" s="8">
        <v>43732</v>
      </c>
      <c r="D475" s="8"/>
      <c r="E475" s="1" t="s">
        <v>455</v>
      </c>
      <c r="F475" s="8">
        <f>IF(TimeEntry[[#This Row],[Date]]=0,F474,C475+(7-Q475))</f>
        <v>43737</v>
      </c>
      <c r="G475" s="35" t="str">
        <f>INDEX(projects[Charge_Code],MATCH(TimeEntry[[#This Row],[Project_ID]],projects[Project_ID],0))</f>
        <v>268017-25  KSC - Tunnel</v>
      </c>
      <c r="H475" s="1" t="str">
        <f t="shared" si="10"/>
        <v>Normal Time</v>
      </c>
      <c r="I475" s="1"/>
      <c r="J475" s="15">
        <v>3.75</v>
      </c>
      <c r="K475" s="15"/>
      <c r="L475" s="15"/>
      <c r="M475" s="15"/>
      <c r="N475" s="15"/>
      <c r="O475" s="15" t="str">
        <f>INDEX(projects[job number],MATCH(TimeEntry[[#This Row],[Project_ID]], projects[Project_ID],0))</f>
        <v xml:space="preserve">268017-25 </v>
      </c>
      <c r="P475" s="15" t="str">
        <f>INDEX(projects[Project_Name],MATCH(TimeEntry[[#This Row],[Project_ID]], projects[Project_ID],0))</f>
        <v>KSC - Tunnel</v>
      </c>
      <c r="Q475" s="6">
        <f>IF(TimeEntry[[#This Row],[Date]]=0,"",WEEKDAY(C475,2))</f>
        <v>2</v>
      </c>
      <c r="R475" s="9">
        <f>YEAR(TimeEntry[[#This Row],[WkEnd]])</f>
        <v>2019</v>
      </c>
      <c r="S475" s="9">
        <f>WEEKNUM(TimeEntry[[#This Row],[WkEnd]])</f>
        <v>40</v>
      </c>
      <c r="T475" s="9" t="str">
        <f>TimeEntry[[#This Row],[Year]]&amp;"-"&amp;TimeEntry[[#This Row],[WkNo]]</f>
        <v>2019-40</v>
      </c>
    </row>
    <row r="476" spans="1:20" x14ac:dyDescent="0.25">
      <c r="A476" s="6">
        <f>MOD(IF(ROW()=2,0.1,IF(INDEX(TimeEntry[WkEnd],ROW()-1)  =  INDEX(TimeEntry[WkEnd],ROW()-2),    INDEX(TimeEntry[format],ROW()-2),    INDEX(TimeEntry[format],ROW()-2)    +1)),2)</f>
        <v>0.10000000000000009</v>
      </c>
      <c r="B476" s="7"/>
      <c r="C476" s="8">
        <v>43732</v>
      </c>
      <c r="D476" s="8"/>
      <c r="E476" s="1" t="s">
        <v>456</v>
      </c>
      <c r="F476" s="8">
        <f>IF(TimeEntry[[#This Row],[Date]]=0,F475,C476+(7-Q476))</f>
        <v>43737</v>
      </c>
      <c r="G476" s="35" t="str">
        <f>INDEX(projects[Charge_Code],MATCH(TimeEntry[[#This Row],[Project_ID]],projects[Project_ID],0))</f>
        <v>210035-51 VBB 3rd - new bridge</v>
      </c>
      <c r="H476" s="1" t="str">
        <f t="shared" si="10"/>
        <v>Normal Time</v>
      </c>
      <c r="I476" s="1"/>
      <c r="J476" s="15">
        <v>3.75</v>
      </c>
      <c r="K476" s="15"/>
      <c r="L476" s="15"/>
      <c r="M476" s="15"/>
      <c r="N476" s="15"/>
      <c r="O476" s="15" t="str">
        <f>INDEX(projects[job number],MATCH(TimeEntry[[#This Row],[Project_ID]], projects[Project_ID],0))</f>
        <v>210035-51</v>
      </c>
      <c r="P476" s="15" t="str">
        <f>INDEX(projects[Project_Name],MATCH(TimeEntry[[#This Row],[Project_ID]], projects[Project_ID],0))</f>
        <v>VBB 3rd - new bridge</v>
      </c>
      <c r="Q476" s="6">
        <f>IF(TimeEntry[[#This Row],[Date]]=0,"",WEEKDAY(C476,2))</f>
        <v>2</v>
      </c>
      <c r="R476" s="9">
        <f>YEAR(TimeEntry[[#This Row],[WkEnd]])</f>
        <v>2019</v>
      </c>
      <c r="S476" s="9">
        <f>WEEKNUM(TimeEntry[[#This Row],[WkEnd]])</f>
        <v>40</v>
      </c>
      <c r="T476" s="9" t="str">
        <f>TimeEntry[[#This Row],[Year]]&amp;"-"&amp;TimeEntry[[#This Row],[WkNo]]</f>
        <v>2019-40</v>
      </c>
    </row>
    <row r="477" spans="1:20" x14ac:dyDescent="0.25">
      <c r="A477" s="6">
        <f>MOD(IF(ROW()=2,0.1,IF(INDEX(TimeEntry[WkEnd],ROW()-1)  =  INDEX(TimeEntry[WkEnd],ROW()-2),    INDEX(TimeEntry[format],ROW()-2),    INDEX(TimeEntry[format],ROW()-2)    +1)),2)</f>
        <v>0.10000000000000009</v>
      </c>
      <c r="B477" s="7"/>
      <c r="C477" s="8">
        <v>43733</v>
      </c>
      <c r="D477" s="8"/>
      <c r="E477" s="1" t="s">
        <v>460</v>
      </c>
      <c r="F477" s="8">
        <f>IF(TimeEntry[[#This Row],[Date]]=0,F476,C477+(7-Q477))</f>
        <v>43737</v>
      </c>
      <c r="G477" s="35" t="str">
        <f>INDEX(projects[Charge_Code],MATCH(TimeEntry[[#This Row],[Project_ID]],projects[Project_ID],0))</f>
        <v>265720-20 VBB - Assessment</v>
      </c>
      <c r="H477" s="1" t="str">
        <f t="shared" ref="H477:H540" si="11">"Normal Time"</f>
        <v>Normal Time</v>
      </c>
      <c r="I477" s="1"/>
      <c r="J477" s="15">
        <v>7.5</v>
      </c>
      <c r="K477" s="15"/>
      <c r="L477" s="15"/>
      <c r="M477" s="15"/>
      <c r="N477" s="15"/>
      <c r="O477" s="15" t="str">
        <f>INDEX(projects[job number],MATCH(TimeEntry[[#This Row],[Project_ID]], projects[Project_ID],0))</f>
        <v>265720-20</v>
      </c>
      <c r="P477" s="15" t="str">
        <f>INDEX(projects[Project_Name],MATCH(TimeEntry[[#This Row],[Project_ID]], projects[Project_ID],0))</f>
        <v>VBB - Assessment</v>
      </c>
      <c r="Q477" s="6">
        <f>IF(TimeEntry[[#This Row],[Date]]=0,"",WEEKDAY(C477,2))</f>
        <v>3</v>
      </c>
      <c r="R477" s="9">
        <f>YEAR(TimeEntry[[#This Row],[WkEnd]])</f>
        <v>2019</v>
      </c>
      <c r="S477" s="9">
        <f>WEEKNUM(TimeEntry[[#This Row],[WkEnd]])</f>
        <v>40</v>
      </c>
      <c r="T477" s="9" t="str">
        <f>TimeEntry[[#This Row],[Year]]&amp;"-"&amp;TimeEntry[[#This Row],[WkNo]]</f>
        <v>2019-40</v>
      </c>
    </row>
    <row r="478" spans="1:20" x14ac:dyDescent="0.25">
      <c r="A478" s="6">
        <f>MOD(IF(ROW()=2,0.1,IF(INDEX(TimeEntry[WkEnd],ROW()-1)  =  INDEX(TimeEntry[WkEnd],ROW()-2),    INDEX(TimeEntry[format],ROW()-2),    INDEX(TimeEntry[format],ROW()-2)    +1)),2)</f>
        <v>0.10000000000000009</v>
      </c>
      <c r="B478" s="7"/>
      <c r="C478" s="8">
        <v>43734</v>
      </c>
      <c r="D478" s="8"/>
      <c r="E478" s="1" t="s">
        <v>456</v>
      </c>
      <c r="F478" s="8">
        <f>IF(TimeEntry[[#This Row],[Date]]=0,F477,C478+(7-Q478))</f>
        <v>43737</v>
      </c>
      <c r="G478" s="35" t="str">
        <f>INDEX(projects[Charge_Code],MATCH(TimeEntry[[#This Row],[Project_ID]],projects[Project_ID],0))</f>
        <v>210035-51 VBB 3rd - new bridge</v>
      </c>
      <c r="H478" s="1" t="str">
        <f t="shared" si="11"/>
        <v>Normal Time</v>
      </c>
      <c r="I478" s="1"/>
      <c r="J478" s="15">
        <v>2</v>
      </c>
      <c r="K478" s="15"/>
      <c r="L478" s="15"/>
      <c r="M478" s="15"/>
      <c r="N478" s="15"/>
      <c r="O478" s="15" t="str">
        <f>INDEX(projects[job number],MATCH(TimeEntry[[#This Row],[Project_ID]], projects[Project_ID],0))</f>
        <v>210035-51</v>
      </c>
      <c r="P478" s="15" t="str">
        <f>INDEX(projects[Project_Name],MATCH(TimeEntry[[#This Row],[Project_ID]], projects[Project_ID],0))</f>
        <v>VBB 3rd - new bridge</v>
      </c>
      <c r="Q478" s="6">
        <f>IF(TimeEntry[[#This Row],[Date]]=0,"",WEEKDAY(C478,2))</f>
        <v>4</v>
      </c>
      <c r="R478" s="9">
        <f>YEAR(TimeEntry[[#This Row],[WkEnd]])</f>
        <v>2019</v>
      </c>
      <c r="S478" s="9">
        <f>WEEKNUM(TimeEntry[[#This Row],[WkEnd]])</f>
        <v>40</v>
      </c>
      <c r="T478" s="9" t="str">
        <f>TimeEntry[[#This Row],[Year]]&amp;"-"&amp;TimeEntry[[#This Row],[WkNo]]</f>
        <v>2019-40</v>
      </c>
    </row>
    <row r="479" spans="1:20" x14ac:dyDescent="0.25">
      <c r="A479" s="6">
        <f>MOD(IF(ROW()=2,0.1,IF(INDEX(TimeEntry[WkEnd],ROW()-1)  =  INDEX(TimeEntry[WkEnd],ROW()-2),    INDEX(TimeEntry[format],ROW()-2),    INDEX(TimeEntry[format],ROW()-2)    +1)),2)</f>
        <v>0.10000000000000009</v>
      </c>
      <c r="B479" s="7"/>
      <c r="C479" s="8">
        <v>43734</v>
      </c>
      <c r="D479" s="8"/>
      <c r="E479" s="1" t="s">
        <v>456</v>
      </c>
      <c r="F479" s="8">
        <f>IF(TimeEntry[[#This Row],[Date]]=0,F478,C479+(7-Q479))</f>
        <v>43737</v>
      </c>
      <c r="G479" s="35" t="str">
        <f>INDEX(projects[Charge_Code],MATCH(TimeEntry[[#This Row],[Project_ID]],projects[Project_ID],0))</f>
        <v>210035-51 VBB 3rd - new bridge</v>
      </c>
      <c r="H479" s="1" t="str">
        <f t="shared" si="11"/>
        <v>Normal Time</v>
      </c>
      <c r="I479" s="1"/>
      <c r="J479" s="15">
        <v>5.5</v>
      </c>
      <c r="K479" s="15"/>
      <c r="L479" s="15"/>
      <c r="M479" s="15"/>
      <c r="N479" s="15"/>
      <c r="O479" s="15" t="str">
        <f>INDEX(projects[job number],MATCH(TimeEntry[[#This Row],[Project_ID]], projects[Project_ID],0))</f>
        <v>210035-51</v>
      </c>
      <c r="P479" s="15" t="str">
        <f>INDEX(projects[Project_Name],MATCH(TimeEntry[[#This Row],[Project_ID]], projects[Project_ID],0))</f>
        <v>VBB 3rd - new bridge</v>
      </c>
      <c r="Q479" s="6">
        <f>IF(TimeEntry[[#This Row],[Date]]=0,"",WEEKDAY(C479,2))</f>
        <v>4</v>
      </c>
      <c r="R479" s="9">
        <f>YEAR(TimeEntry[[#This Row],[WkEnd]])</f>
        <v>2019</v>
      </c>
      <c r="S479" s="9">
        <f>WEEKNUM(TimeEntry[[#This Row],[WkEnd]])</f>
        <v>40</v>
      </c>
      <c r="T479" s="9" t="str">
        <f>TimeEntry[[#This Row],[Year]]&amp;"-"&amp;TimeEntry[[#This Row],[WkNo]]</f>
        <v>2019-40</v>
      </c>
    </row>
    <row r="480" spans="1:20" x14ac:dyDescent="0.25">
      <c r="A480" s="6">
        <f>MOD(IF(ROW()=2,0.1,IF(INDEX(TimeEntry[WkEnd],ROW()-1)  =  INDEX(TimeEntry[WkEnd],ROW()-2),    INDEX(TimeEntry[format],ROW()-2),    INDEX(TimeEntry[format],ROW()-2)    +1)),2)</f>
        <v>0.10000000000000009</v>
      </c>
      <c r="B480" s="7"/>
      <c r="C480" s="8">
        <v>43735</v>
      </c>
      <c r="D480" s="8"/>
      <c r="E480" s="1" t="s">
        <v>455</v>
      </c>
      <c r="F480" s="8">
        <f>IF(TimeEntry[[#This Row],[Date]]=0,F479,C480+(7-Q480))</f>
        <v>43737</v>
      </c>
      <c r="G480" s="35" t="str">
        <f>INDEX(projects[Charge_Code],MATCH(TimeEntry[[#This Row],[Project_ID]],projects[Project_ID],0))</f>
        <v>268017-25  KSC - Tunnel</v>
      </c>
      <c r="H480" s="1" t="str">
        <f t="shared" si="11"/>
        <v>Normal Time</v>
      </c>
      <c r="I480" s="1"/>
      <c r="J480" s="15">
        <v>2</v>
      </c>
      <c r="K480" s="15"/>
      <c r="L480" s="15"/>
      <c r="M480" s="15"/>
      <c r="N480" s="15"/>
      <c r="O480" s="15" t="str">
        <f>INDEX(projects[job number],MATCH(TimeEntry[[#This Row],[Project_ID]], projects[Project_ID],0))</f>
        <v xml:space="preserve">268017-25 </v>
      </c>
      <c r="P480" s="15" t="str">
        <f>INDEX(projects[Project_Name],MATCH(TimeEntry[[#This Row],[Project_ID]], projects[Project_ID],0))</f>
        <v>KSC - Tunnel</v>
      </c>
      <c r="Q480" s="6">
        <f>IF(TimeEntry[[#This Row],[Date]]=0,"",WEEKDAY(C480,2))</f>
        <v>5</v>
      </c>
      <c r="R480" s="9">
        <f>YEAR(TimeEntry[[#This Row],[WkEnd]])</f>
        <v>2019</v>
      </c>
      <c r="S480" s="9">
        <f>WEEKNUM(TimeEntry[[#This Row],[WkEnd]])</f>
        <v>40</v>
      </c>
      <c r="T480" s="9" t="str">
        <f>TimeEntry[[#This Row],[Year]]&amp;"-"&amp;TimeEntry[[#This Row],[WkNo]]</f>
        <v>2019-40</v>
      </c>
    </row>
    <row r="481" spans="1:20" x14ac:dyDescent="0.25">
      <c r="A481" s="6">
        <f>MOD(IF(ROW()=2,0.1,IF(INDEX(TimeEntry[WkEnd],ROW()-1)  =  INDEX(TimeEntry[WkEnd],ROW()-2),    INDEX(TimeEntry[format],ROW()-2),    INDEX(TimeEntry[format],ROW()-2)    +1)),2)</f>
        <v>0.10000000000000009</v>
      </c>
      <c r="B481" s="7"/>
      <c r="C481" s="8">
        <v>43735</v>
      </c>
      <c r="D481" s="8"/>
      <c r="E481" s="1" t="s">
        <v>456</v>
      </c>
      <c r="F481" s="8">
        <f>IF(TimeEntry[[#This Row],[Date]]=0,F480,C481+(7-Q481))</f>
        <v>43737</v>
      </c>
      <c r="G481" s="35" t="str">
        <f>INDEX(projects[Charge_Code],MATCH(TimeEntry[[#This Row],[Project_ID]],projects[Project_ID],0))</f>
        <v>210035-51 VBB 3rd - new bridge</v>
      </c>
      <c r="H481" s="1" t="str">
        <f t="shared" si="11"/>
        <v>Normal Time</v>
      </c>
      <c r="I481" s="1"/>
      <c r="J481" s="15">
        <v>3</v>
      </c>
      <c r="K481" s="15"/>
      <c r="L481" s="15"/>
      <c r="M481" s="15"/>
      <c r="N481" s="15"/>
      <c r="O481" s="15" t="str">
        <f>INDEX(projects[job number],MATCH(TimeEntry[[#This Row],[Project_ID]], projects[Project_ID],0))</f>
        <v>210035-51</v>
      </c>
      <c r="P481" s="15" t="str">
        <f>INDEX(projects[Project_Name],MATCH(TimeEntry[[#This Row],[Project_ID]], projects[Project_ID],0))</f>
        <v>VBB 3rd - new bridge</v>
      </c>
      <c r="Q481" s="6">
        <f>IF(TimeEntry[[#This Row],[Date]]=0,"",WEEKDAY(C481,2))</f>
        <v>5</v>
      </c>
      <c r="R481" s="9">
        <f>YEAR(TimeEntry[[#This Row],[WkEnd]])</f>
        <v>2019</v>
      </c>
      <c r="S481" s="9">
        <f>WEEKNUM(TimeEntry[[#This Row],[WkEnd]])</f>
        <v>40</v>
      </c>
      <c r="T481" s="9" t="str">
        <f>TimeEntry[[#This Row],[Year]]&amp;"-"&amp;TimeEntry[[#This Row],[WkNo]]</f>
        <v>2019-40</v>
      </c>
    </row>
    <row r="482" spans="1:20" x14ac:dyDescent="0.25">
      <c r="A482" s="6">
        <f>MOD(IF(ROW()=2,0.1,IF(INDEX(TimeEntry[WkEnd],ROW()-1)  =  INDEX(TimeEntry[WkEnd],ROW()-2),    INDEX(TimeEntry[format],ROW()-2),    INDEX(TimeEntry[format],ROW()-2)    +1)),2)</f>
        <v>0.10000000000000009</v>
      </c>
      <c r="B482" s="7"/>
      <c r="C482" s="8">
        <v>43735</v>
      </c>
      <c r="D482" s="8"/>
      <c r="E482" s="1" t="s">
        <v>456</v>
      </c>
      <c r="F482" s="8">
        <f>IF(TimeEntry[[#This Row],[Date]]=0,F481,C482+(7-Q482))</f>
        <v>43737</v>
      </c>
      <c r="G482" s="35" t="str">
        <f>INDEX(projects[Charge_Code],MATCH(TimeEntry[[#This Row],[Project_ID]],projects[Project_ID],0))</f>
        <v>210035-51 VBB 3rd - new bridge</v>
      </c>
      <c r="H482" s="1" t="str">
        <f t="shared" si="11"/>
        <v>Normal Time</v>
      </c>
      <c r="I482" s="1"/>
      <c r="J482" s="15">
        <v>2.5</v>
      </c>
      <c r="K482" s="15"/>
      <c r="L482" s="15"/>
      <c r="M482" s="15"/>
      <c r="N482" s="15"/>
      <c r="O482" s="15" t="str">
        <f>INDEX(projects[job number],MATCH(TimeEntry[[#This Row],[Project_ID]], projects[Project_ID],0))</f>
        <v>210035-51</v>
      </c>
      <c r="P482" s="15" t="str">
        <f>INDEX(projects[Project_Name],MATCH(TimeEntry[[#This Row],[Project_ID]], projects[Project_ID],0))</f>
        <v>VBB 3rd - new bridge</v>
      </c>
      <c r="Q482" s="6">
        <f>IF(TimeEntry[[#This Row],[Date]]=0,"",WEEKDAY(C482,2))</f>
        <v>5</v>
      </c>
      <c r="R482" s="9">
        <f>YEAR(TimeEntry[[#This Row],[WkEnd]])</f>
        <v>2019</v>
      </c>
      <c r="S482" s="9">
        <f>WEEKNUM(TimeEntry[[#This Row],[WkEnd]])</f>
        <v>40</v>
      </c>
      <c r="T482" s="9" t="str">
        <f>TimeEntry[[#This Row],[Year]]&amp;"-"&amp;TimeEntry[[#This Row],[WkNo]]</f>
        <v>2019-40</v>
      </c>
    </row>
    <row r="483" spans="1:20" x14ac:dyDescent="0.25">
      <c r="A483" s="6">
        <f>MOD(IF(ROW()=2,0.1,IF(INDEX(TimeEntry[WkEnd],ROW()-1)  =  INDEX(TimeEntry[WkEnd],ROW()-2),    INDEX(TimeEntry[format],ROW()-2),    INDEX(TimeEntry[format],ROW()-2)    +1)),2)</f>
        <v>1.1000000000000001</v>
      </c>
      <c r="B483" s="7"/>
      <c r="C483" s="8">
        <v>43724</v>
      </c>
      <c r="D483" s="8"/>
      <c r="E483" s="1" t="s">
        <v>455</v>
      </c>
      <c r="F483" s="8">
        <f>IF(TimeEntry[[#This Row],[Date]]=0,F482,C483+(7-Q483))</f>
        <v>43730</v>
      </c>
      <c r="G483" s="35" t="str">
        <f>INDEX(projects[Charge_Code],MATCH(TimeEntry[[#This Row],[Project_ID]],projects[Project_ID],0))</f>
        <v>268017-25  KSC - Tunnel</v>
      </c>
      <c r="H483" s="1" t="str">
        <f t="shared" si="11"/>
        <v>Normal Time</v>
      </c>
      <c r="I483" s="1"/>
      <c r="J483" s="15">
        <v>7.5</v>
      </c>
      <c r="K483" s="15"/>
      <c r="L483" s="15"/>
      <c r="M483" s="15"/>
      <c r="N483" s="15"/>
      <c r="O483" s="15" t="str">
        <f>INDEX(projects[job number],MATCH(TimeEntry[[#This Row],[Project_ID]], projects[Project_ID],0))</f>
        <v xml:space="preserve">268017-25 </v>
      </c>
      <c r="P483" s="15" t="str">
        <f>INDEX(projects[Project_Name],MATCH(TimeEntry[[#This Row],[Project_ID]], projects[Project_ID],0))</f>
        <v>KSC - Tunnel</v>
      </c>
      <c r="Q483" s="6">
        <f>IF(TimeEntry[[#This Row],[Date]]=0,"",WEEKDAY(C483,2))</f>
        <v>1</v>
      </c>
      <c r="R483" s="9">
        <f>YEAR(TimeEntry[[#This Row],[WkEnd]])</f>
        <v>2019</v>
      </c>
      <c r="S483" s="9">
        <f>WEEKNUM(TimeEntry[[#This Row],[WkEnd]])</f>
        <v>39</v>
      </c>
      <c r="T483" s="9" t="str">
        <f>TimeEntry[[#This Row],[Year]]&amp;"-"&amp;TimeEntry[[#This Row],[WkNo]]</f>
        <v>2019-39</v>
      </c>
    </row>
    <row r="484" spans="1:20" x14ac:dyDescent="0.25">
      <c r="A484" s="6">
        <f>MOD(IF(ROW()=2,0.1,IF(INDEX(TimeEntry[WkEnd],ROW()-1)  =  INDEX(TimeEntry[WkEnd],ROW()-2),    INDEX(TimeEntry[format],ROW()-2),    INDEX(TimeEntry[format],ROW()-2)    +1)),2)</f>
        <v>1.1000000000000001</v>
      </c>
      <c r="B484" s="7"/>
      <c r="C484" s="8">
        <v>43725</v>
      </c>
      <c r="D484" s="8"/>
      <c r="E484" s="1" t="s">
        <v>455</v>
      </c>
      <c r="F484" s="8">
        <f>IF(TimeEntry[[#This Row],[Date]]=0,F483,C484+(7-Q484))</f>
        <v>43730</v>
      </c>
      <c r="G484" s="35" t="str">
        <f>INDEX(projects[Charge_Code],MATCH(TimeEntry[[#This Row],[Project_ID]],projects[Project_ID],0))</f>
        <v>268017-25  KSC - Tunnel</v>
      </c>
      <c r="H484" s="1" t="str">
        <f t="shared" si="11"/>
        <v>Normal Time</v>
      </c>
      <c r="I484" s="1"/>
      <c r="J484" s="15">
        <v>7.5</v>
      </c>
      <c r="K484" s="15"/>
      <c r="L484" s="15"/>
      <c r="M484" s="15"/>
      <c r="N484" s="15"/>
      <c r="O484" s="15" t="str">
        <f>INDEX(projects[job number],MATCH(TimeEntry[[#This Row],[Project_ID]], projects[Project_ID],0))</f>
        <v xml:space="preserve">268017-25 </v>
      </c>
      <c r="P484" s="15" t="str">
        <f>INDEX(projects[Project_Name],MATCH(TimeEntry[[#This Row],[Project_ID]], projects[Project_ID],0))</f>
        <v>KSC - Tunnel</v>
      </c>
      <c r="Q484" s="6">
        <f>IF(TimeEntry[[#This Row],[Date]]=0,"",WEEKDAY(C484,2))</f>
        <v>2</v>
      </c>
      <c r="R484" s="9">
        <f>YEAR(TimeEntry[[#This Row],[WkEnd]])</f>
        <v>2019</v>
      </c>
      <c r="S484" s="9">
        <f>WEEKNUM(TimeEntry[[#This Row],[WkEnd]])</f>
        <v>39</v>
      </c>
      <c r="T484" s="9" t="str">
        <f>TimeEntry[[#This Row],[Year]]&amp;"-"&amp;TimeEntry[[#This Row],[WkNo]]</f>
        <v>2019-39</v>
      </c>
    </row>
    <row r="485" spans="1:20" x14ac:dyDescent="0.25">
      <c r="A485" s="6">
        <f>MOD(IF(ROW()=2,0.1,IF(INDEX(TimeEntry[WkEnd],ROW()-1)  =  INDEX(TimeEntry[WkEnd],ROW()-2),    INDEX(TimeEntry[format],ROW()-2),    INDEX(TimeEntry[format],ROW()-2)    +1)),2)</f>
        <v>1.1000000000000001</v>
      </c>
      <c r="B485" s="7"/>
      <c r="C485" s="8">
        <v>43726</v>
      </c>
      <c r="D485" s="8"/>
      <c r="E485" s="1" t="s">
        <v>455</v>
      </c>
      <c r="F485" s="8">
        <f>IF(TimeEntry[[#This Row],[Date]]=0,F484,C485+(7-Q485))</f>
        <v>43730</v>
      </c>
      <c r="G485" s="35" t="str">
        <f>INDEX(projects[Charge_Code],MATCH(TimeEntry[[#This Row],[Project_ID]],projects[Project_ID],0))</f>
        <v>268017-25  KSC - Tunnel</v>
      </c>
      <c r="H485" s="1" t="str">
        <f t="shared" si="11"/>
        <v>Normal Time</v>
      </c>
      <c r="I485" s="1"/>
      <c r="J485" s="15">
        <v>7.5</v>
      </c>
      <c r="K485" s="15"/>
      <c r="L485" s="15"/>
      <c r="M485" s="15"/>
      <c r="N485" s="15"/>
      <c r="O485" s="15" t="str">
        <f>INDEX(projects[job number],MATCH(TimeEntry[[#This Row],[Project_ID]], projects[Project_ID],0))</f>
        <v xml:space="preserve">268017-25 </v>
      </c>
      <c r="P485" s="15" t="str">
        <f>INDEX(projects[Project_Name],MATCH(TimeEntry[[#This Row],[Project_ID]], projects[Project_ID],0))</f>
        <v>KSC - Tunnel</v>
      </c>
      <c r="Q485" s="6">
        <f>IF(TimeEntry[[#This Row],[Date]]=0,"",WEEKDAY(C485,2))</f>
        <v>3</v>
      </c>
      <c r="R485" s="9">
        <f>YEAR(TimeEntry[[#This Row],[WkEnd]])</f>
        <v>2019</v>
      </c>
      <c r="S485" s="9">
        <f>WEEKNUM(TimeEntry[[#This Row],[WkEnd]])</f>
        <v>39</v>
      </c>
      <c r="T485" s="9" t="str">
        <f>TimeEntry[[#This Row],[Year]]&amp;"-"&amp;TimeEntry[[#This Row],[WkNo]]</f>
        <v>2019-39</v>
      </c>
    </row>
    <row r="486" spans="1:20" x14ac:dyDescent="0.25">
      <c r="A486" s="6">
        <f>MOD(IF(ROW()=2,0.1,IF(INDEX(TimeEntry[WkEnd],ROW()-1)  =  INDEX(TimeEntry[WkEnd],ROW()-2),    INDEX(TimeEntry[format],ROW()-2),    INDEX(TimeEntry[format],ROW()-2)    +1)),2)</f>
        <v>1.1000000000000001</v>
      </c>
      <c r="B486" s="7"/>
      <c r="C486" s="8">
        <v>43727</v>
      </c>
      <c r="D486" s="8"/>
      <c r="E486" s="1" t="s">
        <v>455</v>
      </c>
      <c r="F486" s="8">
        <f>IF(TimeEntry[[#This Row],[Date]]=0,F485,C486+(7-Q486))</f>
        <v>43730</v>
      </c>
      <c r="G486" s="35" t="str">
        <f>INDEX(projects[Charge_Code],MATCH(TimeEntry[[#This Row],[Project_ID]],projects[Project_ID],0))</f>
        <v>268017-25  KSC - Tunnel</v>
      </c>
      <c r="H486" s="1" t="str">
        <f t="shared" si="11"/>
        <v>Normal Time</v>
      </c>
      <c r="I486" s="1"/>
      <c r="J486" s="15">
        <v>7.5</v>
      </c>
      <c r="K486" s="15"/>
      <c r="L486" s="15"/>
      <c r="M486" s="15"/>
      <c r="N486" s="15"/>
      <c r="O486" s="15" t="str">
        <f>INDEX(projects[job number],MATCH(TimeEntry[[#This Row],[Project_ID]], projects[Project_ID],0))</f>
        <v xml:space="preserve">268017-25 </v>
      </c>
      <c r="P486" s="15" t="str">
        <f>INDEX(projects[Project_Name],MATCH(TimeEntry[[#This Row],[Project_ID]], projects[Project_ID],0))</f>
        <v>KSC - Tunnel</v>
      </c>
      <c r="Q486" s="6">
        <f>IF(TimeEntry[[#This Row],[Date]]=0,"",WEEKDAY(C486,2))</f>
        <v>4</v>
      </c>
      <c r="R486" s="9">
        <f>YEAR(TimeEntry[[#This Row],[WkEnd]])</f>
        <v>2019</v>
      </c>
      <c r="S486" s="9">
        <f>WEEKNUM(TimeEntry[[#This Row],[WkEnd]])</f>
        <v>39</v>
      </c>
      <c r="T486" s="9" t="str">
        <f>TimeEntry[[#This Row],[Year]]&amp;"-"&amp;TimeEntry[[#This Row],[WkNo]]</f>
        <v>2019-39</v>
      </c>
    </row>
    <row r="487" spans="1:20" x14ac:dyDescent="0.25">
      <c r="A487" s="6">
        <f>MOD(IF(ROW()=2,0.1,IF(INDEX(TimeEntry[WkEnd],ROW()-1)  =  INDEX(TimeEntry[WkEnd],ROW()-2),    INDEX(TimeEntry[format],ROW()-2),    INDEX(TimeEntry[format],ROW()-2)    +1)),2)</f>
        <v>1.1000000000000001</v>
      </c>
      <c r="B487" s="7"/>
      <c r="C487" s="8">
        <v>43728</v>
      </c>
      <c r="D487" s="8"/>
      <c r="E487" s="1" t="s">
        <v>455</v>
      </c>
      <c r="F487" s="8">
        <f>IF(TimeEntry[[#This Row],[Date]]=0,F486,C487+(7-Q487))</f>
        <v>43730</v>
      </c>
      <c r="G487" s="35" t="str">
        <f>INDEX(projects[Charge_Code],MATCH(TimeEntry[[#This Row],[Project_ID]],projects[Project_ID],0))</f>
        <v>268017-25  KSC - Tunnel</v>
      </c>
      <c r="H487" s="1" t="str">
        <f t="shared" si="11"/>
        <v>Normal Time</v>
      </c>
      <c r="I487" s="1"/>
      <c r="J487" s="15">
        <v>7.5</v>
      </c>
      <c r="K487" s="15"/>
      <c r="L487" s="15"/>
      <c r="M487" s="15"/>
      <c r="N487" s="15"/>
      <c r="O487" s="15" t="str">
        <f>INDEX(projects[job number],MATCH(TimeEntry[[#This Row],[Project_ID]], projects[Project_ID],0))</f>
        <v xml:space="preserve">268017-25 </v>
      </c>
      <c r="P487" s="15" t="str">
        <f>INDEX(projects[Project_Name],MATCH(TimeEntry[[#This Row],[Project_ID]], projects[Project_ID],0))</f>
        <v>KSC - Tunnel</v>
      </c>
      <c r="Q487" s="6">
        <f>IF(TimeEntry[[#This Row],[Date]]=0,"",WEEKDAY(C487,2))</f>
        <v>5</v>
      </c>
      <c r="R487" s="9">
        <f>YEAR(TimeEntry[[#This Row],[WkEnd]])</f>
        <v>2019</v>
      </c>
      <c r="S487" s="9">
        <f>WEEKNUM(TimeEntry[[#This Row],[WkEnd]])</f>
        <v>39</v>
      </c>
      <c r="T487" s="9" t="str">
        <f>TimeEntry[[#This Row],[Year]]&amp;"-"&amp;TimeEntry[[#This Row],[WkNo]]</f>
        <v>2019-39</v>
      </c>
    </row>
    <row r="488" spans="1:20" x14ac:dyDescent="0.25">
      <c r="A488" s="6">
        <f>MOD(IF(ROW()=2,0.1,IF(INDEX(TimeEntry[WkEnd],ROW()-1)  =  INDEX(TimeEntry[WkEnd],ROW()-2),    INDEX(TimeEntry[format],ROW()-2),    INDEX(TimeEntry[format],ROW()-2)    +1)),2)</f>
        <v>0.10000000000000009</v>
      </c>
      <c r="B488" s="7"/>
      <c r="C488" s="8">
        <v>43717</v>
      </c>
      <c r="D488" s="8"/>
      <c r="E488" s="1" t="s">
        <v>455</v>
      </c>
      <c r="F488" s="8">
        <f>IF(TimeEntry[[#This Row],[Date]]=0,F487,C488+(7-Q488))</f>
        <v>43723</v>
      </c>
      <c r="G488" s="35" t="str">
        <f>INDEX(projects[Charge_Code],MATCH(TimeEntry[[#This Row],[Project_ID]],projects[Project_ID],0))</f>
        <v>268017-25  KSC - Tunnel</v>
      </c>
      <c r="H488" s="1" t="str">
        <f t="shared" si="11"/>
        <v>Normal Time</v>
      </c>
      <c r="I488" s="1"/>
      <c r="J488" s="15">
        <v>7.5</v>
      </c>
      <c r="K488" s="15"/>
      <c r="L488" s="15"/>
      <c r="M488" s="15"/>
      <c r="N488" s="15"/>
      <c r="O488" s="15" t="str">
        <f>INDEX(projects[job number],MATCH(TimeEntry[[#This Row],[Project_ID]], projects[Project_ID],0))</f>
        <v xml:space="preserve">268017-25 </v>
      </c>
      <c r="P488" s="15" t="str">
        <f>INDEX(projects[Project_Name],MATCH(TimeEntry[[#This Row],[Project_ID]], projects[Project_ID],0))</f>
        <v>KSC - Tunnel</v>
      </c>
      <c r="Q488" s="6">
        <f>IF(TimeEntry[[#This Row],[Date]]=0,"",WEEKDAY(C488,2))</f>
        <v>1</v>
      </c>
      <c r="R488" s="9">
        <f>YEAR(TimeEntry[[#This Row],[WkEnd]])</f>
        <v>2019</v>
      </c>
      <c r="S488" s="9">
        <f>WEEKNUM(TimeEntry[[#This Row],[WkEnd]])</f>
        <v>38</v>
      </c>
      <c r="T488" s="9" t="str">
        <f>TimeEntry[[#This Row],[Year]]&amp;"-"&amp;TimeEntry[[#This Row],[WkNo]]</f>
        <v>2019-38</v>
      </c>
    </row>
    <row r="489" spans="1:20" x14ac:dyDescent="0.25">
      <c r="A489" s="6">
        <f>MOD(IF(ROW()=2,0.1,IF(INDEX(TimeEntry[WkEnd],ROW()-1)  =  INDEX(TimeEntry[WkEnd],ROW()-2),    INDEX(TimeEntry[format],ROW()-2),    INDEX(TimeEntry[format],ROW()-2)    +1)),2)</f>
        <v>0.10000000000000009</v>
      </c>
      <c r="B489" s="7"/>
      <c r="C489" s="8">
        <v>43718</v>
      </c>
      <c r="D489" s="8"/>
      <c r="E489" s="1" t="s">
        <v>460</v>
      </c>
      <c r="F489" s="8">
        <f>IF(TimeEntry[[#This Row],[Date]]=0,F488,C489+(7-Q489))</f>
        <v>43723</v>
      </c>
      <c r="G489" s="35" t="str">
        <f>INDEX(projects[Charge_Code],MATCH(TimeEntry[[#This Row],[Project_ID]],projects[Project_ID],0))</f>
        <v>265720-20 VBB - Assessment</v>
      </c>
      <c r="H489" s="1" t="str">
        <f t="shared" si="11"/>
        <v>Normal Time</v>
      </c>
      <c r="I489" s="1"/>
      <c r="J489" s="15">
        <v>7.5</v>
      </c>
      <c r="K489" s="15"/>
      <c r="L489" s="15"/>
      <c r="M489" s="15"/>
      <c r="N489" s="15"/>
      <c r="O489" s="15" t="str">
        <f>INDEX(projects[job number],MATCH(TimeEntry[[#This Row],[Project_ID]], projects[Project_ID],0))</f>
        <v>265720-20</v>
      </c>
      <c r="P489" s="15" t="str">
        <f>INDEX(projects[Project_Name],MATCH(TimeEntry[[#This Row],[Project_ID]], projects[Project_ID],0))</f>
        <v>VBB - Assessment</v>
      </c>
      <c r="Q489" s="6">
        <f>IF(TimeEntry[[#This Row],[Date]]=0,"",WEEKDAY(C489,2))</f>
        <v>2</v>
      </c>
      <c r="R489" s="9">
        <f>YEAR(TimeEntry[[#This Row],[WkEnd]])</f>
        <v>2019</v>
      </c>
      <c r="S489" s="9">
        <f>WEEKNUM(TimeEntry[[#This Row],[WkEnd]])</f>
        <v>38</v>
      </c>
      <c r="T489" s="9" t="str">
        <f>TimeEntry[[#This Row],[Year]]&amp;"-"&amp;TimeEntry[[#This Row],[WkNo]]</f>
        <v>2019-38</v>
      </c>
    </row>
    <row r="490" spans="1:20" x14ac:dyDescent="0.25">
      <c r="A490" s="6">
        <f>MOD(IF(ROW()=2,0.1,IF(INDEX(TimeEntry[WkEnd],ROW()-1)  =  INDEX(TimeEntry[WkEnd],ROW()-2),    INDEX(TimeEntry[format],ROW()-2),    INDEX(TimeEntry[format],ROW()-2)    +1)),2)</f>
        <v>0.10000000000000009</v>
      </c>
      <c r="B490" s="7"/>
      <c r="C490" s="8">
        <v>43719</v>
      </c>
      <c r="D490" s="8"/>
      <c r="E490" s="1" t="s">
        <v>456</v>
      </c>
      <c r="F490" s="8">
        <f>IF(TimeEntry[[#This Row],[Date]]=0,F489,C490+(7-Q490))</f>
        <v>43723</v>
      </c>
      <c r="G490" s="35" t="str">
        <f>INDEX(projects[Charge_Code],MATCH(TimeEntry[[#This Row],[Project_ID]],projects[Project_ID],0))</f>
        <v>210035-51 VBB 3rd - new bridge</v>
      </c>
      <c r="H490" s="1" t="str">
        <f t="shared" si="11"/>
        <v>Normal Time</v>
      </c>
      <c r="I490" s="1"/>
      <c r="J490" s="15">
        <v>7.5</v>
      </c>
      <c r="K490" s="15"/>
      <c r="L490" s="15"/>
      <c r="M490" s="15"/>
      <c r="N490" s="15"/>
      <c r="O490" s="15" t="str">
        <f>INDEX(projects[job number],MATCH(TimeEntry[[#This Row],[Project_ID]], projects[Project_ID],0))</f>
        <v>210035-51</v>
      </c>
      <c r="P490" s="15" t="str">
        <f>INDEX(projects[Project_Name],MATCH(TimeEntry[[#This Row],[Project_ID]], projects[Project_ID],0))</f>
        <v>VBB 3rd - new bridge</v>
      </c>
      <c r="Q490" s="6">
        <f>IF(TimeEntry[[#This Row],[Date]]=0,"",WEEKDAY(C490,2))</f>
        <v>3</v>
      </c>
      <c r="R490" s="9">
        <f>YEAR(TimeEntry[[#This Row],[WkEnd]])</f>
        <v>2019</v>
      </c>
      <c r="S490" s="9">
        <f>WEEKNUM(TimeEntry[[#This Row],[WkEnd]])</f>
        <v>38</v>
      </c>
      <c r="T490" s="9" t="str">
        <f>TimeEntry[[#This Row],[Year]]&amp;"-"&amp;TimeEntry[[#This Row],[WkNo]]</f>
        <v>2019-38</v>
      </c>
    </row>
    <row r="491" spans="1:20" x14ac:dyDescent="0.25">
      <c r="A491" s="6">
        <f>MOD(IF(ROW()=2,0.1,IF(INDEX(TimeEntry[WkEnd],ROW()-1)  =  INDEX(TimeEntry[WkEnd],ROW()-2),    INDEX(TimeEntry[format],ROW()-2),    INDEX(TimeEntry[format],ROW()-2)    +1)),2)</f>
        <v>0.10000000000000009</v>
      </c>
      <c r="B491" s="7"/>
      <c r="C491" s="8">
        <v>43720</v>
      </c>
      <c r="D491" s="8"/>
      <c r="E491" s="1" t="s">
        <v>456</v>
      </c>
      <c r="F491" s="8">
        <f>IF(TimeEntry[[#This Row],[Date]]=0,F490,C491+(7-Q491))</f>
        <v>43723</v>
      </c>
      <c r="G491" s="35" t="str">
        <f>INDEX(projects[Charge_Code],MATCH(TimeEntry[[#This Row],[Project_ID]],projects[Project_ID],0))</f>
        <v>210035-51 VBB 3rd - new bridge</v>
      </c>
      <c r="H491" s="1" t="str">
        <f t="shared" si="11"/>
        <v>Normal Time</v>
      </c>
      <c r="I491" s="1"/>
      <c r="J491" s="15">
        <v>7.5</v>
      </c>
      <c r="K491" s="15"/>
      <c r="L491" s="15"/>
      <c r="M491" s="15"/>
      <c r="N491" s="15"/>
      <c r="O491" s="15" t="str">
        <f>INDEX(projects[job number],MATCH(TimeEntry[[#This Row],[Project_ID]], projects[Project_ID],0))</f>
        <v>210035-51</v>
      </c>
      <c r="P491" s="15" t="str">
        <f>INDEX(projects[Project_Name],MATCH(TimeEntry[[#This Row],[Project_ID]], projects[Project_ID],0))</f>
        <v>VBB 3rd - new bridge</v>
      </c>
      <c r="Q491" s="6">
        <f>IF(TimeEntry[[#This Row],[Date]]=0,"",WEEKDAY(C491,2))</f>
        <v>4</v>
      </c>
      <c r="R491" s="9">
        <f>YEAR(TimeEntry[[#This Row],[WkEnd]])</f>
        <v>2019</v>
      </c>
      <c r="S491" s="9">
        <f>WEEKNUM(TimeEntry[[#This Row],[WkEnd]])</f>
        <v>38</v>
      </c>
      <c r="T491" s="9" t="str">
        <f>TimeEntry[[#This Row],[Year]]&amp;"-"&amp;TimeEntry[[#This Row],[WkNo]]</f>
        <v>2019-38</v>
      </c>
    </row>
    <row r="492" spans="1:20" x14ac:dyDescent="0.25">
      <c r="A492" s="6">
        <f>MOD(IF(ROW()=2,0.1,IF(INDEX(TimeEntry[WkEnd],ROW()-1)  =  INDEX(TimeEntry[WkEnd],ROW()-2),    INDEX(TimeEntry[format],ROW()-2),    INDEX(TimeEntry[format],ROW()-2)    +1)),2)</f>
        <v>0.10000000000000009</v>
      </c>
      <c r="B492" s="7"/>
      <c r="C492" s="8">
        <v>43721</v>
      </c>
      <c r="D492" s="8"/>
      <c r="E492" s="1" t="s">
        <v>460</v>
      </c>
      <c r="F492" s="8">
        <f>IF(TimeEntry[[#This Row],[Date]]=0,F491,C492+(7-Q492))</f>
        <v>43723</v>
      </c>
      <c r="G492" s="35" t="str">
        <f>INDEX(projects[Charge_Code],MATCH(TimeEntry[[#This Row],[Project_ID]],projects[Project_ID],0))</f>
        <v>265720-20 VBB - Assessment</v>
      </c>
      <c r="H492" s="1" t="str">
        <f t="shared" si="11"/>
        <v>Normal Time</v>
      </c>
      <c r="I492" s="1"/>
      <c r="J492" s="15">
        <v>7.5</v>
      </c>
      <c r="K492" s="15"/>
      <c r="L492" s="15"/>
      <c r="M492" s="15"/>
      <c r="N492" s="15"/>
      <c r="O492" s="15" t="str">
        <f>INDEX(projects[job number],MATCH(TimeEntry[[#This Row],[Project_ID]], projects[Project_ID],0))</f>
        <v>265720-20</v>
      </c>
      <c r="P492" s="15" t="str">
        <f>INDEX(projects[Project_Name],MATCH(TimeEntry[[#This Row],[Project_ID]], projects[Project_ID],0))</f>
        <v>VBB - Assessment</v>
      </c>
      <c r="Q492" s="6">
        <f>IF(TimeEntry[[#This Row],[Date]]=0,"",WEEKDAY(C492,2))</f>
        <v>5</v>
      </c>
      <c r="R492" s="9">
        <f>YEAR(TimeEntry[[#This Row],[WkEnd]])</f>
        <v>2019</v>
      </c>
      <c r="S492" s="9">
        <f>WEEKNUM(TimeEntry[[#This Row],[WkEnd]])</f>
        <v>38</v>
      </c>
      <c r="T492" s="9" t="str">
        <f>TimeEntry[[#This Row],[Year]]&amp;"-"&amp;TimeEntry[[#This Row],[WkNo]]</f>
        <v>2019-38</v>
      </c>
    </row>
    <row r="493" spans="1:20" x14ac:dyDescent="0.25">
      <c r="A493" s="6">
        <f>MOD(IF(ROW()=2,0.1,IF(INDEX(TimeEntry[WkEnd],ROW()-1)  =  INDEX(TimeEntry[WkEnd],ROW()-2),    INDEX(TimeEntry[format],ROW()-2),    INDEX(TimeEntry[format],ROW()-2)    +1)),2)</f>
        <v>1.1000000000000001</v>
      </c>
      <c r="B493" s="7"/>
      <c r="C493" s="8">
        <v>43714</v>
      </c>
      <c r="D493" s="8"/>
      <c r="E493" s="1" t="s">
        <v>445</v>
      </c>
      <c r="F493" s="8">
        <f>IF(TimeEntry[[#This Row],[Date]]=0,F492,C493+(7-Q493))</f>
        <v>43716</v>
      </c>
      <c r="G493" s="35" t="str">
        <f>INDEX(projects[Charge_Code],MATCH(TimeEntry[[#This Row],[Project_ID]],projects[Project_ID],0))</f>
        <v>LEAVE</v>
      </c>
      <c r="H493" s="1" t="str">
        <f t="shared" si="11"/>
        <v>Normal Time</v>
      </c>
      <c r="I493" s="1"/>
      <c r="J493" s="15">
        <v>7.5</v>
      </c>
      <c r="K493" s="15"/>
      <c r="L493" s="15"/>
      <c r="M493" s="15"/>
      <c r="N493" s="15"/>
      <c r="O493" s="15" t="str">
        <f>INDEX(projects[job number],MATCH(TimeEntry[[#This Row],[Project_ID]], projects[Project_ID],0))</f>
        <v>LEAVE</v>
      </c>
      <c r="P493" s="15">
        <f>INDEX(projects[Project_Name],MATCH(TimeEntry[[#This Row],[Project_ID]], projects[Project_ID],0))</f>
        <v>0</v>
      </c>
      <c r="Q493" s="6">
        <f>IF(TimeEntry[[#This Row],[Date]]=0,"",WEEKDAY(C493,2))</f>
        <v>5</v>
      </c>
      <c r="R493" s="9">
        <f>YEAR(TimeEntry[[#This Row],[WkEnd]])</f>
        <v>2019</v>
      </c>
      <c r="S493" s="9">
        <f>WEEKNUM(TimeEntry[[#This Row],[WkEnd]])</f>
        <v>37</v>
      </c>
      <c r="T493" s="9" t="str">
        <f>TimeEntry[[#This Row],[Year]]&amp;"-"&amp;TimeEntry[[#This Row],[WkNo]]</f>
        <v>2019-37</v>
      </c>
    </row>
    <row r="494" spans="1:20" x14ac:dyDescent="0.25">
      <c r="A494" s="6">
        <f>MOD(IF(ROW()=2,0.1,IF(INDEX(TimeEntry[WkEnd],ROW()-1)  =  INDEX(TimeEntry[WkEnd],ROW()-2),    INDEX(TimeEntry[format],ROW()-2),    INDEX(TimeEntry[format],ROW()-2)    +1)),2)</f>
        <v>1.1000000000000001</v>
      </c>
      <c r="B494" s="7"/>
      <c r="C494" s="8">
        <v>43713</v>
      </c>
      <c r="D494" s="8"/>
      <c r="E494" s="1" t="s">
        <v>445</v>
      </c>
      <c r="F494" s="8">
        <f>IF(TimeEntry[[#This Row],[Date]]=0,F493,C494+(7-Q494))</f>
        <v>43716</v>
      </c>
      <c r="G494" s="35" t="str">
        <f>INDEX(projects[Charge_Code],MATCH(TimeEntry[[#This Row],[Project_ID]],projects[Project_ID],0))</f>
        <v>LEAVE</v>
      </c>
      <c r="H494" s="1" t="str">
        <f t="shared" si="11"/>
        <v>Normal Time</v>
      </c>
      <c r="I494" s="1"/>
      <c r="J494" s="15">
        <v>7.5</v>
      </c>
      <c r="K494" s="15"/>
      <c r="L494" s="15"/>
      <c r="M494" s="15"/>
      <c r="N494" s="15"/>
      <c r="O494" s="15" t="str">
        <f>INDEX(projects[job number],MATCH(TimeEntry[[#This Row],[Project_ID]], projects[Project_ID],0))</f>
        <v>LEAVE</v>
      </c>
      <c r="P494" s="15">
        <f>INDEX(projects[Project_Name],MATCH(TimeEntry[[#This Row],[Project_ID]], projects[Project_ID],0))</f>
        <v>0</v>
      </c>
      <c r="Q494" s="6">
        <f>IF(TimeEntry[[#This Row],[Date]]=0,"",WEEKDAY(C494,2))</f>
        <v>4</v>
      </c>
      <c r="R494" s="9">
        <f>YEAR(TimeEntry[[#This Row],[WkEnd]])</f>
        <v>2019</v>
      </c>
      <c r="S494" s="9">
        <f>WEEKNUM(TimeEntry[[#This Row],[WkEnd]])</f>
        <v>37</v>
      </c>
      <c r="T494" s="9" t="str">
        <f>TimeEntry[[#This Row],[Year]]&amp;"-"&amp;TimeEntry[[#This Row],[WkNo]]</f>
        <v>2019-37</v>
      </c>
    </row>
    <row r="495" spans="1:20" x14ac:dyDescent="0.25">
      <c r="A495" s="6">
        <f>MOD(IF(ROW()=2,0.1,IF(INDEX(TimeEntry[WkEnd],ROW()-1)  =  INDEX(TimeEntry[WkEnd],ROW()-2),    INDEX(TimeEntry[format],ROW()-2),    INDEX(TimeEntry[format],ROW()-2)    +1)),2)</f>
        <v>1.1000000000000001</v>
      </c>
      <c r="B495" s="7"/>
      <c r="C495" s="8">
        <v>43712</v>
      </c>
      <c r="D495" s="8"/>
      <c r="E495" s="1" t="s">
        <v>445</v>
      </c>
      <c r="F495" s="8">
        <f>IF(TimeEntry[[#This Row],[Date]]=0,F494,C495+(7-Q495))</f>
        <v>43716</v>
      </c>
      <c r="G495" s="35" t="str">
        <f>INDEX(projects[Charge_Code],MATCH(TimeEntry[[#This Row],[Project_ID]],projects[Project_ID],0))</f>
        <v>LEAVE</v>
      </c>
      <c r="H495" s="1" t="str">
        <f t="shared" si="11"/>
        <v>Normal Time</v>
      </c>
      <c r="I495" s="1"/>
      <c r="J495" s="15">
        <v>7.5</v>
      </c>
      <c r="K495" s="15"/>
      <c r="L495" s="15"/>
      <c r="M495" s="15"/>
      <c r="N495" s="15"/>
      <c r="O495" s="15" t="str">
        <f>INDEX(projects[job number],MATCH(TimeEntry[[#This Row],[Project_ID]], projects[Project_ID],0))</f>
        <v>LEAVE</v>
      </c>
      <c r="P495" s="15">
        <f>INDEX(projects[Project_Name],MATCH(TimeEntry[[#This Row],[Project_ID]], projects[Project_ID],0))</f>
        <v>0</v>
      </c>
      <c r="Q495" s="6">
        <f>IF(TimeEntry[[#This Row],[Date]]=0,"",WEEKDAY(C495,2))</f>
        <v>3</v>
      </c>
      <c r="R495" s="9">
        <f>YEAR(TimeEntry[[#This Row],[WkEnd]])</f>
        <v>2019</v>
      </c>
      <c r="S495" s="9">
        <f>WEEKNUM(TimeEntry[[#This Row],[WkEnd]])</f>
        <v>37</v>
      </c>
      <c r="T495" s="9" t="str">
        <f>TimeEntry[[#This Row],[Year]]&amp;"-"&amp;TimeEntry[[#This Row],[WkNo]]</f>
        <v>2019-37</v>
      </c>
    </row>
    <row r="496" spans="1:20" x14ac:dyDescent="0.25">
      <c r="A496" s="6">
        <f>MOD(IF(ROW()=2,0.1,IF(INDEX(TimeEntry[WkEnd],ROW()-1)  =  INDEX(TimeEntry[WkEnd],ROW()-2),    INDEX(TimeEntry[format],ROW()-2),    INDEX(TimeEntry[format],ROW()-2)    +1)),2)</f>
        <v>1.1000000000000001</v>
      </c>
      <c r="B496" s="7"/>
      <c r="C496" s="8">
        <v>43711</v>
      </c>
      <c r="D496" s="8"/>
      <c r="E496" s="1" t="s">
        <v>445</v>
      </c>
      <c r="F496" s="8">
        <f>IF(TimeEntry[[#This Row],[Date]]=0,F495,C496+(7-Q496))</f>
        <v>43716</v>
      </c>
      <c r="G496" s="35" t="str">
        <f>INDEX(projects[Charge_Code],MATCH(TimeEntry[[#This Row],[Project_ID]],projects[Project_ID],0))</f>
        <v>LEAVE</v>
      </c>
      <c r="H496" s="1" t="str">
        <f t="shared" si="11"/>
        <v>Normal Time</v>
      </c>
      <c r="I496" s="1"/>
      <c r="J496" s="15">
        <v>7.5</v>
      </c>
      <c r="K496" s="15"/>
      <c r="L496" s="15"/>
      <c r="M496" s="15"/>
      <c r="N496" s="15"/>
      <c r="O496" s="15" t="str">
        <f>INDEX(projects[job number],MATCH(TimeEntry[[#This Row],[Project_ID]], projects[Project_ID],0))</f>
        <v>LEAVE</v>
      </c>
      <c r="P496" s="15">
        <f>INDEX(projects[Project_Name],MATCH(TimeEntry[[#This Row],[Project_ID]], projects[Project_ID],0))</f>
        <v>0</v>
      </c>
      <c r="Q496" s="6">
        <f>IF(TimeEntry[[#This Row],[Date]]=0,"",WEEKDAY(C496,2))</f>
        <v>2</v>
      </c>
      <c r="R496" s="9">
        <f>YEAR(TimeEntry[[#This Row],[WkEnd]])</f>
        <v>2019</v>
      </c>
      <c r="S496" s="9">
        <f>WEEKNUM(TimeEntry[[#This Row],[WkEnd]])</f>
        <v>37</v>
      </c>
      <c r="T496" s="9" t="str">
        <f>TimeEntry[[#This Row],[Year]]&amp;"-"&amp;TimeEntry[[#This Row],[WkNo]]</f>
        <v>2019-37</v>
      </c>
    </row>
    <row r="497" spans="1:20" x14ac:dyDescent="0.25">
      <c r="A497" s="6">
        <f>MOD(IF(ROW()=2,0.1,IF(INDEX(TimeEntry[WkEnd],ROW()-1)  =  INDEX(TimeEntry[WkEnd],ROW()-2),    INDEX(TimeEntry[format],ROW()-2),    INDEX(TimeEntry[format],ROW()-2)    +1)),2)</f>
        <v>1.1000000000000001</v>
      </c>
      <c r="B497" s="7"/>
      <c r="C497" s="8">
        <v>43710</v>
      </c>
      <c r="D497" s="8"/>
      <c r="E497" s="1" t="s">
        <v>445</v>
      </c>
      <c r="F497" s="8">
        <f>IF(TimeEntry[[#This Row],[Date]]=0,F496,C497+(7-Q497))</f>
        <v>43716</v>
      </c>
      <c r="G497" s="35" t="str">
        <f>INDEX(projects[Charge_Code],MATCH(TimeEntry[[#This Row],[Project_ID]],projects[Project_ID],0))</f>
        <v>LEAVE</v>
      </c>
      <c r="H497" s="1" t="str">
        <f t="shared" si="11"/>
        <v>Normal Time</v>
      </c>
      <c r="I497" s="1"/>
      <c r="J497" s="15">
        <v>7.5</v>
      </c>
      <c r="K497" s="15"/>
      <c r="L497" s="15"/>
      <c r="M497" s="15"/>
      <c r="N497" s="15"/>
      <c r="O497" s="15" t="str">
        <f>INDEX(projects[job number],MATCH(TimeEntry[[#This Row],[Project_ID]], projects[Project_ID],0))</f>
        <v>LEAVE</v>
      </c>
      <c r="P497" s="15">
        <f>INDEX(projects[Project_Name],MATCH(TimeEntry[[#This Row],[Project_ID]], projects[Project_ID],0))</f>
        <v>0</v>
      </c>
      <c r="Q497" s="6">
        <f>IF(TimeEntry[[#This Row],[Date]]=0,"",WEEKDAY(C497,2))</f>
        <v>1</v>
      </c>
      <c r="R497" s="9">
        <f>YEAR(TimeEntry[[#This Row],[WkEnd]])</f>
        <v>2019</v>
      </c>
      <c r="S497" s="9">
        <f>WEEKNUM(TimeEntry[[#This Row],[WkEnd]])</f>
        <v>37</v>
      </c>
      <c r="T497" s="9" t="str">
        <f>TimeEntry[[#This Row],[Year]]&amp;"-"&amp;TimeEntry[[#This Row],[WkNo]]</f>
        <v>2019-37</v>
      </c>
    </row>
    <row r="498" spans="1:20" x14ac:dyDescent="0.25">
      <c r="A498" s="6">
        <f>MOD(IF(ROW()=2,0.1,IF(INDEX(TimeEntry[WkEnd],ROW()-1)  =  INDEX(TimeEntry[WkEnd],ROW()-2),    INDEX(TimeEntry[format],ROW()-2),    INDEX(TimeEntry[format],ROW()-2)    +1)),2)</f>
        <v>0.10000000000000009</v>
      </c>
      <c r="B498" s="7"/>
      <c r="C498" s="8">
        <v>43707</v>
      </c>
      <c r="D498" s="8"/>
      <c r="E498" s="1" t="s">
        <v>445</v>
      </c>
      <c r="F498" s="8">
        <f>IF(TimeEntry[[#This Row],[Date]]=0,F497,C498+(7-Q498))</f>
        <v>43709</v>
      </c>
      <c r="G498" s="35" t="str">
        <f>INDEX(projects[Charge_Code],MATCH(TimeEntry[[#This Row],[Project_ID]],projects[Project_ID],0))</f>
        <v>LEAVE</v>
      </c>
      <c r="H498" s="1" t="str">
        <f t="shared" si="11"/>
        <v>Normal Time</v>
      </c>
      <c r="I498" s="1"/>
      <c r="J498" s="15">
        <v>7.5</v>
      </c>
      <c r="K498" s="15"/>
      <c r="L498" s="15"/>
      <c r="M498" s="15"/>
      <c r="N498" s="15"/>
      <c r="O498" s="15" t="str">
        <f>INDEX(projects[job number],MATCH(TimeEntry[[#This Row],[Project_ID]], projects[Project_ID],0))</f>
        <v>LEAVE</v>
      </c>
      <c r="P498" s="15">
        <f>INDEX(projects[Project_Name],MATCH(TimeEntry[[#This Row],[Project_ID]], projects[Project_ID],0))</f>
        <v>0</v>
      </c>
      <c r="Q498" s="6">
        <f>IF(TimeEntry[[#This Row],[Date]]=0,"",WEEKDAY(C498,2))</f>
        <v>5</v>
      </c>
      <c r="R498" s="9">
        <f>YEAR(TimeEntry[[#This Row],[WkEnd]])</f>
        <v>2019</v>
      </c>
      <c r="S498" s="9">
        <f>WEEKNUM(TimeEntry[[#This Row],[WkEnd]])</f>
        <v>36</v>
      </c>
      <c r="T498" s="9" t="str">
        <f>TimeEntry[[#This Row],[Year]]&amp;"-"&amp;TimeEntry[[#This Row],[WkNo]]</f>
        <v>2019-36</v>
      </c>
    </row>
    <row r="499" spans="1:20" x14ac:dyDescent="0.25">
      <c r="A499" s="6">
        <f>MOD(IF(ROW()=2,0.1,IF(INDEX(TimeEntry[WkEnd],ROW()-1)  =  INDEX(TimeEntry[WkEnd],ROW()-2),    INDEX(TimeEntry[format],ROW()-2),    INDEX(TimeEntry[format],ROW()-2)    +1)),2)</f>
        <v>0.10000000000000009</v>
      </c>
      <c r="B499" s="7"/>
      <c r="C499" s="8">
        <v>43706</v>
      </c>
      <c r="D499" s="8"/>
      <c r="E499" s="1" t="s">
        <v>445</v>
      </c>
      <c r="F499" s="8">
        <f>IF(TimeEntry[[#This Row],[Date]]=0,F498,C499+(7-Q499))</f>
        <v>43709</v>
      </c>
      <c r="G499" s="35" t="str">
        <f>INDEX(projects[Charge_Code],MATCH(TimeEntry[[#This Row],[Project_ID]],projects[Project_ID],0))</f>
        <v>LEAVE</v>
      </c>
      <c r="H499" s="1" t="str">
        <f t="shared" si="11"/>
        <v>Normal Time</v>
      </c>
      <c r="I499" s="1"/>
      <c r="J499" s="15">
        <v>7.5</v>
      </c>
      <c r="K499" s="15"/>
      <c r="L499" s="15"/>
      <c r="M499" s="15"/>
      <c r="N499" s="15"/>
      <c r="O499" s="15" t="str">
        <f>INDEX(projects[job number],MATCH(TimeEntry[[#This Row],[Project_ID]], projects[Project_ID],0))</f>
        <v>LEAVE</v>
      </c>
      <c r="P499" s="15">
        <f>INDEX(projects[Project_Name],MATCH(TimeEntry[[#This Row],[Project_ID]], projects[Project_ID],0))</f>
        <v>0</v>
      </c>
      <c r="Q499" s="6">
        <f>IF(TimeEntry[[#This Row],[Date]]=0,"",WEEKDAY(C499,2))</f>
        <v>4</v>
      </c>
      <c r="R499" s="9">
        <f>YEAR(TimeEntry[[#This Row],[WkEnd]])</f>
        <v>2019</v>
      </c>
      <c r="S499" s="9">
        <f>WEEKNUM(TimeEntry[[#This Row],[WkEnd]])</f>
        <v>36</v>
      </c>
      <c r="T499" s="9" t="str">
        <f>TimeEntry[[#This Row],[Year]]&amp;"-"&amp;TimeEntry[[#This Row],[WkNo]]</f>
        <v>2019-36</v>
      </c>
    </row>
    <row r="500" spans="1:20" x14ac:dyDescent="0.25">
      <c r="A500" s="6">
        <f>MOD(IF(ROW()=2,0.1,IF(INDEX(TimeEntry[WkEnd],ROW()-1)  =  INDEX(TimeEntry[WkEnd],ROW()-2),    INDEX(TimeEntry[format],ROW()-2),    INDEX(TimeEntry[format],ROW()-2)    +1)),2)</f>
        <v>0.10000000000000009</v>
      </c>
      <c r="B500" s="7"/>
      <c r="C500" s="8">
        <v>43705</v>
      </c>
      <c r="D500" s="8"/>
      <c r="E500" s="1" t="s">
        <v>445</v>
      </c>
      <c r="F500" s="8">
        <f>IF(TimeEntry[[#This Row],[Date]]=0,F499,C500+(7-Q500))</f>
        <v>43709</v>
      </c>
      <c r="G500" s="35" t="str">
        <f>INDEX(projects[Charge_Code],MATCH(TimeEntry[[#This Row],[Project_ID]],projects[Project_ID],0))</f>
        <v>LEAVE</v>
      </c>
      <c r="H500" s="1" t="str">
        <f t="shared" si="11"/>
        <v>Normal Time</v>
      </c>
      <c r="I500" s="1"/>
      <c r="J500" s="15">
        <v>7.5</v>
      </c>
      <c r="K500" s="15"/>
      <c r="L500" s="15"/>
      <c r="M500" s="15"/>
      <c r="N500" s="15"/>
      <c r="O500" s="15" t="str">
        <f>INDEX(projects[job number],MATCH(TimeEntry[[#This Row],[Project_ID]], projects[Project_ID],0))</f>
        <v>LEAVE</v>
      </c>
      <c r="P500" s="15">
        <f>INDEX(projects[Project_Name],MATCH(TimeEntry[[#This Row],[Project_ID]], projects[Project_ID],0))</f>
        <v>0</v>
      </c>
      <c r="Q500" s="6">
        <f>IF(TimeEntry[[#This Row],[Date]]=0,"",WEEKDAY(C500,2))</f>
        <v>3</v>
      </c>
      <c r="R500" s="9">
        <f>YEAR(TimeEntry[[#This Row],[WkEnd]])</f>
        <v>2019</v>
      </c>
      <c r="S500" s="9">
        <f>WEEKNUM(TimeEntry[[#This Row],[WkEnd]])</f>
        <v>36</v>
      </c>
      <c r="T500" s="9" t="str">
        <f>TimeEntry[[#This Row],[Year]]&amp;"-"&amp;TimeEntry[[#This Row],[WkNo]]</f>
        <v>2019-36</v>
      </c>
    </row>
    <row r="501" spans="1:20" x14ac:dyDescent="0.25">
      <c r="A501" s="6">
        <f>MOD(IF(ROW()=2,0.1,IF(INDEX(TimeEntry[WkEnd],ROW()-1)  =  INDEX(TimeEntry[WkEnd],ROW()-2),    INDEX(TimeEntry[format],ROW()-2),    INDEX(TimeEntry[format],ROW()-2)    +1)),2)</f>
        <v>0.10000000000000009</v>
      </c>
      <c r="B501" s="7"/>
      <c r="C501" s="8">
        <v>43704</v>
      </c>
      <c r="D501" s="8"/>
      <c r="E501" s="1" t="s">
        <v>445</v>
      </c>
      <c r="F501" s="8">
        <f>IF(TimeEntry[[#This Row],[Date]]=0,F500,C501+(7-Q501))</f>
        <v>43709</v>
      </c>
      <c r="G501" s="35" t="str">
        <f>INDEX(projects[Charge_Code],MATCH(TimeEntry[[#This Row],[Project_ID]],projects[Project_ID],0))</f>
        <v>LEAVE</v>
      </c>
      <c r="H501" s="1" t="str">
        <f t="shared" si="11"/>
        <v>Normal Time</v>
      </c>
      <c r="I501" s="1"/>
      <c r="J501" s="15">
        <v>7.5</v>
      </c>
      <c r="K501" s="15"/>
      <c r="L501" s="15"/>
      <c r="M501" s="15"/>
      <c r="N501" s="15"/>
      <c r="O501" s="15" t="str">
        <f>INDEX(projects[job number],MATCH(TimeEntry[[#This Row],[Project_ID]], projects[Project_ID],0))</f>
        <v>LEAVE</v>
      </c>
      <c r="P501" s="15">
        <f>INDEX(projects[Project_Name],MATCH(TimeEntry[[#This Row],[Project_ID]], projects[Project_ID],0))</f>
        <v>0</v>
      </c>
      <c r="Q501" s="6">
        <f>IF(TimeEntry[[#This Row],[Date]]=0,"",WEEKDAY(C501,2))</f>
        <v>2</v>
      </c>
      <c r="R501" s="9">
        <f>YEAR(TimeEntry[[#This Row],[WkEnd]])</f>
        <v>2019</v>
      </c>
      <c r="S501" s="9">
        <f>WEEKNUM(TimeEntry[[#This Row],[WkEnd]])</f>
        <v>36</v>
      </c>
      <c r="T501" s="9" t="str">
        <f>TimeEntry[[#This Row],[Year]]&amp;"-"&amp;TimeEntry[[#This Row],[WkNo]]</f>
        <v>2019-36</v>
      </c>
    </row>
    <row r="502" spans="1:20" x14ac:dyDescent="0.25">
      <c r="A502" s="6">
        <f>MOD(IF(ROW()=2,0.1,IF(INDEX(TimeEntry[WkEnd],ROW()-1)  =  INDEX(TimeEntry[WkEnd],ROW()-2),    INDEX(TimeEntry[format],ROW()-2),    INDEX(TimeEntry[format],ROW()-2)    +1)),2)</f>
        <v>0.10000000000000009</v>
      </c>
      <c r="B502" s="7"/>
      <c r="C502" s="8">
        <v>43703</v>
      </c>
      <c r="D502" s="8"/>
      <c r="E502" s="1" t="s">
        <v>451</v>
      </c>
      <c r="F502" s="8">
        <f>IF(TimeEntry[[#This Row],[Date]]=0,F501,C502+(7-Q502))</f>
        <v>43709</v>
      </c>
      <c r="G502" s="35" t="str">
        <f>INDEX(projects[Charge_Code],MATCH(TimeEntry[[#This Row],[Project_ID]],projects[Project_ID],0))</f>
        <v>BANK HOLIDAY Bank Holiday</v>
      </c>
      <c r="H502" s="1" t="str">
        <f t="shared" si="11"/>
        <v>Normal Time</v>
      </c>
      <c r="I502" s="1"/>
      <c r="J502" s="15">
        <v>7.5</v>
      </c>
      <c r="K502" s="15"/>
      <c r="L502" s="15"/>
      <c r="M502" s="15"/>
      <c r="N502" s="15"/>
      <c r="O502" s="15" t="str">
        <f>INDEX(projects[job number],MATCH(TimeEntry[[#This Row],[Project_ID]], projects[Project_ID],0))</f>
        <v>BANK HOLIDAY</v>
      </c>
      <c r="P502" s="15" t="str">
        <f>INDEX(projects[Project_Name],MATCH(TimeEntry[[#This Row],[Project_ID]], projects[Project_ID],0))</f>
        <v>Bank Holiday</v>
      </c>
      <c r="Q502" s="6">
        <f>IF(TimeEntry[[#This Row],[Date]]=0,"",WEEKDAY(C502,2))</f>
        <v>1</v>
      </c>
      <c r="R502" s="9">
        <f>YEAR(TimeEntry[[#This Row],[WkEnd]])</f>
        <v>2019</v>
      </c>
      <c r="S502" s="9">
        <f>WEEKNUM(TimeEntry[[#This Row],[WkEnd]])</f>
        <v>36</v>
      </c>
      <c r="T502" s="9" t="str">
        <f>TimeEntry[[#This Row],[Year]]&amp;"-"&amp;TimeEntry[[#This Row],[WkNo]]</f>
        <v>2019-36</v>
      </c>
    </row>
    <row r="503" spans="1:20" x14ac:dyDescent="0.25">
      <c r="A503" s="6">
        <f>MOD(IF(ROW()=2,0.1,IF(INDEX(TimeEntry[WkEnd],ROW()-1)  =  INDEX(TimeEntry[WkEnd],ROW()-2),    INDEX(TimeEntry[format],ROW()-2),    INDEX(TimeEntry[format],ROW()-2)    +1)),2)</f>
        <v>1.1000000000000001</v>
      </c>
      <c r="B503" s="7"/>
      <c r="C503" s="8">
        <v>43696</v>
      </c>
      <c r="D503" s="8"/>
      <c r="E503" s="1" t="s">
        <v>456</v>
      </c>
      <c r="F503" s="8">
        <f>IF(TimeEntry[[#This Row],[Date]]=0,F502,C503+(7-Q503))</f>
        <v>43702</v>
      </c>
      <c r="G503" s="35" t="str">
        <f>INDEX(projects[Charge_Code],MATCH(TimeEntry[[#This Row],[Project_ID]],projects[Project_ID],0))</f>
        <v>210035-51 VBB 3rd - new bridge</v>
      </c>
      <c r="H503" s="1" t="str">
        <f t="shared" si="11"/>
        <v>Normal Time</v>
      </c>
      <c r="I503" s="1"/>
      <c r="J503" s="15">
        <v>7.5</v>
      </c>
      <c r="K503" s="15"/>
      <c r="L503" s="15"/>
      <c r="M503" s="15"/>
      <c r="N503" s="15"/>
      <c r="O503" s="15" t="str">
        <f>INDEX(projects[job number],MATCH(TimeEntry[[#This Row],[Project_ID]], projects[Project_ID],0))</f>
        <v>210035-51</v>
      </c>
      <c r="P503" s="15" t="str">
        <f>INDEX(projects[Project_Name],MATCH(TimeEntry[[#This Row],[Project_ID]], projects[Project_ID],0))</f>
        <v>VBB 3rd - new bridge</v>
      </c>
      <c r="Q503" s="6">
        <f>IF(TimeEntry[[#This Row],[Date]]=0,"",WEEKDAY(C503,2))</f>
        <v>1</v>
      </c>
      <c r="R503" s="9">
        <f>YEAR(TimeEntry[[#This Row],[WkEnd]])</f>
        <v>2019</v>
      </c>
      <c r="S503" s="9">
        <f>WEEKNUM(TimeEntry[[#This Row],[WkEnd]])</f>
        <v>35</v>
      </c>
      <c r="T503" s="9" t="str">
        <f>TimeEntry[[#This Row],[Year]]&amp;"-"&amp;TimeEntry[[#This Row],[WkNo]]</f>
        <v>2019-35</v>
      </c>
    </row>
    <row r="504" spans="1:20" x14ac:dyDescent="0.25">
      <c r="A504" s="6">
        <f>MOD(IF(ROW()=2,0.1,IF(INDEX(TimeEntry[WkEnd],ROW()-1)  =  INDEX(TimeEntry[WkEnd],ROW()-2),    INDEX(TimeEntry[format],ROW()-2),    INDEX(TimeEntry[format],ROW()-2)    +1)),2)</f>
        <v>1.1000000000000001</v>
      </c>
      <c r="B504" s="7"/>
      <c r="C504" s="8">
        <v>43697</v>
      </c>
      <c r="D504" s="8"/>
      <c r="E504" s="1" t="s">
        <v>460</v>
      </c>
      <c r="F504" s="8">
        <f>IF(TimeEntry[[#This Row],[Date]]=0,F503,C504+(7-Q504))</f>
        <v>43702</v>
      </c>
      <c r="G504" s="35" t="str">
        <f>INDEX(projects[Charge_Code],MATCH(TimeEntry[[#This Row],[Project_ID]],projects[Project_ID],0))</f>
        <v>265720-20 VBB - Assessment</v>
      </c>
      <c r="H504" s="1" t="str">
        <f t="shared" si="11"/>
        <v>Normal Time</v>
      </c>
      <c r="I504" s="1"/>
      <c r="J504" s="15">
        <v>7.5</v>
      </c>
      <c r="K504" s="15"/>
      <c r="L504" s="15"/>
      <c r="M504" s="15"/>
      <c r="N504" s="15"/>
      <c r="O504" s="15" t="str">
        <f>INDEX(projects[job number],MATCH(TimeEntry[[#This Row],[Project_ID]], projects[Project_ID],0))</f>
        <v>265720-20</v>
      </c>
      <c r="P504" s="15" t="str">
        <f>INDEX(projects[Project_Name],MATCH(TimeEntry[[#This Row],[Project_ID]], projects[Project_ID],0))</f>
        <v>VBB - Assessment</v>
      </c>
      <c r="Q504" s="6">
        <f>IF(TimeEntry[[#This Row],[Date]]=0,"",WEEKDAY(C504,2))</f>
        <v>2</v>
      </c>
      <c r="R504" s="9">
        <f>YEAR(TimeEntry[[#This Row],[WkEnd]])</f>
        <v>2019</v>
      </c>
      <c r="S504" s="9">
        <f>WEEKNUM(TimeEntry[[#This Row],[WkEnd]])</f>
        <v>35</v>
      </c>
      <c r="T504" s="9" t="str">
        <f>TimeEntry[[#This Row],[Year]]&amp;"-"&amp;TimeEntry[[#This Row],[WkNo]]</f>
        <v>2019-35</v>
      </c>
    </row>
    <row r="505" spans="1:20" x14ac:dyDescent="0.25">
      <c r="A505" s="6">
        <f>MOD(IF(ROW()=2,0.1,IF(INDEX(TimeEntry[WkEnd],ROW()-1)  =  INDEX(TimeEntry[WkEnd],ROW()-2),    INDEX(TimeEntry[format],ROW()-2),    INDEX(TimeEntry[format],ROW()-2)    +1)),2)</f>
        <v>1.1000000000000001</v>
      </c>
      <c r="B505" s="7"/>
      <c r="C505" s="8">
        <v>43698</v>
      </c>
      <c r="D505" s="8"/>
      <c r="E505" s="1" t="s">
        <v>460</v>
      </c>
      <c r="F505" s="8">
        <f>IF(TimeEntry[[#This Row],[Date]]=0,F504,C505+(7-Q505))</f>
        <v>43702</v>
      </c>
      <c r="G505" s="35" t="str">
        <f>INDEX(projects[Charge_Code],MATCH(TimeEntry[[#This Row],[Project_ID]],projects[Project_ID],0))</f>
        <v>265720-20 VBB - Assessment</v>
      </c>
      <c r="H505" s="1" t="str">
        <f t="shared" si="11"/>
        <v>Normal Time</v>
      </c>
      <c r="I505" s="1"/>
      <c r="J505" s="15">
        <v>2</v>
      </c>
      <c r="K505" s="15"/>
      <c r="L505" s="15"/>
      <c r="M505" s="15"/>
      <c r="N505" s="15"/>
      <c r="O505" s="15" t="str">
        <f>INDEX(projects[job number],MATCH(TimeEntry[[#This Row],[Project_ID]], projects[Project_ID],0))</f>
        <v>265720-20</v>
      </c>
      <c r="P505" s="15" t="str">
        <f>INDEX(projects[Project_Name],MATCH(TimeEntry[[#This Row],[Project_ID]], projects[Project_ID],0))</f>
        <v>VBB - Assessment</v>
      </c>
      <c r="Q505" s="6">
        <f>IF(TimeEntry[[#This Row],[Date]]=0,"",WEEKDAY(C505,2))</f>
        <v>3</v>
      </c>
      <c r="R505" s="9">
        <f>YEAR(TimeEntry[[#This Row],[WkEnd]])</f>
        <v>2019</v>
      </c>
      <c r="S505" s="9">
        <f>WEEKNUM(TimeEntry[[#This Row],[WkEnd]])</f>
        <v>35</v>
      </c>
      <c r="T505" s="9" t="str">
        <f>TimeEntry[[#This Row],[Year]]&amp;"-"&amp;TimeEntry[[#This Row],[WkNo]]</f>
        <v>2019-35</v>
      </c>
    </row>
    <row r="506" spans="1:20" x14ac:dyDescent="0.25">
      <c r="A506" s="6">
        <f>MOD(IF(ROW()=2,0.1,IF(INDEX(TimeEntry[WkEnd],ROW()-1)  =  INDEX(TimeEntry[WkEnd],ROW()-2),    INDEX(TimeEntry[format],ROW()-2),    INDEX(TimeEntry[format],ROW()-2)    +1)),2)</f>
        <v>1.1000000000000001</v>
      </c>
      <c r="B506" s="7"/>
      <c r="C506" s="8">
        <v>43698</v>
      </c>
      <c r="D506" s="8"/>
      <c r="E506" s="1" t="s">
        <v>456</v>
      </c>
      <c r="F506" s="8">
        <f>IF(TimeEntry[[#This Row],[Date]]=0,F505,C506+(7-Q506))</f>
        <v>43702</v>
      </c>
      <c r="G506" s="35" t="str">
        <f>INDEX(projects[Charge_Code],MATCH(TimeEntry[[#This Row],[Project_ID]],projects[Project_ID],0))</f>
        <v>210035-51 VBB 3rd - new bridge</v>
      </c>
      <c r="H506" s="1" t="str">
        <f t="shared" si="11"/>
        <v>Normal Time</v>
      </c>
      <c r="I506" s="1"/>
      <c r="J506" s="15">
        <v>5.5</v>
      </c>
      <c r="K506" s="15"/>
      <c r="L506" s="15"/>
      <c r="M506" s="15"/>
      <c r="N506" s="15"/>
      <c r="O506" s="15" t="str">
        <f>INDEX(projects[job number],MATCH(TimeEntry[[#This Row],[Project_ID]], projects[Project_ID],0))</f>
        <v>210035-51</v>
      </c>
      <c r="P506" s="15" t="str">
        <f>INDEX(projects[Project_Name],MATCH(TimeEntry[[#This Row],[Project_ID]], projects[Project_ID],0))</f>
        <v>VBB 3rd - new bridge</v>
      </c>
      <c r="Q506" s="6">
        <f>IF(TimeEntry[[#This Row],[Date]]=0,"",WEEKDAY(C506,2))</f>
        <v>3</v>
      </c>
      <c r="R506" s="9">
        <f>YEAR(TimeEntry[[#This Row],[WkEnd]])</f>
        <v>2019</v>
      </c>
      <c r="S506" s="9">
        <f>WEEKNUM(TimeEntry[[#This Row],[WkEnd]])</f>
        <v>35</v>
      </c>
      <c r="T506" s="9" t="str">
        <f>TimeEntry[[#This Row],[Year]]&amp;"-"&amp;TimeEntry[[#This Row],[WkNo]]</f>
        <v>2019-35</v>
      </c>
    </row>
    <row r="507" spans="1:20" x14ac:dyDescent="0.25">
      <c r="A507" s="6">
        <f>MOD(IF(ROW()=2,0.1,IF(INDEX(TimeEntry[WkEnd],ROW()-1)  =  INDEX(TimeEntry[WkEnd],ROW()-2),    INDEX(TimeEntry[format],ROW()-2),    INDEX(TimeEntry[format],ROW()-2)    +1)),2)</f>
        <v>1.1000000000000001</v>
      </c>
      <c r="B507" s="7"/>
      <c r="C507" s="8">
        <v>43699</v>
      </c>
      <c r="D507" s="8"/>
      <c r="E507" s="1" t="s">
        <v>456</v>
      </c>
      <c r="F507" s="8">
        <f>IF(TimeEntry[[#This Row],[Date]]=0,F506,C507+(7-Q507))</f>
        <v>43702</v>
      </c>
      <c r="G507" s="35" t="str">
        <f>INDEX(projects[Charge_Code],MATCH(TimeEntry[[#This Row],[Project_ID]],projects[Project_ID],0))</f>
        <v>210035-51 VBB 3rd - new bridge</v>
      </c>
      <c r="H507" s="1" t="str">
        <f t="shared" si="11"/>
        <v>Normal Time</v>
      </c>
      <c r="I507" s="1"/>
      <c r="J507" s="15">
        <v>5.5</v>
      </c>
      <c r="K507" s="15"/>
      <c r="L507" s="15"/>
      <c r="M507" s="15"/>
      <c r="N507" s="15"/>
      <c r="O507" s="15" t="str">
        <f>INDEX(projects[job number],MATCH(TimeEntry[[#This Row],[Project_ID]], projects[Project_ID],0))</f>
        <v>210035-51</v>
      </c>
      <c r="P507" s="15" t="str">
        <f>INDEX(projects[Project_Name],MATCH(TimeEntry[[#This Row],[Project_ID]], projects[Project_ID],0))</f>
        <v>VBB 3rd - new bridge</v>
      </c>
      <c r="Q507" s="6">
        <f>IF(TimeEntry[[#This Row],[Date]]=0,"",WEEKDAY(C507,2))</f>
        <v>4</v>
      </c>
      <c r="R507" s="9">
        <f>YEAR(TimeEntry[[#This Row],[WkEnd]])</f>
        <v>2019</v>
      </c>
      <c r="S507" s="9">
        <f>WEEKNUM(TimeEntry[[#This Row],[WkEnd]])</f>
        <v>35</v>
      </c>
      <c r="T507" s="9" t="str">
        <f>TimeEntry[[#This Row],[Year]]&amp;"-"&amp;TimeEntry[[#This Row],[WkNo]]</f>
        <v>2019-35</v>
      </c>
    </row>
    <row r="508" spans="1:20" x14ac:dyDescent="0.25">
      <c r="A508" s="6">
        <f>MOD(IF(ROW()=2,0.1,IF(INDEX(TimeEntry[WkEnd],ROW()-1)  =  INDEX(TimeEntry[WkEnd],ROW()-2),    INDEX(TimeEntry[format],ROW()-2),    INDEX(TimeEntry[format],ROW()-2)    +1)),2)</f>
        <v>1.1000000000000001</v>
      </c>
      <c r="B508" s="7"/>
      <c r="C508" s="8">
        <v>43699</v>
      </c>
      <c r="D508" s="8"/>
      <c r="E508" s="1" t="s">
        <v>460</v>
      </c>
      <c r="F508" s="8">
        <f>IF(TimeEntry[[#This Row],[Date]]=0,F507,C508+(7-Q508))</f>
        <v>43702</v>
      </c>
      <c r="G508" s="35" t="str">
        <f>INDEX(projects[Charge_Code],MATCH(TimeEntry[[#This Row],[Project_ID]],projects[Project_ID],0))</f>
        <v>265720-20 VBB - Assessment</v>
      </c>
      <c r="H508" s="1" t="str">
        <f t="shared" si="11"/>
        <v>Normal Time</v>
      </c>
      <c r="I508" s="1"/>
      <c r="J508" s="15">
        <v>2</v>
      </c>
      <c r="K508" s="15"/>
      <c r="L508" s="15"/>
      <c r="M508" s="15"/>
      <c r="N508" s="15"/>
      <c r="O508" s="15" t="str">
        <f>INDEX(projects[job number],MATCH(TimeEntry[[#This Row],[Project_ID]], projects[Project_ID],0))</f>
        <v>265720-20</v>
      </c>
      <c r="P508" s="15" t="str">
        <f>INDEX(projects[Project_Name],MATCH(TimeEntry[[#This Row],[Project_ID]], projects[Project_ID],0))</f>
        <v>VBB - Assessment</v>
      </c>
      <c r="Q508" s="6">
        <f>IF(TimeEntry[[#This Row],[Date]]=0,"",WEEKDAY(C508,2))</f>
        <v>4</v>
      </c>
      <c r="R508" s="9">
        <f>YEAR(TimeEntry[[#This Row],[WkEnd]])</f>
        <v>2019</v>
      </c>
      <c r="S508" s="9">
        <f>WEEKNUM(TimeEntry[[#This Row],[WkEnd]])</f>
        <v>35</v>
      </c>
      <c r="T508" s="9" t="str">
        <f>TimeEntry[[#This Row],[Year]]&amp;"-"&amp;TimeEntry[[#This Row],[WkNo]]</f>
        <v>2019-35</v>
      </c>
    </row>
    <row r="509" spans="1:20" x14ac:dyDescent="0.25">
      <c r="A509" s="6">
        <f>MOD(IF(ROW()=2,0.1,IF(INDEX(TimeEntry[WkEnd],ROW()-1)  =  INDEX(TimeEntry[WkEnd],ROW()-2),    INDEX(TimeEntry[format],ROW()-2),    INDEX(TimeEntry[format],ROW()-2)    +1)),2)</f>
        <v>1.1000000000000001</v>
      </c>
      <c r="B509" s="7"/>
      <c r="C509" s="8">
        <v>43700</v>
      </c>
      <c r="D509" s="8"/>
      <c r="E509" s="1" t="s">
        <v>460</v>
      </c>
      <c r="F509" s="8">
        <f>IF(TimeEntry[[#This Row],[Date]]=0,F508,C509+(7-Q509))</f>
        <v>43702</v>
      </c>
      <c r="G509" s="35" t="str">
        <f>INDEX(projects[Charge_Code],MATCH(TimeEntry[[#This Row],[Project_ID]],projects[Project_ID],0))</f>
        <v>265720-20 VBB - Assessment</v>
      </c>
      <c r="H509" s="1" t="str">
        <f t="shared" si="11"/>
        <v>Normal Time</v>
      </c>
      <c r="I509" s="1"/>
      <c r="J509" s="15">
        <v>7.5</v>
      </c>
      <c r="K509" s="15"/>
      <c r="L509" s="15"/>
      <c r="M509" s="15"/>
      <c r="N509" s="15"/>
      <c r="O509" s="15" t="str">
        <f>INDEX(projects[job number],MATCH(TimeEntry[[#This Row],[Project_ID]], projects[Project_ID],0))</f>
        <v>265720-20</v>
      </c>
      <c r="P509" s="15" t="str">
        <f>INDEX(projects[Project_Name],MATCH(TimeEntry[[#This Row],[Project_ID]], projects[Project_ID],0))</f>
        <v>VBB - Assessment</v>
      </c>
      <c r="Q509" s="6">
        <f>IF(TimeEntry[[#This Row],[Date]]=0,"",WEEKDAY(C509,2))</f>
        <v>5</v>
      </c>
      <c r="R509" s="9">
        <f>YEAR(TimeEntry[[#This Row],[WkEnd]])</f>
        <v>2019</v>
      </c>
      <c r="S509" s="9">
        <f>WEEKNUM(TimeEntry[[#This Row],[WkEnd]])</f>
        <v>35</v>
      </c>
      <c r="T509" s="9" t="str">
        <f>TimeEntry[[#This Row],[Year]]&amp;"-"&amp;TimeEntry[[#This Row],[WkNo]]</f>
        <v>2019-35</v>
      </c>
    </row>
    <row r="510" spans="1:20" x14ac:dyDescent="0.25">
      <c r="A510" s="6">
        <f>MOD(IF(ROW()=2,0.1,IF(INDEX(TimeEntry[WkEnd],ROW()-1)  =  INDEX(TimeEntry[WkEnd],ROW()-2),    INDEX(TimeEntry[format],ROW()-2),    INDEX(TimeEntry[format],ROW()-2)    +1)),2)</f>
        <v>0.10000000000000009</v>
      </c>
      <c r="B510" s="7"/>
      <c r="C510" s="8">
        <v>43689</v>
      </c>
      <c r="D510" s="8"/>
      <c r="E510" s="1" t="s">
        <v>456</v>
      </c>
      <c r="F510" s="8">
        <f>IF(TimeEntry[[#This Row],[Date]]=0,F509,C510+(7-Q510))</f>
        <v>43695</v>
      </c>
      <c r="G510" s="35" t="str">
        <f>INDEX(projects[Charge_Code],MATCH(TimeEntry[[#This Row],[Project_ID]],projects[Project_ID],0))</f>
        <v>210035-51 VBB 3rd - new bridge</v>
      </c>
      <c r="H510" s="1" t="str">
        <f t="shared" si="11"/>
        <v>Normal Time</v>
      </c>
      <c r="I510" s="1"/>
      <c r="J510" s="15">
        <v>7.5</v>
      </c>
      <c r="K510" s="15"/>
      <c r="L510" s="15"/>
      <c r="M510" s="15"/>
      <c r="N510" s="15"/>
      <c r="O510" s="15" t="str">
        <f>INDEX(projects[job number],MATCH(TimeEntry[[#This Row],[Project_ID]], projects[Project_ID],0))</f>
        <v>210035-51</v>
      </c>
      <c r="P510" s="15" t="str">
        <f>INDEX(projects[Project_Name],MATCH(TimeEntry[[#This Row],[Project_ID]], projects[Project_ID],0))</f>
        <v>VBB 3rd - new bridge</v>
      </c>
      <c r="Q510" s="6">
        <f>IF(TimeEntry[[#This Row],[Date]]=0,"",WEEKDAY(C510,2))</f>
        <v>1</v>
      </c>
      <c r="R510" s="9">
        <f>YEAR(TimeEntry[[#This Row],[WkEnd]])</f>
        <v>2019</v>
      </c>
      <c r="S510" s="9">
        <f>WEEKNUM(TimeEntry[[#This Row],[WkEnd]])</f>
        <v>34</v>
      </c>
      <c r="T510" s="9" t="str">
        <f>TimeEntry[[#This Row],[Year]]&amp;"-"&amp;TimeEntry[[#This Row],[WkNo]]</f>
        <v>2019-34</v>
      </c>
    </row>
    <row r="511" spans="1:20" x14ac:dyDescent="0.25">
      <c r="A511" s="6">
        <f>MOD(IF(ROW()=2,0.1,IF(INDEX(TimeEntry[WkEnd],ROW()-1)  =  INDEX(TimeEntry[WkEnd],ROW()-2),    INDEX(TimeEntry[format],ROW()-2),    INDEX(TimeEntry[format],ROW()-2)    +1)),2)</f>
        <v>0.10000000000000009</v>
      </c>
      <c r="B511" s="7"/>
      <c r="C511" s="8">
        <v>43690</v>
      </c>
      <c r="D511" s="8"/>
      <c r="E511" s="1" t="s">
        <v>456</v>
      </c>
      <c r="F511" s="8">
        <f>IF(TimeEntry[[#This Row],[Date]]=0,F510,C511+(7-Q511))</f>
        <v>43695</v>
      </c>
      <c r="G511" s="35" t="str">
        <f>INDEX(projects[Charge_Code],MATCH(TimeEntry[[#This Row],[Project_ID]],projects[Project_ID],0))</f>
        <v>210035-51 VBB 3rd - new bridge</v>
      </c>
      <c r="H511" s="1" t="str">
        <f t="shared" si="11"/>
        <v>Normal Time</v>
      </c>
      <c r="I511" s="1"/>
      <c r="J511" s="15">
        <v>3.75</v>
      </c>
      <c r="K511" s="15"/>
      <c r="L511" s="15"/>
      <c r="M511" s="15"/>
      <c r="N511" s="15"/>
      <c r="O511" s="15" t="str">
        <f>INDEX(projects[job number],MATCH(TimeEntry[[#This Row],[Project_ID]], projects[Project_ID],0))</f>
        <v>210035-51</v>
      </c>
      <c r="P511" s="15" t="str">
        <f>INDEX(projects[Project_Name],MATCH(TimeEntry[[#This Row],[Project_ID]], projects[Project_ID],0))</f>
        <v>VBB 3rd - new bridge</v>
      </c>
      <c r="Q511" s="6">
        <f>IF(TimeEntry[[#This Row],[Date]]=0,"",WEEKDAY(C511,2))</f>
        <v>2</v>
      </c>
      <c r="R511" s="9">
        <f>YEAR(TimeEntry[[#This Row],[WkEnd]])</f>
        <v>2019</v>
      </c>
      <c r="S511" s="9">
        <f>WEEKNUM(TimeEntry[[#This Row],[WkEnd]])</f>
        <v>34</v>
      </c>
      <c r="T511" s="9" t="str">
        <f>TimeEntry[[#This Row],[Year]]&amp;"-"&amp;TimeEntry[[#This Row],[WkNo]]</f>
        <v>2019-34</v>
      </c>
    </row>
    <row r="512" spans="1:20" x14ac:dyDescent="0.25">
      <c r="A512" s="6">
        <f>MOD(IF(ROW()=2,0.1,IF(INDEX(TimeEntry[WkEnd],ROW()-1)  =  INDEX(TimeEntry[WkEnd],ROW()-2),    INDEX(TimeEntry[format],ROW()-2),    INDEX(TimeEntry[format],ROW()-2)    +1)),2)</f>
        <v>0.10000000000000009</v>
      </c>
      <c r="B512" s="7"/>
      <c r="C512" s="8">
        <v>43690</v>
      </c>
      <c r="D512" s="8"/>
      <c r="E512" s="1" t="s">
        <v>445</v>
      </c>
      <c r="F512" s="8">
        <f>IF(TimeEntry[[#This Row],[Date]]=0,F511,C512+(7-Q512))</f>
        <v>43695</v>
      </c>
      <c r="G512" s="35" t="str">
        <f>INDEX(projects[Charge_Code],MATCH(TimeEntry[[#This Row],[Project_ID]],projects[Project_ID],0))</f>
        <v>LEAVE</v>
      </c>
      <c r="H512" s="1" t="str">
        <f t="shared" si="11"/>
        <v>Normal Time</v>
      </c>
      <c r="I512" s="1"/>
      <c r="J512" s="15">
        <v>3.75</v>
      </c>
      <c r="K512" s="15"/>
      <c r="L512" s="15"/>
      <c r="M512" s="15"/>
      <c r="N512" s="15"/>
      <c r="O512" s="15" t="str">
        <f>INDEX(projects[job number],MATCH(TimeEntry[[#This Row],[Project_ID]], projects[Project_ID],0))</f>
        <v>LEAVE</v>
      </c>
      <c r="P512" s="15">
        <f>INDEX(projects[Project_Name],MATCH(TimeEntry[[#This Row],[Project_ID]], projects[Project_ID],0))</f>
        <v>0</v>
      </c>
      <c r="Q512" s="6">
        <f>IF(TimeEntry[[#This Row],[Date]]=0,"",WEEKDAY(C512,2))</f>
        <v>2</v>
      </c>
      <c r="R512" s="9">
        <f>YEAR(TimeEntry[[#This Row],[WkEnd]])</f>
        <v>2019</v>
      </c>
      <c r="S512" s="9">
        <f>WEEKNUM(TimeEntry[[#This Row],[WkEnd]])</f>
        <v>34</v>
      </c>
      <c r="T512" s="9" t="str">
        <f>TimeEntry[[#This Row],[Year]]&amp;"-"&amp;TimeEntry[[#This Row],[WkNo]]</f>
        <v>2019-34</v>
      </c>
    </row>
    <row r="513" spans="1:20" x14ac:dyDescent="0.25">
      <c r="A513" s="6">
        <f>MOD(IF(ROW()=2,0.1,IF(INDEX(TimeEntry[WkEnd],ROW()-1)  =  INDEX(TimeEntry[WkEnd],ROW()-2),    INDEX(TimeEntry[format],ROW()-2),    INDEX(TimeEntry[format],ROW()-2)    +1)),2)</f>
        <v>0.10000000000000009</v>
      </c>
      <c r="B513" s="7"/>
      <c r="C513" s="8">
        <v>43691</v>
      </c>
      <c r="D513" s="8"/>
      <c r="E513" s="1" t="s">
        <v>456</v>
      </c>
      <c r="F513" s="8">
        <f>IF(TimeEntry[[#This Row],[Date]]=0,F512,C513+(7-Q513))</f>
        <v>43695</v>
      </c>
      <c r="G513" s="35" t="str">
        <f>INDEX(projects[Charge_Code],MATCH(TimeEntry[[#This Row],[Project_ID]],projects[Project_ID],0))</f>
        <v>210035-51 VBB 3rd - new bridge</v>
      </c>
      <c r="H513" s="1" t="str">
        <f t="shared" si="11"/>
        <v>Normal Time</v>
      </c>
      <c r="I513" s="1"/>
      <c r="J513" s="15">
        <v>5.5</v>
      </c>
      <c r="K513" s="15"/>
      <c r="L513" s="15"/>
      <c r="M513" s="15"/>
      <c r="N513" s="15"/>
      <c r="O513" s="15" t="str">
        <f>INDEX(projects[job number],MATCH(TimeEntry[[#This Row],[Project_ID]], projects[Project_ID],0))</f>
        <v>210035-51</v>
      </c>
      <c r="P513" s="15" t="str">
        <f>INDEX(projects[Project_Name],MATCH(TimeEntry[[#This Row],[Project_ID]], projects[Project_ID],0))</f>
        <v>VBB 3rd - new bridge</v>
      </c>
      <c r="Q513" s="6">
        <f>IF(TimeEntry[[#This Row],[Date]]=0,"",WEEKDAY(C513,2))</f>
        <v>3</v>
      </c>
      <c r="R513" s="9">
        <f>YEAR(TimeEntry[[#This Row],[WkEnd]])</f>
        <v>2019</v>
      </c>
      <c r="S513" s="9">
        <f>WEEKNUM(TimeEntry[[#This Row],[WkEnd]])</f>
        <v>34</v>
      </c>
      <c r="T513" s="9" t="str">
        <f>TimeEntry[[#This Row],[Year]]&amp;"-"&amp;TimeEntry[[#This Row],[WkNo]]</f>
        <v>2019-34</v>
      </c>
    </row>
    <row r="514" spans="1:20" x14ac:dyDescent="0.25">
      <c r="A514" s="6">
        <f>MOD(IF(ROW()=2,0.1,IF(INDEX(TimeEntry[WkEnd],ROW()-1)  =  INDEX(TimeEntry[WkEnd],ROW()-2),    INDEX(TimeEntry[format],ROW()-2),    INDEX(TimeEntry[format],ROW()-2)    +1)),2)</f>
        <v>0.10000000000000009</v>
      </c>
      <c r="B514" s="7"/>
      <c r="C514" s="8">
        <v>43691</v>
      </c>
      <c r="D514" s="8"/>
      <c r="E514" s="1" t="s">
        <v>456</v>
      </c>
      <c r="F514" s="8">
        <f>IF(TimeEntry[[#This Row],[Date]]=0,F513,C514+(7-Q514))</f>
        <v>43695</v>
      </c>
      <c r="G514" s="35" t="str">
        <f>INDEX(projects[Charge_Code],MATCH(TimeEntry[[#This Row],[Project_ID]],projects[Project_ID],0))</f>
        <v>210035-51 VBB 3rd - new bridge</v>
      </c>
      <c r="H514" s="1" t="str">
        <f t="shared" si="11"/>
        <v>Normal Time</v>
      </c>
      <c r="I514" s="1"/>
      <c r="J514" s="15">
        <v>2</v>
      </c>
      <c r="K514" s="15"/>
      <c r="L514" s="15"/>
      <c r="M514" s="15"/>
      <c r="N514" s="15"/>
      <c r="O514" s="15" t="str">
        <f>INDEX(projects[job number],MATCH(TimeEntry[[#This Row],[Project_ID]], projects[Project_ID],0))</f>
        <v>210035-51</v>
      </c>
      <c r="P514" s="15" t="str">
        <f>INDEX(projects[Project_Name],MATCH(TimeEntry[[#This Row],[Project_ID]], projects[Project_ID],0))</f>
        <v>VBB 3rd - new bridge</v>
      </c>
      <c r="Q514" s="6">
        <f>IF(TimeEntry[[#This Row],[Date]]=0,"",WEEKDAY(C514,2))</f>
        <v>3</v>
      </c>
      <c r="R514" s="9">
        <f>YEAR(TimeEntry[[#This Row],[WkEnd]])</f>
        <v>2019</v>
      </c>
      <c r="S514" s="9">
        <f>WEEKNUM(TimeEntry[[#This Row],[WkEnd]])</f>
        <v>34</v>
      </c>
      <c r="T514" s="9" t="str">
        <f>TimeEntry[[#This Row],[Year]]&amp;"-"&amp;TimeEntry[[#This Row],[WkNo]]</f>
        <v>2019-34</v>
      </c>
    </row>
    <row r="515" spans="1:20" x14ac:dyDescent="0.25">
      <c r="A515" s="6">
        <f>MOD(IF(ROW()=2,0.1,IF(INDEX(TimeEntry[WkEnd],ROW()-1)  =  INDEX(TimeEntry[WkEnd],ROW()-2),    INDEX(TimeEntry[format],ROW()-2),    INDEX(TimeEntry[format],ROW()-2)    +1)),2)</f>
        <v>0.10000000000000009</v>
      </c>
      <c r="B515" s="7"/>
      <c r="C515" s="8">
        <v>43692</v>
      </c>
      <c r="D515" s="8"/>
      <c r="E515" s="1" t="s">
        <v>460</v>
      </c>
      <c r="F515" s="8">
        <f>IF(TimeEntry[[#This Row],[Date]]=0,F514,C515+(7-Q515))</f>
        <v>43695</v>
      </c>
      <c r="G515" s="35" t="str">
        <f>INDEX(projects[Charge_Code],MATCH(TimeEntry[[#This Row],[Project_ID]],projects[Project_ID],0))</f>
        <v>265720-20 VBB - Assessment</v>
      </c>
      <c r="H515" s="1" t="str">
        <f t="shared" si="11"/>
        <v>Normal Time</v>
      </c>
      <c r="I515" s="1"/>
      <c r="J515" s="15">
        <v>7.5</v>
      </c>
      <c r="K515" s="15"/>
      <c r="L515" s="15"/>
      <c r="M515" s="15"/>
      <c r="N515" s="15"/>
      <c r="O515" s="15" t="str">
        <f>INDEX(projects[job number],MATCH(TimeEntry[[#This Row],[Project_ID]], projects[Project_ID],0))</f>
        <v>265720-20</v>
      </c>
      <c r="P515" s="15" t="str">
        <f>INDEX(projects[Project_Name],MATCH(TimeEntry[[#This Row],[Project_ID]], projects[Project_ID],0))</f>
        <v>VBB - Assessment</v>
      </c>
      <c r="Q515" s="6">
        <f>IF(TimeEntry[[#This Row],[Date]]=0,"",WEEKDAY(C515,2))</f>
        <v>4</v>
      </c>
      <c r="R515" s="9">
        <f>YEAR(TimeEntry[[#This Row],[WkEnd]])</f>
        <v>2019</v>
      </c>
      <c r="S515" s="9">
        <f>WEEKNUM(TimeEntry[[#This Row],[WkEnd]])</f>
        <v>34</v>
      </c>
      <c r="T515" s="9" t="str">
        <f>TimeEntry[[#This Row],[Year]]&amp;"-"&amp;TimeEntry[[#This Row],[WkNo]]</f>
        <v>2019-34</v>
      </c>
    </row>
    <row r="516" spans="1:20" x14ac:dyDescent="0.25">
      <c r="A516" s="6">
        <f>MOD(IF(ROW()=2,0.1,IF(INDEX(TimeEntry[WkEnd],ROW()-1)  =  INDEX(TimeEntry[WkEnd],ROW()-2),    INDEX(TimeEntry[format],ROW()-2),    INDEX(TimeEntry[format],ROW()-2)    +1)),2)</f>
        <v>0.10000000000000009</v>
      </c>
      <c r="B516" s="7"/>
      <c r="C516" s="8">
        <v>43693</v>
      </c>
      <c r="D516" s="8"/>
      <c r="E516" s="1" t="s">
        <v>460</v>
      </c>
      <c r="F516" s="8">
        <f>IF(TimeEntry[[#This Row],[Date]]=0,F515,C516+(7-Q516))</f>
        <v>43695</v>
      </c>
      <c r="G516" s="35" t="str">
        <f>INDEX(projects[Charge_Code],MATCH(TimeEntry[[#This Row],[Project_ID]],projects[Project_ID],0))</f>
        <v>265720-20 VBB - Assessment</v>
      </c>
      <c r="H516" s="1" t="str">
        <f t="shared" si="11"/>
        <v>Normal Time</v>
      </c>
      <c r="I516" s="1"/>
      <c r="J516" s="15">
        <v>3.75</v>
      </c>
      <c r="K516" s="15"/>
      <c r="L516" s="15"/>
      <c r="M516" s="15"/>
      <c r="N516" s="15"/>
      <c r="O516" s="15" t="str">
        <f>INDEX(projects[job number],MATCH(TimeEntry[[#This Row],[Project_ID]], projects[Project_ID],0))</f>
        <v>265720-20</v>
      </c>
      <c r="P516" s="15" t="str">
        <f>INDEX(projects[Project_Name],MATCH(TimeEntry[[#This Row],[Project_ID]], projects[Project_ID],0))</f>
        <v>VBB - Assessment</v>
      </c>
      <c r="Q516" s="6">
        <f>IF(TimeEntry[[#This Row],[Date]]=0,"",WEEKDAY(C516,2))</f>
        <v>5</v>
      </c>
      <c r="R516" s="9">
        <f>YEAR(TimeEntry[[#This Row],[WkEnd]])</f>
        <v>2019</v>
      </c>
      <c r="S516" s="9">
        <f>WEEKNUM(TimeEntry[[#This Row],[WkEnd]])</f>
        <v>34</v>
      </c>
      <c r="T516" s="9" t="str">
        <f>TimeEntry[[#This Row],[Year]]&amp;"-"&amp;TimeEntry[[#This Row],[WkNo]]</f>
        <v>2019-34</v>
      </c>
    </row>
    <row r="517" spans="1:20" x14ac:dyDescent="0.25">
      <c r="A517" s="6">
        <f>MOD(IF(ROW()=2,0.1,IF(INDEX(TimeEntry[WkEnd],ROW()-1)  =  INDEX(TimeEntry[WkEnd],ROW()-2),    INDEX(TimeEntry[format],ROW()-2),    INDEX(TimeEntry[format],ROW()-2)    +1)),2)</f>
        <v>0.10000000000000009</v>
      </c>
      <c r="B517" s="7"/>
      <c r="C517" s="8">
        <v>43693</v>
      </c>
      <c r="D517" s="8"/>
      <c r="E517" s="1" t="s">
        <v>445</v>
      </c>
      <c r="F517" s="8">
        <f>IF(TimeEntry[[#This Row],[Date]]=0,F516,C517+(7-Q517))</f>
        <v>43695</v>
      </c>
      <c r="G517" s="35" t="str">
        <f>INDEX(projects[Charge_Code],MATCH(TimeEntry[[#This Row],[Project_ID]],projects[Project_ID],0))</f>
        <v>LEAVE</v>
      </c>
      <c r="H517" s="1" t="str">
        <f t="shared" si="11"/>
        <v>Normal Time</v>
      </c>
      <c r="I517" s="1"/>
      <c r="J517" s="15">
        <v>3.75</v>
      </c>
      <c r="K517" s="15"/>
      <c r="L517" s="15"/>
      <c r="M517" s="15"/>
      <c r="N517" s="15"/>
      <c r="O517" s="15" t="str">
        <f>INDEX(projects[job number],MATCH(TimeEntry[[#This Row],[Project_ID]], projects[Project_ID],0))</f>
        <v>LEAVE</v>
      </c>
      <c r="P517" s="15">
        <f>INDEX(projects[Project_Name],MATCH(TimeEntry[[#This Row],[Project_ID]], projects[Project_ID],0))</f>
        <v>0</v>
      </c>
      <c r="Q517" s="6">
        <f>IF(TimeEntry[[#This Row],[Date]]=0,"",WEEKDAY(C517,2))</f>
        <v>5</v>
      </c>
      <c r="R517" s="9">
        <f>YEAR(TimeEntry[[#This Row],[WkEnd]])</f>
        <v>2019</v>
      </c>
      <c r="S517" s="9">
        <f>WEEKNUM(TimeEntry[[#This Row],[WkEnd]])</f>
        <v>34</v>
      </c>
      <c r="T517" s="9" t="str">
        <f>TimeEntry[[#This Row],[Year]]&amp;"-"&amp;TimeEntry[[#This Row],[WkNo]]</f>
        <v>2019-34</v>
      </c>
    </row>
    <row r="518" spans="1:20" x14ac:dyDescent="0.25">
      <c r="A518" s="6">
        <f>MOD(IF(ROW()=2,0.1,IF(INDEX(TimeEntry[WkEnd],ROW()-1)  =  INDEX(TimeEntry[WkEnd],ROW()-2),    INDEX(TimeEntry[format],ROW()-2),    INDEX(TimeEntry[format],ROW()-2)    +1)),2)</f>
        <v>1.1000000000000001</v>
      </c>
      <c r="B518" s="7"/>
      <c r="C518" s="8">
        <v>43682</v>
      </c>
      <c r="D518" s="8"/>
      <c r="E518" s="1" t="s">
        <v>460</v>
      </c>
      <c r="F518" s="8">
        <f>IF(TimeEntry[[#This Row],[Date]]=0,F517,C518+(7-Q518))</f>
        <v>43688</v>
      </c>
      <c r="G518" s="35" t="str">
        <f>INDEX(projects[Charge_Code],MATCH(TimeEntry[[#This Row],[Project_ID]],projects[Project_ID],0))</f>
        <v>265720-20 VBB - Assessment</v>
      </c>
      <c r="H518" s="1" t="str">
        <f t="shared" si="11"/>
        <v>Normal Time</v>
      </c>
      <c r="I518" s="1"/>
      <c r="J518" s="15"/>
      <c r="K518" s="15"/>
      <c r="L518" s="15"/>
      <c r="M518" s="15"/>
      <c r="N518" s="15"/>
      <c r="O518" s="15" t="str">
        <f>INDEX(projects[job number],MATCH(TimeEntry[[#This Row],[Project_ID]], projects[Project_ID],0))</f>
        <v>265720-20</v>
      </c>
      <c r="P518" s="15" t="str">
        <f>INDEX(projects[Project_Name],MATCH(TimeEntry[[#This Row],[Project_ID]], projects[Project_ID],0))</f>
        <v>VBB - Assessment</v>
      </c>
      <c r="Q518" s="6">
        <f>IF(TimeEntry[[#This Row],[Date]]=0,"",WEEKDAY(C518,2))</f>
        <v>1</v>
      </c>
      <c r="R518" s="9">
        <f>YEAR(TimeEntry[[#This Row],[WkEnd]])</f>
        <v>2019</v>
      </c>
      <c r="S518" s="9">
        <f>WEEKNUM(TimeEntry[[#This Row],[WkEnd]])</f>
        <v>33</v>
      </c>
      <c r="T518" s="9" t="str">
        <f>TimeEntry[[#This Row],[Year]]&amp;"-"&amp;TimeEntry[[#This Row],[WkNo]]</f>
        <v>2019-33</v>
      </c>
    </row>
    <row r="519" spans="1:20" x14ac:dyDescent="0.25">
      <c r="A519" s="6">
        <f>MOD(IF(ROW()=2,0.1,IF(INDEX(TimeEntry[WkEnd],ROW()-1)  =  INDEX(TimeEntry[WkEnd],ROW()-2),    INDEX(TimeEntry[format],ROW()-2),    INDEX(TimeEntry[format],ROW()-2)    +1)),2)</f>
        <v>1.1000000000000001</v>
      </c>
      <c r="B519" s="7"/>
      <c r="C519" s="8">
        <v>43683</v>
      </c>
      <c r="D519" s="8"/>
      <c r="E519" s="1" t="s">
        <v>456</v>
      </c>
      <c r="F519" s="8">
        <f>IF(TimeEntry[[#This Row],[Date]]=0,F518,C519+(7-Q519))</f>
        <v>43688</v>
      </c>
      <c r="G519" s="35" t="str">
        <f>INDEX(projects[Charge_Code],MATCH(TimeEntry[[#This Row],[Project_ID]],projects[Project_ID],0))</f>
        <v>210035-51 VBB 3rd - new bridge</v>
      </c>
      <c r="H519" s="1" t="str">
        <f t="shared" si="11"/>
        <v>Normal Time</v>
      </c>
      <c r="I519" s="1"/>
      <c r="J519" s="15"/>
      <c r="K519" s="15"/>
      <c r="L519" s="15"/>
      <c r="M519" s="15"/>
      <c r="N519" s="15"/>
      <c r="O519" s="15" t="str">
        <f>INDEX(projects[job number],MATCH(TimeEntry[[#This Row],[Project_ID]], projects[Project_ID],0))</f>
        <v>210035-51</v>
      </c>
      <c r="P519" s="15" t="str">
        <f>INDEX(projects[Project_Name],MATCH(TimeEntry[[#This Row],[Project_ID]], projects[Project_ID],0))</f>
        <v>VBB 3rd - new bridge</v>
      </c>
      <c r="Q519" s="6">
        <f>IF(TimeEntry[[#This Row],[Date]]=0,"",WEEKDAY(C519,2))</f>
        <v>2</v>
      </c>
      <c r="R519" s="9">
        <f>YEAR(TimeEntry[[#This Row],[WkEnd]])</f>
        <v>2019</v>
      </c>
      <c r="S519" s="9">
        <f>WEEKNUM(TimeEntry[[#This Row],[WkEnd]])</f>
        <v>33</v>
      </c>
      <c r="T519" s="9" t="str">
        <f>TimeEntry[[#This Row],[Year]]&amp;"-"&amp;TimeEntry[[#This Row],[WkNo]]</f>
        <v>2019-33</v>
      </c>
    </row>
    <row r="520" spans="1:20" x14ac:dyDescent="0.25">
      <c r="A520" s="6">
        <f>MOD(IF(ROW()=2,0.1,IF(INDEX(TimeEntry[WkEnd],ROW()-1)  =  INDEX(TimeEntry[WkEnd],ROW()-2),    INDEX(TimeEntry[format],ROW()-2),    INDEX(TimeEntry[format],ROW()-2)    +1)),2)</f>
        <v>1.1000000000000001</v>
      </c>
      <c r="B520" s="7"/>
      <c r="C520" s="8">
        <v>43684</v>
      </c>
      <c r="D520" s="8"/>
      <c r="E520" s="1" t="s">
        <v>456</v>
      </c>
      <c r="F520" s="8">
        <f>IF(TimeEntry[[#This Row],[Date]]=0,F519,C520+(7-Q520))</f>
        <v>43688</v>
      </c>
      <c r="G520" s="35" t="str">
        <f>INDEX(projects[Charge_Code],MATCH(TimeEntry[[#This Row],[Project_ID]],projects[Project_ID],0))</f>
        <v>210035-51 VBB 3rd - new bridge</v>
      </c>
      <c r="H520" s="1" t="str">
        <f t="shared" si="11"/>
        <v>Normal Time</v>
      </c>
      <c r="I520" s="1"/>
      <c r="J520" s="15"/>
      <c r="K520" s="15"/>
      <c r="L520" s="15"/>
      <c r="M520" s="15"/>
      <c r="N520" s="15"/>
      <c r="O520" s="15" t="str">
        <f>INDEX(projects[job number],MATCH(TimeEntry[[#This Row],[Project_ID]], projects[Project_ID],0))</f>
        <v>210035-51</v>
      </c>
      <c r="P520" s="15" t="str">
        <f>INDEX(projects[Project_Name],MATCH(TimeEntry[[#This Row],[Project_ID]], projects[Project_ID],0))</f>
        <v>VBB 3rd - new bridge</v>
      </c>
      <c r="Q520" s="6">
        <f>IF(TimeEntry[[#This Row],[Date]]=0,"",WEEKDAY(C520,2))</f>
        <v>3</v>
      </c>
      <c r="R520" s="9">
        <f>YEAR(TimeEntry[[#This Row],[WkEnd]])</f>
        <v>2019</v>
      </c>
      <c r="S520" s="9">
        <f>WEEKNUM(TimeEntry[[#This Row],[WkEnd]])</f>
        <v>33</v>
      </c>
      <c r="T520" s="9" t="str">
        <f>TimeEntry[[#This Row],[Year]]&amp;"-"&amp;TimeEntry[[#This Row],[WkNo]]</f>
        <v>2019-33</v>
      </c>
    </row>
    <row r="521" spans="1:20" x14ac:dyDescent="0.25">
      <c r="A521" s="6">
        <f>MOD(IF(ROW()=2,0.1,IF(INDEX(TimeEntry[WkEnd],ROW()-1)  =  INDEX(TimeEntry[WkEnd],ROW()-2),    INDEX(TimeEntry[format],ROW()-2),    INDEX(TimeEntry[format],ROW()-2)    +1)),2)</f>
        <v>1.1000000000000001</v>
      </c>
      <c r="B521" s="7"/>
      <c r="C521" s="8">
        <v>43685</v>
      </c>
      <c r="D521" s="8"/>
      <c r="E521" s="1" t="s">
        <v>456</v>
      </c>
      <c r="F521" s="8">
        <f>IF(TimeEntry[[#This Row],[Date]]=0,F520,C521+(7-Q521))</f>
        <v>43688</v>
      </c>
      <c r="G521" s="35" t="str">
        <f>INDEX(projects[Charge_Code],MATCH(TimeEntry[[#This Row],[Project_ID]],projects[Project_ID],0))</f>
        <v>210035-51 VBB 3rd - new bridge</v>
      </c>
      <c r="H521" s="1" t="str">
        <f t="shared" si="11"/>
        <v>Normal Time</v>
      </c>
      <c r="I521" s="1"/>
      <c r="J521" s="15"/>
      <c r="K521" s="15"/>
      <c r="L521" s="15"/>
      <c r="M521" s="15"/>
      <c r="N521" s="15"/>
      <c r="O521" s="15" t="str">
        <f>INDEX(projects[job number],MATCH(TimeEntry[[#This Row],[Project_ID]], projects[Project_ID],0))</f>
        <v>210035-51</v>
      </c>
      <c r="P521" s="15" t="str">
        <f>INDEX(projects[Project_Name],MATCH(TimeEntry[[#This Row],[Project_ID]], projects[Project_ID],0))</f>
        <v>VBB 3rd - new bridge</v>
      </c>
      <c r="Q521" s="6">
        <f>IF(TimeEntry[[#This Row],[Date]]=0,"",WEEKDAY(C521,2))</f>
        <v>4</v>
      </c>
      <c r="R521" s="9">
        <f>YEAR(TimeEntry[[#This Row],[WkEnd]])</f>
        <v>2019</v>
      </c>
      <c r="S521" s="9">
        <f>WEEKNUM(TimeEntry[[#This Row],[WkEnd]])</f>
        <v>33</v>
      </c>
      <c r="T521" s="9" t="str">
        <f>TimeEntry[[#This Row],[Year]]&amp;"-"&amp;TimeEntry[[#This Row],[WkNo]]</f>
        <v>2019-33</v>
      </c>
    </row>
    <row r="522" spans="1:20" x14ac:dyDescent="0.25">
      <c r="A522" s="6">
        <f>MOD(IF(ROW()=2,0.1,IF(INDEX(TimeEntry[WkEnd],ROW()-1)  =  INDEX(TimeEntry[WkEnd],ROW()-2),    INDEX(TimeEntry[format],ROW()-2),    INDEX(TimeEntry[format],ROW()-2)    +1)),2)</f>
        <v>1.1000000000000001</v>
      </c>
      <c r="B522" s="7"/>
      <c r="C522" s="8">
        <v>43686</v>
      </c>
      <c r="D522" s="8"/>
      <c r="E522" s="1" t="s">
        <v>460</v>
      </c>
      <c r="F522" s="8">
        <f>IF(TimeEntry[[#This Row],[Date]]=0,F521,C522+(7-Q522))</f>
        <v>43688</v>
      </c>
      <c r="G522" s="35" t="str">
        <f>INDEX(projects[Charge_Code],MATCH(TimeEntry[[#This Row],[Project_ID]],projects[Project_ID],0))</f>
        <v>265720-20 VBB - Assessment</v>
      </c>
      <c r="H522" s="1" t="str">
        <f t="shared" si="11"/>
        <v>Normal Time</v>
      </c>
      <c r="I522" s="1"/>
      <c r="J522" s="15"/>
      <c r="K522" s="15"/>
      <c r="L522" s="15"/>
      <c r="M522" s="15"/>
      <c r="N522" s="15"/>
      <c r="O522" s="15" t="str">
        <f>INDEX(projects[job number],MATCH(TimeEntry[[#This Row],[Project_ID]], projects[Project_ID],0))</f>
        <v>265720-20</v>
      </c>
      <c r="P522" s="15" t="str">
        <f>INDEX(projects[Project_Name],MATCH(TimeEntry[[#This Row],[Project_ID]], projects[Project_ID],0))</f>
        <v>VBB - Assessment</v>
      </c>
      <c r="Q522" s="6">
        <f>IF(TimeEntry[[#This Row],[Date]]=0,"",WEEKDAY(C522,2))</f>
        <v>5</v>
      </c>
      <c r="R522" s="9">
        <f>YEAR(TimeEntry[[#This Row],[WkEnd]])</f>
        <v>2019</v>
      </c>
      <c r="S522" s="9">
        <f>WEEKNUM(TimeEntry[[#This Row],[WkEnd]])</f>
        <v>33</v>
      </c>
      <c r="T522" s="9" t="str">
        <f>TimeEntry[[#This Row],[Year]]&amp;"-"&amp;TimeEntry[[#This Row],[WkNo]]</f>
        <v>2019-33</v>
      </c>
    </row>
    <row r="523" spans="1:20" x14ac:dyDescent="0.25">
      <c r="A523" s="6">
        <f>MOD(IF(ROW()=2,0.1,IF(INDEX(TimeEntry[WkEnd],ROW()-1)  =  INDEX(TimeEntry[WkEnd],ROW()-2),    INDEX(TimeEntry[format],ROW()-2),    INDEX(TimeEntry[format],ROW()-2)    +1)),2)</f>
        <v>0.10000000000000009</v>
      </c>
      <c r="B523" s="7"/>
      <c r="C523" s="8">
        <v>43675</v>
      </c>
      <c r="D523" s="8"/>
      <c r="E523" s="1" t="s">
        <v>456</v>
      </c>
      <c r="F523" s="8">
        <f>IF(TimeEntry[[#This Row],[Date]]=0,F522,C523+(7-Q523))</f>
        <v>43681</v>
      </c>
      <c r="G523" s="35" t="str">
        <f>INDEX(projects[Charge_Code],MATCH(TimeEntry[[#This Row],[Project_ID]],projects[Project_ID],0))</f>
        <v>210035-51 VBB 3rd - new bridge</v>
      </c>
      <c r="H523" s="1" t="str">
        <f t="shared" si="11"/>
        <v>Normal Time</v>
      </c>
      <c r="I523" s="1"/>
      <c r="J523" s="15">
        <v>7.5</v>
      </c>
      <c r="K523" s="15"/>
      <c r="L523" s="15"/>
      <c r="M523" s="15"/>
      <c r="N523" s="15"/>
      <c r="O523" s="15" t="str">
        <f>INDEX(projects[job number],MATCH(TimeEntry[[#This Row],[Project_ID]], projects[Project_ID],0))</f>
        <v>210035-51</v>
      </c>
      <c r="P523" s="15" t="str">
        <f>INDEX(projects[Project_Name],MATCH(TimeEntry[[#This Row],[Project_ID]], projects[Project_ID],0))</f>
        <v>VBB 3rd - new bridge</v>
      </c>
      <c r="Q523" s="6">
        <f>IF(TimeEntry[[#This Row],[Date]]=0,"",WEEKDAY(C523,2))</f>
        <v>1</v>
      </c>
      <c r="R523" s="9">
        <f>YEAR(TimeEntry[[#This Row],[WkEnd]])</f>
        <v>2019</v>
      </c>
      <c r="S523" s="9">
        <f>WEEKNUM(TimeEntry[[#This Row],[WkEnd]])</f>
        <v>32</v>
      </c>
      <c r="T523" s="9" t="str">
        <f>TimeEntry[[#This Row],[Year]]&amp;"-"&amp;TimeEntry[[#This Row],[WkNo]]</f>
        <v>2019-32</v>
      </c>
    </row>
    <row r="524" spans="1:20" x14ac:dyDescent="0.25">
      <c r="A524" s="6">
        <f>MOD(IF(ROW()=2,0.1,IF(INDEX(TimeEntry[WkEnd],ROW()-1)  =  INDEX(TimeEntry[WkEnd],ROW()-2),    INDEX(TimeEntry[format],ROW()-2),    INDEX(TimeEntry[format],ROW()-2)    +1)),2)</f>
        <v>0.10000000000000009</v>
      </c>
      <c r="B524" s="7"/>
      <c r="C524" s="8">
        <v>43676</v>
      </c>
      <c r="D524" s="8"/>
      <c r="E524" s="1" t="s">
        <v>460</v>
      </c>
      <c r="F524" s="8">
        <f>IF(TimeEntry[[#This Row],[Date]]=0,F523,C524+(7-Q524))</f>
        <v>43681</v>
      </c>
      <c r="G524" s="35" t="str">
        <f>INDEX(projects[Charge_Code],MATCH(TimeEntry[[#This Row],[Project_ID]],projects[Project_ID],0))</f>
        <v>265720-20 VBB - Assessment</v>
      </c>
      <c r="H524" s="1" t="str">
        <f t="shared" si="11"/>
        <v>Normal Time</v>
      </c>
      <c r="I524" s="1"/>
      <c r="J524" s="15">
        <v>7.5</v>
      </c>
      <c r="K524" s="15"/>
      <c r="L524" s="15"/>
      <c r="M524" s="15"/>
      <c r="N524" s="15"/>
      <c r="O524" s="15" t="str">
        <f>INDEX(projects[job number],MATCH(TimeEntry[[#This Row],[Project_ID]], projects[Project_ID],0))</f>
        <v>265720-20</v>
      </c>
      <c r="P524" s="15" t="str">
        <f>INDEX(projects[Project_Name],MATCH(TimeEntry[[#This Row],[Project_ID]], projects[Project_ID],0))</f>
        <v>VBB - Assessment</v>
      </c>
      <c r="Q524" s="6">
        <f>IF(TimeEntry[[#This Row],[Date]]=0,"",WEEKDAY(C524,2))</f>
        <v>2</v>
      </c>
      <c r="R524" s="9">
        <f>YEAR(TimeEntry[[#This Row],[WkEnd]])</f>
        <v>2019</v>
      </c>
      <c r="S524" s="9">
        <f>WEEKNUM(TimeEntry[[#This Row],[WkEnd]])</f>
        <v>32</v>
      </c>
      <c r="T524" s="9" t="str">
        <f>TimeEntry[[#This Row],[Year]]&amp;"-"&amp;TimeEntry[[#This Row],[WkNo]]</f>
        <v>2019-32</v>
      </c>
    </row>
    <row r="525" spans="1:20" x14ac:dyDescent="0.25">
      <c r="A525" s="6">
        <f>MOD(IF(ROW()=2,0.1,IF(INDEX(TimeEntry[WkEnd],ROW()-1)  =  INDEX(TimeEntry[WkEnd],ROW()-2),    INDEX(TimeEntry[format],ROW()-2),    INDEX(TimeEntry[format],ROW()-2)    +1)),2)</f>
        <v>0.10000000000000009</v>
      </c>
      <c r="B525" s="7"/>
      <c r="C525" s="8">
        <v>43677</v>
      </c>
      <c r="D525" s="8"/>
      <c r="E525" s="1" t="s">
        <v>460</v>
      </c>
      <c r="F525" s="8">
        <f>IF(TimeEntry[[#This Row],[Date]]=0,F524,C525+(7-Q525))</f>
        <v>43681</v>
      </c>
      <c r="G525" s="35" t="str">
        <f>INDEX(projects[Charge_Code],MATCH(TimeEntry[[#This Row],[Project_ID]],projects[Project_ID],0))</f>
        <v>265720-20 VBB - Assessment</v>
      </c>
      <c r="H525" s="1" t="str">
        <f t="shared" si="11"/>
        <v>Normal Time</v>
      </c>
      <c r="I525" s="1"/>
      <c r="J525" s="15">
        <v>7.5</v>
      </c>
      <c r="K525" s="15"/>
      <c r="L525" s="15"/>
      <c r="M525" s="15"/>
      <c r="N525" s="15"/>
      <c r="O525" s="15" t="str">
        <f>INDEX(projects[job number],MATCH(TimeEntry[[#This Row],[Project_ID]], projects[Project_ID],0))</f>
        <v>265720-20</v>
      </c>
      <c r="P525" s="15" t="str">
        <f>INDEX(projects[Project_Name],MATCH(TimeEntry[[#This Row],[Project_ID]], projects[Project_ID],0))</f>
        <v>VBB - Assessment</v>
      </c>
      <c r="Q525" s="6">
        <f>IF(TimeEntry[[#This Row],[Date]]=0,"",WEEKDAY(C525,2))</f>
        <v>3</v>
      </c>
      <c r="R525" s="9">
        <f>YEAR(TimeEntry[[#This Row],[WkEnd]])</f>
        <v>2019</v>
      </c>
      <c r="S525" s="9">
        <f>WEEKNUM(TimeEntry[[#This Row],[WkEnd]])</f>
        <v>32</v>
      </c>
      <c r="T525" s="9" t="str">
        <f>TimeEntry[[#This Row],[Year]]&amp;"-"&amp;TimeEntry[[#This Row],[WkNo]]</f>
        <v>2019-32</v>
      </c>
    </row>
    <row r="526" spans="1:20" x14ac:dyDescent="0.25">
      <c r="A526" s="6">
        <f>MOD(IF(ROW()=2,0.1,IF(INDEX(TimeEntry[WkEnd],ROW()-1)  =  INDEX(TimeEntry[WkEnd],ROW()-2),    INDEX(TimeEntry[format],ROW()-2),    INDEX(TimeEntry[format],ROW()-2)    +1)),2)</f>
        <v>0.10000000000000009</v>
      </c>
      <c r="B526" s="7"/>
      <c r="C526" s="8">
        <v>43678</v>
      </c>
      <c r="D526" s="8"/>
      <c r="E526" s="1" t="s">
        <v>456</v>
      </c>
      <c r="F526" s="8">
        <f>IF(TimeEntry[[#This Row],[Date]]=0,F525,C526+(7-Q526))</f>
        <v>43681</v>
      </c>
      <c r="G526" s="35" t="str">
        <f>INDEX(projects[Charge_Code],MATCH(TimeEntry[[#This Row],[Project_ID]],projects[Project_ID],0))</f>
        <v>210035-51 VBB 3rd - new bridge</v>
      </c>
      <c r="H526" s="1" t="str">
        <f t="shared" si="11"/>
        <v>Normal Time</v>
      </c>
      <c r="I526" s="1"/>
      <c r="J526" s="15">
        <v>7.5</v>
      </c>
      <c r="K526" s="15"/>
      <c r="L526" s="15"/>
      <c r="M526" s="15"/>
      <c r="N526" s="15"/>
      <c r="O526" s="15" t="str">
        <f>INDEX(projects[job number],MATCH(TimeEntry[[#This Row],[Project_ID]], projects[Project_ID],0))</f>
        <v>210035-51</v>
      </c>
      <c r="P526" s="15" t="str">
        <f>INDEX(projects[Project_Name],MATCH(TimeEntry[[#This Row],[Project_ID]], projects[Project_ID],0))</f>
        <v>VBB 3rd - new bridge</v>
      </c>
      <c r="Q526" s="6">
        <f>IF(TimeEntry[[#This Row],[Date]]=0,"",WEEKDAY(C526,2))</f>
        <v>4</v>
      </c>
      <c r="R526" s="9">
        <f>YEAR(TimeEntry[[#This Row],[WkEnd]])</f>
        <v>2019</v>
      </c>
      <c r="S526" s="9">
        <f>WEEKNUM(TimeEntry[[#This Row],[WkEnd]])</f>
        <v>32</v>
      </c>
      <c r="T526" s="9" t="str">
        <f>TimeEntry[[#This Row],[Year]]&amp;"-"&amp;TimeEntry[[#This Row],[WkNo]]</f>
        <v>2019-32</v>
      </c>
    </row>
    <row r="527" spans="1:20" x14ac:dyDescent="0.25">
      <c r="A527" s="6">
        <f>MOD(IF(ROW()=2,0.1,IF(INDEX(TimeEntry[WkEnd],ROW()-1)  =  INDEX(TimeEntry[WkEnd],ROW()-2),    INDEX(TimeEntry[format],ROW()-2),    INDEX(TimeEntry[format],ROW()-2)    +1)),2)</f>
        <v>0.10000000000000009</v>
      </c>
      <c r="B527" s="7"/>
      <c r="C527" s="8">
        <v>43679</v>
      </c>
      <c r="D527" s="8"/>
      <c r="E527" s="1" t="s">
        <v>445</v>
      </c>
      <c r="F527" s="8">
        <f>IF(TimeEntry[[#This Row],[Date]]=0,F526,C527+(7-Q527))</f>
        <v>43681</v>
      </c>
      <c r="G527" s="35" t="str">
        <f>INDEX(projects[Charge_Code],MATCH(TimeEntry[[#This Row],[Project_ID]],projects[Project_ID],0))</f>
        <v>LEAVE</v>
      </c>
      <c r="H527" s="1" t="str">
        <f t="shared" si="11"/>
        <v>Normal Time</v>
      </c>
      <c r="I527" s="1"/>
      <c r="J527" s="15">
        <v>7.5</v>
      </c>
      <c r="K527" s="15"/>
      <c r="L527" s="15"/>
      <c r="M527" s="15"/>
      <c r="N527" s="15"/>
      <c r="O527" s="15" t="str">
        <f>INDEX(projects[job number],MATCH(TimeEntry[[#This Row],[Project_ID]], projects[Project_ID],0))</f>
        <v>LEAVE</v>
      </c>
      <c r="P527" s="15">
        <f>INDEX(projects[Project_Name],MATCH(TimeEntry[[#This Row],[Project_ID]], projects[Project_ID],0))</f>
        <v>0</v>
      </c>
      <c r="Q527" s="6">
        <f>IF(TimeEntry[[#This Row],[Date]]=0,"",WEEKDAY(C527,2))</f>
        <v>5</v>
      </c>
      <c r="R527" s="9">
        <f>YEAR(TimeEntry[[#This Row],[WkEnd]])</f>
        <v>2019</v>
      </c>
      <c r="S527" s="9">
        <f>WEEKNUM(TimeEntry[[#This Row],[WkEnd]])</f>
        <v>32</v>
      </c>
      <c r="T527" s="9" t="str">
        <f>TimeEntry[[#This Row],[Year]]&amp;"-"&amp;TimeEntry[[#This Row],[WkNo]]</f>
        <v>2019-32</v>
      </c>
    </row>
    <row r="528" spans="1:20" x14ac:dyDescent="0.25">
      <c r="A528" s="6">
        <f>MOD(IF(ROW()=2,0.1,IF(INDEX(TimeEntry[WkEnd],ROW()-1)  =  INDEX(TimeEntry[WkEnd],ROW()-2),    INDEX(TimeEntry[format],ROW()-2),    INDEX(TimeEntry[format],ROW()-2)    +1)),2)</f>
        <v>1.1000000000000001</v>
      </c>
      <c r="B528" s="7"/>
      <c r="C528" s="8">
        <v>43668</v>
      </c>
      <c r="D528" s="8"/>
      <c r="E528" s="1" t="s">
        <v>462</v>
      </c>
      <c r="F528" s="8">
        <f>IF(TimeEntry[[#This Row],[Date]]=0,F527,C528+(7-Q528))</f>
        <v>43674</v>
      </c>
      <c r="G528" s="35" t="str">
        <f>INDEX(projects[Charge_Code],MATCH(TimeEntry[[#This Row],[Project_ID]],projects[Project_ID],0))</f>
        <v>074097-30 BCS - resource 2019</v>
      </c>
      <c r="H528" s="1" t="str">
        <f t="shared" si="11"/>
        <v>Normal Time</v>
      </c>
      <c r="I528" s="1"/>
      <c r="J528" s="15">
        <v>2.5</v>
      </c>
      <c r="K528" s="15"/>
      <c r="L528" s="15"/>
      <c r="M528" s="15"/>
      <c r="N528" s="15"/>
      <c r="O528" s="15" t="str">
        <f>INDEX(projects[job number],MATCH(TimeEntry[[#This Row],[Project_ID]], projects[Project_ID],0))</f>
        <v>074097-30</v>
      </c>
      <c r="P528" s="15" t="str">
        <f>INDEX(projects[Project_Name],MATCH(TimeEntry[[#This Row],[Project_ID]], projects[Project_ID],0))</f>
        <v>BCS - resource 2019</v>
      </c>
      <c r="Q528" s="6">
        <f>IF(TimeEntry[[#This Row],[Date]]=0,"",WEEKDAY(C528,2))</f>
        <v>1</v>
      </c>
      <c r="R528" s="9">
        <f>YEAR(TimeEntry[[#This Row],[WkEnd]])</f>
        <v>2019</v>
      </c>
      <c r="S528" s="9">
        <f>WEEKNUM(TimeEntry[[#This Row],[WkEnd]])</f>
        <v>31</v>
      </c>
      <c r="T528" s="9" t="str">
        <f>TimeEntry[[#This Row],[Year]]&amp;"-"&amp;TimeEntry[[#This Row],[WkNo]]</f>
        <v>2019-31</v>
      </c>
    </row>
    <row r="529" spans="1:20" x14ac:dyDescent="0.25">
      <c r="A529" s="6">
        <f>MOD(IF(ROW()=2,0.1,IF(INDEX(TimeEntry[WkEnd],ROW()-1)  =  INDEX(TimeEntry[WkEnd],ROW()-2),    INDEX(TimeEntry[format],ROW()-2),    INDEX(TimeEntry[format],ROW()-2)    +1)),2)</f>
        <v>1.1000000000000001</v>
      </c>
      <c r="B529" s="7"/>
      <c r="C529" s="8">
        <v>43668</v>
      </c>
      <c r="D529" s="8"/>
      <c r="E529" s="1" t="s">
        <v>460</v>
      </c>
      <c r="F529" s="8">
        <f>IF(TimeEntry[[#This Row],[Date]]=0,F528,C529+(7-Q529))</f>
        <v>43674</v>
      </c>
      <c r="G529" s="35" t="str">
        <f>INDEX(projects[Charge_Code],MATCH(TimeEntry[[#This Row],[Project_ID]],projects[Project_ID],0))</f>
        <v>265720-20 VBB - Assessment</v>
      </c>
      <c r="H529" s="1" t="str">
        <f t="shared" si="11"/>
        <v>Normal Time</v>
      </c>
      <c r="I529" s="1"/>
      <c r="J529" s="15">
        <v>5</v>
      </c>
      <c r="K529" s="15"/>
      <c r="L529" s="15"/>
      <c r="M529" s="15"/>
      <c r="N529" s="15"/>
      <c r="O529" s="15" t="str">
        <f>INDEX(projects[job number],MATCH(TimeEntry[[#This Row],[Project_ID]], projects[Project_ID],0))</f>
        <v>265720-20</v>
      </c>
      <c r="P529" s="15" t="str">
        <f>INDEX(projects[Project_Name],MATCH(TimeEntry[[#This Row],[Project_ID]], projects[Project_ID],0))</f>
        <v>VBB - Assessment</v>
      </c>
      <c r="Q529" s="6">
        <f>IF(TimeEntry[[#This Row],[Date]]=0,"",WEEKDAY(C529,2))</f>
        <v>1</v>
      </c>
      <c r="R529" s="9">
        <f>YEAR(TimeEntry[[#This Row],[WkEnd]])</f>
        <v>2019</v>
      </c>
      <c r="S529" s="9">
        <f>WEEKNUM(TimeEntry[[#This Row],[WkEnd]])</f>
        <v>31</v>
      </c>
      <c r="T529" s="9" t="str">
        <f>TimeEntry[[#This Row],[Year]]&amp;"-"&amp;TimeEntry[[#This Row],[WkNo]]</f>
        <v>2019-31</v>
      </c>
    </row>
    <row r="530" spans="1:20" x14ac:dyDescent="0.25">
      <c r="A530" s="6">
        <f>MOD(IF(ROW()=2,0.1,IF(INDEX(TimeEntry[WkEnd],ROW()-1)  =  INDEX(TimeEntry[WkEnd],ROW()-2),    INDEX(TimeEntry[format],ROW()-2),    INDEX(TimeEntry[format],ROW()-2)    +1)),2)</f>
        <v>1.1000000000000001</v>
      </c>
      <c r="B530" s="7"/>
      <c r="C530" s="8">
        <v>43669</v>
      </c>
      <c r="D530" s="8"/>
      <c r="E530" s="1" t="s">
        <v>456</v>
      </c>
      <c r="F530" s="8">
        <f>IF(TimeEntry[[#This Row],[Date]]=0,F529,C530+(7-Q530))</f>
        <v>43674</v>
      </c>
      <c r="G530" s="35" t="str">
        <f>INDEX(projects[Charge_Code],MATCH(TimeEntry[[#This Row],[Project_ID]],projects[Project_ID],0))</f>
        <v>210035-51 VBB 3rd - new bridge</v>
      </c>
      <c r="H530" s="1" t="str">
        <f t="shared" si="11"/>
        <v>Normal Time</v>
      </c>
      <c r="I530" s="1"/>
      <c r="J530" s="15">
        <v>7.5</v>
      </c>
      <c r="K530" s="15"/>
      <c r="L530" s="15"/>
      <c r="M530" s="15"/>
      <c r="N530" s="15"/>
      <c r="O530" s="15" t="str">
        <f>INDEX(projects[job number],MATCH(TimeEntry[[#This Row],[Project_ID]], projects[Project_ID],0))</f>
        <v>210035-51</v>
      </c>
      <c r="P530" s="15" t="str">
        <f>INDEX(projects[Project_Name],MATCH(TimeEntry[[#This Row],[Project_ID]], projects[Project_ID],0))</f>
        <v>VBB 3rd - new bridge</v>
      </c>
      <c r="Q530" s="6">
        <f>IF(TimeEntry[[#This Row],[Date]]=0,"",WEEKDAY(C530,2))</f>
        <v>2</v>
      </c>
      <c r="R530" s="9">
        <f>YEAR(TimeEntry[[#This Row],[WkEnd]])</f>
        <v>2019</v>
      </c>
      <c r="S530" s="9">
        <f>WEEKNUM(TimeEntry[[#This Row],[WkEnd]])</f>
        <v>31</v>
      </c>
      <c r="T530" s="9" t="str">
        <f>TimeEntry[[#This Row],[Year]]&amp;"-"&amp;TimeEntry[[#This Row],[WkNo]]</f>
        <v>2019-31</v>
      </c>
    </row>
    <row r="531" spans="1:20" x14ac:dyDescent="0.25">
      <c r="A531" s="6">
        <f>MOD(IF(ROW()=2,0.1,IF(INDEX(TimeEntry[WkEnd],ROW()-1)  =  INDEX(TimeEntry[WkEnd],ROW()-2),    INDEX(TimeEntry[format],ROW()-2),    INDEX(TimeEntry[format],ROW()-2)    +1)),2)</f>
        <v>1.1000000000000001</v>
      </c>
      <c r="B531" s="7"/>
      <c r="C531" s="8">
        <v>43670</v>
      </c>
      <c r="D531" s="8"/>
      <c r="E531" s="1" t="s">
        <v>463</v>
      </c>
      <c r="F531" s="8">
        <f>IF(TimeEntry[[#This Row],[Date]]=0,F530,C531+(7-Q531))</f>
        <v>43674</v>
      </c>
      <c r="G531" s="35" t="str">
        <f>INDEX(projects[Charge_Code],MATCH(TimeEntry[[#This Row],[Project_ID]],projects[Project_ID],0))</f>
        <v>268268-00 Brisa</v>
      </c>
      <c r="H531" s="1" t="str">
        <f t="shared" si="11"/>
        <v>Normal Time</v>
      </c>
      <c r="I531" s="1"/>
      <c r="J531" s="15">
        <v>7.5</v>
      </c>
      <c r="K531" s="15"/>
      <c r="L531" s="15"/>
      <c r="M531" s="15"/>
      <c r="N531" s="15"/>
      <c r="O531" s="15" t="str">
        <f>INDEX(projects[job number],MATCH(TimeEntry[[#This Row],[Project_ID]], projects[Project_ID],0))</f>
        <v>268268-00</v>
      </c>
      <c r="P531" s="15" t="str">
        <f>INDEX(projects[Project_Name],MATCH(TimeEntry[[#This Row],[Project_ID]], projects[Project_ID],0))</f>
        <v>Brisa</v>
      </c>
      <c r="Q531" s="6">
        <f>IF(TimeEntry[[#This Row],[Date]]=0,"",WEEKDAY(C531,2))</f>
        <v>3</v>
      </c>
      <c r="R531" s="9">
        <f>YEAR(TimeEntry[[#This Row],[WkEnd]])</f>
        <v>2019</v>
      </c>
      <c r="S531" s="9">
        <f>WEEKNUM(TimeEntry[[#This Row],[WkEnd]])</f>
        <v>31</v>
      </c>
      <c r="T531" s="9" t="str">
        <f>TimeEntry[[#This Row],[Year]]&amp;"-"&amp;TimeEntry[[#This Row],[WkNo]]</f>
        <v>2019-31</v>
      </c>
    </row>
    <row r="532" spans="1:20" x14ac:dyDescent="0.25">
      <c r="A532" s="6">
        <f>MOD(IF(ROW()=2,0.1,IF(INDEX(TimeEntry[WkEnd],ROW()-1)  =  INDEX(TimeEntry[WkEnd],ROW()-2),    INDEX(TimeEntry[format],ROW()-2),    INDEX(TimeEntry[format],ROW()-2)    +1)),2)</f>
        <v>1.1000000000000001</v>
      </c>
      <c r="B532" s="7"/>
      <c r="C532" s="8">
        <v>43671</v>
      </c>
      <c r="D532" s="8"/>
      <c r="E532" s="1" t="s">
        <v>463</v>
      </c>
      <c r="F532" s="8">
        <f>IF(TimeEntry[[#This Row],[Date]]=0,F531,C532+(7-Q532))</f>
        <v>43674</v>
      </c>
      <c r="G532" s="35" t="str">
        <f>INDEX(projects[Charge_Code],MATCH(TimeEntry[[#This Row],[Project_ID]],projects[Project_ID],0))</f>
        <v>268268-00 Brisa</v>
      </c>
      <c r="H532" s="1" t="str">
        <f t="shared" si="11"/>
        <v>Normal Time</v>
      </c>
      <c r="I532" s="1"/>
      <c r="J532" s="15">
        <v>7.5</v>
      </c>
      <c r="K532" s="15"/>
      <c r="L532" s="15"/>
      <c r="M532" s="15"/>
      <c r="N532" s="15"/>
      <c r="O532" s="15" t="str">
        <f>INDEX(projects[job number],MATCH(TimeEntry[[#This Row],[Project_ID]], projects[Project_ID],0))</f>
        <v>268268-00</v>
      </c>
      <c r="P532" s="15" t="str">
        <f>INDEX(projects[Project_Name],MATCH(TimeEntry[[#This Row],[Project_ID]], projects[Project_ID],0))</f>
        <v>Brisa</v>
      </c>
      <c r="Q532" s="6">
        <f>IF(TimeEntry[[#This Row],[Date]]=0,"",WEEKDAY(C532,2))</f>
        <v>4</v>
      </c>
      <c r="R532" s="9">
        <f>YEAR(TimeEntry[[#This Row],[WkEnd]])</f>
        <v>2019</v>
      </c>
      <c r="S532" s="9">
        <f>WEEKNUM(TimeEntry[[#This Row],[WkEnd]])</f>
        <v>31</v>
      </c>
      <c r="T532" s="9" t="str">
        <f>TimeEntry[[#This Row],[Year]]&amp;"-"&amp;TimeEntry[[#This Row],[WkNo]]</f>
        <v>2019-31</v>
      </c>
    </row>
    <row r="533" spans="1:20" x14ac:dyDescent="0.25">
      <c r="A533" s="6">
        <f>MOD(IF(ROW()=2,0.1,IF(INDEX(TimeEntry[WkEnd],ROW()-1)  =  INDEX(TimeEntry[WkEnd],ROW()-2),    INDEX(TimeEntry[format],ROW()-2),    INDEX(TimeEntry[format],ROW()-2)    +1)),2)</f>
        <v>1.1000000000000001</v>
      </c>
      <c r="B533" s="7"/>
      <c r="C533" s="8">
        <v>43672</v>
      </c>
      <c r="D533" s="8"/>
      <c r="E533" s="1" t="s">
        <v>463</v>
      </c>
      <c r="F533" s="8">
        <f>IF(TimeEntry[[#This Row],[Date]]=0,F532,C533+(7-Q533))</f>
        <v>43674</v>
      </c>
      <c r="G533" s="35" t="str">
        <f>INDEX(projects[Charge_Code],MATCH(TimeEntry[[#This Row],[Project_ID]],projects[Project_ID],0))</f>
        <v>268268-00 Brisa</v>
      </c>
      <c r="H533" s="1" t="str">
        <f t="shared" si="11"/>
        <v>Normal Time</v>
      </c>
      <c r="I533" s="1"/>
      <c r="J533" s="15">
        <v>7.5</v>
      </c>
      <c r="K533" s="15"/>
      <c r="L533" s="15"/>
      <c r="M533" s="15"/>
      <c r="N533" s="15"/>
      <c r="O533" s="15" t="str">
        <f>INDEX(projects[job number],MATCH(TimeEntry[[#This Row],[Project_ID]], projects[Project_ID],0))</f>
        <v>268268-00</v>
      </c>
      <c r="P533" s="15" t="str">
        <f>INDEX(projects[Project_Name],MATCH(TimeEntry[[#This Row],[Project_ID]], projects[Project_ID],0))</f>
        <v>Brisa</v>
      </c>
      <c r="Q533" s="6">
        <f>IF(TimeEntry[[#This Row],[Date]]=0,"",WEEKDAY(C533,2))</f>
        <v>5</v>
      </c>
      <c r="R533" s="9">
        <f>YEAR(TimeEntry[[#This Row],[WkEnd]])</f>
        <v>2019</v>
      </c>
      <c r="S533" s="9">
        <f>WEEKNUM(TimeEntry[[#This Row],[WkEnd]])</f>
        <v>31</v>
      </c>
      <c r="T533" s="9" t="str">
        <f>TimeEntry[[#This Row],[Year]]&amp;"-"&amp;TimeEntry[[#This Row],[WkNo]]</f>
        <v>2019-31</v>
      </c>
    </row>
    <row r="534" spans="1:20" x14ac:dyDescent="0.25">
      <c r="A534" s="6">
        <f>MOD(IF(ROW()=2,0.1,IF(INDEX(TimeEntry[WkEnd],ROW()-1)  =  INDEX(TimeEntry[WkEnd],ROW()-2),    INDEX(TimeEntry[format],ROW()-2),    INDEX(TimeEntry[format],ROW()-2)    +1)),2)</f>
        <v>0.10000000000000009</v>
      </c>
      <c r="B534" s="7"/>
      <c r="C534" s="8">
        <v>43661</v>
      </c>
      <c r="D534" s="8"/>
      <c r="E534" s="1" t="s">
        <v>462</v>
      </c>
      <c r="F534" s="8">
        <f>IF(TimeEntry[[#This Row],[Date]]=0,F533,C534+(7-Q534))</f>
        <v>43667</v>
      </c>
      <c r="G534" s="35" t="str">
        <f>INDEX(projects[Charge_Code],MATCH(TimeEntry[[#This Row],[Project_ID]],projects[Project_ID],0))</f>
        <v>074097-30 BCS - resource 2019</v>
      </c>
      <c r="H534" s="1" t="str">
        <f t="shared" si="11"/>
        <v>Normal Time</v>
      </c>
      <c r="I534" s="1"/>
      <c r="J534" s="15">
        <v>2.5</v>
      </c>
      <c r="K534" s="15"/>
      <c r="L534" s="15"/>
      <c r="M534" s="15"/>
      <c r="N534" s="15"/>
      <c r="O534" s="15" t="str">
        <f>INDEX(projects[job number],MATCH(TimeEntry[[#This Row],[Project_ID]], projects[Project_ID],0))</f>
        <v>074097-30</v>
      </c>
      <c r="P534" s="15" t="str">
        <f>INDEX(projects[Project_Name],MATCH(TimeEntry[[#This Row],[Project_ID]], projects[Project_ID],0))</f>
        <v>BCS - resource 2019</v>
      </c>
      <c r="Q534" s="6">
        <f>IF(TimeEntry[[#This Row],[Date]]=0,"",WEEKDAY(C534,2))</f>
        <v>1</v>
      </c>
      <c r="R534" s="9">
        <f>YEAR(TimeEntry[[#This Row],[WkEnd]])</f>
        <v>2019</v>
      </c>
      <c r="S534" s="9">
        <f>WEEKNUM(TimeEntry[[#This Row],[WkEnd]])</f>
        <v>30</v>
      </c>
      <c r="T534" s="9" t="str">
        <f>TimeEntry[[#This Row],[Year]]&amp;"-"&amp;TimeEntry[[#This Row],[WkNo]]</f>
        <v>2019-30</v>
      </c>
    </row>
    <row r="535" spans="1:20" x14ac:dyDescent="0.25">
      <c r="A535" s="6">
        <f>MOD(IF(ROW()=2,0.1,IF(INDEX(TimeEntry[WkEnd],ROW()-1)  =  INDEX(TimeEntry[WkEnd],ROW()-2),    INDEX(TimeEntry[format],ROW()-2),    INDEX(TimeEntry[format],ROW()-2)    +1)),2)</f>
        <v>0.10000000000000009</v>
      </c>
      <c r="B535" s="7"/>
      <c r="C535" s="8">
        <v>43661</v>
      </c>
      <c r="D535" s="8"/>
      <c r="E535" s="1" t="s">
        <v>456</v>
      </c>
      <c r="F535" s="8">
        <f>IF(TimeEntry[[#This Row],[Date]]=0,F534,C535+(7-Q535))</f>
        <v>43667</v>
      </c>
      <c r="G535" s="35" t="str">
        <f>INDEX(projects[Charge_Code],MATCH(TimeEntry[[#This Row],[Project_ID]],projects[Project_ID],0))</f>
        <v>210035-51 VBB 3rd - new bridge</v>
      </c>
      <c r="H535" s="1" t="str">
        <f t="shared" si="11"/>
        <v>Normal Time</v>
      </c>
      <c r="I535" s="1"/>
      <c r="J535" s="15">
        <v>5</v>
      </c>
      <c r="K535" s="15"/>
      <c r="L535" s="15"/>
      <c r="M535" s="15"/>
      <c r="N535" s="15"/>
      <c r="O535" s="15" t="str">
        <f>INDEX(projects[job number],MATCH(TimeEntry[[#This Row],[Project_ID]], projects[Project_ID],0))</f>
        <v>210035-51</v>
      </c>
      <c r="P535" s="15" t="str">
        <f>INDEX(projects[Project_Name],MATCH(TimeEntry[[#This Row],[Project_ID]], projects[Project_ID],0))</f>
        <v>VBB 3rd - new bridge</v>
      </c>
      <c r="Q535" s="6">
        <f>IF(TimeEntry[[#This Row],[Date]]=0,"",WEEKDAY(C535,2))</f>
        <v>1</v>
      </c>
      <c r="R535" s="9">
        <f>YEAR(TimeEntry[[#This Row],[WkEnd]])</f>
        <v>2019</v>
      </c>
      <c r="S535" s="9">
        <f>WEEKNUM(TimeEntry[[#This Row],[WkEnd]])</f>
        <v>30</v>
      </c>
      <c r="T535" s="9" t="str">
        <f>TimeEntry[[#This Row],[Year]]&amp;"-"&amp;TimeEntry[[#This Row],[WkNo]]</f>
        <v>2019-30</v>
      </c>
    </row>
    <row r="536" spans="1:20" x14ac:dyDescent="0.25">
      <c r="A536" s="6">
        <f>MOD(IF(ROW()=2,0.1,IF(INDEX(TimeEntry[WkEnd],ROW()-1)  =  INDEX(TimeEntry[WkEnd],ROW()-2),    INDEX(TimeEntry[format],ROW()-2),    INDEX(TimeEntry[format],ROW()-2)    +1)),2)</f>
        <v>0.10000000000000009</v>
      </c>
      <c r="B536" s="7"/>
      <c r="C536" s="8">
        <v>43662</v>
      </c>
      <c r="D536" s="8"/>
      <c r="E536" s="1" t="s">
        <v>460</v>
      </c>
      <c r="F536" s="8">
        <f>IF(TimeEntry[[#This Row],[Date]]=0,F535,C536+(7-Q536))</f>
        <v>43667</v>
      </c>
      <c r="G536" s="35" t="str">
        <f>INDEX(projects[Charge_Code],MATCH(TimeEntry[[#This Row],[Project_ID]],projects[Project_ID],0))</f>
        <v>265720-20 VBB - Assessment</v>
      </c>
      <c r="H536" s="1" t="str">
        <f t="shared" si="11"/>
        <v>Normal Time</v>
      </c>
      <c r="I536" s="1"/>
      <c r="J536" s="15">
        <v>5</v>
      </c>
      <c r="K536" s="15"/>
      <c r="L536" s="15"/>
      <c r="M536" s="15"/>
      <c r="N536" s="15"/>
      <c r="O536" s="15" t="str">
        <f>INDEX(projects[job number],MATCH(TimeEntry[[#This Row],[Project_ID]], projects[Project_ID],0))</f>
        <v>265720-20</v>
      </c>
      <c r="P536" s="15" t="str">
        <f>INDEX(projects[Project_Name],MATCH(TimeEntry[[#This Row],[Project_ID]], projects[Project_ID],0))</f>
        <v>VBB - Assessment</v>
      </c>
      <c r="Q536" s="6">
        <f>IF(TimeEntry[[#This Row],[Date]]=0,"",WEEKDAY(C536,2))</f>
        <v>2</v>
      </c>
      <c r="R536" s="9">
        <f>YEAR(TimeEntry[[#This Row],[WkEnd]])</f>
        <v>2019</v>
      </c>
      <c r="S536" s="9">
        <f>WEEKNUM(TimeEntry[[#This Row],[WkEnd]])</f>
        <v>30</v>
      </c>
      <c r="T536" s="9" t="str">
        <f>TimeEntry[[#This Row],[Year]]&amp;"-"&amp;TimeEntry[[#This Row],[WkNo]]</f>
        <v>2019-30</v>
      </c>
    </row>
    <row r="537" spans="1:20" x14ac:dyDescent="0.25">
      <c r="A537" s="6">
        <f>MOD(IF(ROW()=2,0.1,IF(INDEX(TimeEntry[WkEnd],ROW()-1)  =  INDEX(TimeEntry[WkEnd],ROW()-2),    INDEX(TimeEntry[format],ROW()-2),    INDEX(TimeEntry[format],ROW()-2)    +1)),2)</f>
        <v>0.10000000000000009</v>
      </c>
      <c r="B537" s="7"/>
      <c r="C537" s="8">
        <v>43662</v>
      </c>
      <c r="D537" s="8"/>
      <c r="E537" s="1" t="s">
        <v>456</v>
      </c>
      <c r="F537" s="8">
        <f>IF(TimeEntry[[#This Row],[Date]]=0,F536,C537+(7-Q537))</f>
        <v>43667</v>
      </c>
      <c r="G537" s="35" t="str">
        <f>INDEX(projects[Charge_Code],MATCH(TimeEntry[[#This Row],[Project_ID]],projects[Project_ID],0))</f>
        <v>210035-51 VBB 3rd - new bridge</v>
      </c>
      <c r="H537" s="1" t="str">
        <f t="shared" si="11"/>
        <v>Normal Time</v>
      </c>
      <c r="I537" s="1"/>
      <c r="J537" s="15">
        <v>2.5</v>
      </c>
      <c r="K537" s="15"/>
      <c r="L537" s="15"/>
      <c r="M537" s="15"/>
      <c r="N537" s="15"/>
      <c r="O537" s="15" t="str">
        <f>INDEX(projects[job number],MATCH(TimeEntry[[#This Row],[Project_ID]], projects[Project_ID],0))</f>
        <v>210035-51</v>
      </c>
      <c r="P537" s="15" t="str">
        <f>INDEX(projects[Project_Name],MATCH(TimeEntry[[#This Row],[Project_ID]], projects[Project_ID],0))</f>
        <v>VBB 3rd - new bridge</v>
      </c>
      <c r="Q537" s="6">
        <f>IF(TimeEntry[[#This Row],[Date]]=0,"",WEEKDAY(C537,2))</f>
        <v>2</v>
      </c>
      <c r="R537" s="9">
        <f>YEAR(TimeEntry[[#This Row],[WkEnd]])</f>
        <v>2019</v>
      </c>
      <c r="S537" s="9">
        <f>WEEKNUM(TimeEntry[[#This Row],[WkEnd]])</f>
        <v>30</v>
      </c>
      <c r="T537" s="9" t="str">
        <f>TimeEntry[[#This Row],[Year]]&amp;"-"&amp;TimeEntry[[#This Row],[WkNo]]</f>
        <v>2019-30</v>
      </c>
    </row>
    <row r="538" spans="1:20" x14ac:dyDescent="0.25">
      <c r="A538" s="6">
        <f>MOD(IF(ROW()=2,0.1,IF(INDEX(TimeEntry[WkEnd],ROW()-1)  =  INDEX(TimeEntry[WkEnd],ROW()-2),    INDEX(TimeEntry[format],ROW()-2),    INDEX(TimeEntry[format],ROW()-2)    +1)),2)</f>
        <v>0.10000000000000009</v>
      </c>
      <c r="B538" s="7"/>
      <c r="C538" s="8">
        <v>43663</v>
      </c>
      <c r="D538" s="8"/>
      <c r="E538" s="1" t="s">
        <v>464</v>
      </c>
      <c r="F538" s="8">
        <f>IF(TimeEntry[[#This Row],[Date]]=0,F537,C538+(7-Q538))</f>
        <v>43667</v>
      </c>
      <c r="G538" s="35" t="str">
        <f>INDEX(projects[Charge_Code],MATCH(TimeEntry[[#This Row],[Project_ID]],projects[Project_ID],0))</f>
        <v>071945-07 BCS - promotional</v>
      </c>
      <c r="H538" s="1" t="str">
        <f t="shared" si="11"/>
        <v>Normal Time</v>
      </c>
      <c r="I538" s="1"/>
      <c r="J538" s="15">
        <v>2.5</v>
      </c>
      <c r="K538" s="15"/>
      <c r="L538" s="15"/>
      <c r="M538" s="15"/>
      <c r="N538" s="15"/>
      <c r="O538" s="15" t="str">
        <f>INDEX(projects[job number],MATCH(TimeEntry[[#This Row],[Project_ID]], projects[Project_ID],0))</f>
        <v>071945-07</v>
      </c>
      <c r="P538" s="15" t="str">
        <f>INDEX(projects[Project_Name],MATCH(TimeEntry[[#This Row],[Project_ID]], projects[Project_ID],0))</f>
        <v>BCS - promotional</v>
      </c>
      <c r="Q538" s="6">
        <f>IF(TimeEntry[[#This Row],[Date]]=0,"",WEEKDAY(C538,2))</f>
        <v>3</v>
      </c>
      <c r="R538" s="9">
        <f>YEAR(TimeEntry[[#This Row],[WkEnd]])</f>
        <v>2019</v>
      </c>
      <c r="S538" s="9">
        <f>WEEKNUM(TimeEntry[[#This Row],[WkEnd]])</f>
        <v>30</v>
      </c>
      <c r="T538" s="9" t="str">
        <f>TimeEntry[[#This Row],[Year]]&amp;"-"&amp;TimeEntry[[#This Row],[WkNo]]</f>
        <v>2019-30</v>
      </c>
    </row>
    <row r="539" spans="1:20" x14ac:dyDescent="0.25">
      <c r="A539" s="6">
        <f>MOD(IF(ROW()=2,0.1,IF(INDEX(TimeEntry[WkEnd],ROW()-1)  =  INDEX(TimeEntry[WkEnd],ROW()-2),    INDEX(TimeEntry[format],ROW()-2),    INDEX(TimeEntry[format],ROW()-2)    +1)),2)</f>
        <v>0.10000000000000009</v>
      </c>
      <c r="B539" s="7"/>
      <c r="C539" s="8">
        <v>43663</v>
      </c>
      <c r="D539" s="8"/>
      <c r="E539" s="1" t="s">
        <v>456</v>
      </c>
      <c r="F539" s="8">
        <f>IF(TimeEntry[[#This Row],[Date]]=0,F538,C539+(7-Q539))</f>
        <v>43667</v>
      </c>
      <c r="G539" s="35" t="str">
        <f>INDEX(projects[Charge_Code],MATCH(TimeEntry[[#This Row],[Project_ID]],projects[Project_ID],0))</f>
        <v>210035-51 VBB 3rd - new bridge</v>
      </c>
      <c r="H539" s="1" t="str">
        <f t="shared" si="11"/>
        <v>Normal Time</v>
      </c>
      <c r="I539" s="1"/>
      <c r="J539" s="15">
        <v>2.5</v>
      </c>
      <c r="K539" s="15"/>
      <c r="L539" s="15"/>
      <c r="M539" s="15"/>
      <c r="N539" s="15"/>
      <c r="O539" s="15" t="str">
        <f>INDEX(projects[job number],MATCH(TimeEntry[[#This Row],[Project_ID]], projects[Project_ID],0))</f>
        <v>210035-51</v>
      </c>
      <c r="P539" s="15" t="str">
        <f>INDEX(projects[Project_Name],MATCH(TimeEntry[[#This Row],[Project_ID]], projects[Project_ID],0))</f>
        <v>VBB 3rd - new bridge</v>
      </c>
      <c r="Q539" s="6">
        <f>IF(TimeEntry[[#This Row],[Date]]=0,"",WEEKDAY(C539,2))</f>
        <v>3</v>
      </c>
      <c r="R539" s="9">
        <f>YEAR(TimeEntry[[#This Row],[WkEnd]])</f>
        <v>2019</v>
      </c>
      <c r="S539" s="9">
        <f>WEEKNUM(TimeEntry[[#This Row],[WkEnd]])</f>
        <v>30</v>
      </c>
      <c r="T539" s="9" t="str">
        <f>TimeEntry[[#This Row],[Year]]&amp;"-"&amp;TimeEntry[[#This Row],[WkNo]]</f>
        <v>2019-30</v>
      </c>
    </row>
    <row r="540" spans="1:20" x14ac:dyDescent="0.25">
      <c r="A540" s="6">
        <f>MOD(IF(ROW()=2,0.1,IF(INDEX(TimeEntry[WkEnd],ROW()-1)  =  INDEX(TimeEntry[WkEnd],ROW()-2),    INDEX(TimeEntry[format],ROW()-2),    INDEX(TimeEntry[format],ROW()-2)    +1)),2)</f>
        <v>0.10000000000000009</v>
      </c>
      <c r="B540" s="7"/>
      <c r="C540" s="8">
        <v>43663</v>
      </c>
      <c r="D540" s="8"/>
      <c r="E540" s="1" t="s">
        <v>456</v>
      </c>
      <c r="F540" s="8">
        <f>IF(TimeEntry[[#This Row],[Date]]=0,F539,C540+(7-Q540))</f>
        <v>43667</v>
      </c>
      <c r="G540" s="35" t="str">
        <f>INDEX(projects[Charge_Code],MATCH(TimeEntry[[#This Row],[Project_ID]],projects[Project_ID],0))</f>
        <v>210035-51 VBB 3rd - new bridge</v>
      </c>
      <c r="H540" s="1" t="str">
        <f t="shared" si="11"/>
        <v>Normal Time</v>
      </c>
      <c r="I540" s="1"/>
      <c r="J540" s="15">
        <v>1</v>
      </c>
      <c r="K540" s="15"/>
      <c r="L540" s="15"/>
      <c r="M540" s="15"/>
      <c r="N540" s="15"/>
      <c r="O540" s="15" t="str">
        <f>INDEX(projects[job number],MATCH(TimeEntry[[#This Row],[Project_ID]], projects[Project_ID],0))</f>
        <v>210035-51</v>
      </c>
      <c r="P540" s="15" t="str">
        <f>INDEX(projects[Project_Name],MATCH(TimeEntry[[#This Row],[Project_ID]], projects[Project_ID],0))</f>
        <v>VBB 3rd - new bridge</v>
      </c>
      <c r="Q540" s="6">
        <f>IF(TimeEntry[[#This Row],[Date]]=0,"",WEEKDAY(C540,2))</f>
        <v>3</v>
      </c>
      <c r="R540" s="9">
        <f>YEAR(TimeEntry[[#This Row],[WkEnd]])</f>
        <v>2019</v>
      </c>
      <c r="S540" s="9">
        <f>WEEKNUM(TimeEntry[[#This Row],[WkEnd]])</f>
        <v>30</v>
      </c>
      <c r="T540" s="9" t="str">
        <f>TimeEntry[[#This Row],[Year]]&amp;"-"&amp;TimeEntry[[#This Row],[WkNo]]</f>
        <v>2019-30</v>
      </c>
    </row>
    <row r="541" spans="1:20" x14ac:dyDescent="0.25">
      <c r="A541" s="6">
        <f>MOD(IF(ROW()=2,0.1,IF(INDEX(TimeEntry[WkEnd],ROW()-1)  =  INDEX(TimeEntry[WkEnd],ROW()-2),    INDEX(TimeEntry[format],ROW()-2),    INDEX(TimeEntry[format],ROW()-2)    +1)),2)</f>
        <v>0.10000000000000009</v>
      </c>
      <c r="B541" s="7"/>
      <c r="C541" s="8">
        <v>43663</v>
      </c>
      <c r="D541" s="8"/>
      <c r="E541" s="1" t="s">
        <v>460</v>
      </c>
      <c r="F541" s="8">
        <f>IF(TimeEntry[[#This Row],[Date]]=0,F540,C541+(7-Q541))</f>
        <v>43667</v>
      </c>
      <c r="G541" s="35" t="str">
        <f>INDEX(projects[Charge_Code],MATCH(TimeEntry[[#This Row],[Project_ID]],projects[Project_ID],0))</f>
        <v>265720-20 VBB - Assessment</v>
      </c>
      <c r="H541" s="1" t="str">
        <f t="shared" ref="H541:H604" si="12">"Normal Time"</f>
        <v>Normal Time</v>
      </c>
      <c r="I541" s="1"/>
      <c r="J541" s="15">
        <v>1.5</v>
      </c>
      <c r="K541" s="15"/>
      <c r="L541" s="15"/>
      <c r="M541" s="15"/>
      <c r="N541" s="15"/>
      <c r="O541" s="15" t="str">
        <f>INDEX(projects[job number],MATCH(TimeEntry[[#This Row],[Project_ID]], projects[Project_ID],0))</f>
        <v>265720-20</v>
      </c>
      <c r="P541" s="15" t="str">
        <f>INDEX(projects[Project_Name],MATCH(TimeEntry[[#This Row],[Project_ID]], projects[Project_ID],0))</f>
        <v>VBB - Assessment</v>
      </c>
      <c r="Q541" s="6">
        <f>IF(TimeEntry[[#This Row],[Date]]=0,"",WEEKDAY(C541,2))</f>
        <v>3</v>
      </c>
      <c r="R541" s="9">
        <f>YEAR(TimeEntry[[#This Row],[WkEnd]])</f>
        <v>2019</v>
      </c>
      <c r="S541" s="9">
        <f>WEEKNUM(TimeEntry[[#This Row],[WkEnd]])</f>
        <v>30</v>
      </c>
      <c r="T541" s="9" t="str">
        <f>TimeEntry[[#This Row],[Year]]&amp;"-"&amp;TimeEntry[[#This Row],[WkNo]]</f>
        <v>2019-30</v>
      </c>
    </row>
    <row r="542" spans="1:20" x14ac:dyDescent="0.25">
      <c r="A542" s="6">
        <f>MOD(IF(ROW()=2,0.1,IF(INDEX(TimeEntry[WkEnd],ROW()-1)  =  INDEX(TimeEntry[WkEnd],ROW()-2),    INDEX(TimeEntry[format],ROW()-2),    INDEX(TimeEntry[format],ROW()-2)    +1)),2)</f>
        <v>0.10000000000000009</v>
      </c>
      <c r="B542" s="7"/>
      <c r="C542" s="8">
        <v>43664</v>
      </c>
      <c r="D542" s="8"/>
      <c r="E542" s="1" t="s">
        <v>460</v>
      </c>
      <c r="F542" s="8">
        <f>IF(TimeEntry[[#This Row],[Date]]=0,F541,C542+(7-Q542))</f>
        <v>43667</v>
      </c>
      <c r="G542" s="35" t="str">
        <f>INDEX(projects[Charge_Code],MATCH(TimeEntry[[#This Row],[Project_ID]],projects[Project_ID],0))</f>
        <v>265720-20 VBB - Assessment</v>
      </c>
      <c r="H542" s="1" t="str">
        <f t="shared" si="12"/>
        <v>Normal Time</v>
      </c>
      <c r="I542" s="1"/>
      <c r="J542" s="15">
        <v>7.5</v>
      </c>
      <c r="K542" s="15"/>
      <c r="L542" s="15"/>
      <c r="M542" s="15"/>
      <c r="N542" s="15"/>
      <c r="O542" s="15" t="str">
        <f>INDEX(projects[job number],MATCH(TimeEntry[[#This Row],[Project_ID]], projects[Project_ID],0))</f>
        <v>265720-20</v>
      </c>
      <c r="P542" s="15" t="str">
        <f>INDEX(projects[Project_Name],MATCH(TimeEntry[[#This Row],[Project_ID]], projects[Project_ID],0))</f>
        <v>VBB - Assessment</v>
      </c>
      <c r="Q542" s="6">
        <f>IF(TimeEntry[[#This Row],[Date]]=0,"",WEEKDAY(C542,2))</f>
        <v>4</v>
      </c>
      <c r="R542" s="9">
        <f>YEAR(TimeEntry[[#This Row],[WkEnd]])</f>
        <v>2019</v>
      </c>
      <c r="S542" s="9">
        <f>WEEKNUM(TimeEntry[[#This Row],[WkEnd]])</f>
        <v>30</v>
      </c>
      <c r="T542" s="9" t="str">
        <f>TimeEntry[[#This Row],[Year]]&amp;"-"&amp;TimeEntry[[#This Row],[WkNo]]</f>
        <v>2019-30</v>
      </c>
    </row>
    <row r="543" spans="1:20" x14ac:dyDescent="0.25">
      <c r="A543" s="6">
        <f>MOD(IF(ROW()=2,0.1,IF(INDEX(TimeEntry[WkEnd],ROW()-1)  =  INDEX(TimeEntry[WkEnd],ROW()-2),    INDEX(TimeEntry[format],ROW()-2),    INDEX(TimeEntry[format],ROW()-2)    +1)),2)</f>
        <v>0.10000000000000009</v>
      </c>
      <c r="B543" s="7"/>
      <c r="C543" s="8">
        <v>43665</v>
      </c>
      <c r="D543" s="8"/>
      <c r="E543" s="1" t="s">
        <v>445</v>
      </c>
      <c r="F543" s="8">
        <f>IF(TimeEntry[[#This Row],[Date]]=0,F542,C543+(7-Q543))</f>
        <v>43667</v>
      </c>
      <c r="G543" s="35" t="str">
        <f>INDEX(projects[Charge_Code],MATCH(TimeEntry[[#This Row],[Project_ID]],projects[Project_ID],0))</f>
        <v>LEAVE</v>
      </c>
      <c r="H543" s="1" t="str">
        <f t="shared" si="12"/>
        <v>Normal Time</v>
      </c>
      <c r="I543" s="1"/>
      <c r="J543" s="15">
        <v>7.5</v>
      </c>
      <c r="K543" s="15"/>
      <c r="L543" s="15"/>
      <c r="M543" s="15"/>
      <c r="N543" s="15"/>
      <c r="O543" s="15" t="str">
        <f>INDEX(projects[job number],MATCH(TimeEntry[[#This Row],[Project_ID]], projects[Project_ID],0))</f>
        <v>LEAVE</v>
      </c>
      <c r="P543" s="15">
        <f>INDEX(projects[Project_Name],MATCH(TimeEntry[[#This Row],[Project_ID]], projects[Project_ID],0))</f>
        <v>0</v>
      </c>
      <c r="Q543" s="6">
        <f>IF(TimeEntry[[#This Row],[Date]]=0,"",WEEKDAY(C543,2))</f>
        <v>5</v>
      </c>
      <c r="R543" s="9">
        <f>YEAR(TimeEntry[[#This Row],[WkEnd]])</f>
        <v>2019</v>
      </c>
      <c r="S543" s="9">
        <f>WEEKNUM(TimeEntry[[#This Row],[WkEnd]])</f>
        <v>30</v>
      </c>
      <c r="T543" s="9" t="str">
        <f>TimeEntry[[#This Row],[Year]]&amp;"-"&amp;TimeEntry[[#This Row],[WkNo]]</f>
        <v>2019-30</v>
      </c>
    </row>
    <row r="544" spans="1:20" x14ac:dyDescent="0.25">
      <c r="A544" s="6">
        <f>MOD(IF(ROW()=2,0.1,IF(INDEX(TimeEntry[WkEnd],ROW()-1)  =  INDEX(TimeEntry[WkEnd],ROW()-2),    INDEX(TimeEntry[format],ROW()-2),    INDEX(TimeEntry[format],ROW()-2)    +1)),2)</f>
        <v>1.1000000000000001</v>
      </c>
      <c r="B544" s="7"/>
      <c r="C544" s="8">
        <v>43654</v>
      </c>
      <c r="D544" s="8"/>
      <c r="E544" s="1" t="s">
        <v>445</v>
      </c>
      <c r="F544" s="8">
        <f>IF(TimeEntry[[#This Row],[Date]]=0,F543,C544+(7-Q544))</f>
        <v>43660</v>
      </c>
      <c r="G544" s="35" t="str">
        <f>INDEX(projects[Charge_Code],MATCH(TimeEntry[[#This Row],[Project_ID]],projects[Project_ID],0))</f>
        <v>LEAVE</v>
      </c>
      <c r="H544" s="1" t="str">
        <f t="shared" si="12"/>
        <v>Normal Time</v>
      </c>
      <c r="I544" s="1"/>
      <c r="J544" s="15">
        <v>7.5</v>
      </c>
      <c r="K544" s="15"/>
      <c r="L544" s="15"/>
      <c r="M544" s="15"/>
      <c r="N544" s="15"/>
      <c r="O544" s="15" t="str">
        <f>INDEX(projects[job number],MATCH(TimeEntry[[#This Row],[Project_ID]], projects[Project_ID],0))</f>
        <v>LEAVE</v>
      </c>
      <c r="P544" s="15">
        <f>INDEX(projects[Project_Name],MATCH(TimeEntry[[#This Row],[Project_ID]], projects[Project_ID],0))</f>
        <v>0</v>
      </c>
      <c r="Q544" s="6">
        <f>IF(TimeEntry[[#This Row],[Date]]=0,"",WEEKDAY(C544,2))</f>
        <v>1</v>
      </c>
      <c r="R544" s="9">
        <f>YEAR(TimeEntry[[#This Row],[WkEnd]])</f>
        <v>2019</v>
      </c>
      <c r="S544" s="9">
        <f>WEEKNUM(TimeEntry[[#This Row],[WkEnd]])</f>
        <v>29</v>
      </c>
      <c r="T544" s="9" t="str">
        <f>TimeEntry[[#This Row],[Year]]&amp;"-"&amp;TimeEntry[[#This Row],[WkNo]]</f>
        <v>2019-29</v>
      </c>
    </row>
    <row r="545" spans="1:20" x14ac:dyDescent="0.25">
      <c r="A545" s="6">
        <f>MOD(IF(ROW()=2,0.1,IF(INDEX(TimeEntry[WkEnd],ROW()-1)  =  INDEX(TimeEntry[WkEnd],ROW()-2),    INDEX(TimeEntry[format],ROW()-2),    INDEX(TimeEntry[format],ROW()-2)    +1)),2)</f>
        <v>1.1000000000000001</v>
      </c>
      <c r="B545" s="7"/>
      <c r="C545" s="8">
        <v>43655</v>
      </c>
      <c r="D545" s="8"/>
      <c r="E545" s="1" t="s">
        <v>460</v>
      </c>
      <c r="F545" s="8">
        <f>IF(TimeEntry[[#This Row],[Date]]=0,F544,C545+(7-Q545))</f>
        <v>43660</v>
      </c>
      <c r="G545" s="35" t="str">
        <f>INDEX(projects[Charge_Code],MATCH(TimeEntry[[#This Row],[Project_ID]],projects[Project_ID],0))</f>
        <v>265720-20 VBB - Assessment</v>
      </c>
      <c r="H545" s="1" t="str">
        <f t="shared" si="12"/>
        <v>Normal Time</v>
      </c>
      <c r="I545" s="1"/>
      <c r="J545" s="15">
        <v>7.5</v>
      </c>
      <c r="K545" s="15"/>
      <c r="L545" s="15"/>
      <c r="M545" s="15"/>
      <c r="N545" s="15"/>
      <c r="O545" s="15" t="str">
        <f>INDEX(projects[job number],MATCH(TimeEntry[[#This Row],[Project_ID]], projects[Project_ID],0))</f>
        <v>265720-20</v>
      </c>
      <c r="P545" s="15" t="str">
        <f>INDEX(projects[Project_Name],MATCH(TimeEntry[[#This Row],[Project_ID]], projects[Project_ID],0))</f>
        <v>VBB - Assessment</v>
      </c>
      <c r="Q545" s="6">
        <f>IF(TimeEntry[[#This Row],[Date]]=0,"",WEEKDAY(C545,2))</f>
        <v>2</v>
      </c>
      <c r="R545" s="9">
        <f>YEAR(TimeEntry[[#This Row],[WkEnd]])</f>
        <v>2019</v>
      </c>
      <c r="S545" s="9">
        <f>WEEKNUM(TimeEntry[[#This Row],[WkEnd]])</f>
        <v>29</v>
      </c>
      <c r="T545" s="9" t="str">
        <f>TimeEntry[[#This Row],[Year]]&amp;"-"&amp;TimeEntry[[#This Row],[WkNo]]</f>
        <v>2019-29</v>
      </c>
    </row>
    <row r="546" spans="1:20" x14ac:dyDescent="0.25">
      <c r="A546" s="6">
        <f>MOD(IF(ROW()=2,0.1,IF(INDEX(TimeEntry[WkEnd],ROW()-1)  =  INDEX(TimeEntry[WkEnd],ROW()-2),    INDEX(TimeEntry[format],ROW()-2),    INDEX(TimeEntry[format],ROW()-2)    +1)),2)</f>
        <v>1.1000000000000001</v>
      </c>
      <c r="B546" s="7"/>
      <c r="C546" s="8">
        <v>43656</v>
      </c>
      <c r="D546" s="8"/>
      <c r="E546" s="1" t="s">
        <v>456</v>
      </c>
      <c r="F546" s="8">
        <f>IF(TimeEntry[[#This Row],[Date]]=0,F545,C546+(7-Q546))</f>
        <v>43660</v>
      </c>
      <c r="G546" s="35" t="str">
        <f>INDEX(projects[Charge_Code],MATCH(TimeEntry[[#This Row],[Project_ID]],projects[Project_ID],0))</f>
        <v>210035-51 VBB 3rd - new bridge</v>
      </c>
      <c r="H546" s="1" t="str">
        <f t="shared" si="12"/>
        <v>Normal Time</v>
      </c>
      <c r="I546" s="1"/>
      <c r="J546" s="15">
        <v>2</v>
      </c>
      <c r="K546" s="15"/>
      <c r="L546" s="15"/>
      <c r="M546" s="15"/>
      <c r="N546" s="15"/>
      <c r="O546" s="15" t="str">
        <f>INDEX(projects[job number],MATCH(TimeEntry[[#This Row],[Project_ID]], projects[Project_ID],0))</f>
        <v>210035-51</v>
      </c>
      <c r="P546" s="15" t="str">
        <f>INDEX(projects[Project_Name],MATCH(TimeEntry[[#This Row],[Project_ID]], projects[Project_ID],0))</f>
        <v>VBB 3rd - new bridge</v>
      </c>
      <c r="Q546" s="6">
        <f>IF(TimeEntry[[#This Row],[Date]]=0,"",WEEKDAY(C546,2))</f>
        <v>3</v>
      </c>
      <c r="R546" s="9">
        <f>YEAR(TimeEntry[[#This Row],[WkEnd]])</f>
        <v>2019</v>
      </c>
      <c r="S546" s="9">
        <f>WEEKNUM(TimeEntry[[#This Row],[WkEnd]])</f>
        <v>29</v>
      </c>
      <c r="T546" s="9" t="str">
        <f>TimeEntry[[#This Row],[Year]]&amp;"-"&amp;TimeEntry[[#This Row],[WkNo]]</f>
        <v>2019-29</v>
      </c>
    </row>
    <row r="547" spans="1:20" x14ac:dyDescent="0.25">
      <c r="A547" s="6">
        <f>MOD(IF(ROW()=2,0.1,IF(INDEX(TimeEntry[WkEnd],ROW()-1)  =  INDEX(TimeEntry[WkEnd],ROW()-2),    INDEX(TimeEntry[format],ROW()-2),    INDEX(TimeEntry[format],ROW()-2)    +1)),2)</f>
        <v>1.1000000000000001</v>
      </c>
      <c r="B547" s="7"/>
      <c r="C547" s="8">
        <v>43656</v>
      </c>
      <c r="D547" s="8"/>
      <c r="E547" s="1" t="s">
        <v>449</v>
      </c>
      <c r="F547" s="8">
        <f>IF(TimeEntry[[#This Row],[Date]]=0,F546,C547+(7-Q547))</f>
        <v>43660</v>
      </c>
      <c r="G547" s="35" t="str">
        <f>INDEX(projects[Charge_Code],MATCH(TimeEntry[[#This Row],[Project_ID]],projects[Project_ID],0))</f>
        <v>255670-17 LOWER KINGS ROAD ASSESSMENT (01-382)</v>
      </c>
      <c r="H547" s="1" t="str">
        <f t="shared" si="12"/>
        <v>Normal Time</v>
      </c>
      <c r="I547" s="1"/>
      <c r="J547" s="15">
        <v>1</v>
      </c>
      <c r="K547" s="15"/>
      <c r="L547" s="15"/>
      <c r="M547" s="15"/>
      <c r="N547" s="15"/>
      <c r="O547" s="15" t="str">
        <f>INDEX(projects[job number],MATCH(TimeEntry[[#This Row],[Project_ID]], projects[Project_ID],0))</f>
        <v>255670-17</v>
      </c>
      <c r="P547" s="15" t="str">
        <f>INDEX(projects[Project_Name],MATCH(TimeEntry[[#This Row],[Project_ID]], projects[Project_ID],0))</f>
        <v>LOWER KINGS ROAD ASSESSMENT</v>
      </c>
      <c r="Q547" s="6">
        <f>IF(TimeEntry[[#This Row],[Date]]=0,"",WEEKDAY(C547,2))</f>
        <v>3</v>
      </c>
      <c r="R547" s="9">
        <f>YEAR(TimeEntry[[#This Row],[WkEnd]])</f>
        <v>2019</v>
      </c>
      <c r="S547" s="9">
        <f>WEEKNUM(TimeEntry[[#This Row],[WkEnd]])</f>
        <v>29</v>
      </c>
      <c r="T547" s="9" t="str">
        <f>TimeEntry[[#This Row],[Year]]&amp;"-"&amp;TimeEntry[[#This Row],[WkNo]]</f>
        <v>2019-29</v>
      </c>
    </row>
    <row r="548" spans="1:20" x14ac:dyDescent="0.25">
      <c r="A548" s="6">
        <f>MOD(IF(ROW()=2,0.1,IF(INDEX(TimeEntry[WkEnd],ROW()-1)  =  INDEX(TimeEntry[WkEnd],ROW()-2),    INDEX(TimeEntry[format],ROW()-2),    INDEX(TimeEntry[format],ROW()-2)    +1)),2)</f>
        <v>1.1000000000000001</v>
      </c>
      <c r="B548" s="7"/>
      <c r="C548" s="8">
        <v>43656</v>
      </c>
      <c r="D548" s="8"/>
      <c r="E548" s="1" t="s">
        <v>460</v>
      </c>
      <c r="F548" s="8">
        <f>IF(TimeEntry[[#This Row],[Date]]=0,F547,C548+(7-Q548))</f>
        <v>43660</v>
      </c>
      <c r="G548" s="35" t="str">
        <f>INDEX(projects[Charge_Code],MATCH(TimeEntry[[#This Row],[Project_ID]],projects[Project_ID],0))</f>
        <v>265720-20 VBB - Assessment</v>
      </c>
      <c r="H548" s="1" t="str">
        <f t="shared" si="12"/>
        <v>Normal Time</v>
      </c>
      <c r="I548" s="1"/>
      <c r="J548" s="15">
        <v>4.5</v>
      </c>
      <c r="K548" s="15"/>
      <c r="L548" s="15"/>
      <c r="M548" s="15"/>
      <c r="N548" s="15"/>
      <c r="O548" s="15" t="str">
        <f>INDEX(projects[job number],MATCH(TimeEntry[[#This Row],[Project_ID]], projects[Project_ID],0))</f>
        <v>265720-20</v>
      </c>
      <c r="P548" s="15" t="str">
        <f>INDEX(projects[Project_Name],MATCH(TimeEntry[[#This Row],[Project_ID]], projects[Project_ID],0))</f>
        <v>VBB - Assessment</v>
      </c>
      <c r="Q548" s="6">
        <f>IF(TimeEntry[[#This Row],[Date]]=0,"",WEEKDAY(C548,2))</f>
        <v>3</v>
      </c>
      <c r="R548" s="9">
        <f>YEAR(TimeEntry[[#This Row],[WkEnd]])</f>
        <v>2019</v>
      </c>
      <c r="S548" s="9">
        <f>WEEKNUM(TimeEntry[[#This Row],[WkEnd]])</f>
        <v>29</v>
      </c>
      <c r="T548" s="9" t="str">
        <f>TimeEntry[[#This Row],[Year]]&amp;"-"&amp;TimeEntry[[#This Row],[WkNo]]</f>
        <v>2019-29</v>
      </c>
    </row>
    <row r="549" spans="1:20" x14ac:dyDescent="0.25">
      <c r="A549" s="6">
        <f>MOD(IF(ROW()=2,0.1,IF(INDEX(TimeEntry[WkEnd],ROW()-1)  =  INDEX(TimeEntry[WkEnd],ROW()-2),    INDEX(TimeEntry[format],ROW()-2),    INDEX(TimeEntry[format],ROW()-2)    +1)),2)</f>
        <v>1.1000000000000001</v>
      </c>
      <c r="B549" s="7"/>
      <c r="C549" s="8">
        <v>43657</v>
      </c>
      <c r="D549" s="8"/>
      <c r="E549" s="1" t="s">
        <v>456</v>
      </c>
      <c r="F549" s="8">
        <f>IF(TimeEntry[[#This Row],[Date]]=0,F548,C549+(7-Q549))</f>
        <v>43660</v>
      </c>
      <c r="G549" s="35" t="str">
        <f>INDEX(projects[Charge_Code],MATCH(TimeEntry[[#This Row],[Project_ID]],projects[Project_ID],0))</f>
        <v>210035-51 VBB 3rd - new bridge</v>
      </c>
      <c r="H549" s="1" t="str">
        <f t="shared" si="12"/>
        <v>Normal Time</v>
      </c>
      <c r="I549" s="1"/>
      <c r="J549" s="15">
        <v>3.75</v>
      </c>
      <c r="K549" s="15"/>
      <c r="L549" s="15"/>
      <c r="M549" s="15"/>
      <c r="N549" s="15"/>
      <c r="O549" s="15" t="str">
        <f>INDEX(projects[job number],MATCH(TimeEntry[[#This Row],[Project_ID]], projects[Project_ID],0))</f>
        <v>210035-51</v>
      </c>
      <c r="P549" s="15" t="str">
        <f>INDEX(projects[Project_Name],MATCH(TimeEntry[[#This Row],[Project_ID]], projects[Project_ID],0))</f>
        <v>VBB 3rd - new bridge</v>
      </c>
      <c r="Q549" s="6">
        <f>IF(TimeEntry[[#This Row],[Date]]=0,"",WEEKDAY(C549,2))</f>
        <v>4</v>
      </c>
      <c r="R549" s="9">
        <f>YEAR(TimeEntry[[#This Row],[WkEnd]])</f>
        <v>2019</v>
      </c>
      <c r="S549" s="9">
        <f>WEEKNUM(TimeEntry[[#This Row],[WkEnd]])</f>
        <v>29</v>
      </c>
      <c r="T549" s="9" t="str">
        <f>TimeEntry[[#This Row],[Year]]&amp;"-"&amp;TimeEntry[[#This Row],[WkNo]]</f>
        <v>2019-29</v>
      </c>
    </row>
    <row r="550" spans="1:20" x14ac:dyDescent="0.25">
      <c r="A550" s="6">
        <f>MOD(IF(ROW()=2,0.1,IF(INDEX(TimeEntry[WkEnd],ROW()-1)  =  INDEX(TimeEntry[WkEnd],ROW()-2),    INDEX(TimeEntry[format],ROW()-2),    INDEX(TimeEntry[format],ROW()-2)    +1)),2)</f>
        <v>1.1000000000000001</v>
      </c>
      <c r="B550" s="7"/>
      <c r="C550" s="8">
        <v>43657</v>
      </c>
      <c r="D550" s="8"/>
      <c r="E550" s="1" t="s">
        <v>460</v>
      </c>
      <c r="F550" s="8">
        <f>IF(TimeEntry[[#This Row],[Date]]=0,F549,C550+(7-Q550))</f>
        <v>43660</v>
      </c>
      <c r="G550" s="35" t="str">
        <f>INDEX(projects[Charge_Code],MATCH(TimeEntry[[#This Row],[Project_ID]],projects[Project_ID],0))</f>
        <v>265720-20 VBB - Assessment</v>
      </c>
      <c r="H550" s="1" t="str">
        <f t="shared" si="12"/>
        <v>Normal Time</v>
      </c>
      <c r="I550" s="1"/>
      <c r="J550" s="15">
        <v>3.75</v>
      </c>
      <c r="K550" s="15"/>
      <c r="L550" s="15"/>
      <c r="M550" s="15"/>
      <c r="N550" s="15"/>
      <c r="O550" s="15" t="str">
        <f>INDEX(projects[job number],MATCH(TimeEntry[[#This Row],[Project_ID]], projects[Project_ID],0))</f>
        <v>265720-20</v>
      </c>
      <c r="P550" s="15" t="str">
        <f>INDEX(projects[Project_Name],MATCH(TimeEntry[[#This Row],[Project_ID]], projects[Project_ID],0))</f>
        <v>VBB - Assessment</v>
      </c>
      <c r="Q550" s="6">
        <f>IF(TimeEntry[[#This Row],[Date]]=0,"",WEEKDAY(C550,2))</f>
        <v>4</v>
      </c>
      <c r="R550" s="9">
        <f>YEAR(TimeEntry[[#This Row],[WkEnd]])</f>
        <v>2019</v>
      </c>
      <c r="S550" s="9">
        <f>WEEKNUM(TimeEntry[[#This Row],[WkEnd]])</f>
        <v>29</v>
      </c>
      <c r="T550" s="9" t="str">
        <f>TimeEntry[[#This Row],[Year]]&amp;"-"&amp;TimeEntry[[#This Row],[WkNo]]</f>
        <v>2019-29</v>
      </c>
    </row>
    <row r="551" spans="1:20" x14ac:dyDescent="0.25">
      <c r="A551" s="6">
        <f>MOD(IF(ROW()=2,0.1,IF(INDEX(TimeEntry[WkEnd],ROW()-1)  =  INDEX(TimeEntry[WkEnd],ROW()-2),    INDEX(TimeEntry[format],ROW()-2),    INDEX(TimeEntry[format],ROW()-2)    +1)),2)</f>
        <v>1.1000000000000001</v>
      </c>
      <c r="B551" s="7"/>
      <c r="C551" s="8">
        <v>43658</v>
      </c>
      <c r="D551" s="8"/>
      <c r="E551" s="1" t="s">
        <v>456</v>
      </c>
      <c r="F551" s="8">
        <f>IF(TimeEntry[[#This Row],[Date]]=0,F550,C551+(7-Q551))</f>
        <v>43660</v>
      </c>
      <c r="G551" s="35" t="str">
        <f>INDEX(projects[Charge_Code],MATCH(TimeEntry[[#This Row],[Project_ID]],projects[Project_ID],0))</f>
        <v>210035-51 VBB 3rd - new bridge</v>
      </c>
      <c r="H551" s="1" t="str">
        <f t="shared" si="12"/>
        <v>Normal Time</v>
      </c>
      <c r="I551" s="1"/>
      <c r="J551" s="15">
        <v>3.75</v>
      </c>
      <c r="K551" s="15"/>
      <c r="L551" s="15"/>
      <c r="M551" s="15"/>
      <c r="N551" s="15"/>
      <c r="O551" s="15" t="str">
        <f>INDEX(projects[job number],MATCH(TimeEntry[[#This Row],[Project_ID]], projects[Project_ID],0))</f>
        <v>210035-51</v>
      </c>
      <c r="P551" s="15" t="str">
        <f>INDEX(projects[Project_Name],MATCH(TimeEntry[[#This Row],[Project_ID]], projects[Project_ID],0))</f>
        <v>VBB 3rd - new bridge</v>
      </c>
      <c r="Q551" s="6">
        <f>IF(TimeEntry[[#This Row],[Date]]=0,"",WEEKDAY(C551,2))</f>
        <v>5</v>
      </c>
      <c r="R551" s="9">
        <f>YEAR(TimeEntry[[#This Row],[WkEnd]])</f>
        <v>2019</v>
      </c>
      <c r="S551" s="9">
        <f>WEEKNUM(TimeEntry[[#This Row],[WkEnd]])</f>
        <v>29</v>
      </c>
      <c r="T551" s="9" t="str">
        <f>TimeEntry[[#This Row],[Year]]&amp;"-"&amp;TimeEntry[[#This Row],[WkNo]]</f>
        <v>2019-29</v>
      </c>
    </row>
    <row r="552" spans="1:20" x14ac:dyDescent="0.25">
      <c r="A552" s="6">
        <f>MOD(IF(ROW()=2,0.1,IF(INDEX(TimeEntry[WkEnd],ROW()-1)  =  INDEX(TimeEntry[WkEnd],ROW()-2),    INDEX(TimeEntry[format],ROW()-2),    INDEX(TimeEntry[format],ROW()-2)    +1)),2)</f>
        <v>1.1000000000000001</v>
      </c>
      <c r="B552" s="7"/>
      <c r="C552" s="8">
        <v>43658</v>
      </c>
      <c r="D552" s="8"/>
      <c r="E552" s="1" t="s">
        <v>460</v>
      </c>
      <c r="F552" s="8">
        <f>IF(TimeEntry[[#This Row],[Date]]=0,F551,C552+(7-Q552))</f>
        <v>43660</v>
      </c>
      <c r="G552" s="35" t="str">
        <f>INDEX(projects[Charge_Code],MATCH(TimeEntry[[#This Row],[Project_ID]],projects[Project_ID],0))</f>
        <v>265720-20 VBB - Assessment</v>
      </c>
      <c r="H552" s="1" t="str">
        <f t="shared" si="12"/>
        <v>Normal Time</v>
      </c>
      <c r="I552" s="1"/>
      <c r="J552" s="15">
        <v>3.75</v>
      </c>
      <c r="K552" s="15"/>
      <c r="L552" s="15"/>
      <c r="M552" s="15"/>
      <c r="N552" s="15"/>
      <c r="O552" s="15" t="str">
        <f>INDEX(projects[job number],MATCH(TimeEntry[[#This Row],[Project_ID]], projects[Project_ID],0))</f>
        <v>265720-20</v>
      </c>
      <c r="P552" s="15" t="str">
        <f>INDEX(projects[Project_Name],MATCH(TimeEntry[[#This Row],[Project_ID]], projects[Project_ID],0))</f>
        <v>VBB - Assessment</v>
      </c>
      <c r="Q552" s="6">
        <f>IF(TimeEntry[[#This Row],[Date]]=0,"",WEEKDAY(C552,2))</f>
        <v>5</v>
      </c>
      <c r="R552" s="9">
        <f>YEAR(TimeEntry[[#This Row],[WkEnd]])</f>
        <v>2019</v>
      </c>
      <c r="S552" s="9">
        <f>WEEKNUM(TimeEntry[[#This Row],[WkEnd]])</f>
        <v>29</v>
      </c>
      <c r="T552" s="9" t="str">
        <f>TimeEntry[[#This Row],[Year]]&amp;"-"&amp;TimeEntry[[#This Row],[WkNo]]</f>
        <v>2019-29</v>
      </c>
    </row>
    <row r="553" spans="1:20" x14ac:dyDescent="0.25">
      <c r="A553" s="6">
        <f>MOD(IF(ROW()=2,0.1,IF(INDEX(TimeEntry[WkEnd],ROW()-1)  =  INDEX(TimeEntry[WkEnd],ROW()-2),    INDEX(TimeEntry[format],ROW()-2),    INDEX(TimeEntry[format],ROW()-2)    +1)),2)</f>
        <v>0.10000000000000009</v>
      </c>
      <c r="B553" s="7"/>
      <c r="C553" s="8">
        <v>43647</v>
      </c>
      <c r="D553" s="8"/>
      <c r="E553" s="1" t="s">
        <v>465</v>
      </c>
      <c r="F553" s="8">
        <f>IF(TimeEntry[[#This Row],[Date]]=0,F552,C553+(7-Q553))</f>
        <v>43653</v>
      </c>
      <c r="G553" s="35" t="str">
        <f>INDEX(projects[Charge_Code],MATCH(TimeEntry[[#This Row],[Project_ID]],projects[Project_ID],0))</f>
        <v>215526-27 CP - Assessment (01-124)</v>
      </c>
      <c r="H553" s="1" t="str">
        <f t="shared" si="12"/>
        <v>Normal Time</v>
      </c>
      <c r="I553" s="1"/>
      <c r="J553" s="15">
        <v>3.5</v>
      </c>
      <c r="K553" s="15"/>
      <c r="L553" s="15"/>
      <c r="M553" s="15"/>
      <c r="N553" s="15"/>
      <c r="O553" s="15" t="str">
        <f>INDEX(projects[job number],MATCH(TimeEntry[[#This Row],[Project_ID]], projects[Project_ID],0))</f>
        <v>215526-27</v>
      </c>
      <c r="P553" s="15" t="str">
        <f>INDEX(projects[Project_Name],MATCH(TimeEntry[[#This Row],[Project_ID]], projects[Project_ID],0))</f>
        <v>CP - Assessment</v>
      </c>
      <c r="Q553" s="6">
        <f>IF(TimeEntry[[#This Row],[Date]]=0,"",WEEKDAY(C553,2))</f>
        <v>1</v>
      </c>
      <c r="R553" s="9">
        <f>YEAR(TimeEntry[[#This Row],[WkEnd]])</f>
        <v>2019</v>
      </c>
      <c r="S553" s="9">
        <f>WEEKNUM(TimeEntry[[#This Row],[WkEnd]])</f>
        <v>28</v>
      </c>
      <c r="T553" s="9" t="str">
        <f>TimeEntry[[#This Row],[Year]]&amp;"-"&amp;TimeEntry[[#This Row],[WkNo]]</f>
        <v>2019-28</v>
      </c>
    </row>
    <row r="554" spans="1:20" x14ac:dyDescent="0.25">
      <c r="A554" s="6">
        <f>MOD(IF(ROW()=2,0.1,IF(INDEX(TimeEntry[WkEnd],ROW()-1)  =  INDEX(TimeEntry[WkEnd],ROW()-2),    INDEX(TimeEntry[format],ROW()-2),    INDEX(TimeEntry[format],ROW()-2)    +1)),2)</f>
        <v>0.10000000000000009</v>
      </c>
      <c r="B554" s="7"/>
      <c r="C554" s="8">
        <v>43647</v>
      </c>
      <c r="D554" s="8"/>
      <c r="E554" s="1" t="s">
        <v>449</v>
      </c>
      <c r="F554" s="8">
        <f>IF(TimeEntry[[#This Row],[Date]]=0,F553,C554+(7-Q554))</f>
        <v>43653</v>
      </c>
      <c r="G554" s="35" t="str">
        <f>INDEX(projects[Charge_Code],MATCH(TimeEntry[[#This Row],[Project_ID]],projects[Project_ID],0))</f>
        <v>255670-17 LOWER KINGS ROAD ASSESSMENT (01-382)</v>
      </c>
      <c r="H554" s="1" t="str">
        <f t="shared" si="12"/>
        <v>Normal Time</v>
      </c>
      <c r="I554" s="1"/>
      <c r="J554" s="15">
        <v>4</v>
      </c>
      <c r="K554" s="15"/>
      <c r="L554" s="15"/>
      <c r="M554" s="15"/>
      <c r="N554" s="15"/>
      <c r="O554" s="15" t="str">
        <f>INDEX(projects[job number],MATCH(TimeEntry[[#This Row],[Project_ID]], projects[Project_ID],0))</f>
        <v>255670-17</v>
      </c>
      <c r="P554" s="15" t="str">
        <f>INDEX(projects[Project_Name],MATCH(TimeEntry[[#This Row],[Project_ID]], projects[Project_ID],0))</f>
        <v>LOWER KINGS ROAD ASSESSMENT</v>
      </c>
      <c r="Q554" s="6">
        <f>IF(TimeEntry[[#This Row],[Date]]=0,"",WEEKDAY(C554,2))</f>
        <v>1</v>
      </c>
      <c r="R554" s="9">
        <f>YEAR(TimeEntry[[#This Row],[WkEnd]])</f>
        <v>2019</v>
      </c>
      <c r="S554" s="9">
        <f>WEEKNUM(TimeEntry[[#This Row],[WkEnd]])</f>
        <v>28</v>
      </c>
      <c r="T554" s="9" t="str">
        <f>TimeEntry[[#This Row],[Year]]&amp;"-"&amp;TimeEntry[[#This Row],[WkNo]]</f>
        <v>2019-28</v>
      </c>
    </row>
    <row r="555" spans="1:20" x14ac:dyDescent="0.25">
      <c r="A555" s="6">
        <f>MOD(IF(ROW()=2,0.1,IF(INDEX(TimeEntry[WkEnd],ROW()-1)  =  INDEX(TimeEntry[WkEnd],ROW()-2),    INDEX(TimeEntry[format],ROW()-2),    INDEX(TimeEntry[format],ROW()-2)    +1)),2)</f>
        <v>0.10000000000000009</v>
      </c>
      <c r="B555" s="7"/>
      <c r="C555" s="8">
        <v>43648</v>
      </c>
      <c r="D555" s="8"/>
      <c r="E555" s="1" t="s">
        <v>460</v>
      </c>
      <c r="F555" s="8">
        <f>IF(TimeEntry[[#This Row],[Date]]=0,F554,C555+(7-Q555))</f>
        <v>43653</v>
      </c>
      <c r="G555" s="35" t="str">
        <f>INDEX(projects[Charge_Code],MATCH(TimeEntry[[#This Row],[Project_ID]],projects[Project_ID],0))</f>
        <v>265720-20 VBB - Assessment</v>
      </c>
      <c r="H555" s="1" t="str">
        <f t="shared" si="12"/>
        <v>Normal Time</v>
      </c>
      <c r="I555" s="1"/>
      <c r="J555" s="15">
        <v>3.75</v>
      </c>
      <c r="K555" s="15"/>
      <c r="L555" s="15"/>
      <c r="M555" s="15"/>
      <c r="N555" s="15"/>
      <c r="O555" s="15" t="str">
        <f>INDEX(projects[job number],MATCH(TimeEntry[[#This Row],[Project_ID]], projects[Project_ID],0))</f>
        <v>265720-20</v>
      </c>
      <c r="P555" s="15" t="str">
        <f>INDEX(projects[Project_Name],MATCH(TimeEntry[[#This Row],[Project_ID]], projects[Project_ID],0))</f>
        <v>VBB - Assessment</v>
      </c>
      <c r="Q555" s="6">
        <f>IF(TimeEntry[[#This Row],[Date]]=0,"",WEEKDAY(C555,2))</f>
        <v>2</v>
      </c>
      <c r="R555" s="9">
        <f>YEAR(TimeEntry[[#This Row],[WkEnd]])</f>
        <v>2019</v>
      </c>
      <c r="S555" s="9">
        <f>WEEKNUM(TimeEntry[[#This Row],[WkEnd]])</f>
        <v>28</v>
      </c>
      <c r="T555" s="9" t="str">
        <f>TimeEntry[[#This Row],[Year]]&amp;"-"&amp;TimeEntry[[#This Row],[WkNo]]</f>
        <v>2019-28</v>
      </c>
    </row>
    <row r="556" spans="1:20" x14ac:dyDescent="0.25">
      <c r="A556" s="6">
        <f>MOD(IF(ROW()=2,0.1,IF(INDEX(TimeEntry[WkEnd],ROW()-1)  =  INDEX(TimeEntry[WkEnd],ROW()-2),    INDEX(TimeEntry[format],ROW()-2),    INDEX(TimeEntry[format],ROW()-2)    +1)),2)</f>
        <v>0.10000000000000009</v>
      </c>
      <c r="B556" s="7"/>
      <c r="C556" s="8">
        <v>43648</v>
      </c>
      <c r="D556" s="8"/>
      <c r="E556" s="1" t="s">
        <v>464</v>
      </c>
      <c r="F556" s="8">
        <f>IF(TimeEntry[[#This Row],[Date]]=0,F555,C556+(7-Q556))</f>
        <v>43653</v>
      </c>
      <c r="G556" s="35" t="str">
        <f>INDEX(projects[Charge_Code],MATCH(TimeEntry[[#This Row],[Project_ID]],projects[Project_ID],0))</f>
        <v>071945-07 BCS - promotional</v>
      </c>
      <c r="H556" s="1" t="str">
        <f t="shared" si="12"/>
        <v>Normal Time</v>
      </c>
      <c r="I556" s="1"/>
      <c r="J556" s="15">
        <v>3.75</v>
      </c>
      <c r="K556" s="15"/>
      <c r="L556" s="15"/>
      <c r="M556" s="15"/>
      <c r="N556" s="15"/>
      <c r="O556" s="15" t="str">
        <f>INDEX(projects[job number],MATCH(TimeEntry[[#This Row],[Project_ID]], projects[Project_ID],0))</f>
        <v>071945-07</v>
      </c>
      <c r="P556" s="15" t="str">
        <f>INDEX(projects[Project_Name],MATCH(TimeEntry[[#This Row],[Project_ID]], projects[Project_ID],0))</f>
        <v>BCS - promotional</v>
      </c>
      <c r="Q556" s="6">
        <f>IF(TimeEntry[[#This Row],[Date]]=0,"",WEEKDAY(C556,2))</f>
        <v>2</v>
      </c>
      <c r="R556" s="9">
        <f>YEAR(TimeEntry[[#This Row],[WkEnd]])</f>
        <v>2019</v>
      </c>
      <c r="S556" s="9">
        <f>WEEKNUM(TimeEntry[[#This Row],[WkEnd]])</f>
        <v>28</v>
      </c>
      <c r="T556" s="9" t="str">
        <f>TimeEntry[[#This Row],[Year]]&amp;"-"&amp;TimeEntry[[#This Row],[WkNo]]</f>
        <v>2019-28</v>
      </c>
    </row>
    <row r="557" spans="1:20" x14ac:dyDescent="0.25">
      <c r="A557" s="6">
        <f>MOD(IF(ROW()=2,0.1,IF(INDEX(TimeEntry[WkEnd],ROW()-1)  =  INDEX(TimeEntry[WkEnd],ROW()-2),    INDEX(TimeEntry[format],ROW()-2),    INDEX(TimeEntry[format],ROW()-2)    +1)),2)</f>
        <v>0.10000000000000009</v>
      </c>
      <c r="B557" s="7"/>
      <c r="C557" s="8">
        <v>43649</v>
      </c>
      <c r="D557" s="8"/>
      <c r="E557" s="1" t="s">
        <v>460</v>
      </c>
      <c r="F557" s="8">
        <f>IF(TimeEntry[[#This Row],[Date]]=0,F556,C557+(7-Q557))</f>
        <v>43653</v>
      </c>
      <c r="G557" s="35" t="str">
        <f>INDEX(projects[Charge_Code],MATCH(TimeEntry[[#This Row],[Project_ID]],projects[Project_ID],0))</f>
        <v>265720-20 VBB - Assessment</v>
      </c>
      <c r="H557" s="1" t="str">
        <f t="shared" si="12"/>
        <v>Normal Time</v>
      </c>
      <c r="I557" s="1"/>
      <c r="J557" s="15">
        <v>7.5</v>
      </c>
      <c r="K557" s="15"/>
      <c r="L557" s="15"/>
      <c r="M557" s="15"/>
      <c r="N557" s="15"/>
      <c r="O557" s="15" t="str">
        <f>INDEX(projects[job number],MATCH(TimeEntry[[#This Row],[Project_ID]], projects[Project_ID],0))</f>
        <v>265720-20</v>
      </c>
      <c r="P557" s="15" t="str">
        <f>INDEX(projects[Project_Name],MATCH(TimeEntry[[#This Row],[Project_ID]], projects[Project_ID],0))</f>
        <v>VBB - Assessment</v>
      </c>
      <c r="Q557" s="6">
        <f>IF(TimeEntry[[#This Row],[Date]]=0,"",WEEKDAY(C557,2))</f>
        <v>3</v>
      </c>
      <c r="R557" s="9">
        <f>YEAR(TimeEntry[[#This Row],[WkEnd]])</f>
        <v>2019</v>
      </c>
      <c r="S557" s="9">
        <f>WEEKNUM(TimeEntry[[#This Row],[WkEnd]])</f>
        <v>28</v>
      </c>
      <c r="T557" s="9" t="str">
        <f>TimeEntry[[#This Row],[Year]]&amp;"-"&amp;TimeEntry[[#This Row],[WkNo]]</f>
        <v>2019-28</v>
      </c>
    </row>
    <row r="558" spans="1:20" x14ac:dyDescent="0.25">
      <c r="A558" s="6">
        <f>MOD(IF(ROW()=2,0.1,IF(INDEX(TimeEntry[WkEnd],ROW()-1)  =  INDEX(TimeEntry[WkEnd],ROW()-2),    INDEX(TimeEntry[format],ROW()-2),    INDEX(TimeEntry[format],ROW()-2)    +1)),2)</f>
        <v>0.10000000000000009</v>
      </c>
      <c r="B558" s="7"/>
      <c r="C558" s="8">
        <v>43650</v>
      </c>
      <c r="D558" s="8"/>
      <c r="E558" s="1" t="s">
        <v>460</v>
      </c>
      <c r="F558" s="8">
        <f>IF(TimeEntry[[#This Row],[Date]]=0,F557,C558+(7-Q558))</f>
        <v>43653</v>
      </c>
      <c r="G558" s="35" t="str">
        <f>INDEX(projects[Charge_Code],MATCH(TimeEntry[[#This Row],[Project_ID]],projects[Project_ID],0))</f>
        <v>265720-20 VBB - Assessment</v>
      </c>
      <c r="H558" s="1" t="str">
        <f t="shared" si="12"/>
        <v>Normal Time</v>
      </c>
      <c r="I558" s="1"/>
      <c r="J558" s="15">
        <v>3.75</v>
      </c>
      <c r="K558" s="15"/>
      <c r="L558" s="15"/>
      <c r="M558" s="15"/>
      <c r="N558" s="15"/>
      <c r="O558" s="15" t="str">
        <f>INDEX(projects[job number],MATCH(TimeEntry[[#This Row],[Project_ID]], projects[Project_ID],0))</f>
        <v>265720-20</v>
      </c>
      <c r="P558" s="15" t="str">
        <f>INDEX(projects[Project_Name],MATCH(TimeEntry[[#This Row],[Project_ID]], projects[Project_ID],0))</f>
        <v>VBB - Assessment</v>
      </c>
      <c r="Q558" s="6">
        <f>IF(TimeEntry[[#This Row],[Date]]=0,"",WEEKDAY(C558,2))</f>
        <v>4</v>
      </c>
      <c r="R558" s="9">
        <f>YEAR(TimeEntry[[#This Row],[WkEnd]])</f>
        <v>2019</v>
      </c>
      <c r="S558" s="9">
        <f>WEEKNUM(TimeEntry[[#This Row],[WkEnd]])</f>
        <v>28</v>
      </c>
      <c r="T558" s="9" t="str">
        <f>TimeEntry[[#This Row],[Year]]&amp;"-"&amp;TimeEntry[[#This Row],[WkNo]]</f>
        <v>2019-28</v>
      </c>
    </row>
    <row r="559" spans="1:20" x14ac:dyDescent="0.25">
      <c r="A559" s="6">
        <f>MOD(IF(ROW()=2,0.1,IF(INDEX(TimeEntry[WkEnd],ROW()-1)  =  INDEX(TimeEntry[WkEnd],ROW()-2),    INDEX(TimeEntry[format],ROW()-2),    INDEX(TimeEntry[format],ROW()-2)    +1)),2)</f>
        <v>0.10000000000000009</v>
      </c>
      <c r="B559" s="7"/>
      <c r="C559" s="8">
        <v>43650</v>
      </c>
      <c r="D559" s="8"/>
      <c r="E559" s="1" t="s">
        <v>460</v>
      </c>
      <c r="F559" s="8">
        <f>IF(TimeEntry[[#This Row],[Date]]=0,F558,C559+(7-Q559))</f>
        <v>43653</v>
      </c>
      <c r="G559" s="35" t="str">
        <f>INDEX(projects[Charge_Code],MATCH(TimeEntry[[#This Row],[Project_ID]],projects[Project_ID],0))</f>
        <v>265720-20 VBB - Assessment</v>
      </c>
      <c r="H559" s="1" t="str">
        <f t="shared" si="12"/>
        <v>Normal Time</v>
      </c>
      <c r="I559" s="1"/>
      <c r="J559" s="15">
        <v>1.5</v>
      </c>
      <c r="K559" s="15"/>
      <c r="L559" s="15"/>
      <c r="M559" s="15"/>
      <c r="N559" s="15"/>
      <c r="O559" s="15" t="str">
        <f>INDEX(projects[job number],MATCH(TimeEntry[[#This Row],[Project_ID]], projects[Project_ID],0))</f>
        <v>265720-20</v>
      </c>
      <c r="P559" s="15" t="str">
        <f>INDEX(projects[Project_Name],MATCH(TimeEntry[[#This Row],[Project_ID]], projects[Project_ID],0))</f>
        <v>VBB - Assessment</v>
      </c>
      <c r="Q559" s="6">
        <f>IF(TimeEntry[[#This Row],[Date]]=0,"",WEEKDAY(C559,2))</f>
        <v>4</v>
      </c>
      <c r="R559" s="9">
        <f>YEAR(TimeEntry[[#This Row],[WkEnd]])</f>
        <v>2019</v>
      </c>
      <c r="S559" s="9">
        <f>WEEKNUM(TimeEntry[[#This Row],[WkEnd]])</f>
        <v>28</v>
      </c>
      <c r="T559" s="9" t="str">
        <f>TimeEntry[[#This Row],[Year]]&amp;"-"&amp;TimeEntry[[#This Row],[WkNo]]</f>
        <v>2019-28</v>
      </c>
    </row>
    <row r="560" spans="1:20" x14ac:dyDescent="0.25">
      <c r="A560" s="6">
        <f>MOD(IF(ROW()=2,0.1,IF(INDEX(TimeEntry[WkEnd],ROW()-1)  =  INDEX(TimeEntry[WkEnd],ROW()-2),    INDEX(TimeEntry[format],ROW()-2),    INDEX(TimeEntry[format],ROW()-2)    +1)),2)</f>
        <v>0.10000000000000009</v>
      </c>
      <c r="B560" s="7"/>
      <c r="C560" s="8">
        <v>43650</v>
      </c>
      <c r="D560" s="8"/>
      <c r="E560" s="1" t="s">
        <v>460</v>
      </c>
      <c r="F560" s="8">
        <f>IF(TimeEntry[[#This Row],[Date]]=0,F559,C560+(7-Q560))</f>
        <v>43653</v>
      </c>
      <c r="G560" s="35" t="str">
        <f>INDEX(projects[Charge_Code],MATCH(TimeEntry[[#This Row],[Project_ID]],projects[Project_ID],0))</f>
        <v>265720-20 VBB - Assessment</v>
      </c>
      <c r="H560" s="1" t="str">
        <f t="shared" si="12"/>
        <v>Normal Time</v>
      </c>
      <c r="I560" s="1"/>
      <c r="J560" s="15">
        <v>2.25</v>
      </c>
      <c r="K560" s="15"/>
      <c r="L560" s="15"/>
      <c r="M560" s="15"/>
      <c r="N560" s="15"/>
      <c r="O560" s="15" t="str">
        <f>INDEX(projects[job number],MATCH(TimeEntry[[#This Row],[Project_ID]], projects[Project_ID],0))</f>
        <v>265720-20</v>
      </c>
      <c r="P560" s="15" t="str">
        <f>INDEX(projects[Project_Name],MATCH(TimeEntry[[#This Row],[Project_ID]], projects[Project_ID],0))</f>
        <v>VBB - Assessment</v>
      </c>
      <c r="Q560" s="6">
        <f>IF(TimeEntry[[#This Row],[Date]]=0,"",WEEKDAY(C560,2))</f>
        <v>4</v>
      </c>
      <c r="R560" s="9">
        <f>YEAR(TimeEntry[[#This Row],[WkEnd]])</f>
        <v>2019</v>
      </c>
      <c r="S560" s="9">
        <f>WEEKNUM(TimeEntry[[#This Row],[WkEnd]])</f>
        <v>28</v>
      </c>
      <c r="T560" s="9" t="str">
        <f>TimeEntry[[#This Row],[Year]]&amp;"-"&amp;TimeEntry[[#This Row],[WkNo]]</f>
        <v>2019-28</v>
      </c>
    </row>
    <row r="561" spans="1:20" x14ac:dyDescent="0.25">
      <c r="A561" s="6">
        <f>MOD(IF(ROW()=2,0.1,IF(INDEX(TimeEntry[WkEnd],ROW()-1)  =  INDEX(TimeEntry[WkEnd],ROW()-2),    INDEX(TimeEntry[format],ROW()-2),    INDEX(TimeEntry[format],ROW()-2)    +1)),2)</f>
        <v>0.10000000000000009</v>
      </c>
      <c r="B561" s="7"/>
      <c r="C561" s="8">
        <v>43651</v>
      </c>
      <c r="D561" s="8"/>
      <c r="E561" s="1" t="s">
        <v>456</v>
      </c>
      <c r="F561" s="8">
        <f>IF(TimeEntry[[#This Row],[Date]]=0,F560,C561+(7-Q561))</f>
        <v>43653</v>
      </c>
      <c r="G561" s="35" t="str">
        <f>INDEX(projects[Charge_Code],MATCH(TimeEntry[[#This Row],[Project_ID]],projects[Project_ID],0))</f>
        <v>210035-51 VBB 3rd - new bridge</v>
      </c>
      <c r="H561" s="1" t="str">
        <f t="shared" si="12"/>
        <v>Normal Time</v>
      </c>
      <c r="I561" s="1"/>
      <c r="J561" s="15">
        <v>5.5</v>
      </c>
      <c r="K561" s="15"/>
      <c r="L561" s="15"/>
      <c r="M561" s="15"/>
      <c r="N561" s="15"/>
      <c r="O561" s="15" t="str">
        <f>INDEX(projects[job number],MATCH(TimeEntry[[#This Row],[Project_ID]], projects[Project_ID],0))</f>
        <v>210035-51</v>
      </c>
      <c r="P561" s="15" t="str">
        <f>INDEX(projects[Project_Name],MATCH(TimeEntry[[#This Row],[Project_ID]], projects[Project_ID],0))</f>
        <v>VBB 3rd - new bridge</v>
      </c>
      <c r="Q561" s="6">
        <f>IF(TimeEntry[[#This Row],[Date]]=0,"",WEEKDAY(C561,2))</f>
        <v>5</v>
      </c>
      <c r="R561" s="9">
        <f>YEAR(TimeEntry[[#This Row],[WkEnd]])</f>
        <v>2019</v>
      </c>
      <c r="S561" s="9">
        <f>WEEKNUM(TimeEntry[[#This Row],[WkEnd]])</f>
        <v>28</v>
      </c>
      <c r="T561" s="9" t="str">
        <f>TimeEntry[[#This Row],[Year]]&amp;"-"&amp;TimeEntry[[#This Row],[WkNo]]</f>
        <v>2019-28</v>
      </c>
    </row>
    <row r="562" spans="1:20" x14ac:dyDescent="0.25">
      <c r="A562" s="6">
        <f>MOD(IF(ROW()=2,0.1,IF(INDEX(TimeEntry[WkEnd],ROW()-1)  =  INDEX(TimeEntry[WkEnd],ROW()-2),    INDEX(TimeEntry[format],ROW()-2),    INDEX(TimeEntry[format],ROW()-2)    +1)),2)</f>
        <v>0.10000000000000009</v>
      </c>
      <c r="B562" s="7"/>
      <c r="C562" s="8">
        <v>43651</v>
      </c>
      <c r="D562" s="8"/>
      <c r="E562" s="1" t="s">
        <v>460</v>
      </c>
      <c r="F562" s="8">
        <f>IF(TimeEntry[[#This Row],[Date]]=0,F561,C562+(7-Q562))</f>
        <v>43653</v>
      </c>
      <c r="G562" s="35" t="str">
        <f>INDEX(projects[Charge_Code],MATCH(TimeEntry[[#This Row],[Project_ID]],projects[Project_ID],0))</f>
        <v>265720-20 VBB - Assessment</v>
      </c>
      <c r="H562" s="1" t="str">
        <f t="shared" si="12"/>
        <v>Normal Time</v>
      </c>
      <c r="I562" s="1"/>
      <c r="J562" s="15">
        <v>2</v>
      </c>
      <c r="K562" s="15"/>
      <c r="L562" s="15"/>
      <c r="M562" s="15"/>
      <c r="N562" s="15"/>
      <c r="O562" s="15" t="str">
        <f>INDEX(projects[job number],MATCH(TimeEntry[[#This Row],[Project_ID]], projects[Project_ID],0))</f>
        <v>265720-20</v>
      </c>
      <c r="P562" s="15" t="str">
        <f>INDEX(projects[Project_Name],MATCH(TimeEntry[[#This Row],[Project_ID]], projects[Project_ID],0))</f>
        <v>VBB - Assessment</v>
      </c>
      <c r="Q562" s="6">
        <f>IF(TimeEntry[[#This Row],[Date]]=0,"",WEEKDAY(C562,2))</f>
        <v>5</v>
      </c>
      <c r="R562" s="9">
        <f>YEAR(TimeEntry[[#This Row],[WkEnd]])</f>
        <v>2019</v>
      </c>
      <c r="S562" s="9">
        <f>WEEKNUM(TimeEntry[[#This Row],[WkEnd]])</f>
        <v>28</v>
      </c>
      <c r="T562" s="9" t="str">
        <f>TimeEntry[[#This Row],[Year]]&amp;"-"&amp;TimeEntry[[#This Row],[WkNo]]</f>
        <v>2019-28</v>
      </c>
    </row>
    <row r="563" spans="1:20" x14ac:dyDescent="0.25">
      <c r="A563" s="6">
        <f>MOD(IF(ROW()=2,0.1,IF(INDEX(TimeEntry[WkEnd],ROW()-1)  =  INDEX(TimeEntry[WkEnd],ROW()-2),    INDEX(TimeEntry[format],ROW()-2),    INDEX(TimeEntry[format],ROW()-2)    +1)),2)</f>
        <v>1.1000000000000001</v>
      </c>
      <c r="B563" s="7"/>
      <c r="C563" s="8">
        <v>43640</v>
      </c>
      <c r="D563" s="8"/>
      <c r="E563" s="1" t="s">
        <v>466</v>
      </c>
      <c r="F563" s="8">
        <f>IF(TimeEntry[[#This Row],[Date]]=0,F562,C563+(7-Q563))</f>
        <v>43646</v>
      </c>
      <c r="G563" s="35" t="str">
        <f>INDEX(projects[Charge_Code],MATCH(TimeEntry[[#This Row],[Project_ID]],projects[Project_ID],0))</f>
        <v>265720-10 VBB - Design Basis</v>
      </c>
      <c r="H563" s="1" t="str">
        <f t="shared" si="12"/>
        <v>Normal Time</v>
      </c>
      <c r="I563" s="1"/>
      <c r="J563" s="15">
        <v>7.5</v>
      </c>
      <c r="K563" s="15"/>
      <c r="L563" s="15"/>
      <c r="M563" s="15"/>
      <c r="N563" s="15"/>
      <c r="O563" s="15" t="str">
        <f>INDEX(projects[job number],MATCH(TimeEntry[[#This Row],[Project_ID]], projects[Project_ID],0))</f>
        <v>265720-10</v>
      </c>
      <c r="P563" s="15" t="str">
        <f>INDEX(projects[Project_Name],MATCH(TimeEntry[[#This Row],[Project_ID]], projects[Project_ID],0))</f>
        <v>VBB - Design Basis</v>
      </c>
      <c r="Q563" s="6">
        <f>IF(TimeEntry[[#This Row],[Date]]=0,"",WEEKDAY(C563,2))</f>
        <v>1</v>
      </c>
      <c r="R563" s="9">
        <f>YEAR(TimeEntry[[#This Row],[WkEnd]])</f>
        <v>2019</v>
      </c>
      <c r="S563" s="9">
        <f>WEEKNUM(TimeEntry[[#This Row],[WkEnd]])</f>
        <v>27</v>
      </c>
      <c r="T563" s="9" t="str">
        <f>TimeEntry[[#This Row],[Year]]&amp;"-"&amp;TimeEntry[[#This Row],[WkNo]]</f>
        <v>2019-27</v>
      </c>
    </row>
    <row r="564" spans="1:20" x14ac:dyDescent="0.25">
      <c r="A564" s="6">
        <f>MOD(IF(ROW()=2,0.1,IF(INDEX(TimeEntry[WkEnd],ROW()-1)  =  INDEX(TimeEntry[WkEnd],ROW()-2),    INDEX(TimeEntry[format],ROW()-2),    INDEX(TimeEntry[format],ROW()-2)    +1)),2)</f>
        <v>1.1000000000000001</v>
      </c>
      <c r="B564" s="7"/>
      <c r="C564" s="8">
        <v>43641</v>
      </c>
      <c r="D564" s="8"/>
      <c r="E564" s="1" t="s">
        <v>466</v>
      </c>
      <c r="F564" s="8">
        <f>IF(TimeEntry[[#This Row],[Date]]=0,F563,C564+(7-Q564))</f>
        <v>43646</v>
      </c>
      <c r="G564" s="35" t="str">
        <f>INDEX(projects[Charge_Code],MATCH(TimeEntry[[#This Row],[Project_ID]],projects[Project_ID],0))</f>
        <v>265720-10 VBB - Design Basis</v>
      </c>
      <c r="H564" s="1" t="str">
        <f t="shared" si="12"/>
        <v>Normal Time</v>
      </c>
      <c r="I564" s="1"/>
      <c r="J564" s="15">
        <v>7.5</v>
      </c>
      <c r="K564" s="15"/>
      <c r="L564" s="15"/>
      <c r="M564" s="15"/>
      <c r="N564" s="15"/>
      <c r="O564" s="15" t="str">
        <f>INDEX(projects[job number],MATCH(TimeEntry[[#This Row],[Project_ID]], projects[Project_ID],0))</f>
        <v>265720-10</v>
      </c>
      <c r="P564" s="15" t="str">
        <f>INDEX(projects[Project_Name],MATCH(TimeEntry[[#This Row],[Project_ID]], projects[Project_ID],0))</f>
        <v>VBB - Design Basis</v>
      </c>
      <c r="Q564" s="6">
        <f>IF(TimeEntry[[#This Row],[Date]]=0,"",WEEKDAY(C564,2))</f>
        <v>2</v>
      </c>
      <c r="R564" s="9">
        <f>YEAR(TimeEntry[[#This Row],[WkEnd]])</f>
        <v>2019</v>
      </c>
      <c r="S564" s="9">
        <f>WEEKNUM(TimeEntry[[#This Row],[WkEnd]])</f>
        <v>27</v>
      </c>
      <c r="T564" s="9" t="str">
        <f>TimeEntry[[#This Row],[Year]]&amp;"-"&amp;TimeEntry[[#This Row],[WkNo]]</f>
        <v>2019-27</v>
      </c>
    </row>
    <row r="565" spans="1:20" x14ac:dyDescent="0.25">
      <c r="A565" s="6">
        <f>MOD(IF(ROW()=2,0.1,IF(INDEX(TimeEntry[WkEnd],ROW()-1)  =  INDEX(TimeEntry[WkEnd],ROW()-2),    INDEX(TimeEntry[format],ROW()-2),    INDEX(TimeEntry[format],ROW()-2)    +1)),2)</f>
        <v>1.1000000000000001</v>
      </c>
      <c r="B565" s="7"/>
      <c r="C565" s="8">
        <v>43642</v>
      </c>
      <c r="D565" s="8"/>
      <c r="E565" s="1" t="s">
        <v>466</v>
      </c>
      <c r="F565" s="8">
        <f>IF(TimeEntry[[#This Row],[Date]]=0,F564,C565+(7-Q565))</f>
        <v>43646</v>
      </c>
      <c r="G565" s="35" t="str">
        <f>INDEX(projects[Charge_Code],MATCH(TimeEntry[[#This Row],[Project_ID]],projects[Project_ID],0))</f>
        <v>265720-10 VBB - Design Basis</v>
      </c>
      <c r="H565" s="1" t="str">
        <f t="shared" si="12"/>
        <v>Normal Time</v>
      </c>
      <c r="I565" s="1"/>
      <c r="J565" s="15">
        <v>3.75</v>
      </c>
      <c r="K565" s="15"/>
      <c r="L565" s="15"/>
      <c r="M565" s="15"/>
      <c r="N565" s="15"/>
      <c r="O565" s="15" t="str">
        <f>INDEX(projects[job number],MATCH(TimeEntry[[#This Row],[Project_ID]], projects[Project_ID],0))</f>
        <v>265720-10</v>
      </c>
      <c r="P565" s="15" t="str">
        <f>INDEX(projects[Project_Name],MATCH(TimeEntry[[#This Row],[Project_ID]], projects[Project_ID],0))</f>
        <v>VBB - Design Basis</v>
      </c>
      <c r="Q565" s="6">
        <f>IF(TimeEntry[[#This Row],[Date]]=0,"",WEEKDAY(C565,2))</f>
        <v>3</v>
      </c>
      <c r="R565" s="9">
        <f>YEAR(TimeEntry[[#This Row],[WkEnd]])</f>
        <v>2019</v>
      </c>
      <c r="S565" s="9">
        <f>WEEKNUM(TimeEntry[[#This Row],[WkEnd]])</f>
        <v>27</v>
      </c>
      <c r="T565" s="9" t="str">
        <f>TimeEntry[[#This Row],[Year]]&amp;"-"&amp;TimeEntry[[#This Row],[WkNo]]</f>
        <v>2019-27</v>
      </c>
    </row>
    <row r="566" spans="1:20" x14ac:dyDescent="0.25">
      <c r="A566" s="6">
        <f>MOD(IF(ROW()=2,0.1,IF(INDEX(TimeEntry[WkEnd],ROW()-1)  =  INDEX(TimeEntry[WkEnd],ROW()-2),    INDEX(TimeEntry[format],ROW()-2),    INDEX(TimeEntry[format],ROW()-2)    +1)),2)</f>
        <v>1.1000000000000001</v>
      </c>
      <c r="B566" s="7"/>
      <c r="C566" s="8">
        <v>43642</v>
      </c>
      <c r="D566" s="8"/>
      <c r="E566" s="1" t="s">
        <v>445</v>
      </c>
      <c r="F566" s="8">
        <f>IF(TimeEntry[[#This Row],[Date]]=0,F565,C566+(7-Q566))</f>
        <v>43646</v>
      </c>
      <c r="G566" s="35" t="str">
        <f>INDEX(projects[Charge_Code],MATCH(TimeEntry[[#This Row],[Project_ID]],projects[Project_ID],0))</f>
        <v>LEAVE</v>
      </c>
      <c r="H566" s="1" t="str">
        <f t="shared" si="12"/>
        <v>Normal Time</v>
      </c>
      <c r="I566" s="1"/>
      <c r="J566" s="15">
        <v>3.75</v>
      </c>
      <c r="K566" s="15"/>
      <c r="L566" s="15"/>
      <c r="M566" s="15"/>
      <c r="N566" s="15"/>
      <c r="O566" s="15" t="str">
        <f>INDEX(projects[job number],MATCH(TimeEntry[[#This Row],[Project_ID]], projects[Project_ID],0))</f>
        <v>LEAVE</v>
      </c>
      <c r="P566" s="15">
        <f>INDEX(projects[Project_Name],MATCH(TimeEntry[[#This Row],[Project_ID]], projects[Project_ID],0))</f>
        <v>0</v>
      </c>
      <c r="Q566" s="6">
        <f>IF(TimeEntry[[#This Row],[Date]]=0,"",WEEKDAY(C566,2))</f>
        <v>3</v>
      </c>
      <c r="R566" s="9">
        <f>YEAR(TimeEntry[[#This Row],[WkEnd]])</f>
        <v>2019</v>
      </c>
      <c r="S566" s="9">
        <f>WEEKNUM(TimeEntry[[#This Row],[WkEnd]])</f>
        <v>27</v>
      </c>
      <c r="T566" s="9" t="str">
        <f>TimeEntry[[#This Row],[Year]]&amp;"-"&amp;TimeEntry[[#This Row],[WkNo]]</f>
        <v>2019-27</v>
      </c>
    </row>
    <row r="567" spans="1:20" x14ac:dyDescent="0.25">
      <c r="A567" s="6">
        <f>MOD(IF(ROW()=2,0.1,IF(INDEX(TimeEntry[WkEnd],ROW()-1)  =  INDEX(TimeEntry[WkEnd],ROW()-2),    INDEX(TimeEntry[format],ROW()-2),    INDEX(TimeEntry[format],ROW()-2)    +1)),2)</f>
        <v>1.1000000000000001</v>
      </c>
      <c r="B567" s="7"/>
      <c r="C567" s="8">
        <v>43643</v>
      </c>
      <c r="D567" s="8"/>
      <c r="E567" s="1" t="s">
        <v>466</v>
      </c>
      <c r="F567" s="8">
        <f>IF(TimeEntry[[#This Row],[Date]]=0,F566,C567+(7-Q567))</f>
        <v>43646</v>
      </c>
      <c r="G567" s="35" t="str">
        <f>INDEX(projects[Charge_Code],MATCH(TimeEntry[[#This Row],[Project_ID]],projects[Project_ID],0))</f>
        <v>265720-10 VBB - Design Basis</v>
      </c>
      <c r="H567" s="1" t="str">
        <f t="shared" si="12"/>
        <v>Normal Time</v>
      </c>
      <c r="I567" s="1"/>
      <c r="J567" s="15">
        <v>7.5</v>
      </c>
      <c r="K567" s="15"/>
      <c r="L567" s="15"/>
      <c r="M567" s="15"/>
      <c r="N567" s="15"/>
      <c r="O567" s="15" t="str">
        <f>INDEX(projects[job number],MATCH(TimeEntry[[#This Row],[Project_ID]], projects[Project_ID],0))</f>
        <v>265720-10</v>
      </c>
      <c r="P567" s="15" t="str">
        <f>INDEX(projects[Project_Name],MATCH(TimeEntry[[#This Row],[Project_ID]], projects[Project_ID],0))</f>
        <v>VBB - Design Basis</v>
      </c>
      <c r="Q567" s="6">
        <f>IF(TimeEntry[[#This Row],[Date]]=0,"",WEEKDAY(C567,2))</f>
        <v>4</v>
      </c>
      <c r="R567" s="9">
        <f>YEAR(TimeEntry[[#This Row],[WkEnd]])</f>
        <v>2019</v>
      </c>
      <c r="S567" s="9">
        <f>WEEKNUM(TimeEntry[[#This Row],[WkEnd]])</f>
        <v>27</v>
      </c>
      <c r="T567" s="9" t="str">
        <f>TimeEntry[[#This Row],[Year]]&amp;"-"&amp;TimeEntry[[#This Row],[WkNo]]</f>
        <v>2019-27</v>
      </c>
    </row>
    <row r="568" spans="1:20" x14ac:dyDescent="0.25">
      <c r="A568" s="6">
        <f>MOD(IF(ROW()=2,0.1,IF(INDEX(TimeEntry[WkEnd],ROW()-1)  =  INDEX(TimeEntry[WkEnd],ROW()-2),    INDEX(TimeEntry[format],ROW()-2),    INDEX(TimeEntry[format],ROW()-2)    +1)),2)</f>
        <v>1.1000000000000001</v>
      </c>
      <c r="B568" s="7"/>
      <c r="C568" s="8">
        <v>43644</v>
      </c>
      <c r="D568" s="8"/>
      <c r="E568" s="1" t="s">
        <v>466</v>
      </c>
      <c r="F568" s="8">
        <f>IF(TimeEntry[[#This Row],[Date]]=0,F567,C568+(7-Q568))</f>
        <v>43646</v>
      </c>
      <c r="G568" s="35" t="str">
        <f>INDEX(projects[Charge_Code],MATCH(TimeEntry[[#This Row],[Project_ID]],projects[Project_ID],0))</f>
        <v>265720-10 VBB - Design Basis</v>
      </c>
      <c r="H568" s="1" t="str">
        <f t="shared" si="12"/>
        <v>Normal Time</v>
      </c>
      <c r="I568" s="1"/>
      <c r="J568" s="15">
        <v>3.75</v>
      </c>
      <c r="K568" s="15"/>
      <c r="L568" s="15"/>
      <c r="M568" s="15"/>
      <c r="N568" s="15"/>
      <c r="O568" s="15" t="str">
        <f>INDEX(projects[job number],MATCH(TimeEntry[[#This Row],[Project_ID]], projects[Project_ID],0))</f>
        <v>265720-10</v>
      </c>
      <c r="P568" s="15" t="str">
        <f>INDEX(projects[Project_Name],MATCH(TimeEntry[[#This Row],[Project_ID]], projects[Project_ID],0))</f>
        <v>VBB - Design Basis</v>
      </c>
      <c r="Q568" s="6">
        <f>IF(TimeEntry[[#This Row],[Date]]=0,"",WEEKDAY(C568,2))</f>
        <v>5</v>
      </c>
      <c r="R568" s="9">
        <f>YEAR(TimeEntry[[#This Row],[WkEnd]])</f>
        <v>2019</v>
      </c>
      <c r="S568" s="9">
        <f>WEEKNUM(TimeEntry[[#This Row],[WkEnd]])</f>
        <v>27</v>
      </c>
      <c r="T568" s="9" t="str">
        <f>TimeEntry[[#This Row],[Year]]&amp;"-"&amp;TimeEntry[[#This Row],[WkNo]]</f>
        <v>2019-27</v>
      </c>
    </row>
    <row r="569" spans="1:20" x14ac:dyDescent="0.25">
      <c r="A569" s="6">
        <f>MOD(IF(ROW()=2,0.1,IF(INDEX(TimeEntry[WkEnd],ROW()-1)  =  INDEX(TimeEntry[WkEnd],ROW()-2),    INDEX(TimeEntry[format],ROW()-2),    INDEX(TimeEntry[format],ROW()-2)    +1)),2)</f>
        <v>1.1000000000000001</v>
      </c>
      <c r="B569" s="7"/>
      <c r="C569" s="8">
        <v>43644</v>
      </c>
      <c r="D569" s="8"/>
      <c r="E569" s="1" t="s">
        <v>445</v>
      </c>
      <c r="F569" s="8">
        <f>IF(TimeEntry[[#This Row],[Date]]=0,F568,C569+(7-Q569))</f>
        <v>43646</v>
      </c>
      <c r="G569" s="35" t="str">
        <f>INDEX(projects[Charge_Code],MATCH(TimeEntry[[#This Row],[Project_ID]],projects[Project_ID],0))</f>
        <v>LEAVE</v>
      </c>
      <c r="H569" s="1" t="str">
        <f t="shared" si="12"/>
        <v>Normal Time</v>
      </c>
      <c r="I569" s="1"/>
      <c r="J569" s="15">
        <v>3.75</v>
      </c>
      <c r="K569" s="15"/>
      <c r="L569" s="15"/>
      <c r="M569" s="15"/>
      <c r="N569" s="15"/>
      <c r="O569" s="15" t="str">
        <f>INDEX(projects[job number],MATCH(TimeEntry[[#This Row],[Project_ID]], projects[Project_ID],0))</f>
        <v>LEAVE</v>
      </c>
      <c r="P569" s="15">
        <f>INDEX(projects[Project_Name],MATCH(TimeEntry[[#This Row],[Project_ID]], projects[Project_ID],0))</f>
        <v>0</v>
      </c>
      <c r="Q569" s="6">
        <f>IF(TimeEntry[[#This Row],[Date]]=0,"",WEEKDAY(C569,2))</f>
        <v>5</v>
      </c>
      <c r="R569" s="9">
        <f>YEAR(TimeEntry[[#This Row],[WkEnd]])</f>
        <v>2019</v>
      </c>
      <c r="S569" s="9">
        <f>WEEKNUM(TimeEntry[[#This Row],[WkEnd]])</f>
        <v>27</v>
      </c>
      <c r="T569" s="9" t="str">
        <f>TimeEntry[[#This Row],[Year]]&amp;"-"&amp;TimeEntry[[#This Row],[WkNo]]</f>
        <v>2019-27</v>
      </c>
    </row>
    <row r="570" spans="1:20" x14ac:dyDescent="0.25">
      <c r="A570" s="6">
        <f>MOD(IF(ROW()=2,0.1,IF(INDEX(TimeEntry[WkEnd],ROW()-1)  =  INDEX(TimeEntry[WkEnd],ROW()-2),    INDEX(TimeEntry[format],ROW()-2),    INDEX(TimeEntry[format],ROW()-2)    +1)),2)</f>
        <v>0.10000000000000009</v>
      </c>
      <c r="B570" s="7"/>
      <c r="C570" s="8">
        <v>43633</v>
      </c>
      <c r="D570" s="8"/>
      <c r="E570" s="1" t="s">
        <v>460</v>
      </c>
      <c r="F570" s="8">
        <f>IF(TimeEntry[[#This Row],[Date]]=0,F569,C570+(7-Q570))</f>
        <v>43639</v>
      </c>
      <c r="G570" s="35" t="str">
        <f>INDEX(projects[Charge_Code],MATCH(TimeEntry[[#This Row],[Project_ID]],projects[Project_ID],0))</f>
        <v>265720-20 VBB - Assessment</v>
      </c>
      <c r="H570" s="1" t="str">
        <f t="shared" si="12"/>
        <v>Normal Time</v>
      </c>
      <c r="I570" s="1"/>
      <c r="J570" s="15">
        <v>7.5</v>
      </c>
      <c r="K570" s="15"/>
      <c r="L570" s="15"/>
      <c r="M570" s="15"/>
      <c r="N570" s="15"/>
      <c r="O570" s="15" t="str">
        <f>INDEX(projects[job number],MATCH(TimeEntry[[#This Row],[Project_ID]], projects[Project_ID],0))</f>
        <v>265720-20</v>
      </c>
      <c r="P570" s="15" t="str">
        <f>INDEX(projects[Project_Name],MATCH(TimeEntry[[#This Row],[Project_ID]], projects[Project_ID],0))</f>
        <v>VBB - Assessment</v>
      </c>
      <c r="Q570" s="6">
        <f>IF(TimeEntry[[#This Row],[Date]]=0,"",WEEKDAY(C570,2))</f>
        <v>1</v>
      </c>
      <c r="R570" s="9">
        <f>YEAR(TimeEntry[[#This Row],[WkEnd]])</f>
        <v>2019</v>
      </c>
      <c r="S570" s="9">
        <f>WEEKNUM(TimeEntry[[#This Row],[WkEnd]])</f>
        <v>26</v>
      </c>
      <c r="T570" s="9" t="str">
        <f>TimeEntry[[#This Row],[Year]]&amp;"-"&amp;TimeEntry[[#This Row],[WkNo]]</f>
        <v>2019-26</v>
      </c>
    </row>
    <row r="571" spans="1:20" x14ac:dyDescent="0.25">
      <c r="A571" s="6">
        <f>MOD(IF(ROW()=2,0.1,IF(INDEX(TimeEntry[WkEnd],ROW()-1)  =  INDEX(TimeEntry[WkEnd],ROW()-2),    INDEX(TimeEntry[format],ROW()-2),    INDEX(TimeEntry[format],ROW()-2)    +1)),2)</f>
        <v>0.10000000000000009</v>
      </c>
      <c r="B571" s="7"/>
      <c r="C571" s="8">
        <v>43634</v>
      </c>
      <c r="D571" s="8"/>
      <c r="E571" s="1" t="s">
        <v>449</v>
      </c>
      <c r="F571" s="8">
        <f>IF(TimeEntry[[#This Row],[Date]]=0,F570,C571+(7-Q571))</f>
        <v>43639</v>
      </c>
      <c r="G571" s="35" t="str">
        <f>INDEX(projects[Charge_Code],MATCH(TimeEntry[[#This Row],[Project_ID]],projects[Project_ID],0))</f>
        <v>255670-17 LOWER KINGS ROAD ASSESSMENT (01-382)</v>
      </c>
      <c r="H571" s="1" t="str">
        <f t="shared" si="12"/>
        <v>Normal Time</v>
      </c>
      <c r="I571" s="1"/>
      <c r="J571" s="15">
        <v>2</v>
      </c>
      <c r="K571" s="15"/>
      <c r="L571" s="15"/>
      <c r="M571" s="15"/>
      <c r="N571" s="15"/>
      <c r="O571" s="15" t="str">
        <f>INDEX(projects[job number],MATCH(TimeEntry[[#This Row],[Project_ID]], projects[Project_ID],0))</f>
        <v>255670-17</v>
      </c>
      <c r="P571" s="15" t="str">
        <f>INDEX(projects[Project_Name],MATCH(TimeEntry[[#This Row],[Project_ID]], projects[Project_ID],0))</f>
        <v>LOWER KINGS ROAD ASSESSMENT</v>
      </c>
      <c r="Q571" s="6">
        <f>IF(TimeEntry[[#This Row],[Date]]=0,"",WEEKDAY(C571,2))</f>
        <v>2</v>
      </c>
      <c r="R571" s="9">
        <f>YEAR(TimeEntry[[#This Row],[WkEnd]])</f>
        <v>2019</v>
      </c>
      <c r="S571" s="9">
        <f>WEEKNUM(TimeEntry[[#This Row],[WkEnd]])</f>
        <v>26</v>
      </c>
      <c r="T571" s="9" t="str">
        <f>TimeEntry[[#This Row],[Year]]&amp;"-"&amp;TimeEntry[[#This Row],[WkNo]]</f>
        <v>2019-26</v>
      </c>
    </row>
    <row r="572" spans="1:20" x14ac:dyDescent="0.25">
      <c r="A572" s="6">
        <f>MOD(IF(ROW()=2,0.1,IF(INDEX(TimeEntry[WkEnd],ROW()-1)  =  INDEX(TimeEntry[WkEnd],ROW()-2),    INDEX(TimeEntry[format],ROW()-2),    INDEX(TimeEntry[format],ROW()-2)    +1)),2)</f>
        <v>0.10000000000000009</v>
      </c>
      <c r="B572" s="7"/>
      <c r="C572" s="8">
        <v>43634</v>
      </c>
      <c r="D572" s="8"/>
      <c r="E572" s="1" t="s">
        <v>465</v>
      </c>
      <c r="F572" s="8">
        <f>IF(TimeEntry[[#This Row],[Date]]=0,F571,C572+(7-Q572))</f>
        <v>43639</v>
      </c>
      <c r="G572" s="35" t="str">
        <f>INDEX(projects[Charge_Code],MATCH(TimeEntry[[#This Row],[Project_ID]],projects[Project_ID],0))</f>
        <v>215526-27 CP - Assessment (01-124)</v>
      </c>
      <c r="H572" s="1" t="str">
        <f t="shared" si="12"/>
        <v>Normal Time</v>
      </c>
      <c r="I572" s="1"/>
      <c r="J572" s="15">
        <v>1</v>
      </c>
      <c r="K572" s="15"/>
      <c r="L572" s="15"/>
      <c r="M572" s="15"/>
      <c r="N572" s="15"/>
      <c r="O572" s="15" t="str">
        <f>INDEX(projects[job number],MATCH(TimeEntry[[#This Row],[Project_ID]], projects[Project_ID],0))</f>
        <v>215526-27</v>
      </c>
      <c r="P572" s="15" t="str">
        <f>INDEX(projects[Project_Name],MATCH(TimeEntry[[#This Row],[Project_ID]], projects[Project_ID],0))</f>
        <v>CP - Assessment</v>
      </c>
      <c r="Q572" s="6">
        <f>IF(TimeEntry[[#This Row],[Date]]=0,"",WEEKDAY(C572,2))</f>
        <v>2</v>
      </c>
      <c r="R572" s="9">
        <f>YEAR(TimeEntry[[#This Row],[WkEnd]])</f>
        <v>2019</v>
      </c>
      <c r="S572" s="9">
        <f>WEEKNUM(TimeEntry[[#This Row],[WkEnd]])</f>
        <v>26</v>
      </c>
      <c r="T572" s="9" t="str">
        <f>TimeEntry[[#This Row],[Year]]&amp;"-"&amp;TimeEntry[[#This Row],[WkNo]]</f>
        <v>2019-26</v>
      </c>
    </row>
    <row r="573" spans="1:20" x14ac:dyDescent="0.25">
      <c r="A573" s="6">
        <f>MOD(IF(ROW()=2,0.1,IF(INDEX(TimeEntry[WkEnd],ROW()-1)  =  INDEX(TimeEntry[WkEnd],ROW()-2),    INDEX(TimeEntry[format],ROW()-2),    INDEX(TimeEntry[format],ROW()-2)    +1)),2)</f>
        <v>0.10000000000000009</v>
      </c>
      <c r="B573" s="7"/>
      <c r="C573" s="8">
        <v>43634</v>
      </c>
      <c r="D573" s="8"/>
      <c r="E573" s="1" t="s">
        <v>466</v>
      </c>
      <c r="F573" s="8">
        <f>IF(TimeEntry[[#This Row],[Date]]=0,F572,C573+(7-Q573))</f>
        <v>43639</v>
      </c>
      <c r="G573" s="35" t="str">
        <f>INDEX(projects[Charge_Code],MATCH(TimeEntry[[#This Row],[Project_ID]],projects[Project_ID],0))</f>
        <v>265720-10 VBB - Design Basis</v>
      </c>
      <c r="H573" s="1" t="str">
        <f t="shared" si="12"/>
        <v>Normal Time</v>
      </c>
      <c r="I573" s="1"/>
      <c r="J573" s="15">
        <v>2</v>
      </c>
      <c r="K573" s="15"/>
      <c r="L573" s="15"/>
      <c r="M573" s="15"/>
      <c r="N573" s="15"/>
      <c r="O573" s="15" t="str">
        <f>INDEX(projects[job number],MATCH(TimeEntry[[#This Row],[Project_ID]], projects[Project_ID],0))</f>
        <v>265720-10</v>
      </c>
      <c r="P573" s="15" t="str">
        <f>INDEX(projects[Project_Name],MATCH(TimeEntry[[#This Row],[Project_ID]], projects[Project_ID],0))</f>
        <v>VBB - Design Basis</v>
      </c>
      <c r="Q573" s="6">
        <f>IF(TimeEntry[[#This Row],[Date]]=0,"",WEEKDAY(C573,2))</f>
        <v>2</v>
      </c>
      <c r="R573" s="9">
        <f>YEAR(TimeEntry[[#This Row],[WkEnd]])</f>
        <v>2019</v>
      </c>
      <c r="S573" s="9">
        <f>WEEKNUM(TimeEntry[[#This Row],[WkEnd]])</f>
        <v>26</v>
      </c>
      <c r="T573" s="9" t="str">
        <f>TimeEntry[[#This Row],[Year]]&amp;"-"&amp;TimeEntry[[#This Row],[WkNo]]</f>
        <v>2019-26</v>
      </c>
    </row>
    <row r="574" spans="1:20" x14ac:dyDescent="0.25">
      <c r="A574" s="6">
        <f>MOD(IF(ROW()=2,0.1,IF(INDEX(TimeEntry[WkEnd],ROW()-1)  =  INDEX(TimeEntry[WkEnd],ROW()-2),    INDEX(TimeEntry[format],ROW()-2),    INDEX(TimeEntry[format],ROW()-2)    +1)),2)</f>
        <v>0.10000000000000009</v>
      </c>
      <c r="B574" s="7"/>
      <c r="C574" s="8">
        <v>43634</v>
      </c>
      <c r="D574" s="8"/>
      <c r="E574" s="1" t="s">
        <v>463</v>
      </c>
      <c r="F574" s="8">
        <f>IF(TimeEntry[[#This Row],[Date]]=0,F573,C574+(7-Q574))</f>
        <v>43639</v>
      </c>
      <c r="G574" s="35" t="str">
        <f>INDEX(projects[Charge_Code],MATCH(TimeEntry[[#This Row],[Project_ID]],projects[Project_ID],0))</f>
        <v>268268-00 Brisa</v>
      </c>
      <c r="H574" s="1" t="str">
        <f t="shared" si="12"/>
        <v>Normal Time</v>
      </c>
      <c r="I574" s="1"/>
      <c r="J574" s="15">
        <v>2.5</v>
      </c>
      <c r="K574" s="15"/>
      <c r="L574" s="15"/>
      <c r="M574" s="15"/>
      <c r="N574" s="15"/>
      <c r="O574" s="15" t="str">
        <f>INDEX(projects[job number],MATCH(TimeEntry[[#This Row],[Project_ID]], projects[Project_ID],0))</f>
        <v>268268-00</v>
      </c>
      <c r="P574" s="15" t="str">
        <f>INDEX(projects[Project_Name],MATCH(TimeEntry[[#This Row],[Project_ID]], projects[Project_ID],0))</f>
        <v>Brisa</v>
      </c>
      <c r="Q574" s="6">
        <f>IF(TimeEntry[[#This Row],[Date]]=0,"",WEEKDAY(C574,2))</f>
        <v>2</v>
      </c>
      <c r="R574" s="9">
        <f>YEAR(TimeEntry[[#This Row],[WkEnd]])</f>
        <v>2019</v>
      </c>
      <c r="S574" s="9">
        <f>WEEKNUM(TimeEntry[[#This Row],[WkEnd]])</f>
        <v>26</v>
      </c>
      <c r="T574" s="9" t="str">
        <f>TimeEntry[[#This Row],[Year]]&amp;"-"&amp;TimeEntry[[#This Row],[WkNo]]</f>
        <v>2019-26</v>
      </c>
    </row>
    <row r="575" spans="1:20" x14ac:dyDescent="0.25">
      <c r="A575" s="6">
        <f>MOD(IF(ROW()=2,0.1,IF(INDEX(TimeEntry[WkEnd],ROW()-1)  =  INDEX(TimeEntry[WkEnd],ROW()-2),    INDEX(TimeEntry[format],ROW()-2),    INDEX(TimeEntry[format],ROW()-2)    +1)),2)</f>
        <v>0.10000000000000009</v>
      </c>
      <c r="B575" s="7"/>
      <c r="C575" s="8">
        <v>43635</v>
      </c>
      <c r="D575" s="8"/>
      <c r="E575" s="1" t="s">
        <v>463</v>
      </c>
      <c r="F575" s="8">
        <f>IF(TimeEntry[[#This Row],[Date]]=0,F574,C575+(7-Q575))</f>
        <v>43639</v>
      </c>
      <c r="G575" s="35" t="str">
        <f>INDEX(projects[Charge_Code],MATCH(TimeEntry[[#This Row],[Project_ID]],projects[Project_ID],0))</f>
        <v>268268-00 Brisa</v>
      </c>
      <c r="H575" s="1" t="str">
        <f t="shared" si="12"/>
        <v>Normal Time</v>
      </c>
      <c r="I575" s="1"/>
      <c r="J575" s="15">
        <v>7.5</v>
      </c>
      <c r="K575" s="15"/>
      <c r="L575" s="15"/>
      <c r="M575" s="15"/>
      <c r="N575" s="15"/>
      <c r="O575" s="15" t="str">
        <f>INDEX(projects[job number],MATCH(TimeEntry[[#This Row],[Project_ID]], projects[Project_ID],0))</f>
        <v>268268-00</v>
      </c>
      <c r="P575" s="15" t="str">
        <f>INDEX(projects[Project_Name],MATCH(TimeEntry[[#This Row],[Project_ID]], projects[Project_ID],0))</f>
        <v>Brisa</v>
      </c>
      <c r="Q575" s="6">
        <f>IF(TimeEntry[[#This Row],[Date]]=0,"",WEEKDAY(C575,2))</f>
        <v>3</v>
      </c>
      <c r="R575" s="9">
        <f>YEAR(TimeEntry[[#This Row],[WkEnd]])</f>
        <v>2019</v>
      </c>
      <c r="S575" s="9">
        <f>WEEKNUM(TimeEntry[[#This Row],[WkEnd]])</f>
        <v>26</v>
      </c>
      <c r="T575" s="9" t="str">
        <f>TimeEntry[[#This Row],[Year]]&amp;"-"&amp;TimeEntry[[#This Row],[WkNo]]</f>
        <v>2019-26</v>
      </c>
    </row>
    <row r="576" spans="1:20" x14ac:dyDescent="0.25">
      <c r="A576" s="6">
        <f>MOD(IF(ROW()=2,0.1,IF(INDEX(TimeEntry[WkEnd],ROW()-1)  =  INDEX(TimeEntry[WkEnd],ROW()-2),    INDEX(TimeEntry[format],ROW()-2),    INDEX(TimeEntry[format],ROW()-2)    +1)),2)</f>
        <v>0.10000000000000009</v>
      </c>
      <c r="B576" s="7"/>
      <c r="C576" s="8">
        <v>43636</v>
      </c>
      <c r="D576" s="8"/>
      <c r="E576" s="1" t="s">
        <v>445</v>
      </c>
      <c r="F576" s="8">
        <f>IF(TimeEntry[[#This Row],[Date]]=0,F575,C576+(7-Q576))</f>
        <v>43639</v>
      </c>
      <c r="G576" s="35" t="str">
        <f>INDEX(projects[Charge_Code],MATCH(TimeEntry[[#This Row],[Project_ID]],projects[Project_ID],0))</f>
        <v>LEAVE</v>
      </c>
      <c r="H576" s="1" t="str">
        <f t="shared" si="12"/>
        <v>Normal Time</v>
      </c>
      <c r="I576" s="1"/>
      <c r="J576" s="15">
        <v>7.5</v>
      </c>
      <c r="K576" s="15"/>
      <c r="L576" s="15"/>
      <c r="M576" s="15"/>
      <c r="N576" s="15"/>
      <c r="O576" s="15" t="str">
        <f>INDEX(projects[job number],MATCH(TimeEntry[[#This Row],[Project_ID]], projects[Project_ID],0))</f>
        <v>LEAVE</v>
      </c>
      <c r="P576" s="15">
        <f>INDEX(projects[Project_Name],MATCH(TimeEntry[[#This Row],[Project_ID]], projects[Project_ID],0))</f>
        <v>0</v>
      </c>
      <c r="Q576" s="6">
        <f>IF(TimeEntry[[#This Row],[Date]]=0,"",WEEKDAY(C576,2))</f>
        <v>4</v>
      </c>
      <c r="R576" s="9">
        <f>YEAR(TimeEntry[[#This Row],[WkEnd]])</f>
        <v>2019</v>
      </c>
      <c r="S576" s="9">
        <f>WEEKNUM(TimeEntry[[#This Row],[WkEnd]])</f>
        <v>26</v>
      </c>
      <c r="T576" s="9" t="str">
        <f>TimeEntry[[#This Row],[Year]]&amp;"-"&amp;TimeEntry[[#This Row],[WkNo]]</f>
        <v>2019-26</v>
      </c>
    </row>
    <row r="577" spans="1:20" x14ac:dyDescent="0.25">
      <c r="A577" s="6">
        <f>MOD(IF(ROW()=2,0.1,IF(INDEX(TimeEntry[WkEnd],ROW()-1)  =  INDEX(TimeEntry[WkEnd],ROW()-2),    INDEX(TimeEntry[format],ROW()-2),    INDEX(TimeEntry[format],ROW()-2)    +1)),2)</f>
        <v>0.10000000000000009</v>
      </c>
      <c r="B577" s="7"/>
      <c r="C577" s="8">
        <v>43637</v>
      </c>
      <c r="D577" s="8"/>
      <c r="E577" s="1" t="s">
        <v>445</v>
      </c>
      <c r="F577" s="8">
        <f>IF(TimeEntry[[#This Row],[Date]]=0,F576,C577+(7-Q577))</f>
        <v>43639</v>
      </c>
      <c r="G577" s="35" t="str">
        <f>INDEX(projects[Charge_Code],MATCH(TimeEntry[[#This Row],[Project_ID]],projects[Project_ID],0))</f>
        <v>LEAVE</v>
      </c>
      <c r="H577" s="1" t="str">
        <f t="shared" si="12"/>
        <v>Normal Time</v>
      </c>
      <c r="I577" s="1"/>
      <c r="J577" s="15">
        <v>7.5</v>
      </c>
      <c r="K577" s="15"/>
      <c r="L577" s="15"/>
      <c r="M577" s="15"/>
      <c r="N577" s="15"/>
      <c r="O577" s="15" t="str">
        <f>INDEX(projects[job number],MATCH(TimeEntry[[#This Row],[Project_ID]], projects[Project_ID],0))</f>
        <v>LEAVE</v>
      </c>
      <c r="P577" s="15">
        <f>INDEX(projects[Project_Name],MATCH(TimeEntry[[#This Row],[Project_ID]], projects[Project_ID],0))</f>
        <v>0</v>
      </c>
      <c r="Q577" s="6">
        <f>IF(TimeEntry[[#This Row],[Date]]=0,"",WEEKDAY(C577,2))</f>
        <v>5</v>
      </c>
      <c r="R577" s="9">
        <f>YEAR(TimeEntry[[#This Row],[WkEnd]])</f>
        <v>2019</v>
      </c>
      <c r="S577" s="9">
        <f>WEEKNUM(TimeEntry[[#This Row],[WkEnd]])</f>
        <v>26</v>
      </c>
      <c r="T577" s="9" t="str">
        <f>TimeEntry[[#This Row],[Year]]&amp;"-"&amp;TimeEntry[[#This Row],[WkNo]]</f>
        <v>2019-26</v>
      </c>
    </row>
    <row r="578" spans="1:20" x14ac:dyDescent="0.25">
      <c r="A578" s="6">
        <f>MOD(IF(ROW()=2,0.1,IF(INDEX(TimeEntry[WkEnd],ROW()-1)  =  INDEX(TimeEntry[WkEnd],ROW()-2),    INDEX(TimeEntry[format],ROW()-2),    INDEX(TimeEntry[format],ROW()-2)    +1)),2)</f>
        <v>1.1000000000000001</v>
      </c>
      <c r="B578" s="7"/>
      <c r="C578" s="8">
        <v>43626</v>
      </c>
      <c r="D578" s="8"/>
      <c r="E578" s="1" t="s">
        <v>464</v>
      </c>
      <c r="F578" s="8">
        <f>IF(TimeEntry[[#This Row],[Date]]=0,F577,C578+(7-Q578))</f>
        <v>43632</v>
      </c>
      <c r="G578" s="35" t="str">
        <f>INDEX(projects[Charge_Code],MATCH(TimeEntry[[#This Row],[Project_ID]],projects[Project_ID],0))</f>
        <v>071945-07 BCS - promotional</v>
      </c>
      <c r="H578" s="1" t="str">
        <f t="shared" si="12"/>
        <v>Normal Time</v>
      </c>
      <c r="I578" s="1"/>
      <c r="J578" s="15">
        <v>7.5</v>
      </c>
      <c r="K578" s="15"/>
      <c r="L578" s="15"/>
      <c r="M578" s="15"/>
      <c r="N578" s="15"/>
      <c r="O578" s="15" t="str">
        <f>INDEX(projects[job number],MATCH(TimeEntry[[#This Row],[Project_ID]], projects[Project_ID],0))</f>
        <v>071945-07</v>
      </c>
      <c r="P578" s="15" t="str">
        <f>INDEX(projects[Project_Name],MATCH(TimeEntry[[#This Row],[Project_ID]], projects[Project_ID],0))</f>
        <v>BCS - promotional</v>
      </c>
      <c r="Q578" s="6">
        <f>IF(TimeEntry[[#This Row],[Date]]=0,"",WEEKDAY(C578,2))</f>
        <v>1</v>
      </c>
      <c r="R578" s="9">
        <f>YEAR(TimeEntry[[#This Row],[WkEnd]])</f>
        <v>2019</v>
      </c>
      <c r="S578" s="9">
        <f>WEEKNUM(TimeEntry[[#This Row],[WkEnd]])</f>
        <v>25</v>
      </c>
      <c r="T578" s="9" t="str">
        <f>TimeEntry[[#This Row],[Year]]&amp;"-"&amp;TimeEntry[[#This Row],[WkNo]]</f>
        <v>2019-25</v>
      </c>
    </row>
    <row r="579" spans="1:20" x14ac:dyDescent="0.25">
      <c r="A579" s="6">
        <f>MOD(IF(ROW()=2,0.1,IF(INDEX(TimeEntry[WkEnd],ROW()-1)  =  INDEX(TimeEntry[WkEnd],ROW()-2),    INDEX(TimeEntry[format],ROW()-2),    INDEX(TimeEntry[format],ROW()-2)    +1)),2)</f>
        <v>1.1000000000000001</v>
      </c>
      <c r="B579" s="7"/>
      <c r="C579" s="8">
        <v>43627</v>
      </c>
      <c r="D579" s="8"/>
      <c r="E579" s="1" t="s">
        <v>464</v>
      </c>
      <c r="F579" s="8">
        <f>IF(TimeEntry[[#This Row],[Date]]=0,F578,C579+(7-Q579))</f>
        <v>43632</v>
      </c>
      <c r="G579" s="35" t="str">
        <f>INDEX(projects[Charge_Code],MATCH(TimeEntry[[#This Row],[Project_ID]],projects[Project_ID],0))</f>
        <v>071945-07 BCS - promotional</v>
      </c>
      <c r="H579" s="1" t="str">
        <f t="shared" si="12"/>
        <v>Normal Time</v>
      </c>
      <c r="I579" s="1"/>
      <c r="J579" s="15">
        <v>7.5</v>
      </c>
      <c r="K579" s="15"/>
      <c r="L579" s="15"/>
      <c r="M579" s="15"/>
      <c r="N579" s="15"/>
      <c r="O579" s="15" t="str">
        <f>INDEX(projects[job number],MATCH(TimeEntry[[#This Row],[Project_ID]], projects[Project_ID],0))</f>
        <v>071945-07</v>
      </c>
      <c r="P579" s="15" t="str">
        <f>INDEX(projects[Project_Name],MATCH(TimeEntry[[#This Row],[Project_ID]], projects[Project_ID],0))</f>
        <v>BCS - promotional</v>
      </c>
      <c r="Q579" s="6">
        <f>IF(TimeEntry[[#This Row],[Date]]=0,"",WEEKDAY(C579,2))</f>
        <v>2</v>
      </c>
      <c r="R579" s="9">
        <f>YEAR(TimeEntry[[#This Row],[WkEnd]])</f>
        <v>2019</v>
      </c>
      <c r="S579" s="9">
        <f>WEEKNUM(TimeEntry[[#This Row],[WkEnd]])</f>
        <v>25</v>
      </c>
      <c r="T579" s="9" t="str">
        <f>TimeEntry[[#This Row],[Year]]&amp;"-"&amp;TimeEntry[[#This Row],[WkNo]]</f>
        <v>2019-25</v>
      </c>
    </row>
    <row r="580" spans="1:20" x14ac:dyDescent="0.25">
      <c r="A580" s="6">
        <f>MOD(IF(ROW()=2,0.1,IF(INDEX(TimeEntry[WkEnd],ROW()-1)  =  INDEX(TimeEntry[WkEnd],ROW()-2),    INDEX(TimeEntry[format],ROW()-2),    INDEX(TimeEntry[format],ROW()-2)    +1)),2)</f>
        <v>1.1000000000000001</v>
      </c>
      <c r="B580" s="7"/>
      <c r="C580" s="8">
        <v>43628</v>
      </c>
      <c r="D580" s="8"/>
      <c r="E580" s="1" t="s">
        <v>466</v>
      </c>
      <c r="F580" s="8">
        <f>IF(TimeEntry[[#This Row],[Date]]=0,F579,C580+(7-Q580))</f>
        <v>43632</v>
      </c>
      <c r="G580" s="35" t="str">
        <f>INDEX(projects[Charge_Code],MATCH(TimeEntry[[#This Row],[Project_ID]],projects[Project_ID],0))</f>
        <v>265720-10 VBB - Design Basis</v>
      </c>
      <c r="H580" s="1" t="str">
        <f t="shared" si="12"/>
        <v>Normal Time</v>
      </c>
      <c r="I580" s="1"/>
      <c r="J580" s="15">
        <v>7.5</v>
      </c>
      <c r="K580" s="15"/>
      <c r="L580" s="15"/>
      <c r="M580" s="15"/>
      <c r="N580" s="15"/>
      <c r="O580" s="15" t="str">
        <f>INDEX(projects[job number],MATCH(TimeEntry[[#This Row],[Project_ID]], projects[Project_ID],0))</f>
        <v>265720-10</v>
      </c>
      <c r="P580" s="15" t="str">
        <f>INDEX(projects[Project_Name],MATCH(TimeEntry[[#This Row],[Project_ID]], projects[Project_ID],0))</f>
        <v>VBB - Design Basis</v>
      </c>
      <c r="Q580" s="6">
        <f>IF(TimeEntry[[#This Row],[Date]]=0,"",WEEKDAY(C580,2))</f>
        <v>3</v>
      </c>
      <c r="R580" s="9">
        <f>YEAR(TimeEntry[[#This Row],[WkEnd]])</f>
        <v>2019</v>
      </c>
      <c r="S580" s="9">
        <f>WEEKNUM(TimeEntry[[#This Row],[WkEnd]])</f>
        <v>25</v>
      </c>
      <c r="T580" s="9" t="str">
        <f>TimeEntry[[#This Row],[Year]]&amp;"-"&amp;TimeEntry[[#This Row],[WkNo]]</f>
        <v>2019-25</v>
      </c>
    </row>
    <row r="581" spans="1:20" x14ac:dyDescent="0.25">
      <c r="A581" s="6">
        <f>MOD(IF(ROW()=2,0.1,IF(INDEX(TimeEntry[WkEnd],ROW()-1)  =  INDEX(TimeEntry[WkEnd],ROW()-2),    INDEX(TimeEntry[format],ROW()-2),    INDEX(TimeEntry[format],ROW()-2)    +1)),2)</f>
        <v>1.1000000000000001</v>
      </c>
      <c r="B581" s="7"/>
      <c r="C581" s="8">
        <v>43629</v>
      </c>
      <c r="D581" s="8"/>
      <c r="E581" s="1" t="s">
        <v>466</v>
      </c>
      <c r="F581" s="8">
        <f>IF(TimeEntry[[#This Row],[Date]]=0,F580,C581+(7-Q581))</f>
        <v>43632</v>
      </c>
      <c r="G581" s="35" t="str">
        <f>INDEX(projects[Charge_Code],MATCH(TimeEntry[[#This Row],[Project_ID]],projects[Project_ID],0))</f>
        <v>265720-10 VBB - Design Basis</v>
      </c>
      <c r="H581" s="1" t="str">
        <f t="shared" si="12"/>
        <v>Normal Time</v>
      </c>
      <c r="I581" s="1"/>
      <c r="J581" s="15">
        <v>7.5</v>
      </c>
      <c r="K581" s="15"/>
      <c r="L581" s="15"/>
      <c r="M581" s="15"/>
      <c r="N581" s="15"/>
      <c r="O581" s="15" t="str">
        <f>INDEX(projects[job number],MATCH(TimeEntry[[#This Row],[Project_ID]], projects[Project_ID],0))</f>
        <v>265720-10</v>
      </c>
      <c r="P581" s="15" t="str">
        <f>INDEX(projects[Project_Name],MATCH(TimeEntry[[#This Row],[Project_ID]], projects[Project_ID],0))</f>
        <v>VBB - Design Basis</v>
      </c>
      <c r="Q581" s="6">
        <f>IF(TimeEntry[[#This Row],[Date]]=0,"",WEEKDAY(C581,2))</f>
        <v>4</v>
      </c>
      <c r="R581" s="9">
        <f>YEAR(TimeEntry[[#This Row],[WkEnd]])</f>
        <v>2019</v>
      </c>
      <c r="S581" s="9">
        <f>WEEKNUM(TimeEntry[[#This Row],[WkEnd]])</f>
        <v>25</v>
      </c>
      <c r="T581" s="9" t="str">
        <f>TimeEntry[[#This Row],[Year]]&amp;"-"&amp;TimeEntry[[#This Row],[WkNo]]</f>
        <v>2019-25</v>
      </c>
    </row>
    <row r="582" spans="1:20" x14ac:dyDescent="0.25">
      <c r="A582" s="6">
        <f>MOD(IF(ROW()=2,0.1,IF(INDEX(TimeEntry[WkEnd],ROW()-1)  =  INDEX(TimeEntry[WkEnd],ROW()-2),    INDEX(TimeEntry[format],ROW()-2),    INDEX(TimeEntry[format],ROW()-2)    +1)),2)</f>
        <v>1.1000000000000001</v>
      </c>
      <c r="B582" s="7"/>
      <c r="C582" s="8">
        <v>43630</v>
      </c>
      <c r="D582" s="8"/>
      <c r="E582" s="1" t="s">
        <v>460</v>
      </c>
      <c r="F582" s="8">
        <f>IF(TimeEntry[[#This Row],[Date]]=0,F581,C582+(7-Q582))</f>
        <v>43632</v>
      </c>
      <c r="G582" s="35" t="str">
        <f>INDEX(projects[Charge_Code],MATCH(TimeEntry[[#This Row],[Project_ID]],projects[Project_ID],0))</f>
        <v>265720-20 VBB - Assessment</v>
      </c>
      <c r="H582" s="1" t="str">
        <f t="shared" si="12"/>
        <v>Normal Time</v>
      </c>
      <c r="I582" s="1"/>
      <c r="J582" s="15">
        <v>7.5</v>
      </c>
      <c r="K582" s="15"/>
      <c r="L582" s="15"/>
      <c r="M582" s="15"/>
      <c r="N582" s="15"/>
      <c r="O582" s="15" t="str">
        <f>INDEX(projects[job number],MATCH(TimeEntry[[#This Row],[Project_ID]], projects[Project_ID],0))</f>
        <v>265720-20</v>
      </c>
      <c r="P582" s="15" t="str">
        <f>INDEX(projects[Project_Name],MATCH(TimeEntry[[#This Row],[Project_ID]], projects[Project_ID],0))</f>
        <v>VBB - Assessment</v>
      </c>
      <c r="Q582" s="6">
        <f>IF(TimeEntry[[#This Row],[Date]]=0,"",WEEKDAY(C582,2))</f>
        <v>5</v>
      </c>
      <c r="R582" s="9">
        <f>YEAR(TimeEntry[[#This Row],[WkEnd]])</f>
        <v>2019</v>
      </c>
      <c r="S582" s="9">
        <f>WEEKNUM(TimeEntry[[#This Row],[WkEnd]])</f>
        <v>25</v>
      </c>
      <c r="T582" s="9" t="str">
        <f>TimeEntry[[#This Row],[Year]]&amp;"-"&amp;TimeEntry[[#This Row],[WkNo]]</f>
        <v>2019-25</v>
      </c>
    </row>
    <row r="583" spans="1:20" x14ac:dyDescent="0.25">
      <c r="A583" s="6">
        <f>MOD(IF(ROW()=2,0.1,IF(INDEX(TimeEntry[WkEnd],ROW()-1)  =  INDEX(TimeEntry[WkEnd],ROW()-2),    INDEX(TimeEntry[format],ROW()-2),    INDEX(TimeEntry[format],ROW()-2)    +1)),2)</f>
        <v>0.10000000000000009</v>
      </c>
      <c r="B583" s="7"/>
      <c r="C583" s="8">
        <v>43619</v>
      </c>
      <c r="D583" s="8"/>
      <c r="E583" s="1" t="s">
        <v>466</v>
      </c>
      <c r="F583" s="8">
        <f>IF(TimeEntry[[#This Row],[Date]]=0,F582,C583+(7-Q583))</f>
        <v>43625</v>
      </c>
      <c r="G583" s="35" t="str">
        <f>INDEX(projects[Charge_Code],MATCH(TimeEntry[[#This Row],[Project_ID]],projects[Project_ID],0))</f>
        <v>265720-10 VBB - Design Basis</v>
      </c>
      <c r="H583" s="1" t="str">
        <f t="shared" si="12"/>
        <v>Normal Time</v>
      </c>
      <c r="I583" s="1"/>
      <c r="J583" s="15">
        <v>7.5</v>
      </c>
      <c r="K583" s="15"/>
      <c r="L583" s="15"/>
      <c r="M583" s="15"/>
      <c r="N583" s="15"/>
      <c r="O583" s="15" t="str">
        <f>INDEX(projects[job number],MATCH(TimeEntry[[#This Row],[Project_ID]], projects[Project_ID],0))</f>
        <v>265720-10</v>
      </c>
      <c r="P583" s="15" t="str">
        <f>INDEX(projects[Project_Name],MATCH(TimeEntry[[#This Row],[Project_ID]], projects[Project_ID],0))</f>
        <v>VBB - Design Basis</v>
      </c>
      <c r="Q583" s="6">
        <f>IF(TimeEntry[[#This Row],[Date]]=0,"",WEEKDAY(C583,2))</f>
        <v>1</v>
      </c>
      <c r="R583" s="9">
        <f>YEAR(TimeEntry[[#This Row],[WkEnd]])</f>
        <v>2019</v>
      </c>
      <c r="S583" s="9">
        <f>WEEKNUM(TimeEntry[[#This Row],[WkEnd]])</f>
        <v>24</v>
      </c>
      <c r="T583" s="9" t="str">
        <f>TimeEntry[[#This Row],[Year]]&amp;"-"&amp;TimeEntry[[#This Row],[WkNo]]</f>
        <v>2019-24</v>
      </c>
    </row>
    <row r="584" spans="1:20" x14ac:dyDescent="0.25">
      <c r="A584" s="6">
        <f>MOD(IF(ROW()=2,0.1,IF(INDEX(TimeEntry[WkEnd],ROW()-1)  =  INDEX(TimeEntry[WkEnd],ROW()-2),    INDEX(TimeEntry[format],ROW()-2),    INDEX(TimeEntry[format],ROW()-2)    +1)),2)</f>
        <v>0.10000000000000009</v>
      </c>
      <c r="B584" s="7"/>
      <c r="C584" s="8">
        <v>43620</v>
      </c>
      <c r="D584" s="8"/>
      <c r="E584" s="1" t="s">
        <v>466</v>
      </c>
      <c r="F584" s="8">
        <f>IF(TimeEntry[[#This Row],[Date]]=0,F583,C584+(7-Q584))</f>
        <v>43625</v>
      </c>
      <c r="G584" s="35" t="str">
        <f>INDEX(projects[Charge_Code],MATCH(TimeEntry[[#This Row],[Project_ID]],projects[Project_ID],0))</f>
        <v>265720-10 VBB - Design Basis</v>
      </c>
      <c r="H584" s="1" t="str">
        <f t="shared" si="12"/>
        <v>Normal Time</v>
      </c>
      <c r="I584" s="1"/>
      <c r="J584" s="15">
        <v>7.5</v>
      </c>
      <c r="K584" s="15"/>
      <c r="L584" s="15"/>
      <c r="M584" s="15"/>
      <c r="N584" s="15"/>
      <c r="O584" s="15" t="str">
        <f>INDEX(projects[job number],MATCH(TimeEntry[[#This Row],[Project_ID]], projects[Project_ID],0))</f>
        <v>265720-10</v>
      </c>
      <c r="P584" s="15" t="str">
        <f>INDEX(projects[Project_Name],MATCH(TimeEntry[[#This Row],[Project_ID]], projects[Project_ID],0))</f>
        <v>VBB - Design Basis</v>
      </c>
      <c r="Q584" s="6">
        <f>IF(TimeEntry[[#This Row],[Date]]=0,"",WEEKDAY(C584,2))</f>
        <v>2</v>
      </c>
      <c r="R584" s="9">
        <f>YEAR(TimeEntry[[#This Row],[WkEnd]])</f>
        <v>2019</v>
      </c>
      <c r="S584" s="9">
        <f>WEEKNUM(TimeEntry[[#This Row],[WkEnd]])</f>
        <v>24</v>
      </c>
      <c r="T584" s="9" t="str">
        <f>TimeEntry[[#This Row],[Year]]&amp;"-"&amp;TimeEntry[[#This Row],[WkNo]]</f>
        <v>2019-24</v>
      </c>
    </row>
    <row r="585" spans="1:20" x14ac:dyDescent="0.25">
      <c r="A585" s="6">
        <f>MOD(IF(ROW()=2,0.1,IF(INDEX(TimeEntry[WkEnd],ROW()-1)  =  INDEX(TimeEntry[WkEnd],ROW()-2),    INDEX(TimeEntry[format],ROW()-2),    INDEX(TimeEntry[format],ROW()-2)    +1)),2)</f>
        <v>0.10000000000000009</v>
      </c>
      <c r="B585" s="7"/>
      <c r="C585" s="8">
        <v>43621</v>
      </c>
      <c r="D585" s="8"/>
      <c r="E585" s="1" t="s">
        <v>466</v>
      </c>
      <c r="F585" s="8">
        <f>IF(TimeEntry[[#This Row],[Date]]=0,F584,C585+(7-Q585))</f>
        <v>43625</v>
      </c>
      <c r="G585" s="35" t="str">
        <f>INDEX(projects[Charge_Code],MATCH(TimeEntry[[#This Row],[Project_ID]],projects[Project_ID],0))</f>
        <v>265720-10 VBB - Design Basis</v>
      </c>
      <c r="H585" s="1" t="str">
        <f t="shared" si="12"/>
        <v>Normal Time</v>
      </c>
      <c r="I585" s="1"/>
      <c r="J585" s="15">
        <v>7.5</v>
      </c>
      <c r="K585" s="15"/>
      <c r="L585" s="15"/>
      <c r="M585" s="15"/>
      <c r="N585" s="15"/>
      <c r="O585" s="15" t="str">
        <f>INDEX(projects[job number],MATCH(TimeEntry[[#This Row],[Project_ID]], projects[Project_ID],0))</f>
        <v>265720-10</v>
      </c>
      <c r="P585" s="15" t="str">
        <f>INDEX(projects[Project_Name],MATCH(TimeEntry[[#This Row],[Project_ID]], projects[Project_ID],0))</f>
        <v>VBB - Design Basis</v>
      </c>
      <c r="Q585" s="6">
        <f>IF(TimeEntry[[#This Row],[Date]]=0,"",WEEKDAY(C585,2))</f>
        <v>3</v>
      </c>
      <c r="R585" s="9">
        <f>YEAR(TimeEntry[[#This Row],[WkEnd]])</f>
        <v>2019</v>
      </c>
      <c r="S585" s="9">
        <f>WEEKNUM(TimeEntry[[#This Row],[WkEnd]])</f>
        <v>24</v>
      </c>
      <c r="T585" s="9" t="str">
        <f>TimeEntry[[#This Row],[Year]]&amp;"-"&amp;TimeEntry[[#This Row],[WkNo]]</f>
        <v>2019-24</v>
      </c>
    </row>
    <row r="586" spans="1:20" x14ac:dyDescent="0.25">
      <c r="A586" s="6">
        <f>MOD(IF(ROW()=2,0.1,IF(INDEX(TimeEntry[WkEnd],ROW()-1)  =  INDEX(TimeEntry[WkEnd],ROW()-2),    INDEX(TimeEntry[format],ROW()-2),    INDEX(TimeEntry[format],ROW()-2)    +1)),2)</f>
        <v>0.10000000000000009</v>
      </c>
      <c r="B586" s="7"/>
      <c r="C586" s="8">
        <v>43622</v>
      </c>
      <c r="D586" s="8"/>
      <c r="E586" s="1" t="s">
        <v>465</v>
      </c>
      <c r="F586" s="8">
        <f>IF(TimeEntry[[#This Row],[Date]]=0,F585,C586+(7-Q586))</f>
        <v>43625</v>
      </c>
      <c r="G586" s="35" t="str">
        <f>INDEX(projects[Charge_Code],MATCH(TimeEntry[[#This Row],[Project_ID]],projects[Project_ID],0))</f>
        <v>215526-27 CP - Assessment (01-124)</v>
      </c>
      <c r="H586" s="1" t="str">
        <f t="shared" si="12"/>
        <v>Normal Time</v>
      </c>
      <c r="I586" s="1"/>
      <c r="J586" s="15">
        <v>3.75</v>
      </c>
      <c r="K586" s="15"/>
      <c r="L586" s="15"/>
      <c r="M586" s="15"/>
      <c r="N586" s="15"/>
      <c r="O586" s="15" t="str">
        <f>INDEX(projects[job number],MATCH(TimeEntry[[#This Row],[Project_ID]], projects[Project_ID],0))</f>
        <v>215526-27</v>
      </c>
      <c r="P586" s="15" t="str">
        <f>INDEX(projects[Project_Name],MATCH(TimeEntry[[#This Row],[Project_ID]], projects[Project_ID],0))</f>
        <v>CP - Assessment</v>
      </c>
      <c r="Q586" s="6">
        <f>IF(TimeEntry[[#This Row],[Date]]=0,"",WEEKDAY(C586,2))</f>
        <v>4</v>
      </c>
      <c r="R586" s="9">
        <f>YEAR(TimeEntry[[#This Row],[WkEnd]])</f>
        <v>2019</v>
      </c>
      <c r="S586" s="9">
        <f>WEEKNUM(TimeEntry[[#This Row],[WkEnd]])</f>
        <v>24</v>
      </c>
      <c r="T586" s="9" t="str">
        <f>TimeEntry[[#This Row],[Year]]&amp;"-"&amp;TimeEntry[[#This Row],[WkNo]]</f>
        <v>2019-24</v>
      </c>
    </row>
    <row r="587" spans="1:20" x14ac:dyDescent="0.25">
      <c r="A587" s="6">
        <f>MOD(IF(ROW()=2,0.1,IF(INDEX(TimeEntry[WkEnd],ROW()-1)  =  INDEX(TimeEntry[WkEnd],ROW()-2),    INDEX(TimeEntry[format],ROW()-2),    INDEX(TimeEntry[format],ROW()-2)    +1)),2)</f>
        <v>0.10000000000000009</v>
      </c>
      <c r="B587" s="7"/>
      <c r="C587" s="8">
        <v>43622</v>
      </c>
      <c r="D587" s="8"/>
      <c r="E587" s="1" t="s">
        <v>464</v>
      </c>
      <c r="F587" s="8">
        <f>IF(TimeEntry[[#This Row],[Date]]=0,F586,C587+(7-Q587))</f>
        <v>43625</v>
      </c>
      <c r="G587" s="35" t="str">
        <f>INDEX(projects[Charge_Code],MATCH(TimeEntry[[#This Row],[Project_ID]],projects[Project_ID],0))</f>
        <v>071945-07 BCS - promotional</v>
      </c>
      <c r="H587" s="1" t="str">
        <f t="shared" si="12"/>
        <v>Normal Time</v>
      </c>
      <c r="I587" s="1"/>
      <c r="J587" s="15">
        <v>3.75</v>
      </c>
      <c r="K587" s="15"/>
      <c r="L587" s="15"/>
      <c r="M587" s="15"/>
      <c r="N587" s="15"/>
      <c r="O587" s="15" t="str">
        <f>INDEX(projects[job number],MATCH(TimeEntry[[#This Row],[Project_ID]], projects[Project_ID],0))</f>
        <v>071945-07</v>
      </c>
      <c r="P587" s="15" t="str">
        <f>INDEX(projects[Project_Name],MATCH(TimeEntry[[#This Row],[Project_ID]], projects[Project_ID],0))</f>
        <v>BCS - promotional</v>
      </c>
      <c r="Q587" s="6">
        <f>IF(TimeEntry[[#This Row],[Date]]=0,"",WEEKDAY(C587,2))</f>
        <v>4</v>
      </c>
      <c r="R587" s="9">
        <f>YEAR(TimeEntry[[#This Row],[WkEnd]])</f>
        <v>2019</v>
      </c>
      <c r="S587" s="9">
        <f>WEEKNUM(TimeEntry[[#This Row],[WkEnd]])</f>
        <v>24</v>
      </c>
      <c r="T587" s="9" t="str">
        <f>TimeEntry[[#This Row],[Year]]&amp;"-"&amp;TimeEntry[[#This Row],[WkNo]]</f>
        <v>2019-24</v>
      </c>
    </row>
    <row r="588" spans="1:20" x14ac:dyDescent="0.25">
      <c r="A588" s="6">
        <f>MOD(IF(ROW()=2,0.1,IF(INDEX(TimeEntry[WkEnd],ROW()-1)  =  INDEX(TimeEntry[WkEnd],ROW()-2),    INDEX(TimeEntry[format],ROW()-2),    INDEX(TimeEntry[format],ROW()-2)    +1)),2)</f>
        <v>0.10000000000000009</v>
      </c>
      <c r="B588" s="7"/>
      <c r="C588" s="8">
        <v>43623</v>
      </c>
      <c r="D588" s="8"/>
      <c r="E588" s="1" t="s">
        <v>464</v>
      </c>
      <c r="F588" s="8">
        <f>IF(TimeEntry[[#This Row],[Date]]=0,F587,C588+(7-Q588))</f>
        <v>43625</v>
      </c>
      <c r="G588" s="35" t="str">
        <f>INDEX(projects[Charge_Code],MATCH(TimeEntry[[#This Row],[Project_ID]],projects[Project_ID],0))</f>
        <v>071945-07 BCS - promotional</v>
      </c>
      <c r="H588" s="1" t="str">
        <f t="shared" si="12"/>
        <v>Normal Time</v>
      </c>
      <c r="I588" s="1"/>
      <c r="J588" s="15">
        <v>3.75</v>
      </c>
      <c r="K588" s="15"/>
      <c r="L588" s="15"/>
      <c r="M588" s="15"/>
      <c r="N588" s="15"/>
      <c r="O588" s="15" t="str">
        <f>INDEX(projects[job number],MATCH(TimeEntry[[#This Row],[Project_ID]], projects[Project_ID],0))</f>
        <v>071945-07</v>
      </c>
      <c r="P588" s="15" t="str">
        <f>INDEX(projects[Project_Name],MATCH(TimeEntry[[#This Row],[Project_ID]], projects[Project_ID],0))</f>
        <v>BCS - promotional</v>
      </c>
      <c r="Q588" s="6">
        <f>IF(TimeEntry[[#This Row],[Date]]=0,"",WEEKDAY(C588,2))</f>
        <v>5</v>
      </c>
      <c r="R588" s="9">
        <f>YEAR(TimeEntry[[#This Row],[WkEnd]])</f>
        <v>2019</v>
      </c>
      <c r="S588" s="9">
        <f>WEEKNUM(TimeEntry[[#This Row],[WkEnd]])</f>
        <v>24</v>
      </c>
      <c r="T588" s="9" t="str">
        <f>TimeEntry[[#This Row],[Year]]&amp;"-"&amp;TimeEntry[[#This Row],[WkNo]]</f>
        <v>2019-24</v>
      </c>
    </row>
    <row r="589" spans="1:20" x14ac:dyDescent="0.25">
      <c r="A589" s="6">
        <f>MOD(IF(ROW()=2,0.1,IF(INDEX(TimeEntry[WkEnd],ROW()-1)  =  INDEX(TimeEntry[WkEnd],ROW()-2),    INDEX(TimeEntry[format],ROW()-2),    INDEX(TimeEntry[format],ROW()-2)    +1)),2)</f>
        <v>0.10000000000000009</v>
      </c>
      <c r="B589" s="7"/>
      <c r="C589" s="8">
        <v>43623</v>
      </c>
      <c r="D589" s="8"/>
      <c r="E589" s="1" t="s">
        <v>445</v>
      </c>
      <c r="F589" s="8">
        <f>IF(TimeEntry[[#This Row],[Date]]=0,F588,C589+(7-Q589))</f>
        <v>43625</v>
      </c>
      <c r="G589" s="35" t="str">
        <f>INDEX(projects[Charge_Code],MATCH(TimeEntry[[#This Row],[Project_ID]],projects[Project_ID],0))</f>
        <v>LEAVE</v>
      </c>
      <c r="H589" s="1" t="str">
        <f t="shared" si="12"/>
        <v>Normal Time</v>
      </c>
      <c r="I589" s="1"/>
      <c r="J589" s="15">
        <v>3.75</v>
      </c>
      <c r="K589" s="15"/>
      <c r="L589" s="15"/>
      <c r="M589" s="15"/>
      <c r="N589" s="15"/>
      <c r="O589" s="15" t="str">
        <f>INDEX(projects[job number],MATCH(TimeEntry[[#This Row],[Project_ID]], projects[Project_ID],0))</f>
        <v>LEAVE</v>
      </c>
      <c r="P589" s="15">
        <f>INDEX(projects[Project_Name],MATCH(TimeEntry[[#This Row],[Project_ID]], projects[Project_ID],0))</f>
        <v>0</v>
      </c>
      <c r="Q589" s="6">
        <f>IF(TimeEntry[[#This Row],[Date]]=0,"",WEEKDAY(C589,2))</f>
        <v>5</v>
      </c>
      <c r="R589" s="9">
        <f>YEAR(TimeEntry[[#This Row],[WkEnd]])</f>
        <v>2019</v>
      </c>
      <c r="S589" s="9">
        <f>WEEKNUM(TimeEntry[[#This Row],[WkEnd]])</f>
        <v>24</v>
      </c>
      <c r="T589" s="9" t="str">
        <f>TimeEntry[[#This Row],[Year]]&amp;"-"&amp;TimeEntry[[#This Row],[WkNo]]</f>
        <v>2019-24</v>
      </c>
    </row>
    <row r="590" spans="1:20" x14ac:dyDescent="0.25">
      <c r="A590" s="6">
        <f>MOD(IF(ROW()=2,0.1,IF(INDEX(TimeEntry[WkEnd],ROW()-1)  =  INDEX(TimeEntry[WkEnd],ROW()-2),    INDEX(TimeEntry[format],ROW()-2),    INDEX(TimeEntry[format],ROW()-2)    +1)),2)</f>
        <v>1.1000000000000001</v>
      </c>
      <c r="B590" s="7"/>
      <c r="C590" s="8">
        <v>43612</v>
      </c>
      <c r="D590" s="8"/>
      <c r="E590" s="1" t="s">
        <v>451</v>
      </c>
      <c r="F590" s="8">
        <f>IF(TimeEntry[[#This Row],[Date]]=0,F589,C590+(7-Q590))</f>
        <v>43618</v>
      </c>
      <c r="G590" s="35" t="str">
        <f>INDEX(projects[Charge_Code],MATCH(TimeEntry[[#This Row],[Project_ID]],projects[Project_ID],0))</f>
        <v>BANK HOLIDAY Bank Holiday</v>
      </c>
      <c r="H590" s="1" t="str">
        <f t="shared" si="12"/>
        <v>Normal Time</v>
      </c>
      <c r="I590" s="1"/>
      <c r="J590" s="15">
        <v>7.5</v>
      </c>
      <c r="K590" s="15"/>
      <c r="L590" s="15"/>
      <c r="M590" s="15"/>
      <c r="N590" s="15"/>
      <c r="O590" s="15" t="str">
        <f>INDEX(projects[job number],MATCH(TimeEntry[[#This Row],[Project_ID]], projects[Project_ID],0))</f>
        <v>BANK HOLIDAY</v>
      </c>
      <c r="P590" s="15" t="str">
        <f>INDEX(projects[Project_Name],MATCH(TimeEntry[[#This Row],[Project_ID]], projects[Project_ID],0))</f>
        <v>Bank Holiday</v>
      </c>
      <c r="Q590" s="6">
        <f>IF(TimeEntry[[#This Row],[Date]]=0,"",WEEKDAY(C590,2))</f>
        <v>1</v>
      </c>
      <c r="R590" s="9">
        <f>YEAR(TimeEntry[[#This Row],[WkEnd]])</f>
        <v>2019</v>
      </c>
      <c r="S590" s="9">
        <f>WEEKNUM(TimeEntry[[#This Row],[WkEnd]])</f>
        <v>23</v>
      </c>
      <c r="T590" s="9" t="str">
        <f>TimeEntry[[#This Row],[Year]]&amp;"-"&amp;TimeEntry[[#This Row],[WkNo]]</f>
        <v>2019-23</v>
      </c>
    </row>
    <row r="591" spans="1:20" x14ac:dyDescent="0.25">
      <c r="A591" s="6">
        <f>MOD(IF(ROW()=2,0.1,IF(INDEX(TimeEntry[WkEnd],ROW()-1)  =  INDEX(TimeEntry[WkEnd],ROW()-2),    INDEX(TimeEntry[format],ROW()-2),    INDEX(TimeEntry[format],ROW()-2)    +1)),2)</f>
        <v>1.1000000000000001</v>
      </c>
      <c r="B591" s="7"/>
      <c r="C591" s="8">
        <v>43613</v>
      </c>
      <c r="D591" s="8"/>
      <c r="E591" s="1" t="s">
        <v>466</v>
      </c>
      <c r="F591" s="8">
        <f>IF(TimeEntry[[#This Row],[Date]]=0,F590,C591+(7-Q591))</f>
        <v>43618</v>
      </c>
      <c r="G591" s="35" t="str">
        <f>INDEX(projects[Charge_Code],MATCH(TimeEntry[[#This Row],[Project_ID]],projects[Project_ID],0))</f>
        <v>265720-10 VBB - Design Basis</v>
      </c>
      <c r="H591" s="1" t="str">
        <f t="shared" si="12"/>
        <v>Normal Time</v>
      </c>
      <c r="I591" s="1"/>
      <c r="J591" s="15">
        <v>7.5</v>
      </c>
      <c r="K591" s="15"/>
      <c r="L591" s="15"/>
      <c r="M591" s="15"/>
      <c r="N591" s="15"/>
      <c r="O591" s="15" t="str">
        <f>INDEX(projects[job number],MATCH(TimeEntry[[#This Row],[Project_ID]], projects[Project_ID],0))</f>
        <v>265720-10</v>
      </c>
      <c r="P591" s="15" t="str">
        <f>INDEX(projects[Project_Name],MATCH(TimeEntry[[#This Row],[Project_ID]], projects[Project_ID],0))</f>
        <v>VBB - Design Basis</v>
      </c>
      <c r="Q591" s="6">
        <f>IF(TimeEntry[[#This Row],[Date]]=0,"",WEEKDAY(C591,2))</f>
        <v>2</v>
      </c>
      <c r="R591" s="9">
        <f>YEAR(TimeEntry[[#This Row],[WkEnd]])</f>
        <v>2019</v>
      </c>
      <c r="S591" s="9">
        <f>WEEKNUM(TimeEntry[[#This Row],[WkEnd]])</f>
        <v>23</v>
      </c>
      <c r="T591" s="9" t="str">
        <f>TimeEntry[[#This Row],[Year]]&amp;"-"&amp;TimeEntry[[#This Row],[WkNo]]</f>
        <v>2019-23</v>
      </c>
    </row>
    <row r="592" spans="1:20" x14ac:dyDescent="0.25">
      <c r="A592" s="6">
        <f>MOD(IF(ROW()=2,0.1,IF(INDEX(TimeEntry[WkEnd],ROW()-1)  =  INDEX(TimeEntry[WkEnd],ROW()-2),    INDEX(TimeEntry[format],ROW()-2),    INDEX(TimeEntry[format],ROW()-2)    +1)),2)</f>
        <v>1.1000000000000001</v>
      </c>
      <c r="B592" s="7"/>
      <c r="C592" s="8">
        <v>43614</v>
      </c>
      <c r="D592" s="8"/>
      <c r="E592" s="1" t="s">
        <v>466</v>
      </c>
      <c r="F592" s="8">
        <f>IF(TimeEntry[[#This Row],[Date]]=0,F591,C592+(7-Q592))</f>
        <v>43618</v>
      </c>
      <c r="G592" s="35" t="str">
        <f>INDEX(projects[Charge_Code],MATCH(TimeEntry[[#This Row],[Project_ID]],projects[Project_ID],0))</f>
        <v>265720-10 VBB - Design Basis</v>
      </c>
      <c r="H592" s="1" t="str">
        <f t="shared" si="12"/>
        <v>Normal Time</v>
      </c>
      <c r="I592" s="1"/>
      <c r="J592" s="15">
        <v>7.5</v>
      </c>
      <c r="K592" s="15"/>
      <c r="L592" s="15"/>
      <c r="M592" s="15"/>
      <c r="N592" s="15"/>
      <c r="O592" s="15" t="str">
        <f>INDEX(projects[job number],MATCH(TimeEntry[[#This Row],[Project_ID]], projects[Project_ID],0))</f>
        <v>265720-10</v>
      </c>
      <c r="P592" s="15" t="str">
        <f>INDEX(projects[Project_Name],MATCH(TimeEntry[[#This Row],[Project_ID]], projects[Project_ID],0))</f>
        <v>VBB - Design Basis</v>
      </c>
      <c r="Q592" s="6">
        <f>IF(TimeEntry[[#This Row],[Date]]=0,"",WEEKDAY(C592,2))</f>
        <v>3</v>
      </c>
      <c r="R592" s="9">
        <f>YEAR(TimeEntry[[#This Row],[WkEnd]])</f>
        <v>2019</v>
      </c>
      <c r="S592" s="9">
        <f>WEEKNUM(TimeEntry[[#This Row],[WkEnd]])</f>
        <v>23</v>
      </c>
      <c r="T592" s="9" t="str">
        <f>TimeEntry[[#This Row],[Year]]&amp;"-"&amp;TimeEntry[[#This Row],[WkNo]]</f>
        <v>2019-23</v>
      </c>
    </row>
    <row r="593" spans="1:20" x14ac:dyDescent="0.25">
      <c r="A593" s="6">
        <f>MOD(IF(ROW()=2,0.1,IF(INDEX(TimeEntry[WkEnd],ROW()-1)  =  INDEX(TimeEntry[WkEnd],ROW()-2),    INDEX(TimeEntry[format],ROW()-2),    INDEX(TimeEntry[format],ROW()-2)    +1)),2)</f>
        <v>1.1000000000000001</v>
      </c>
      <c r="B593" s="7"/>
      <c r="C593" s="8">
        <v>43614</v>
      </c>
      <c r="D593" s="8"/>
      <c r="E593" s="1" t="s">
        <v>467</v>
      </c>
      <c r="F593" s="8">
        <f>IF(TimeEntry[[#This Row],[Date]]=0,F592,C593+(7-Q593))</f>
        <v>43618</v>
      </c>
      <c r="G593" s="35" t="str">
        <f>INDEX(projects[Charge_Code],MATCH(TimeEntry[[#This Row],[Project_ID]],projects[Project_ID],0))</f>
        <v>262218-08 CAFA</v>
      </c>
      <c r="H593" s="1" t="str">
        <f t="shared" si="12"/>
        <v>Normal Time</v>
      </c>
      <c r="I593" s="1"/>
      <c r="J593" s="15">
        <v>3.5</v>
      </c>
      <c r="K593" s="15"/>
      <c r="L593" s="15"/>
      <c r="M593" s="15"/>
      <c r="N593" s="15"/>
      <c r="O593" s="15" t="str">
        <f>INDEX(projects[job number],MATCH(TimeEntry[[#This Row],[Project_ID]], projects[Project_ID],0))</f>
        <v>262218-08</v>
      </c>
      <c r="P593" s="15" t="str">
        <f>INDEX(projects[Project_Name],MATCH(TimeEntry[[#This Row],[Project_ID]], projects[Project_ID],0))</f>
        <v>CAFA</v>
      </c>
      <c r="Q593" s="6">
        <f>IF(TimeEntry[[#This Row],[Date]]=0,"",WEEKDAY(C593,2))</f>
        <v>3</v>
      </c>
      <c r="R593" s="9">
        <f>YEAR(TimeEntry[[#This Row],[WkEnd]])</f>
        <v>2019</v>
      </c>
      <c r="S593" s="9">
        <f>WEEKNUM(TimeEntry[[#This Row],[WkEnd]])</f>
        <v>23</v>
      </c>
      <c r="T593" s="9" t="str">
        <f>TimeEntry[[#This Row],[Year]]&amp;"-"&amp;TimeEntry[[#This Row],[WkNo]]</f>
        <v>2019-23</v>
      </c>
    </row>
    <row r="594" spans="1:20" x14ac:dyDescent="0.25">
      <c r="A594" s="6">
        <f>MOD(IF(ROW()=2,0.1,IF(INDEX(TimeEntry[WkEnd],ROW()-1)  =  INDEX(TimeEntry[WkEnd],ROW()-2),    INDEX(TimeEntry[format],ROW()-2),    INDEX(TimeEntry[format],ROW()-2)    +1)),2)</f>
        <v>1.1000000000000001</v>
      </c>
      <c r="B594" s="7"/>
      <c r="C594" s="8">
        <v>43615</v>
      </c>
      <c r="D594" s="8"/>
      <c r="E594" s="1" t="s">
        <v>468</v>
      </c>
      <c r="F594" s="8">
        <f>IF(TimeEntry[[#This Row],[Date]]=0,F593,C594+(7-Q594))</f>
        <v>43618</v>
      </c>
      <c r="G594" s="35" t="str">
        <f>INDEX(projects[Charge_Code],MATCH(TimeEntry[[#This Row],[Project_ID]],projects[Project_ID],0))</f>
        <v>266122-24 A465 updates</v>
      </c>
      <c r="H594" s="1" t="str">
        <f t="shared" si="12"/>
        <v>Normal Time</v>
      </c>
      <c r="I594" s="1"/>
      <c r="J594" s="15">
        <v>4</v>
      </c>
      <c r="K594" s="15"/>
      <c r="L594" s="15"/>
      <c r="M594" s="15"/>
      <c r="N594" s="15"/>
      <c r="O594" s="15" t="str">
        <f>INDEX(projects[job number],MATCH(TimeEntry[[#This Row],[Project_ID]], projects[Project_ID],0))</f>
        <v>266122-24</v>
      </c>
      <c r="P594" s="15" t="str">
        <f>INDEX(projects[Project_Name],MATCH(TimeEntry[[#This Row],[Project_ID]], projects[Project_ID],0))</f>
        <v>A465 updates</v>
      </c>
      <c r="Q594" s="6">
        <f>IF(TimeEntry[[#This Row],[Date]]=0,"",WEEKDAY(C594,2))</f>
        <v>4</v>
      </c>
      <c r="R594" s="9">
        <f>YEAR(TimeEntry[[#This Row],[WkEnd]])</f>
        <v>2019</v>
      </c>
      <c r="S594" s="9">
        <f>WEEKNUM(TimeEntry[[#This Row],[WkEnd]])</f>
        <v>23</v>
      </c>
      <c r="T594" s="9" t="str">
        <f>TimeEntry[[#This Row],[Year]]&amp;"-"&amp;TimeEntry[[#This Row],[WkNo]]</f>
        <v>2019-23</v>
      </c>
    </row>
    <row r="595" spans="1:20" x14ac:dyDescent="0.25">
      <c r="A595" s="6">
        <f>MOD(IF(ROW()=2,0.1,IF(INDEX(TimeEntry[WkEnd],ROW()-1)  =  INDEX(TimeEntry[WkEnd],ROW()-2),    INDEX(TimeEntry[format],ROW()-2),    INDEX(TimeEntry[format],ROW()-2)    +1)),2)</f>
        <v>1.1000000000000001</v>
      </c>
      <c r="B595" s="7"/>
      <c r="C595" s="8">
        <v>43616</v>
      </c>
      <c r="D595" s="8"/>
      <c r="E595" s="1" t="s">
        <v>466</v>
      </c>
      <c r="F595" s="8">
        <f>IF(TimeEntry[[#This Row],[Date]]=0,F594,C595+(7-Q595))</f>
        <v>43618</v>
      </c>
      <c r="G595" s="35" t="str">
        <f>INDEX(projects[Charge_Code],MATCH(TimeEntry[[#This Row],[Project_ID]],projects[Project_ID],0))</f>
        <v>265720-10 VBB - Design Basis</v>
      </c>
      <c r="H595" s="1" t="str">
        <f t="shared" si="12"/>
        <v>Normal Time</v>
      </c>
      <c r="I595" s="1"/>
      <c r="J595" s="15">
        <v>7.5</v>
      </c>
      <c r="K595" s="15"/>
      <c r="L595" s="15"/>
      <c r="M595" s="15"/>
      <c r="N595" s="15"/>
      <c r="O595" s="15" t="str">
        <f>INDEX(projects[job number],MATCH(TimeEntry[[#This Row],[Project_ID]], projects[Project_ID],0))</f>
        <v>265720-10</v>
      </c>
      <c r="P595" s="15" t="str">
        <f>INDEX(projects[Project_Name],MATCH(TimeEntry[[#This Row],[Project_ID]], projects[Project_ID],0))</f>
        <v>VBB - Design Basis</v>
      </c>
      <c r="Q595" s="6">
        <f>IF(TimeEntry[[#This Row],[Date]]=0,"",WEEKDAY(C595,2))</f>
        <v>5</v>
      </c>
      <c r="R595" s="9">
        <f>YEAR(TimeEntry[[#This Row],[WkEnd]])</f>
        <v>2019</v>
      </c>
      <c r="S595" s="9">
        <f>WEEKNUM(TimeEntry[[#This Row],[WkEnd]])</f>
        <v>23</v>
      </c>
      <c r="T595" s="9" t="str">
        <f>TimeEntry[[#This Row],[Year]]&amp;"-"&amp;TimeEntry[[#This Row],[WkNo]]</f>
        <v>2019-23</v>
      </c>
    </row>
    <row r="596" spans="1:20" x14ac:dyDescent="0.25">
      <c r="A596" s="6">
        <f>MOD(IF(ROW()=2,0.1,IF(INDEX(TimeEntry[WkEnd],ROW()-1)  =  INDEX(TimeEntry[WkEnd],ROW()-2),    INDEX(TimeEntry[format],ROW()-2),    INDEX(TimeEntry[format],ROW()-2)    +1)),2)</f>
        <v>0.10000000000000009</v>
      </c>
      <c r="B596" s="7"/>
      <c r="C596" s="8">
        <v>43605</v>
      </c>
      <c r="D596" s="8"/>
      <c r="E596" s="1" t="s">
        <v>463</v>
      </c>
      <c r="F596" s="8">
        <f>IF(TimeEntry[[#This Row],[Date]]=0,F595,C596+(7-Q596))</f>
        <v>43611</v>
      </c>
      <c r="G596" s="35" t="str">
        <f>INDEX(projects[Charge_Code],MATCH(TimeEntry[[#This Row],[Project_ID]],projects[Project_ID],0))</f>
        <v>268268-00 Brisa</v>
      </c>
      <c r="H596" s="1" t="str">
        <f t="shared" si="12"/>
        <v>Normal Time</v>
      </c>
      <c r="I596" s="1"/>
      <c r="J596" s="15">
        <v>7.5</v>
      </c>
      <c r="K596" s="15"/>
      <c r="L596" s="15"/>
      <c r="M596" s="15"/>
      <c r="N596" s="15"/>
      <c r="O596" s="15" t="str">
        <f>INDEX(projects[job number],MATCH(TimeEntry[[#This Row],[Project_ID]], projects[Project_ID],0))</f>
        <v>268268-00</v>
      </c>
      <c r="P596" s="15" t="str">
        <f>INDEX(projects[Project_Name],MATCH(TimeEntry[[#This Row],[Project_ID]], projects[Project_ID],0))</f>
        <v>Brisa</v>
      </c>
      <c r="Q596" s="6">
        <f>IF(TimeEntry[[#This Row],[Date]]=0,"",WEEKDAY(C596,2))</f>
        <v>1</v>
      </c>
      <c r="R596" s="9">
        <f>YEAR(TimeEntry[[#This Row],[WkEnd]])</f>
        <v>2019</v>
      </c>
      <c r="S596" s="9">
        <f>WEEKNUM(TimeEntry[[#This Row],[WkEnd]])</f>
        <v>22</v>
      </c>
      <c r="T596" s="9" t="str">
        <f>TimeEntry[[#This Row],[Year]]&amp;"-"&amp;TimeEntry[[#This Row],[WkNo]]</f>
        <v>2019-22</v>
      </c>
    </row>
    <row r="597" spans="1:20" x14ac:dyDescent="0.25">
      <c r="A597" s="6">
        <f>MOD(IF(ROW()=2,0.1,IF(INDEX(TimeEntry[WkEnd],ROW()-1)  =  INDEX(TimeEntry[WkEnd],ROW()-2),    INDEX(TimeEntry[format],ROW()-2),    INDEX(TimeEntry[format],ROW()-2)    +1)),2)</f>
        <v>0.10000000000000009</v>
      </c>
      <c r="B597" s="7"/>
      <c r="C597" s="8">
        <v>43606</v>
      </c>
      <c r="D597" s="8"/>
      <c r="E597" s="1" t="s">
        <v>460</v>
      </c>
      <c r="F597" s="8">
        <f>IF(TimeEntry[[#This Row],[Date]]=0,F596,C597+(7-Q597))</f>
        <v>43611</v>
      </c>
      <c r="G597" s="35" t="str">
        <f>INDEX(projects[Charge_Code],MATCH(TimeEntry[[#This Row],[Project_ID]],projects[Project_ID],0))</f>
        <v>265720-20 VBB - Assessment</v>
      </c>
      <c r="H597" s="1" t="str">
        <f t="shared" si="12"/>
        <v>Normal Time</v>
      </c>
      <c r="I597" s="1"/>
      <c r="J597" s="15">
        <v>7.5</v>
      </c>
      <c r="K597" s="15"/>
      <c r="L597" s="15"/>
      <c r="M597" s="15"/>
      <c r="N597" s="15"/>
      <c r="O597" s="15" t="str">
        <f>INDEX(projects[job number],MATCH(TimeEntry[[#This Row],[Project_ID]], projects[Project_ID],0))</f>
        <v>265720-20</v>
      </c>
      <c r="P597" s="15" t="str">
        <f>INDEX(projects[Project_Name],MATCH(TimeEntry[[#This Row],[Project_ID]], projects[Project_ID],0))</f>
        <v>VBB - Assessment</v>
      </c>
      <c r="Q597" s="6">
        <f>IF(TimeEntry[[#This Row],[Date]]=0,"",WEEKDAY(C597,2))</f>
        <v>2</v>
      </c>
      <c r="R597" s="9">
        <f>YEAR(TimeEntry[[#This Row],[WkEnd]])</f>
        <v>2019</v>
      </c>
      <c r="S597" s="9">
        <f>WEEKNUM(TimeEntry[[#This Row],[WkEnd]])</f>
        <v>22</v>
      </c>
      <c r="T597" s="9" t="str">
        <f>TimeEntry[[#This Row],[Year]]&amp;"-"&amp;TimeEntry[[#This Row],[WkNo]]</f>
        <v>2019-22</v>
      </c>
    </row>
    <row r="598" spans="1:20" x14ac:dyDescent="0.25">
      <c r="A598" s="6">
        <f>MOD(IF(ROW()=2,0.1,IF(INDEX(TimeEntry[WkEnd],ROW()-1)  =  INDEX(TimeEntry[WkEnd],ROW()-2),    INDEX(TimeEntry[format],ROW()-2),    INDEX(TimeEntry[format],ROW()-2)    +1)),2)</f>
        <v>0.10000000000000009</v>
      </c>
      <c r="B598" s="7"/>
      <c r="C598" s="8">
        <v>43607</v>
      </c>
      <c r="D598" s="8"/>
      <c r="E598" s="1" t="s">
        <v>460</v>
      </c>
      <c r="F598" s="8">
        <f>IF(TimeEntry[[#This Row],[Date]]=0,F597,C598+(7-Q598))</f>
        <v>43611</v>
      </c>
      <c r="G598" s="35" t="str">
        <f>INDEX(projects[Charge_Code],MATCH(TimeEntry[[#This Row],[Project_ID]],projects[Project_ID],0))</f>
        <v>265720-20 VBB - Assessment</v>
      </c>
      <c r="H598" s="1" t="str">
        <f t="shared" si="12"/>
        <v>Normal Time</v>
      </c>
      <c r="I598" s="1"/>
      <c r="J598" s="15">
        <v>7.5</v>
      </c>
      <c r="K598" s="15"/>
      <c r="L598" s="15"/>
      <c r="M598" s="15"/>
      <c r="N598" s="15"/>
      <c r="O598" s="15" t="str">
        <f>INDEX(projects[job number],MATCH(TimeEntry[[#This Row],[Project_ID]], projects[Project_ID],0))</f>
        <v>265720-20</v>
      </c>
      <c r="P598" s="15" t="str">
        <f>INDEX(projects[Project_Name],MATCH(TimeEntry[[#This Row],[Project_ID]], projects[Project_ID],0))</f>
        <v>VBB - Assessment</v>
      </c>
      <c r="Q598" s="6">
        <f>IF(TimeEntry[[#This Row],[Date]]=0,"",WEEKDAY(C598,2))</f>
        <v>3</v>
      </c>
      <c r="R598" s="9">
        <f>YEAR(TimeEntry[[#This Row],[WkEnd]])</f>
        <v>2019</v>
      </c>
      <c r="S598" s="9">
        <f>WEEKNUM(TimeEntry[[#This Row],[WkEnd]])</f>
        <v>22</v>
      </c>
      <c r="T598" s="9" t="str">
        <f>TimeEntry[[#This Row],[Year]]&amp;"-"&amp;TimeEntry[[#This Row],[WkNo]]</f>
        <v>2019-22</v>
      </c>
    </row>
    <row r="599" spans="1:20" x14ac:dyDescent="0.25">
      <c r="A599" s="6">
        <f>MOD(IF(ROW()=2,0.1,IF(INDEX(TimeEntry[WkEnd],ROW()-1)  =  INDEX(TimeEntry[WkEnd],ROW()-2),    INDEX(TimeEntry[format],ROW()-2),    INDEX(TimeEntry[format],ROW()-2)    +1)),2)</f>
        <v>0.10000000000000009</v>
      </c>
      <c r="B599" s="7"/>
      <c r="C599" s="8">
        <v>43608</v>
      </c>
      <c r="D599" s="8"/>
      <c r="E599" s="1" t="s">
        <v>460</v>
      </c>
      <c r="F599" s="8">
        <f>IF(TimeEntry[[#This Row],[Date]]=0,F598,C599+(7-Q599))</f>
        <v>43611</v>
      </c>
      <c r="G599" s="35" t="str">
        <f>INDEX(projects[Charge_Code],MATCH(TimeEntry[[#This Row],[Project_ID]],projects[Project_ID],0))</f>
        <v>265720-20 VBB - Assessment</v>
      </c>
      <c r="H599" s="1" t="str">
        <f t="shared" si="12"/>
        <v>Normal Time</v>
      </c>
      <c r="I599" s="1"/>
      <c r="J599" s="15">
        <v>7.5</v>
      </c>
      <c r="K599" s="15"/>
      <c r="L599" s="15"/>
      <c r="M599" s="15"/>
      <c r="N599" s="15"/>
      <c r="O599" s="15" t="str">
        <f>INDEX(projects[job number],MATCH(TimeEntry[[#This Row],[Project_ID]], projects[Project_ID],0))</f>
        <v>265720-20</v>
      </c>
      <c r="P599" s="15" t="str">
        <f>INDEX(projects[Project_Name],MATCH(TimeEntry[[#This Row],[Project_ID]], projects[Project_ID],0))</f>
        <v>VBB - Assessment</v>
      </c>
      <c r="Q599" s="6">
        <f>IF(TimeEntry[[#This Row],[Date]]=0,"",WEEKDAY(C599,2))</f>
        <v>4</v>
      </c>
      <c r="R599" s="9">
        <f>YEAR(TimeEntry[[#This Row],[WkEnd]])</f>
        <v>2019</v>
      </c>
      <c r="S599" s="9">
        <f>WEEKNUM(TimeEntry[[#This Row],[WkEnd]])</f>
        <v>22</v>
      </c>
      <c r="T599" s="9" t="str">
        <f>TimeEntry[[#This Row],[Year]]&amp;"-"&amp;TimeEntry[[#This Row],[WkNo]]</f>
        <v>2019-22</v>
      </c>
    </row>
    <row r="600" spans="1:20" x14ac:dyDescent="0.25">
      <c r="A600" s="6">
        <f>MOD(IF(ROW()=2,0.1,IF(INDEX(TimeEntry[WkEnd],ROW()-1)  =  INDEX(TimeEntry[WkEnd],ROW()-2),    INDEX(TimeEntry[format],ROW()-2),    INDEX(TimeEntry[format],ROW()-2)    +1)),2)</f>
        <v>0.10000000000000009</v>
      </c>
      <c r="B600" s="7"/>
      <c r="C600" s="8">
        <v>43609</v>
      </c>
      <c r="D600" s="8"/>
      <c r="E600" s="1" t="s">
        <v>460</v>
      </c>
      <c r="F600" s="8">
        <f>IF(TimeEntry[[#This Row],[Date]]=0,F599,C600+(7-Q600))</f>
        <v>43611</v>
      </c>
      <c r="G600" s="35" t="str">
        <f>INDEX(projects[Charge_Code],MATCH(TimeEntry[[#This Row],[Project_ID]],projects[Project_ID],0))</f>
        <v>265720-20 VBB - Assessment</v>
      </c>
      <c r="H600" s="1" t="str">
        <f t="shared" si="12"/>
        <v>Normal Time</v>
      </c>
      <c r="I600" s="1"/>
      <c r="J600" s="15">
        <v>3.75</v>
      </c>
      <c r="K600" s="15"/>
      <c r="L600" s="15"/>
      <c r="M600" s="15"/>
      <c r="N600" s="15"/>
      <c r="O600" s="15" t="str">
        <f>INDEX(projects[job number],MATCH(TimeEntry[[#This Row],[Project_ID]], projects[Project_ID],0))</f>
        <v>265720-20</v>
      </c>
      <c r="P600" s="15" t="str">
        <f>INDEX(projects[Project_Name],MATCH(TimeEntry[[#This Row],[Project_ID]], projects[Project_ID],0))</f>
        <v>VBB - Assessment</v>
      </c>
      <c r="Q600" s="6">
        <f>IF(TimeEntry[[#This Row],[Date]]=0,"",WEEKDAY(C600,2))</f>
        <v>5</v>
      </c>
      <c r="R600" s="9">
        <f>YEAR(TimeEntry[[#This Row],[WkEnd]])</f>
        <v>2019</v>
      </c>
      <c r="S600" s="9">
        <f>WEEKNUM(TimeEntry[[#This Row],[WkEnd]])</f>
        <v>22</v>
      </c>
      <c r="T600" s="9" t="str">
        <f>TimeEntry[[#This Row],[Year]]&amp;"-"&amp;TimeEntry[[#This Row],[WkNo]]</f>
        <v>2019-22</v>
      </c>
    </row>
    <row r="601" spans="1:20" x14ac:dyDescent="0.25">
      <c r="A601" s="6">
        <f>MOD(IF(ROW()=2,0.1,IF(INDEX(TimeEntry[WkEnd],ROW()-1)  =  INDEX(TimeEntry[WkEnd],ROW()-2),    INDEX(TimeEntry[format],ROW()-2),    INDEX(TimeEntry[format],ROW()-2)    +1)),2)</f>
        <v>0.10000000000000009</v>
      </c>
      <c r="B601" s="7"/>
      <c r="C601" s="8">
        <v>43609</v>
      </c>
      <c r="D601" s="8"/>
      <c r="E601" s="1" t="s">
        <v>445</v>
      </c>
      <c r="F601" s="8">
        <f>IF(TimeEntry[[#This Row],[Date]]=0,F600,C601+(7-Q601))</f>
        <v>43611</v>
      </c>
      <c r="G601" s="35" t="str">
        <f>INDEX(projects[Charge_Code],MATCH(TimeEntry[[#This Row],[Project_ID]],projects[Project_ID],0))</f>
        <v>LEAVE</v>
      </c>
      <c r="H601" s="1" t="str">
        <f t="shared" si="12"/>
        <v>Normal Time</v>
      </c>
      <c r="I601" s="1"/>
      <c r="J601" s="15">
        <v>3.75</v>
      </c>
      <c r="K601" s="15"/>
      <c r="L601" s="15"/>
      <c r="M601" s="15"/>
      <c r="N601" s="15"/>
      <c r="O601" s="15" t="str">
        <f>INDEX(projects[job number],MATCH(TimeEntry[[#This Row],[Project_ID]], projects[Project_ID],0))</f>
        <v>LEAVE</v>
      </c>
      <c r="P601" s="15">
        <f>INDEX(projects[Project_Name],MATCH(TimeEntry[[#This Row],[Project_ID]], projects[Project_ID],0))</f>
        <v>0</v>
      </c>
      <c r="Q601" s="6">
        <f>IF(TimeEntry[[#This Row],[Date]]=0,"",WEEKDAY(C601,2))</f>
        <v>5</v>
      </c>
      <c r="R601" s="9">
        <f>YEAR(TimeEntry[[#This Row],[WkEnd]])</f>
        <v>2019</v>
      </c>
      <c r="S601" s="9">
        <f>WEEKNUM(TimeEntry[[#This Row],[WkEnd]])</f>
        <v>22</v>
      </c>
      <c r="T601" s="9" t="str">
        <f>TimeEntry[[#This Row],[Year]]&amp;"-"&amp;TimeEntry[[#This Row],[WkNo]]</f>
        <v>2019-22</v>
      </c>
    </row>
    <row r="602" spans="1:20" x14ac:dyDescent="0.25">
      <c r="A602" s="6">
        <f>MOD(IF(ROW()=2,0.1,IF(INDEX(TimeEntry[WkEnd],ROW()-1)  =  INDEX(TimeEntry[WkEnd],ROW()-2),    INDEX(TimeEntry[format],ROW()-2),    INDEX(TimeEntry[format],ROW()-2)    +1)),2)</f>
        <v>1.1000000000000001</v>
      </c>
      <c r="B602" s="7"/>
      <c r="C602" s="8">
        <v>43598</v>
      </c>
      <c r="D602" s="8"/>
      <c r="E602" s="1" t="s">
        <v>469</v>
      </c>
      <c r="F602" s="8">
        <f>IF(TimeEntry[[#This Row],[Date]]=0,F601,C602+(7-Q602))</f>
        <v>43604</v>
      </c>
      <c r="G602" s="35" t="str">
        <f>INDEX(projects[Charge_Code],MATCH(TimeEntry[[#This Row],[Project_ID]],projects[Project_ID],0))</f>
        <v>601593-72 WMRE lot 6</v>
      </c>
      <c r="H602" s="1" t="str">
        <f t="shared" si="12"/>
        <v>Normal Time</v>
      </c>
      <c r="I602" s="1"/>
      <c r="J602" s="15">
        <v>7.5</v>
      </c>
      <c r="K602" s="15"/>
      <c r="L602" s="15"/>
      <c r="M602" s="15"/>
      <c r="N602" s="15"/>
      <c r="O602" s="15" t="str">
        <f>INDEX(projects[job number],MATCH(TimeEntry[[#This Row],[Project_ID]], projects[Project_ID],0))</f>
        <v>601593-72</v>
      </c>
      <c r="P602" s="15" t="str">
        <f>INDEX(projects[Project_Name],MATCH(TimeEntry[[#This Row],[Project_ID]], projects[Project_ID],0))</f>
        <v>WMRE lot 6</v>
      </c>
      <c r="Q602" s="6">
        <f>IF(TimeEntry[[#This Row],[Date]]=0,"",WEEKDAY(C602,2))</f>
        <v>1</v>
      </c>
      <c r="R602" s="9">
        <f>YEAR(TimeEntry[[#This Row],[WkEnd]])</f>
        <v>2019</v>
      </c>
      <c r="S602" s="9">
        <f>WEEKNUM(TimeEntry[[#This Row],[WkEnd]])</f>
        <v>21</v>
      </c>
      <c r="T602" s="9" t="str">
        <f>TimeEntry[[#This Row],[Year]]&amp;"-"&amp;TimeEntry[[#This Row],[WkNo]]</f>
        <v>2019-21</v>
      </c>
    </row>
    <row r="603" spans="1:20" x14ac:dyDescent="0.25">
      <c r="A603" s="6">
        <f>MOD(IF(ROW()=2,0.1,IF(INDEX(TimeEntry[WkEnd],ROW()-1)  =  INDEX(TimeEntry[WkEnd],ROW()-2),    INDEX(TimeEntry[format],ROW()-2),    INDEX(TimeEntry[format],ROW()-2)    +1)),2)</f>
        <v>1.1000000000000001</v>
      </c>
      <c r="B603" s="7"/>
      <c r="C603" s="8">
        <v>43599</v>
      </c>
      <c r="D603" s="8"/>
      <c r="E603" s="1" t="s">
        <v>469</v>
      </c>
      <c r="F603" s="8">
        <f>IF(TimeEntry[[#This Row],[Date]]=0,F602,C603+(7-Q603))</f>
        <v>43604</v>
      </c>
      <c r="G603" s="35" t="str">
        <f>INDEX(projects[Charge_Code],MATCH(TimeEntry[[#This Row],[Project_ID]],projects[Project_ID],0))</f>
        <v>601593-72 WMRE lot 6</v>
      </c>
      <c r="H603" s="1" t="str">
        <f t="shared" si="12"/>
        <v>Normal Time</v>
      </c>
      <c r="I603" s="1"/>
      <c r="J603" s="15">
        <v>5.5</v>
      </c>
      <c r="K603" s="15"/>
      <c r="L603" s="15"/>
      <c r="M603" s="15"/>
      <c r="N603" s="15"/>
      <c r="O603" s="15" t="str">
        <f>INDEX(projects[job number],MATCH(TimeEntry[[#This Row],[Project_ID]], projects[Project_ID],0))</f>
        <v>601593-72</v>
      </c>
      <c r="P603" s="15" t="str">
        <f>INDEX(projects[Project_Name],MATCH(TimeEntry[[#This Row],[Project_ID]], projects[Project_ID],0))</f>
        <v>WMRE lot 6</v>
      </c>
      <c r="Q603" s="6">
        <f>IF(TimeEntry[[#This Row],[Date]]=0,"",WEEKDAY(C603,2))</f>
        <v>2</v>
      </c>
      <c r="R603" s="9">
        <f>YEAR(TimeEntry[[#This Row],[WkEnd]])</f>
        <v>2019</v>
      </c>
      <c r="S603" s="9">
        <f>WEEKNUM(TimeEntry[[#This Row],[WkEnd]])</f>
        <v>21</v>
      </c>
      <c r="T603" s="9" t="str">
        <f>TimeEntry[[#This Row],[Year]]&amp;"-"&amp;TimeEntry[[#This Row],[WkNo]]</f>
        <v>2019-21</v>
      </c>
    </row>
    <row r="604" spans="1:20" x14ac:dyDescent="0.25">
      <c r="A604" s="6">
        <f>MOD(IF(ROW()=2,0.1,IF(INDEX(TimeEntry[WkEnd],ROW()-1)  =  INDEX(TimeEntry[WkEnd],ROW()-2),    INDEX(TimeEntry[format],ROW()-2),    INDEX(TimeEntry[format],ROW()-2)    +1)),2)</f>
        <v>1.1000000000000001</v>
      </c>
      <c r="B604" s="7"/>
      <c r="C604" s="8">
        <v>43599</v>
      </c>
      <c r="D604" s="8"/>
      <c r="E604" s="1" t="s">
        <v>460</v>
      </c>
      <c r="F604" s="8">
        <f>IF(TimeEntry[[#This Row],[Date]]=0,F603,C604+(7-Q604))</f>
        <v>43604</v>
      </c>
      <c r="G604" s="35" t="str">
        <f>INDEX(projects[Charge_Code],MATCH(TimeEntry[[#This Row],[Project_ID]],projects[Project_ID],0))</f>
        <v>265720-20 VBB - Assessment</v>
      </c>
      <c r="H604" s="1" t="str">
        <f t="shared" si="12"/>
        <v>Normal Time</v>
      </c>
      <c r="I604" s="1"/>
      <c r="J604" s="15">
        <v>2</v>
      </c>
      <c r="K604" s="15"/>
      <c r="L604" s="15"/>
      <c r="M604" s="15"/>
      <c r="N604" s="15"/>
      <c r="O604" s="15" t="str">
        <f>INDEX(projects[job number],MATCH(TimeEntry[[#This Row],[Project_ID]], projects[Project_ID],0))</f>
        <v>265720-20</v>
      </c>
      <c r="P604" s="15" t="str">
        <f>INDEX(projects[Project_Name],MATCH(TimeEntry[[#This Row],[Project_ID]], projects[Project_ID],0))</f>
        <v>VBB - Assessment</v>
      </c>
      <c r="Q604" s="6">
        <f>IF(TimeEntry[[#This Row],[Date]]=0,"",WEEKDAY(C604,2))</f>
        <v>2</v>
      </c>
      <c r="R604" s="9">
        <f>YEAR(TimeEntry[[#This Row],[WkEnd]])</f>
        <v>2019</v>
      </c>
      <c r="S604" s="9">
        <f>WEEKNUM(TimeEntry[[#This Row],[WkEnd]])</f>
        <v>21</v>
      </c>
      <c r="T604" s="9" t="str">
        <f>TimeEntry[[#This Row],[Year]]&amp;"-"&amp;TimeEntry[[#This Row],[WkNo]]</f>
        <v>2019-21</v>
      </c>
    </row>
    <row r="605" spans="1:20" x14ac:dyDescent="0.25">
      <c r="A605" s="6">
        <f>MOD(IF(ROW()=2,0.1,IF(INDEX(TimeEntry[WkEnd],ROW()-1)  =  INDEX(TimeEntry[WkEnd],ROW()-2),    INDEX(TimeEntry[format],ROW()-2),    INDEX(TimeEntry[format],ROW()-2)    +1)),2)</f>
        <v>1.1000000000000001</v>
      </c>
      <c r="B605" s="7"/>
      <c r="C605" s="8">
        <v>43600</v>
      </c>
      <c r="D605" s="8"/>
      <c r="E605" s="1" t="s">
        <v>460</v>
      </c>
      <c r="F605" s="8">
        <f>IF(TimeEntry[[#This Row],[Date]]=0,F604,C605+(7-Q605))</f>
        <v>43604</v>
      </c>
      <c r="G605" s="35" t="str">
        <f>INDEX(projects[Charge_Code],MATCH(TimeEntry[[#This Row],[Project_ID]],projects[Project_ID],0))</f>
        <v>265720-20 VBB - Assessment</v>
      </c>
      <c r="H605" s="1" t="str">
        <f t="shared" ref="H605:H668" si="13">"Normal Time"</f>
        <v>Normal Time</v>
      </c>
      <c r="I605" s="1"/>
      <c r="J605" s="15">
        <v>7.5</v>
      </c>
      <c r="K605" s="15"/>
      <c r="L605" s="15"/>
      <c r="M605" s="15"/>
      <c r="N605" s="15"/>
      <c r="O605" s="15" t="str">
        <f>INDEX(projects[job number],MATCH(TimeEntry[[#This Row],[Project_ID]], projects[Project_ID],0))</f>
        <v>265720-20</v>
      </c>
      <c r="P605" s="15" t="str">
        <f>INDEX(projects[Project_Name],MATCH(TimeEntry[[#This Row],[Project_ID]], projects[Project_ID],0))</f>
        <v>VBB - Assessment</v>
      </c>
      <c r="Q605" s="6">
        <f>IF(TimeEntry[[#This Row],[Date]]=0,"",WEEKDAY(C605,2))</f>
        <v>3</v>
      </c>
      <c r="R605" s="9">
        <f>YEAR(TimeEntry[[#This Row],[WkEnd]])</f>
        <v>2019</v>
      </c>
      <c r="S605" s="9">
        <f>WEEKNUM(TimeEntry[[#This Row],[WkEnd]])</f>
        <v>21</v>
      </c>
      <c r="T605" s="9" t="str">
        <f>TimeEntry[[#This Row],[Year]]&amp;"-"&amp;TimeEntry[[#This Row],[WkNo]]</f>
        <v>2019-21</v>
      </c>
    </row>
    <row r="606" spans="1:20" x14ac:dyDescent="0.25">
      <c r="A606" s="6">
        <f>MOD(IF(ROW()=2,0.1,IF(INDEX(TimeEntry[WkEnd],ROW()-1)  =  INDEX(TimeEntry[WkEnd],ROW()-2),    INDEX(TimeEntry[format],ROW()-2),    INDEX(TimeEntry[format],ROW()-2)    +1)),2)</f>
        <v>1.1000000000000001</v>
      </c>
      <c r="B606" s="7"/>
      <c r="C606" s="8">
        <v>43601</v>
      </c>
      <c r="D606" s="8"/>
      <c r="E606" s="1" t="s">
        <v>460</v>
      </c>
      <c r="F606" s="8">
        <f>IF(TimeEntry[[#This Row],[Date]]=0,F605,C606+(7-Q606))</f>
        <v>43604</v>
      </c>
      <c r="G606" s="35" t="str">
        <f>INDEX(projects[Charge_Code],MATCH(TimeEntry[[#This Row],[Project_ID]],projects[Project_ID],0))</f>
        <v>265720-20 VBB - Assessment</v>
      </c>
      <c r="H606" s="1" t="str">
        <f t="shared" si="13"/>
        <v>Normal Time</v>
      </c>
      <c r="I606" s="1"/>
      <c r="J606" s="15">
        <v>7.5</v>
      </c>
      <c r="K606" s="15"/>
      <c r="L606" s="15"/>
      <c r="M606" s="15"/>
      <c r="N606" s="15"/>
      <c r="O606" s="15" t="str">
        <f>INDEX(projects[job number],MATCH(TimeEntry[[#This Row],[Project_ID]], projects[Project_ID],0))</f>
        <v>265720-20</v>
      </c>
      <c r="P606" s="15" t="str">
        <f>INDEX(projects[Project_Name],MATCH(TimeEntry[[#This Row],[Project_ID]], projects[Project_ID],0))</f>
        <v>VBB - Assessment</v>
      </c>
      <c r="Q606" s="6">
        <f>IF(TimeEntry[[#This Row],[Date]]=0,"",WEEKDAY(C606,2))</f>
        <v>4</v>
      </c>
      <c r="R606" s="9">
        <f>YEAR(TimeEntry[[#This Row],[WkEnd]])</f>
        <v>2019</v>
      </c>
      <c r="S606" s="9">
        <f>WEEKNUM(TimeEntry[[#This Row],[WkEnd]])</f>
        <v>21</v>
      </c>
      <c r="T606" s="9" t="str">
        <f>TimeEntry[[#This Row],[Year]]&amp;"-"&amp;TimeEntry[[#This Row],[WkNo]]</f>
        <v>2019-21</v>
      </c>
    </row>
    <row r="607" spans="1:20" x14ac:dyDescent="0.25">
      <c r="A607" s="6">
        <f>MOD(IF(ROW()=2,0.1,IF(INDEX(TimeEntry[WkEnd],ROW()-1)  =  INDEX(TimeEntry[WkEnd],ROW()-2),    INDEX(TimeEntry[format],ROW()-2),    INDEX(TimeEntry[format],ROW()-2)    +1)),2)</f>
        <v>1.1000000000000001</v>
      </c>
      <c r="B607" s="7"/>
      <c r="C607" s="8">
        <v>43602</v>
      </c>
      <c r="D607" s="8"/>
      <c r="E607" s="1" t="s">
        <v>470</v>
      </c>
      <c r="F607" s="8">
        <f>IF(TimeEntry[[#This Row],[Date]]=0,F606,C607+(7-Q607))</f>
        <v>43604</v>
      </c>
      <c r="G607" s="35" t="str">
        <f>INDEX(projects[Charge_Code],MATCH(TimeEntry[[#This Row],[Project_ID]],projects[Project_ID],0))</f>
        <v>265720-01 VBB -  extra fatgiue work</v>
      </c>
      <c r="H607" s="1" t="str">
        <f t="shared" si="13"/>
        <v>Normal Time</v>
      </c>
      <c r="I607" s="1"/>
      <c r="J607" s="15">
        <v>3.75</v>
      </c>
      <c r="K607" s="15"/>
      <c r="L607" s="15"/>
      <c r="M607" s="15"/>
      <c r="N607" s="15"/>
      <c r="O607" s="15" t="str">
        <f>INDEX(projects[job number],MATCH(TimeEntry[[#This Row],[Project_ID]], projects[Project_ID],0))</f>
        <v>265720-01</v>
      </c>
      <c r="P607" s="15" t="str">
        <f>INDEX(projects[Project_Name],MATCH(TimeEntry[[#This Row],[Project_ID]], projects[Project_ID],0))</f>
        <v>VBB -  extra fatgiue work</v>
      </c>
      <c r="Q607" s="6">
        <f>IF(TimeEntry[[#This Row],[Date]]=0,"",WEEKDAY(C607,2))</f>
        <v>5</v>
      </c>
      <c r="R607" s="9">
        <f>YEAR(TimeEntry[[#This Row],[WkEnd]])</f>
        <v>2019</v>
      </c>
      <c r="S607" s="9">
        <f>WEEKNUM(TimeEntry[[#This Row],[WkEnd]])</f>
        <v>21</v>
      </c>
      <c r="T607" s="9" t="str">
        <f>TimeEntry[[#This Row],[Year]]&amp;"-"&amp;TimeEntry[[#This Row],[WkNo]]</f>
        <v>2019-21</v>
      </c>
    </row>
    <row r="608" spans="1:20" x14ac:dyDescent="0.25">
      <c r="A608" s="6">
        <f>MOD(IF(ROW()=2,0.1,IF(INDEX(TimeEntry[WkEnd],ROW()-1)  =  INDEX(TimeEntry[WkEnd],ROW()-2),    INDEX(TimeEntry[format],ROW()-2),    INDEX(TimeEntry[format],ROW()-2)    +1)),2)</f>
        <v>1.1000000000000001</v>
      </c>
      <c r="B608" s="7"/>
      <c r="C608" s="8">
        <v>43602</v>
      </c>
      <c r="D608" s="8"/>
      <c r="E608" s="1" t="s">
        <v>460</v>
      </c>
      <c r="F608" s="8">
        <f>IF(TimeEntry[[#This Row],[Date]]=0,F607,C608+(7-Q608))</f>
        <v>43604</v>
      </c>
      <c r="G608" s="35" t="str">
        <f>INDEX(projects[Charge_Code],MATCH(TimeEntry[[#This Row],[Project_ID]],projects[Project_ID],0))</f>
        <v>265720-20 VBB - Assessment</v>
      </c>
      <c r="H608" s="1" t="str">
        <f t="shared" si="13"/>
        <v>Normal Time</v>
      </c>
      <c r="I608" s="1"/>
      <c r="J608" s="15">
        <v>2.75</v>
      </c>
      <c r="K608" s="15"/>
      <c r="L608" s="15"/>
      <c r="M608" s="15"/>
      <c r="N608" s="15"/>
      <c r="O608" s="15" t="str">
        <f>INDEX(projects[job number],MATCH(TimeEntry[[#This Row],[Project_ID]], projects[Project_ID],0))</f>
        <v>265720-20</v>
      </c>
      <c r="P608" s="15" t="str">
        <f>INDEX(projects[Project_Name],MATCH(TimeEntry[[#This Row],[Project_ID]], projects[Project_ID],0))</f>
        <v>VBB - Assessment</v>
      </c>
      <c r="Q608" s="6">
        <f>IF(TimeEntry[[#This Row],[Date]]=0,"",WEEKDAY(C608,2))</f>
        <v>5</v>
      </c>
      <c r="R608" s="9">
        <f>YEAR(TimeEntry[[#This Row],[WkEnd]])</f>
        <v>2019</v>
      </c>
      <c r="S608" s="9">
        <f>WEEKNUM(TimeEntry[[#This Row],[WkEnd]])</f>
        <v>21</v>
      </c>
      <c r="T608" s="9" t="str">
        <f>TimeEntry[[#This Row],[Year]]&amp;"-"&amp;TimeEntry[[#This Row],[WkNo]]</f>
        <v>2019-21</v>
      </c>
    </row>
    <row r="609" spans="1:20" x14ac:dyDescent="0.25">
      <c r="A609" s="6">
        <f>MOD(IF(ROW()=2,0.1,IF(INDEX(TimeEntry[WkEnd],ROW()-1)  =  INDEX(TimeEntry[WkEnd],ROW()-2),    INDEX(TimeEntry[format],ROW()-2),    INDEX(TimeEntry[format],ROW()-2)    +1)),2)</f>
        <v>1.1000000000000001</v>
      </c>
      <c r="B609" s="7"/>
      <c r="C609" s="8">
        <v>43602</v>
      </c>
      <c r="D609" s="8"/>
      <c r="E609" s="1" t="e">
        <v>#N/A</v>
      </c>
      <c r="F609" s="8">
        <f>IF(TimeEntry[[#This Row],[Date]]=0,F608,C609+(7-Q609))</f>
        <v>43604</v>
      </c>
      <c r="G609" s="35" t="e">
        <f>INDEX(projects[Charge_Code],MATCH(TimeEntry[[#This Row],[Project_ID]],projects[Project_ID],0))</f>
        <v>#N/A</v>
      </c>
      <c r="H609" s="1" t="str">
        <f t="shared" si="13"/>
        <v>Normal Time</v>
      </c>
      <c r="I609" s="1"/>
      <c r="J609" s="15">
        <v>1</v>
      </c>
      <c r="K609" s="15"/>
      <c r="L609" s="15"/>
      <c r="M609" s="15"/>
      <c r="N609" s="15"/>
      <c r="O609" s="15" t="e">
        <f>INDEX(projects[job number],MATCH(TimeEntry[[#This Row],[Project_ID]], projects[Project_ID],0))</f>
        <v>#N/A</v>
      </c>
      <c r="P609" s="15" t="e">
        <f>INDEX(projects[Project_Name],MATCH(TimeEntry[[#This Row],[Project_ID]], projects[Project_ID],0))</f>
        <v>#N/A</v>
      </c>
      <c r="Q609" s="6">
        <f>IF(TimeEntry[[#This Row],[Date]]=0,"",WEEKDAY(C609,2))</f>
        <v>5</v>
      </c>
      <c r="R609" s="9">
        <f>YEAR(TimeEntry[[#This Row],[WkEnd]])</f>
        <v>2019</v>
      </c>
      <c r="S609" s="9">
        <f>WEEKNUM(TimeEntry[[#This Row],[WkEnd]])</f>
        <v>21</v>
      </c>
      <c r="T609" s="9" t="str">
        <f>TimeEntry[[#This Row],[Year]]&amp;"-"&amp;TimeEntry[[#This Row],[WkNo]]</f>
        <v>2019-21</v>
      </c>
    </row>
    <row r="610" spans="1:20" x14ac:dyDescent="0.25">
      <c r="A610" s="6">
        <f>MOD(IF(ROW()=2,0.1,IF(INDEX(TimeEntry[WkEnd],ROW()-1)  =  INDEX(TimeEntry[WkEnd],ROW()-2),    INDEX(TimeEntry[format],ROW()-2),    INDEX(TimeEntry[format],ROW()-2)    +1)),2)</f>
        <v>0.10000000000000009</v>
      </c>
      <c r="B610" s="7"/>
      <c r="C610" s="8">
        <v>43591</v>
      </c>
      <c r="D610" s="8"/>
      <c r="E610" s="1" t="s">
        <v>451</v>
      </c>
      <c r="F610" s="8">
        <f>IF(TimeEntry[[#This Row],[Date]]=0,F609,C610+(7-Q610))</f>
        <v>43597</v>
      </c>
      <c r="G610" s="35" t="str">
        <f>INDEX(projects[Charge_Code],MATCH(TimeEntry[[#This Row],[Project_ID]],projects[Project_ID],0))</f>
        <v>BANK HOLIDAY Bank Holiday</v>
      </c>
      <c r="H610" s="1" t="str">
        <f t="shared" si="13"/>
        <v>Normal Time</v>
      </c>
      <c r="I610" s="1"/>
      <c r="J610" s="15">
        <v>7.5</v>
      </c>
      <c r="K610" s="15"/>
      <c r="L610" s="15"/>
      <c r="M610" s="15"/>
      <c r="N610" s="15"/>
      <c r="O610" s="15" t="str">
        <f>INDEX(projects[job number],MATCH(TimeEntry[[#This Row],[Project_ID]], projects[Project_ID],0))</f>
        <v>BANK HOLIDAY</v>
      </c>
      <c r="P610" s="15" t="str">
        <f>INDEX(projects[Project_Name],MATCH(TimeEntry[[#This Row],[Project_ID]], projects[Project_ID],0))</f>
        <v>Bank Holiday</v>
      </c>
      <c r="Q610" s="6">
        <f>IF(TimeEntry[[#This Row],[Date]]=0,"",WEEKDAY(C610,2))</f>
        <v>1</v>
      </c>
      <c r="R610" s="9">
        <f>YEAR(TimeEntry[[#This Row],[WkEnd]])</f>
        <v>2019</v>
      </c>
      <c r="S610" s="9">
        <f>WEEKNUM(TimeEntry[[#This Row],[WkEnd]])</f>
        <v>20</v>
      </c>
      <c r="T610" s="9" t="str">
        <f>TimeEntry[[#This Row],[Year]]&amp;"-"&amp;TimeEntry[[#This Row],[WkNo]]</f>
        <v>2019-20</v>
      </c>
    </row>
    <row r="611" spans="1:20" x14ac:dyDescent="0.25">
      <c r="A611" s="6">
        <f>MOD(IF(ROW()=2,0.1,IF(INDEX(TimeEntry[WkEnd],ROW()-1)  =  INDEX(TimeEntry[WkEnd],ROW()-2),    INDEX(TimeEntry[format],ROW()-2),    INDEX(TimeEntry[format],ROW()-2)    +1)),2)</f>
        <v>0.10000000000000009</v>
      </c>
      <c r="B611" s="7"/>
      <c r="C611" s="8">
        <v>43592</v>
      </c>
      <c r="D611" s="8"/>
      <c r="E611" s="1" t="s">
        <v>460</v>
      </c>
      <c r="F611" s="8">
        <f>IF(TimeEntry[[#This Row],[Date]]=0,F610,C611+(7-Q611))</f>
        <v>43597</v>
      </c>
      <c r="G611" s="35" t="str">
        <f>INDEX(projects[Charge_Code],MATCH(TimeEntry[[#This Row],[Project_ID]],projects[Project_ID],0))</f>
        <v>265720-20 VBB - Assessment</v>
      </c>
      <c r="H611" s="1" t="str">
        <f t="shared" si="13"/>
        <v>Normal Time</v>
      </c>
      <c r="I611" s="1"/>
      <c r="J611" s="15">
        <v>7.5</v>
      </c>
      <c r="K611" s="15"/>
      <c r="L611" s="15"/>
      <c r="M611" s="15"/>
      <c r="N611" s="15"/>
      <c r="O611" s="15" t="str">
        <f>INDEX(projects[job number],MATCH(TimeEntry[[#This Row],[Project_ID]], projects[Project_ID],0))</f>
        <v>265720-20</v>
      </c>
      <c r="P611" s="15" t="str">
        <f>INDEX(projects[Project_Name],MATCH(TimeEntry[[#This Row],[Project_ID]], projects[Project_ID],0))</f>
        <v>VBB - Assessment</v>
      </c>
      <c r="Q611" s="6">
        <f>IF(TimeEntry[[#This Row],[Date]]=0,"",WEEKDAY(C611,2))</f>
        <v>2</v>
      </c>
      <c r="R611" s="9">
        <f>YEAR(TimeEntry[[#This Row],[WkEnd]])</f>
        <v>2019</v>
      </c>
      <c r="S611" s="9">
        <f>WEEKNUM(TimeEntry[[#This Row],[WkEnd]])</f>
        <v>20</v>
      </c>
      <c r="T611" s="9" t="str">
        <f>TimeEntry[[#This Row],[Year]]&amp;"-"&amp;TimeEntry[[#This Row],[WkNo]]</f>
        <v>2019-20</v>
      </c>
    </row>
    <row r="612" spans="1:20" x14ac:dyDescent="0.25">
      <c r="A612" s="6">
        <f>MOD(IF(ROW()=2,0.1,IF(INDEX(TimeEntry[WkEnd],ROW()-1)  =  INDEX(TimeEntry[WkEnd],ROW()-2),    INDEX(TimeEntry[format],ROW()-2),    INDEX(TimeEntry[format],ROW()-2)    +1)),2)</f>
        <v>0.10000000000000009</v>
      </c>
      <c r="B612" s="7"/>
      <c r="C612" s="8">
        <v>43593</v>
      </c>
      <c r="D612" s="8"/>
      <c r="E612" s="1" t="s">
        <v>460</v>
      </c>
      <c r="F612" s="8">
        <f>IF(TimeEntry[[#This Row],[Date]]=0,F611,C612+(7-Q612))</f>
        <v>43597</v>
      </c>
      <c r="G612" s="35" t="str">
        <f>INDEX(projects[Charge_Code],MATCH(TimeEntry[[#This Row],[Project_ID]],projects[Project_ID],0))</f>
        <v>265720-20 VBB - Assessment</v>
      </c>
      <c r="H612" s="1" t="str">
        <f t="shared" si="13"/>
        <v>Normal Time</v>
      </c>
      <c r="I612" s="1"/>
      <c r="J612" s="15">
        <v>7.5</v>
      </c>
      <c r="K612" s="15"/>
      <c r="L612" s="15"/>
      <c r="M612" s="15"/>
      <c r="N612" s="15"/>
      <c r="O612" s="15" t="str">
        <f>INDEX(projects[job number],MATCH(TimeEntry[[#This Row],[Project_ID]], projects[Project_ID],0))</f>
        <v>265720-20</v>
      </c>
      <c r="P612" s="15" t="str">
        <f>INDEX(projects[Project_Name],MATCH(TimeEntry[[#This Row],[Project_ID]], projects[Project_ID],0))</f>
        <v>VBB - Assessment</v>
      </c>
      <c r="Q612" s="6">
        <f>IF(TimeEntry[[#This Row],[Date]]=0,"",WEEKDAY(C612,2))</f>
        <v>3</v>
      </c>
      <c r="R612" s="9">
        <f>YEAR(TimeEntry[[#This Row],[WkEnd]])</f>
        <v>2019</v>
      </c>
      <c r="S612" s="9">
        <f>WEEKNUM(TimeEntry[[#This Row],[WkEnd]])</f>
        <v>20</v>
      </c>
      <c r="T612" s="9" t="str">
        <f>TimeEntry[[#This Row],[Year]]&amp;"-"&amp;TimeEntry[[#This Row],[WkNo]]</f>
        <v>2019-20</v>
      </c>
    </row>
    <row r="613" spans="1:20" x14ac:dyDescent="0.25">
      <c r="A613" s="6">
        <f>MOD(IF(ROW()=2,0.1,IF(INDEX(TimeEntry[WkEnd],ROW()-1)  =  INDEX(TimeEntry[WkEnd],ROW()-2),    INDEX(TimeEntry[format],ROW()-2),    INDEX(TimeEntry[format],ROW()-2)    +1)),2)</f>
        <v>0.10000000000000009</v>
      </c>
      <c r="B613" s="7"/>
      <c r="C613" s="8">
        <v>43594</v>
      </c>
      <c r="D613" s="8"/>
      <c r="E613" s="1" t="s">
        <v>460</v>
      </c>
      <c r="F613" s="8">
        <f>IF(TimeEntry[[#This Row],[Date]]=0,F612,C613+(7-Q613))</f>
        <v>43597</v>
      </c>
      <c r="G613" s="35" t="str">
        <f>INDEX(projects[Charge_Code],MATCH(TimeEntry[[#This Row],[Project_ID]],projects[Project_ID],0))</f>
        <v>265720-20 VBB - Assessment</v>
      </c>
      <c r="H613" s="1" t="str">
        <f t="shared" si="13"/>
        <v>Normal Time</v>
      </c>
      <c r="I613" s="1"/>
      <c r="J613" s="15">
        <v>7.5</v>
      </c>
      <c r="K613" s="15"/>
      <c r="L613" s="15"/>
      <c r="M613" s="15"/>
      <c r="N613" s="15"/>
      <c r="O613" s="15" t="str">
        <f>INDEX(projects[job number],MATCH(TimeEntry[[#This Row],[Project_ID]], projects[Project_ID],0))</f>
        <v>265720-20</v>
      </c>
      <c r="P613" s="15" t="str">
        <f>INDEX(projects[Project_Name],MATCH(TimeEntry[[#This Row],[Project_ID]], projects[Project_ID],0))</f>
        <v>VBB - Assessment</v>
      </c>
      <c r="Q613" s="6">
        <f>IF(TimeEntry[[#This Row],[Date]]=0,"",WEEKDAY(C613,2))</f>
        <v>4</v>
      </c>
      <c r="R613" s="9">
        <f>YEAR(TimeEntry[[#This Row],[WkEnd]])</f>
        <v>2019</v>
      </c>
      <c r="S613" s="9">
        <f>WEEKNUM(TimeEntry[[#This Row],[WkEnd]])</f>
        <v>20</v>
      </c>
      <c r="T613" s="9" t="str">
        <f>TimeEntry[[#This Row],[Year]]&amp;"-"&amp;TimeEntry[[#This Row],[WkNo]]</f>
        <v>2019-20</v>
      </c>
    </row>
    <row r="614" spans="1:20" x14ac:dyDescent="0.25">
      <c r="A614" s="6">
        <f>MOD(IF(ROW()=2,0.1,IF(INDEX(TimeEntry[WkEnd],ROW()-1)  =  INDEX(TimeEntry[WkEnd],ROW()-2),    INDEX(TimeEntry[format],ROW()-2),    INDEX(TimeEntry[format],ROW()-2)    +1)),2)</f>
        <v>0.10000000000000009</v>
      </c>
      <c r="B614" s="7"/>
      <c r="C614" s="8">
        <v>43595</v>
      </c>
      <c r="D614" s="8"/>
      <c r="E614" s="1" t="s">
        <v>457</v>
      </c>
      <c r="F614" s="8">
        <f>IF(TimeEntry[[#This Row],[Date]]=0,F613,C614+(7-Q614))</f>
        <v>43597</v>
      </c>
      <c r="G614" s="35" t="str">
        <f>INDEX(projects[Charge_Code],MATCH(TimeEntry[[#This Row],[Project_ID]],projects[Project_ID],0))</f>
        <v>255375-00 M25 West MSA</v>
      </c>
      <c r="H614" s="1" t="str">
        <f t="shared" si="13"/>
        <v>Normal Time</v>
      </c>
      <c r="I614" s="1"/>
      <c r="J614" s="15">
        <v>7.5</v>
      </c>
      <c r="K614" s="15"/>
      <c r="L614" s="15"/>
      <c r="M614" s="15"/>
      <c r="N614" s="15"/>
      <c r="O614" s="15" t="str">
        <f>INDEX(projects[job number],MATCH(TimeEntry[[#This Row],[Project_ID]], projects[Project_ID],0))</f>
        <v>255375-00</v>
      </c>
      <c r="P614" s="15" t="str">
        <f>INDEX(projects[Project_Name],MATCH(TimeEntry[[#This Row],[Project_ID]], projects[Project_ID],0))</f>
        <v>M25 West MSA</v>
      </c>
      <c r="Q614" s="6">
        <f>IF(TimeEntry[[#This Row],[Date]]=0,"",WEEKDAY(C614,2))</f>
        <v>5</v>
      </c>
      <c r="R614" s="9">
        <f>YEAR(TimeEntry[[#This Row],[WkEnd]])</f>
        <v>2019</v>
      </c>
      <c r="S614" s="9">
        <f>WEEKNUM(TimeEntry[[#This Row],[WkEnd]])</f>
        <v>20</v>
      </c>
      <c r="T614" s="9" t="str">
        <f>TimeEntry[[#This Row],[Year]]&amp;"-"&amp;TimeEntry[[#This Row],[WkNo]]</f>
        <v>2019-20</v>
      </c>
    </row>
    <row r="615" spans="1:20" x14ac:dyDescent="0.25">
      <c r="A615" s="6">
        <f>MOD(IF(ROW()=2,0.1,IF(INDEX(TimeEntry[WkEnd],ROW()-1)  =  INDEX(TimeEntry[WkEnd],ROW()-2),    INDEX(TimeEntry[format],ROW()-2),    INDEX(TimeEntry[format],ROW()-2)    +1)),2)</f>
        <v>1.1000000000000001</v>
      </c>
      <c r="B615" s="7"/>
      <c r="C615" s="8">
        <v>43584</v>
      </c>
      <c r="D615" s="8"/>
      <c r="E615" s="1" t="s">
        <v>466</v>
      </c>
      <c r="F615" s="8">
        <f>IF(TimeEntry[[#This Row],[Date]]=0,F614,C615+(7-Q615))</f>
        <v>43590</v>
      </c>
      <c r="G615" s="35" t="str">
        <f>INDEX(projects[Charge_Code],MATCH(TimeEntry[[#This Row],[Project_ID]],projects[Project_ID],0))</f>
        <v>265720-10 VBB - Design Basis</v>
      </c>
      <c r="H615" s="1" t="str">
        <f t="shared" si="13"/>
        <v>Normal Time</v>
      </c>
      <c r="I615" s="1"/>
      <c r="J615" s="15">
        <v>7.5</v>
      </c>
      <c r="K615" s="15"/>
      <c r="L615" s="15"/>
      <c r="M615" s="15"/>
      <c r="N615" s="15"/>
      <c r="O615" s="15" t="str">
        <f>INDEX(projects[job number],MATCH(TimeEntry[[#This Row],[Project_ID]], projects[Project_ID],0))</f>
        <v>265720-10</v>
      </c>
      <c r="P615" s="15" t="str">
        <f>INDEX(projects[Project_Name],MATCH(TimeEntry[[#This Row],[Project_ID]], projects[Project_ID],0))</f>
        <v>VBB - Design Basis</v>
      </c>
      <c r="Q615" s="6">
        <f>IF(TimeEntry[[#This Row],[Date]]=0,"",WEEKDAY(C615,2))</f>
        <v>1</v>
      </c>
      <c r="R615" s="9">
        <f>YEAR(TimeEntry[[#This Row],[WkEnd]])</f>
        <v>2019</v>
      </c>
      <c r="S615" s="9">
        <f>WEEKNUM(TimeEntry[[#This Row],[WkEnd]])</f>
        <v>19</v>
      </c>
      <c r="T615" s="9" t="str">
        <f>TimeEntry[[#This Row],[Year]]&amp;"-"&amp;TimeEntry[[#This Row],[WkNo]]</f>
        <v>2019-19</v>
      </c>
    </row>
    <row r="616" spans="1:20" x14ac:dyDescent="0.25">
      <c r="A616" s="6">
        <f>MOD(IF(ROW()=2,0.1,IF(INDEX(TimeEntry[WkEnd],ROW()-1)  =  INDEX(TimeEntry[WkEnd],ROW()-2),    INDEX(TimeEntry[format],ROW()-2),    INDEX(TimeEntry[format],ROW()-2)    +1)),2)</f>
        <v>1.1000000000000001</v>
      </c>
      <c r="B616" s="7"/>
      <c r="C616" s="8">
        <v>43585</v>
      </c>
      <c r="D616" s="8"/>
      <c r="E616" s="1" t="s">
        <v>466</v>
      </c>
      <c r="F616" s="8">
        <f>IF(TimeEntry[[#This Row],[Date]]=0,F615,C616+(7-Q616))</f>
        <v>43590</v>
      </c>
      <c r="G616" s="35" t="str">
        <f>INDEX(projects[Charge_Code],MATCH(TimeEntry[[#This Row],[Project_ID]],projects[Project_ID],0))</f>
        <v>265720-10 VBB - Design Basis</v>
      </c>
      <c r="H616" s="1" t="str">
        <f t="shared" si="13"/>
        <v>Normal Time</v>
      </c>
      <c r="I616" s="1"/>
      <c r="J616" s="15">
        <v>7.5</v>
      </c>
      <c r="K616" s="15"/>
      <c r="L616" s="15"/>
      <c r="M616" s="15"/>
      <c r="N616" s="15"/>
      <c r="O616" s="15" t="str">
        <f>INDEX(projects[job number],MATCH(TimeEntry[[#This Row],[Project_ID]], projects[Project_ID],0))</f>
        <v>265720-10</v>
      </c>
      <c r="P616" s="15" t="str">
        <f>INDEX(projects[Project_Name],MATCH(TimeEntry[[#This Row],[Project_ID]], projects[Project_ID],0))</f>
        <v>VBB - Design Basis</v>
      </c>
      <c r="Q616" s="6">
        <f>IF(TimeEntry[[#This Row],[Date]]=0,"",WEEKDAY(C616,2))</f>
        <v>2</v>
      </c>
      <c r="R616" s="9">
        <f>YEAR(TimeEntry[[#This Row],[WkEnd]])</f>
        <v>2019</v>
      </c>
      <c r="S616" s="9">
        <f>WEEKNUM(TimeEntry[[#This Row],[WkEnd]])</f>
        <v>19</v>
      </c>
      <c r="T616" s="9" t="str">
        <f>TimeEntry[[#This Row],[Year]]&amp;"-"&amp;TimeEntry[[#This Row],[WkNo]]</f>
        <v>2019-19</v>
      </c>
    </row>
    <row r="617" spans="1:20" x14ac:dyDescent="0.25">
      <c r="A617" s="6">
        <f>MOD(IF(ROW()=2,0.1,IF(INDEX(TimeEntry[WkEnd],ROW()-1)  =  INDEX(TimeEntry[WkEnd],ROW()-2),    INDEX(TimeEntry[format],ROW()-2),    INDEX(TimeEntry[format],ROW()-2)    +1)),2)</f>
        <v>1.1000000000000001</v>
      </c>
      <c r="B617" s="7"/>
      <c r="C617" s="8">
        <v>43586</v>
      </c>
      <c r="D617" s="8"/>
      <c r="E617" s="1" t="s">
        <v>466</v>
      </c>
      <c r="F617" s="8">
        <f>IF(TimeEntry[[#This Row],[Date]]=0,F616,C617+(7-Q617))</f>
        <v>43590</v>
      </c>
      <c r="G617" s="35" t="str">
        <f>INDEX(projects[Charge_Code],MATCH(TimeEntry[[#This Row],[Project_ID]],projects[Project_ID],0))</f>
        <v>265720-10 VBB - Design Basis</v>
      </c>
      <c r="H617" s="1" t="str">
        <f t="shared" si="13"/>
        <v>Normal Time</v>
      </c>
      <c r="I617" s="1"/>
      <c r="J617" s="15">
        <v>7.5</v>
      </c>
      <c r="K617" s="15"/>
      <c r="L617" s="15"/>
      <c r="M617" s="15"/>
      <c r="N617" s="15"/>
      <c r="O617" s="15" t="str">
        <f>INDEX(projects[job number],MATCH(TimeEntry[[#This Row],[Project_ID]], projects[Project_ID],0))</f>
        <v>265720-10</v>
      </c>
      <c r="P617" s="15" t="str">
        <f>INDEX(projects[Project_Name],MATCH(TimeEntry[[#This Row],[Project_ID]], projects[Project_ID],0))</f>
        <v>VBB - Design Basis</v>
      </c>
      <c r="Q617" s="6">
        <f>IF(TimeEntry[[#This Row],[Date]]=0,"",WEEKDAY(C617,2))</f>
        <v>3</v>
      </c>
      <c r="R617" s="9">
        <f>YEAR(TimeEntry[[#This Row],[WkEnd]])</f>
        <v>2019</v>
      </c>
      <c r="S617" s="9">
        <f>WEEKNUM(TimeEntry[[#This Row],[WkEnd]])</f>
        <v>19</v>
      </c>
      <c r="T617" s="9" t="str">
        <f>TimeEntry[[#This Row],[Year]]&amp;"-"&amp;TimeEntry[[#This Row],[WkNo]]</f>
        <v>2019-19</v>
      </c>
    </row>
    <row r="618" spans="1:20" x14ac:dyDescent="0.25">
      <c r="A618" s="6">
        <f>MOD(IF(ROW()=2,0.1,IF(INDEX(TimeEntry[WkEnd],ROW()-1)  =  INDEX(TimeEntry[WkEnd],ROW()-2),    INDEX(TimeEntry[format],ROW()-2),    INDEX(TimeEntry[format],ROW()-2)    +1)),2)</f>
        <v>1.1000000000000001</v>
      </c>
      <c r="B618" s="7"/>
      <c r="C618" s="8">
        <v>43587</v>
      </c>
      <c r="D618" s="8"/>
      <c r="E618" s="1" t="s">
        <v>460</v>
      </c>
      <c r="F618" s="8">
        <f>IF(TimeEntry[[#This Row],[Date]]=0,F617,C618+(7-Q618))</f>
        <v>43590</v>
      </c>
      <c r="G618" s="35" t="str">
        <f>INDEX(projects[Charge_Code],MATCH(TimeEntry[[#This Row],[Project_ID]],projects[Project_ID],0))</f>
        <v>265720-20 VBB - Assessment</v>
      </c>
      <c r="H618" s="1" t="str">
        <f t="shared" si="13"/>
        <v>Normal Time</v>
      </c>
      <c r="I618" s="1"/>
      <c r="J618" s="15">
        <v>3.75</v>
      </c>
      <c r="K618" s="15"/>
      <c r="L618" s="15"/>
      <c r="M618" s="15"/>
      <c r="N618" s="15"/>
      <c r="O618" s="15" t="str">
        <f>INDEX(projects[job number],MATCH(TimeEntry[[#This Row],[Project_ID]], projects[Project_ID],0))</f>
        <v>265720-20</v>
      </c>
      <c r="P618" s="15" t="str">
        <f>INDEX(projects[Project_Name],MATCH(TimeEntry[[#This Row],[Project_ID]], projects[Project_ID],0))</f>
        <v>VBB - Assessment</v>
      </c>
      <c r="Q618" s="6">
        <f>IF(TimeEntry[[#This Row],[Date]]=0,"",WEEKDAY(C618,2))</f>
        <v>4</v>
      </c>
      <c r="R618" s="9">
        <f>YEAR(TimeEntry[[#This Row],[WkEnd]])</f>
        <v>2019</v>
      </c>
      <c r="S618" s="9">
        <f>WEEKNUM(TimeEntry[[#This Row],[WkEnd]])</f>
        <v>19</v>
      </c>
      <c r="T618" s="9" t="str">
        <f>TimeEntry[[#This Row],[Year]]&amp;"-"&amp;TimeEntry[[#This Row],[WkNo]]</f>
        <v>2019-19</v>
      </c>
    </row>
    <row r="619" spans="1:20" x14ac:dyDescent="0.25">
      <c r="A619" s="6">
        <f>MOD(IF(ROW()=2,0.1,IF(INDEX(TimeEntry[WkEnd],ROW()-1)  =  INDEX(TimeEntry[WkEnd],ROW()-2),    INDEX(TimeEntry[format],ROW()-2),    INDEX(TimeEntry[format],ROW()-2)    +1)),2)</f>
        <v>1.1000000000000001</v>
      </c>
      <c r="B619" s="7"/>
      <c r="C619" s="8">
        <v>43587</v>
      </c>
      <c r="D619" s="8"/>
      <c r="E619" s="1" t="s">
        <v>466</v>
      </c>
      <c r="F619" s="8">
        <f>IF(TimeEntry[[#This Row],[Date]]=0,F618,C619+(7-Q619))</f>
        <v>43590</v>
      </c>
      <c r="G619" s="35" t="str">
        <f>INDEX(projects[Charge_Code],MATCH(TimeEntry[[#This Row],[Project_ID]],projects[Project_ID],0))</f>
        <v>265720-10 VBB - Design Basis</v>
      </c>
      <c r="H619" s="1" t="str">
        <f t="shared" si="13"/>
        <v>Normal Time</v>
      </c>
      <c r="I619" s="1"/>
      <c r="J619" s="15">
        <v>3.75</v>
      </c>
      <c r="K619" s="15"/>
      <c r="L619" s="15"/>
      <c r="M619" s="15"/>
      <c r="N619" s="15"/>
      <c r="O619" s="15" t="str">
        <f>INDEX(projects[job number],MATCH(TimeEntry[[#This Row],[Project_ID]], projects[Project_ID],0))</f>
        <v>265720-10</v>
      </c>
      <c r="P619" s="15" t="str">
        <f>INDEX(projects[Project_Name],MATCH(TimeEntry[[#This Row],[Project_ID]], projects[Project_ID],0))</f>
        <v>VBB - Design Basis</v>
      </c>
      <c r="Q619" s="6">
        <f>IF(TimeEntry[[#This Row],[Date]]=0,"",WEEKDAY(C619,2))</f>
        <v>4</v>
      </c>
      <c r="R619" s="9">
        <f>YEAR(TimeEntry[[#This Row],[WkEnd]])</f>
        <v>2019</v>
      </c>
      <c r="S619" s="9">
        <f>WEEKNUM(TimeEntry[[#This Row],[WkEnd]])</f>
        <v>19</v>
      </c>
      <c r="T619" s="9" t="str">
        <f>TimeEntry[[#This Row],[Year]]&amp;"-"&amp;TimeEntry[[#This Row],[WkNo]]</f>
        <v>2019-19</v>
      </c>
    </row>
    <row r="620" spans="1:20" x14ac:dyDescent="0.25">
      <c r="A620" s="6">
        <f>MOD(IF(ROW()=2,0.1,IF(INDEX(TimeEntry[WkEnd],ROW()-1)  =  INDEX(TimeEntry[WkEnd],ROW()-2),    INDEX(TimeEntry[format],ROW()-2),    INDEX(TimeEntry[format],ROW()-2)    +1)),2)</f>
        <v>1.1000000000000001</v>
      </c>
      <c r="B620" s="7"/>
      <c r="C620" s="8">
        <v>43588</v>
      </c>
      <c r="D620" s="8"/>
      <c r="E620" s="1" t="s">
        <v>445</v>
      </c>
      <c r="F620" s="8">
        <f>IF(TimeEntry[[#This Row],[Date]]=0,F619,C620+(7-Q620))</f>
        <v>43590</v>
      </c>
      <c r="G620" s="35" t="str">
        <f>INDEX(projects[Charge_Code],MATCH(TimeEntry[[#This Row],[Project_ID]],projects[Project_ID],0))</f>
        <v>LEAVE</v>
      </c>
      <c r="H620" s="1" t="str">
        <f t="shared" si="13"/>
        <v>Normal Time</v>
      </c>
      <c r="I620" s="1"/>
      <c r="J620" s="15">
        <v>3.75</v>
      </c>
      <c r="K620" s="15"/>
      <c r="L620" s="15"/>
      <c r="M620" s="15"/>
      <c r="N620" s="15"/>
      <c r="O620" s="15" t="str">
        <f>INDEX(projects[job number],MATCH(TimeEntry[[#This Row],[Project_ID]], projects[Project_ID],0))</f>
        <v>LEAVE</v>
      </c>
      <c r="P620" s="15">
        <f>INDEX(projects[Project_Name],MATCH(TimeEntry[[#This Row],[Project_ID]], projects[Project_ID],0))</f>
        <v>0</v>
      </c>
      <c r="Q620" s="6">
        <f>IF(TimeEntry[[#This Row],[Date]]=0,"",WEEKDAY(C620,2))</f>
        <v>5</v>
      </c>
      <c r="R620" s="9">
        <f>YEAR(TimeEntry[[#This Row],[WkEnd]])</f>
        <v>2019</v>
      </c>
      <c r="S620" s="9">
        <f>WEEKNUM(TimeEntry[[#This Row],[WkEnd]])</f>
        <v>19</v>
      </c>
      <c r="T620" s="9" t="str">
        <f>TimeEntry[[#This Row],[Year]]&amp;"-"&amp;TimeEntry[[#This Row],[WkNo]]</f>
        <v>2019-19</v>
      </c>
    </row>
    <row r="621" spans="1:20" x14ac:dyDescent="0.25">
      <c r="A621" s="6">
        <f>MOD(IF(ROW()=2,0.1,IF(INDEX(TimeEntry[WkEnd],ROW()-1)  =  INDEX(TimeEntry[WkEnd],ROW()-2),    INDEX(TimeEntry[format],ROW()-2),    INDEX(TimeEntry[format],ROW()-2)    +1)),2)</f>
        <v>1.1000000000000001</v>
      </c>
      <c r="B621" s="7"/>
      <c r="C621" s="8">
        <v>43588</v>
      </c>
      <c r="D621" s="8"/>
      <c r="E621" s="1" t="s">
        <v>466</v>
      </c>
      <c r="F621" s="8">
        <f>IF(TimeEntry[[#This Row],[Date]]=0,F620,C621+(7-Q621))</f>
        <v>43590</v>
      </c>
      <c r="G621" s="35" t="str">
        <f>INDEX(projects[Charge_Code],MATCH(TimeEntry[[#This Row],[Project_ID]],projects[Project_ID],0))</f>
        <v>265720-10 VBB - Design Basis</v>
      </c>
      <c r="H621" s="1" t="str">
        <f t="shared" si="13"/>
        <v>Normal Time</v>
      </c>
      <c r="I621" s="1"/>
      <c r="J621" s="15">
        <v>3.75</v>
      </c>
      <c r="K621" s="15"/>
      <c r="L621" s="15"/>
      <c r="M621" s="15"/>
      <c r="N621" s="15"/>
      <c r="O621" s="15" t="str">
        <f>INDEX(projects[job number],MATCH(TimeEntry[[#This Row],[Project_ID]], projects[Project_ID],0))</f>
        <v>265720-10</v>
      </c>
      <c r="P621" s="15" t="str">
        <f>INDEX(projects[Project_Name],MATCH(TimeEntry[[#This Row],[Project_ID]], projects[Project_ID],0))</f>
        <v>VBB - Design Basis</v>
      </c>
      <c r="Q621" s="6">
        <f>IF(TimeEntry[[#This Row],[Date]]=0,"",WEEKDAY(C621,2))</f>
        <v>5</v>
      </c>
      <c r="R621" s="9">
        <f>YEAR(TimeEntry[[#This Row],[WkEnd]])</f>
        <v>2019</v>
      </c>
      <c r="S621" s="9">
        <f>WEEKNUM(TimeEntry[[#This Row],[WkEnd]])</f>
        <v>19</v>
      </c>
      <c r="T621" s="9" t="str">
        <f>TimeEntry[[#This Row],[Year]]&amp;"-"&amp;TimeEntry[[#This Row],[WkNo]]</f>
        <v>2019-19</v>
      </c>
    </row>
    <row r="622" spans="1:20" x14ac:dyDescent="0.25">
      <c r="A622" s="6">
        <f>MOD(IF(ROW()=2,0.1,IF(INDEX(TimeEntry[WkEnd],ROW()-1)  =  INDEX(TimeEntry[WkEnd],ROW()-2),    INDEX(TimeEntry[format],ROW()-2),    INDEX(TimeEntry[format],ROW()-2)    +1)),2)</f>
        <v>0.10000000000000009</v>
      </c>
      <c r="B622" s="7"/>
      <c r="C622" s="8">
        <v>43577</v>
      </c>
      <c r="D622" s="8"/>
      <c r="E622" s="1" t="s">
        <v>451</v>
      </c>
      <c r="F622" s="8">
        <f>IF(TimeEntry[[#This Row],[Date]]=0,F621,C622+(7-Q622))</f>
        <v>43583</v>
      </c>
      <c r="G622" s="35" t="str">
        <f>INDEX(projects[Charge_Code],MATCH(TimeEntry[[#This Row],[Project_ID]],projects[Project_ID],0))</f>
        <v>BANK HOLIDAY Bank Holiday</v>
      </c>
      <c r="H622" s="1" t="str">
        <f t="shared" si="13"/>
        <v>Normal Time</v>
      </c>
      <c r="I622" s="1"/>
      <c r="J622" s="15">
        <v>7.5</v>
      </c>
      <c r="K622" s="15"/>
      <c r="L622" s="15"/>
      <c r="M622" s="15"/>
      <c r="N622" s="15"/>
      <c r="O622" s="15" t="str">
        <f>INDEX(projects[job number],MATCH(TimeEntry[[#This Row],[Project_ID]], projects[Project_ID],0))</f>
        <v>BANK HOLIDAY</v>
      </c>
      <c r="P622" s="15" t="str">
        <f>INDEX(projects[Project_Name],MATCH(TimeEntry[[#This Row],[Project_ID]], projects[Project_ID],0))</f>
        <v>Bank Holiday</v>
      </c>
      <c r="Q622" s="6">
        <f>IF(TimeEntry[[#This Row],[Date]]=0,"",WEEKDAY(C622,2))</f>
        <v>1</v>
      </c>
      <c r="R622" s="9">
        <f>YEAR(TimeEntry[[#This Row],[WkEnd]])</f>
        <v>2019</v>
      </c>
      <c r="S622" s="9">
        <f>WEEKNUM(TimeEntry[[#This Row],[WkEnd]])</f>
        <v>18</v>
      </c>
      <c r="T622" s="9" t="str">
        <f>TimeEntry[[#This Row],[Year]]&amp;"-"&amp;TimeEntry[[#This Row],[WkNo]]</f>
        <v>2019-18</v>
      </c>
    </row>
    <row r="623" spans="1:20" x14ac:dyDescent="0.25">
      <c r="A623" s="6">
        <f>MOD(IF(ROW()=2,0.1,IF(INDEX(TimeEntry[WkEnd],ROW()-1)  =  INDEX(TimeEntry[WkEnd],ROW()-2),    INDEX(TimeEntry[format],ROW()-2),    INDEX(TimeEntry[format],ROW()-2)    +1)),2)</f>
        <v>0.10000000000000009</v>
      </c>
      <c r="B623" s="7"/>
      <c r="C623" s="8">
        <v>43578</v>
      </c>
      <c r="D623" s="8"/>
      <c r="E623" s="1" t="s">
        <v>466</v>
      </c>
      <c r="F623" s="8">
        <f>IF(TimeEntry[[#This Row],[Date]]=0,F622,C623+(7-Q623))</f>
        <v>43583</v>
      </c>
      <c r="G623" s="35" t="str">
        <f>INDEX(projects[Charge_Code],MATCH(TimeEntry[[#This Row],[Project_ID]],projects[Project_ID],0))</f>
        <v>265720-10 VBB - Design Basis</v>
      </c>
      <c r="H623" s="1" t="str">
        <f t="shared" si="13"/>
        <v>Normal Time</v>
      </c>
      <c r="I623" s="1"/>
      <c r="J623" s="15">
        <v>7.5</v>
      </c>
      <c r="K623" s="15"/>
      <c r="L623" s="15"/>
      <c r="M623" s="15"/>
      <c r="N623" s="15"/>
      <c r="O623" s="15" t="str">
        <f>INDEX(projects[job number],MATCH(TimeEntry[[#This Row],[Project_ID]], projects[Project_ID],0))</f>
        <v>265720-10</v>
      </c>
      <c r="P623" s="15" t="str">
        <f>INDEX(projects[Project_Name],MATCH(TimeEntry[[#This Row],[Project_ID]], projects[Project_ID],0))</f>
        <v>VBB - Design Basis</v>
      </c>
      <c r="Q623" s="6">
        <f>IF(TimeEntry[[#This Row],[Date]]=0,"",WEEKDAY(C623,2))</f>
        <v>2</v>
      </c>
      <c r="R623" s="9">
        <f>YEAR(TimeEntry[[#This Row],[WkEnd]])</f>
        <v>2019</v>
      </c>
      <c r="S623" s="9">
        <f>WEEKNUM(TimeEntry[[#This Row],[WkEnd]])</f>
        <v>18</v>
      </c>
      <c r="T623" s="9" t="str">
        <f>TimeEntry[[#This Row],[Year]]&amp;"-"&amp;TimeEntry[[#This Row],[WkNo]]</f>
        <v>2019-18</v>
      </c>
    </row>
    <row r="624" spans="1:20" x14ac:dyDescent="0.25">
      <c r="A624" s="6">
        <f>MOD(IF(ROW()=2,0.1,IF(INDEX(TimeEntry[WkEnd],ROW()-1)  =  INDEX(TimeEntry[WkEnd],ROW()-2),    INDEX(TimeEntry[format],ROW()-2),    INDEX(TimeEntry[format],ROW()-2)    +1)),2)</f>
        <v>0.10000000000000009</v>
      </c>
      <c r="B624" s="7"/>
      <c r="C624" s="8">
        <v>43579</v>
      </c>
      <c r="D624" s="8"/>
      <c r="E624" s="1" t="s">
        <v>466</v>
      </c>
      <c r="F624" s="8">
        <f>IF(TimeEntry[[#This Row],[Date]]=0,F623,C624+(7-Q624))</f>
        <v>43583</v>
      </c>
      <c r="G624" s="35" t="str">
        <f>INDEX(projects[Charge_Code],MATCH(TimeEntry[[#This Row],[Project_ID]],projects[Project_ID],0))</f>
        <v>265720-10 VBB - Design Basis</v>
      </c>
      <c r="H624" s="1" t="str">
        <f t="shared" si="13"/>
        <v>Normal Time</v>
      </c>
      <c r="I624" s="1"/>
      <c r="J624" s="15">
        <v>7.5</v>
      </c>
      <c r="K624" s="15"/>
      <c r="L624" s="15"/>
      <c r="M624" s="15"/>
      <c r="N624" s="15"/>
      <c r="O624" s="15" t="str">
        <f>INDEX(projects[job number],MATCH(TimeEntry[[#This Row],[Project_ID]], projects[Project_ID],0))</f>
        <v>265720-10</v>
      </c>
      <c r="P624" s="15" t="str">
        <f>INDEX(projects[Project_Name],MATCH(TimeEntry[[#This Row],[Project_ID]], projects[Project_ID],0))</f>
        <v>VBB - Design Basis</v>
      </c>
      <c r="Q624" s="6">
        <f>IF(TimeEntry[[#This Row],[Date]]=0,"",WEEKDAY(C624,2))</f>
        <v>3</v>
      </c>
      <c r="R624" s="9">
        <f>YEAR(TimeEntry[[#This Row],[WkEnd]])</f>
        <v>2019</v>
      </c>
      <c r="S624" s="9">
        <f>WEEKNUM(TimeEntry[[#This Row],[WkEnd]])</f>
        <v>18</v>
      </c>
      <c r="T624" s="9" t="str">
        <f>TimeEntry[[#This Row],[Year]]&amp;"-"&amp;TimeEntry[[#This Row],[WkNo]]</f>
        <v>2019-18</v>
      </c>
    </row>
    <row r="625" spans="1:20" x14ac:dyDescent="0.25">
      <c r="A625" s="6">
        <f>MOD(IF(ROW()=2,0.1,IF(INDEX(TimeEntry[WkEnd],ROW()-1)  =  INDEX(TimeEntry[WkEnd],ROW()-2),    INDEX(TimeEntry[format],ROW()-2),    INDEX(TimeEntry[format],ROW()-2)    +1)),2)</f>
        <v>0.10000000000000009</v>
      </c>
      <c r="B625" s="7"/>
      <c r="C625" s="8">
        <v>43580</v>
      </c>
      <c r="D625" s="8"/>
      <c r="E625" s="1" t="s">
        <v>466</v>
      </c>
      <c r="F625" s="8">
        <f>IF(TimeEntry[[#This Row],[Date]]=0,F624,C625+(7-Q625))</f>
        <v>43583</v>
      </c>
      <c r="G625" s="35" t="str">
        <f>INDEX(projects[Charge_Code],MATCH(TimeEntry[[#This Row],[Project_ID]],projects[Project_ID],0))</f>
        <v>265720-10 VBB - Design Basis</v>
      </c>
      <c r="H625" s="1" t="str">
        <f t="shared" si="13"/>
        <v>Normal Time</v>
      </c>
      <c r="I625" s="1"/>
      <c r="J625" s="15">
        <v>3.75</v>
      </c>
      <c r="K625" s="15"/>
      <c r="L625" s="15"/>
      <c r="M625" s="15"/>
      <c r="N625" s="15"/>
      <c r="O625" s="15" t="str">
        <f>INDEX(projects[job number],MATCH(TimeEntry[[#This Row],[Project_ID]], projects[Project_ID],0))</f>
        <v>265720-10</v>
      </c>
      <c r="P625" s="15" t="str">
        <f>INDEX(projects[Project_Name],MATCH(TimeEntry[[#This Row],[Project_ID]], projects[Project_ID],0))</f>
        <v>VBB - Design Basis</v>
      </c>
      <c r="Q625" s="6">
        <f>IF(TimeEntry[[#This Row],[Date]]=0,"",WEEKDAY(C625,2))</f>
        <v>4</v>
      </c>
      <c r="R625" s="9">
        <f>YEAR(TimeEntry[[#This Row],[WkEnd]])</f>
        <v>2019</v>
      </c>
      <c r="S625" s="9">
        <f>WEEKNUM(TimeEntry[[#This Row],[WkEnd]])</f>
        <v>18</v>
      </c>
      <c r="T625" s="9" t="str">
        <f>TimeEntry[[#This Row],[Year]]&amp;"-"&amp;TimeEntry[[#This Row],[WkNo]]</f>
        <v>2019-18</v>
      </c>
    </row>
    <row r="626" spans="1:20" x14ac:dyDescent="0.25">
      <c r="A626" s="6">
        <f>MOD(IF(ROW()=2,0.1,IF(INDEX(TimeEntry[WkEnd],ROW()-1)  =  INDEX(TimeEntry[WkEnd],ROW()-2),    INDEX(TimeEntry[format],ROW()-2),    INDEX(TimeEntry[format],ROW()-2)    +1)),2)</f>
        <v>0.10000000000000009</v>
      </c>
      <c r="B626" s="7"/>
      <c r="C626" s="8">
        <v>43580</v>
      </c>
      <c r="D626" s="8"/>
      <c r="E626" s="1" t="s">
        <v>460</v>
      </c>
      <c r="F626" s="8">
        <f>IF(TimeEntry[[#This Row],[Date]]=0,F625,C626+(7-Q626))</f>
        <v>43583</v>
      </c>
      <c r="G626" s="35" t="str">
        <f>INDEX(projects[Charge_Code],MATCH(TimeEntry[[#This Row],[Project_ID]],projects[Project_ID],0))</f>
        <v>265720-20 VBB - Assessment</v>
      </c>
      <c r="H626" s="1" t="str">
        <f t="shared" si="13"/>
        <v>Normal Time</v>
      </c>
      <c r="I626" s="1"/>
      <c r="J626" s="15">
        <v>3.75</v>
      </c>
      <c r="K626" s="15"/>
      <c r="L626" s="15"/>
      <c r="M626" s="15"/>
      <c r="N626" s="15"/>
      <c r="O626" s="15" t="str">
        <f>INDEX(projects[job number],MATCH(TimeEntry[[#This Row],[Project_ID]], projects[Project_ID],0))</f>
        <v>265720-20</v>
      </c>
      <c r="P626" s="15" t="str">
        <f>INDEX(projects[Project_Name],MATCH(TimeEntry[[#This Row],[Project_ID]], projects[Project_ID],0))</f>
        <v>VBB - Assessment</v>
      </c>
      <c r="Q626" s="6">
        <f>IF(TimeEntry[[#This Row],[Date]]=0,"",WEEKDAY(C626,2))</f>
        <v>4</v>
      </c>
      <c r="R626" s="9">
        <f>YEAR(TimeEntry[[#This Row],[WkEnd]])</f>
        <v>2019</v>
      </c>
      <c r="S626" s="9">
        <f>WEEKNUM(TimeEntry[[#This Row],[WkEnd]])</f>
        <v>18</v>
      </c>
      <c r="T626" s="9" t="str">
        <f>TimeEntry[[#This Row],[Year]]&amp;"-"&amp;TimeEntry[[#This Row],[WkNo]]</f>
        <v>2019-18</v>
      </c>
    </row>
    <row r="627" spans="1:20" x14ac:dyDescent="0.25">
      <c r="A627" s="6">
        <f>MOD(IF(ROW()=2,0.1,IF(INDEX(TimeEntry[WkEnd],ROW()-1)  =  INDEX(TimeEntry[WkEnd],ROW()-2),    INDEX(TimeEntry[format],ROW()-2),    INDEX(TimeEntry[format],ROW()-2)    +1)),2)</f>
        <v>0.10000000000000009</v>
      </c>
      <c r="B627" s="7"/>
      <c r="C627" s="8">
        <v>43581</v>
      </c>
      <c r="D627" s="8"/>
      <c r="E627" s="1" t="s">
        <v>460</v>
      </c>
      <c r="F627" s="8">
        <f>IF(TimeEntry[[#This Row],[Date]]=0,F626,C627+(7-Q627))</f>
        <v>43583</v>
      </c>
      <c r="G627" s="35" t="str">
        <f>INDEX(projects[Charge_Code],MATCH(TimeEntry[[#This Row],[Project_ID]],projects[Project_ID],0))</f>
        <v>265720-20 VBB - Assessment</v>
      </c>
      <c r="H627" s="1" t="str">
        <f t="shared" si="13"/>
        <v>Normal Time</v>
      </c>
      <c r="I627" s="1"/>
      <c r="J627" s="15">
        <v>3.75</v>
      </c>
      <c r="K627" s="15"/>
      <c r="L627" s="15"/>
      <c r="M627" s="15"/>
      <c r="N627" s="15"/>
      <c r="O627" s="15" t="str">
        <f>INDEX(projects[job number],MATCH(TimeEntry[[#This Row],[Project_ID]], projects[Project_ID],0))</f>
        <v>265720-20</v>
      </c>
      <c r="P627" s="15" t="str">
        <f>INDEX(projects[Project_Name],MATCH(TimeEntry[[#This Row],[Project_ID]], projects[Project_ID],0))</f>
        <v>VBB - Assessment</v>
      </c>
      <c r="Q627" s="6">
        <f>IF(TimeEntry[[#This Row],[Date]]=0,"",WEEKDAY(C627,2))</f>
        <v>5</v>
      </c>
      <c r="R627" s="9">
        <f>YEAR(TimeEntry[[#This Row],[WkEnd]])</f>
        <v>2019</v>
      </c>
      <c r="S627" s="9">
        <f>WEEKNUM(TimeEntry[[#This Row],[WkEnd]])</f>
        <v>18</v>
      </c>
      <c r="T627" s="9" t="str">
        <f>TimeEntry[[#This Row],[Year]]&amp;"-"&amp;TimeEntry[[#This Row],[WkNo]]</f>
        <v>2019-18</v>
      </c>
    </row>
    <row r="628" spans="1:20" x14ac:dyDescent="0.25">
      <c r="A628" s="6">
        <f>MOD(IF(ROW()=2,0.1,IF(INDEX(TimeEntry[WkEnd],ROW()-1)  =  INDEX(TimeEntry[WkEnd],ROW()-2),    INDEX(TimeEntry[format],ROW()-2),    INDEX(TimeEntry[format],ROW()-2)    +1)),2)</f>
        <v>0.10000000000000009</v>
      </c>
      <c r="B628" s="7"/>
      <c r="C628" s="8">
        <v>43581</v>
      </c>
      <c r="D628" s="8"/>
      <c r="E628" s="1" t="s">
        <v>460</v>
      </c>
      <c r="F628" s="8">
        <f>IF(TimeEntry[[#This Row],[Date]]=0,F627,C628+(7-Q628))</f>
        <v>43583</v>
      </c>
      <c r="G628" s="35" t="str">
        <f>INDEX(projects[Charge_Code],MATCH(TimeEntry[[#This Row],[Project_ID]],projects[Project_ID],0))</f>
        <v>265720-20 VBB - Assessment</v>
      </c>
      <c r="H628" s="1" t="str">
        <f t="shared" si="13"/>
        <v>Normal Time</v>
      </c>
      <c r="I628" s="1"/>
      <c r="J628" s="15">
        <v>3.75</v>
      </c>
      <c r="K628" s="15"/>
      <c r="L628" s="15"/>
      <c r="M628" s="15"/>
      <c r="N628" s="15"/>
      <c r="O628" s="15" t="str">
        <f>INDEX(projects[job number],MATCH(TimeEntry[[#This Row],[Project_ID]], projects[Project_ID],0))</f>
        <v>265720-20</v>
      </c>
      <c r="P628" s="15" t="str">
        <f>INDEX(projects[Project_Name],MATCH(TimeEntry[[#This Row],[Project_ID]], projects[Project_ID],0))</f>
        <v>VBB - Assessment</v>
      </c>
      <c r="Q628" s="6">
        <f>IF(TimeEntry[[#This Row],[Date]]=0,"",WEEKDAY(C628,2))</f>
        <v>5</v>
      </c>
      <c r="R628" s="9">
        <f>YEAR(TimeEntry[[#This Row],[WkEnd]])</f>
        <v>2019</v>
      </c>
      <c r="S628" s="9">
        <f>WEEKNUM(TimeEntry[[#This Row],[WkEnd]])</f>
        <v>18</v>
      </c>
      <c r="T628" s="9" t="str">
        <f>TimeEntry[[#This Row],[Year]]&amp;"-"&amp;TimeEntry[[#This Row],[WkNo]]</f>
        <v>2019-18</v>
      </c>
    </row>
    <row r="629" spans="1:20" x14ac:dyDescent="0.25">
      <c r="A629" s="6">
        <f>MOD(IF(ROW()=2,0.1,IF(INDEX(TimeEntry[WkEnd],ROW()-1)  =  INDEX(TimeEntry[WkEnd],ROW()-2),    INDEX(TimeEntry[format],ROW()-2),    INDEX(TimeEntry[format],ROW()-2)    +1)),2)</f>
        <v>1.1000000000000001</v>
      </c>
      <c r="B629" s="7"/>
      <c r="C629" s="8">
        <v>43570</v>
      </c>
      <c r="D629" s="8"/>
      <c r="E629" s="1" t="s">
        <v>466</v>
      </c>
      <c r="F629" s="8">
        <f>IF(TimeEntry[[#This Row],[Date]]=0,F628,C629+(7-Q629))</f>
        <v>43576</v>
      </c>
      <c r="G629" s="35" t="str">
        <f>INDEX(projects[Charge_Code],MATCH(TimeEntry[[#This Row],[Project_ID]],projects[Project_ID],0))</f>
        <v>265720-10 VBB - Design Basis</v>
      </c>
      <c r="H629" s="1" t="str">
        <f t="shared" si="13"/>
        <v>Normal Time</v>
      </c>
      <c r="I629" s="1"/>
      <c r="J629" s="15">
        <v>2.5</v>
      </c>
      <c r="K629" s="15"/>
      <c r="L629" s="15"/>
      <c r="M629" s="15"/>
      <c r="N629" s="15"/>
      <c r="O629" s="15" t="str">
        <f>INDEX(projects[job number],MATCH(TimeEntry[[#This Row],[Project_ID]], projects[Project_ID],0))</f>
        <v>265720-10</v>
      </c>
      <c r="P629" s="15" t="str">
        <f>INDEX(projects[Project_Name],MATCH(TimeEntry[[#This Row],[Project_ID]], projects[Project_ID],0))</f>
        <v>VBB - Design Basis</v>
      </c>
      <c r="Q629" s="6">
        <f>IF(TimeEntry[[#This Row],[Date]]=0,"",WEEKDAY(C629,2))</f>
        <v>1</v>
      </c>
      <c r="R629" s="9">
        <f>YEAR(TimeEntry[[#This Row],[WkEnd]])</f>
        <v>2019</v>
      </c>
      <c r="S629" s="9">
        <f>WEEKNUM(TimeEntry[[#This Row],[WkEnd]])</f>
        <v>17</v>
      </c>
      <c r="T629" s="9" t="str">
        <f>TimeEntry[[#This Row],[Year]]&amp;"-"&amp;TimeEntry[[#This Row],[WkNo]]</f>
        <v>2019-17</v>
      </c>
    </row>
    <row r="630" spans="1:20" x14ac:dyDescent="0.25">
      <c r="A630" s="6">
        <f>MOD(IF(ROW()=2,0.1,IF(INDEX(TimeEntry[WkEnd],ROW()-1)  =  INDEX(TimeEntry[WkEnd],ROW()-2),    INDEX(TimeEntry[format],ROW()-2),    INDEX(TimeEntry[format],ROW()-2)    +1)),2)</f>
        <v>1.1000000000000001</v>
      </c>
      <c r="B630" s="7"/>
      <c r="C630" s="8">
        <v>43570</v>
      </c>
      <c r="D630" s="8"/>
      <c r="E630" s="1" t="s">
        <v>466</v>
      </c>
      <c r="F630" s="8">
        <f>IF(TimeEntry[[#This Row],[Date]]=0,F629,C630+(7-Q630))</f>
        <v>43576</v>
      </c>
      <c r="G630" s="35" t="str">
        <f>INDEX(projects[Charge_Code],MATCH(TimeEntry[[#This Row],[Project_ID]],projects[Project_ID],0))</f>
        <v>265720-10 VBB - Design Basis</v>
      </c>
      <c r="H630" s="1" t="str">
        <f t="shared" si="13"/>
        <v>Normal Time</v>
      </c>
      <c r="I630" s="1"/>
      <c r="J630" s="15">
        <v>5</v>
      </c>
      <c r="K630" s="15"/>
      <c r="L630" s="15"/>
      <c r="M630" s="15"/>
      <c r="N630" s="15"/>
      <c r="O630" s="15" t="str">
        <f>INDEX(projects[job number],MATCH(TimeEntry[[#This Row],[Project_ID]], projects[Project_ID],0))</f>
        <v>265720-10</v>
      </c>
      <c r="P630" s="15" t="str">
        <f>INDEX(projects[Project_Name],MATCH(TimeEntry[[#This Row],[Project_ID]], projects[Project_ID],0))</f>
        <v>VBB - Design Basis</v>
      </c>
      <c r="Q630" s="6">
        <f>IF(TimeEntry[[#This Row],[Date]]=0,"",WEEKDAY(C630,2))</f>
        <v>1</v>
      </c>
      <c r="R630" s="9">
        <f>YEAR(TimeEntry[[#This Row],[WkEnd]])</f>
        <v>2019</v>
      </c>
      <c r="S630" s="9">
        <f>WEEKNUM(TimeEntry[[#This Row],[WkEnd]])</f>
        <v>17</v>
      </c>
      <c r="T630" s="9" t="str">
        <f>TimeEntry[[#This Row],[Year]]&amp;"-"&amp;TimeEntry[[#This Row],[WkNo]]</f>
        <v>2019-17</v>
      </c>
    </row>
    <row r="631" spans="1:20" x14ac:dyDescent="0.25">
      <c r="A631" s="6">
        <f>MOD(IF(ROW()=2,0.1,IF(INDEX(TimeEntry[WkEnd],ROW()-1)  =  INDEX(TimeEntry[WkEnd],ROW()-2),    INDEX(TimeEntry[format],ROW()-2),    INDEX(TimeEntry[format],ROW()-2)    +1)),2)</f>
        <v>1.1000000000000001</v>
      </c>
      <c r="B631" s="7"/>
      <c r="C631" s="8">
        <v>43571</v>
      </c>
      <c r="D631" s="8"/>
      <c r="E631" s="1" t="s">
        <v>466</v>
      </c>
      <c r="F631" s="8">
        <f>IF(TimeEntry[[#This Row],[Date]]=0,F630,C631+(7-Q631))</f>
        <v>43576</v>
      </c>
      <c r="G631" s="35" t="str">
        <f>INDEX(projects[Charge_Code],MATCH(TimeEntry[[#This Row],[Project_ID]],projects[Project_ID],0))</f>
        <v>265720-10 VBB - Design Basis</v>
      </c>
      <c r="H631" s="1" t="str">
        <f t="shared" si="13"/>
        <v>Normal Time</v>
      </c>
      <c r="I631" s="1"/>
      <c r="J631" s="15">
        <v>5</v>
      </c>
      <c r="K631" s="15"/>
      <c r="L631" s="15"/>
      <c r="M631" s="15"/>
      <c r="N631" s="15"/>
      <c r="O631" s="15" t="str">
        <f>INDEX(projects[job number],MATCH(TimeEntry[[#This Row],[Project_ID]], projects[Project_ID],0))</f>
        <v>265720-10</v>
      </c>
      <c r="P631" s="15" t="str">
        <f>INDEX(projects[Project_Name],MATCH(TimeEntry[[#This Row],[Project_ID]], projects[Project_ID],0))</f>
        <v>VBB - Design Basis</v>
      </c>
      <c r="Q631" s="6">
        <f>IF(TimeEntry[[#This Row],[Date]]=0,"",WEEKDAY(C631,2))</f>
        <v>2</v>
      </c>
      <c r="R631" s="9">
        <f>YEAR(TimeEntry[[#This Row],[WkEnd]])</f>
        <v>2019</v>
      </c>
      <c r="S631" s="9">
        <f>WEEKNUM(TimeEntry[[#This Row],[WkEnd]])</f>
        <v>17</v>
      </c>
      <c r="T631" s="9" t="str">
        <f>TimeEntry[[#This Row],[Year]]&amp;"-"&amp;TimeEntry[[#This Row],[WkNo]]</f>
        <v>2019-17</v>
      </c>
    </row>
    <row r="632" spans="1:20" x14ac:dyDescent="0.25">
      <c r="A632" s="6">
        <f>MOD(IF(ROW()=2,0.1,IF(INDEX(TimeEntry[WkEnd],ROW()-1)  =  INDEX(TimeEntry[WkEnd],ROW()-2),    INDEX(TimeEntry[format],ROW()-2),    INDEX(TimeEntry[format],ROW()-2)    +1)),2)</f>
        <v>1.1000000000000001</v>
      </c>
      <c r="B632" s="7"/>
      <c r="C632" s="8">
        <v>43571</v>
      </c>
      <c r="D632" s="8"/>
      <c r="E632" s="1" t="s">
        <v>466</v>
      </c>
      <c r="F632" s="8">
        <f>IF(TimeEntry[[#This Row],[Date]]=0,F631,C632+(7-Q632))</f>
        <v>43576</v>
      </c>
      <c r="G632" s="35" t="str">
        <f>INDEX(projects[Charge_Code],MATCH(TimeEntry[[#This Row],[Project_ID]],projects[Project_ID],0))</f>
        <v>265720-10 VBB - Design Basis</v>
      </c>
      <c r="H632" s="1" t="str">
        <f t="shared" si="13"/>
        <v>Normal Time</v>
      </c>
      <c r="I632" s="1"/>
      <c r="J632" s="15">
        <v>2.5</v>
      </c>
      <c r="K632" s="15"/>
      <c r="L632" s="15"/>
      <c r="M632" s="15"/>
      <c r="N632" s="15"/>
      <c r="O632" s="15" t="str">
        <f>INDEX(projects[job number],MATCH(TimeEntry[[#This Row],[Project_ID]], projects[Project_ID],0))</f>
        <v>265720-10</v>
      </c>
      <c r="P632" s="15" t="str">
        <f>INDEX(projects[Project_Name],MATCH(TimeEntry[[#This Row],[Project_ID]], projects[Project_ID],0))</f>
        <v>VBB - Design Basis</v>
      </c>
      <c r="Q632" s="6">
        <f>IF(TimeEntry[[#This Row],[Date]]=0,"",WEEKDAY(C632,2))</f>
        <v>2</v>
      </c>
      <c r="R632" s="9">
        <f>YEAR(TimeEntry[[#This Row],[WkEnd]])</f>
        <v>2019</v>
      </c>
      <c r="S632" s="9">
        <f>WEEKNUM(TimeEntry[[#This Row],[WkEnd]])</f>
        <v>17</v>
      </c>
      <c r="T632" s="9" t="str">
        <f>TimeEntry[[#This Row],[Year]]&amp;"-"&amp;TimeEntry[[#This Row],[WkNo]]</f>
        <v>2019-17</v>
      </c>
    </row>
    <row r="633" spans="1:20" x14ac:dyDescent="0.25">
      <c r="A633" s="6">
        <f>MOD(IF(ROW()=2,0.1,IF(INDEX(TimeEntry[WkEnd],ROW()-1)  =  INDEX(TimeEntry[WkEnd],ROW()-2),    INDEX(TimeEntry[format],ROW()-2),    INDEX(TimeEntry[format],ROW()-2)    +1)),2)</f>
        <v>1.1000000000000001</v>
      </c>
      <c r="B633" s="7"/>
      <c r="C633" s="8">
        <v>43572</v>
      </c>
      <c r="D633" s="8"/>
      <c r="E633" s="1" t="s">
        <v>466</v>
      </c>
      <c r="F633" s="8">
        <f>IF(TimeEntry[[#This Row],[Date]]=0,F632,C633+(7-Q633))</f>
        <v>43576</v>
      </c>
      <c r="G633" s="35" t="str">
        <f>INDEX(projects[Charge_Code],MATCH(TimeEntry[[#This Row],[Project_ID]],projects[Project_ID],0))</f>
        <v>265720-10 VBB - Design Basis</v>
      </c>
      <c r="H633" s="1" t="str">
        <f t="shared" si="13"/>
        <v>Normal Time</v>
      </c>
      <c r="I633" s="1"/>
      <c r="J633" s="15">
        <v>7.5</v>
      </c>
      <c r="K633" s="15"/>
      <c r="L633" s="15"/>
      <c r="M633" s="15"/>
      <c r="N633" s="15"/>
      <c r="O633" s="15" t="str">
        <f>INDEX(projects[job number],MATCH(TimeEntry[[#This Row],[Project_ID]], projects[Project_ID],0))</f>
        <v>265720-10</v>
      </c>
      <c r="P633" s="15" t="str">
        <f>INDEX(projects[Project_Name],MATCH(TimeEntry[[#This Row],[Project_ID]], projects[Project_ID],0))</f>
        <v>VBB - Design Basis</v>
      </c>
      <c r="Q633" s="6">
        <f>IF(TimeEntry[[#This Row],[Date]]=0,"",WEEKDAY(C633,2))</f>
        <v>3</v>
      </c>
      <c r="R633" s="9">
        <f>YEAR(TimeEntry[[#This Row],[WkEnd]])</f>
        <v>2019</v>
      </c>
      <c r="S633" s="9">
        <f>WEEKNUM(TimeEntry[[#This Row],[WkEnd]])</f>
        <v>17</v>
      </c>
      <c r="T633" s="9" t="str">
        <f>TimeEntry[[#This Row],[Year]]&amp;"-"&amp;TimeEntry[[#This Row],[WkNo]]</f>
        <v>2019-17</v>
      </c>
    </row>
    <row r="634" spans="1:20" x14ac:dyDescent="0.25">
      <c r="A634" s="6">
        <f>MOD(IF(ROW()=2,0.1,IF(INDEX(TimeEntry[WkEnd],ROW()-1)  =  INDEX(TimeEntry[WkEnd],ROW()-2),    INDEX(TimeEntry[format],ROW()-2),    INDEX(TimeEntry[format],ROW()-2)    +1)),2)</f>
        <v>1.1000000000000001</v>
      </c>
      <c r="B634" s="7"/>
      <c r="C634" s="8">
        <v>43573</v>
      </c>
      <c r="D634" s="8"/>
      <c r="E634" s="1" t="s">
        <v>466</v>
      </c>
      <c r="F634" s="8">
        <f>IF(TimeEntry[[#This Row],[Date]]=0,F633,C634+(7-Q634))</f>
        <v>43576</v>
      </c>
      <c r="G634" s="35" t="str">
        <f>INDEX(projects[Charge_Code],MATCH(TimeEntry[[#This Row],[Project_ID]],projects[Project_ID],0))</f>
        <v>265720-10 VBB - Design Basis</v>
      </c>
      <c r="H634" s="1" t="str">
        <f t="shared" si="13"/>
        <v>Normal Time</v>
      </c>
      <c r="I634" s="1"/>
      <c r="J634" s="15">
        <v>3.75</v>
      </c>
      <c r="K634" s="15"/>
      <c r="L634" s="15"/>
      <c r="M634" s="15"/>
      <c r="N634" s="15"/>
      <c r="O634" s="15" t="str">
        <f>INDEX(projects[job number],MATCH(TimeEntry[[#This Row],[Project_ID]], projects[Project_ID],0))</f>
        <v>265720-10</v>
      </c>
      <c r="P634" s="15" t="str">
        <f>INDEX(projects[Project_Name],MATCH(TimeEntry[[#This Row],[Project_ID]], projects[Project_ID],0))</f>
        <v>VBB - Design Basis</v>
      </c>
      <c r="Q634" s="6">
        <f>IF(TimeEntry[[#This Row],[Date]]=0,"",WEEKDAY(C634,2))</f>
        <v>4</v>
      </c>
      <c r="R634" s="9">
        <f>YEAR(TimeEntry[[#This Row],[WkEnd]])</f>
        <v>2019</v>
      </c>
      <c r="S634" s="9">
        <f>WEEKNUM(TimeEntry[[#This Row],[WkEnd]])</f>
        <v>17</v>
      </c>
      <c r="T634" s="9" t="str">
        <f>TimeEntry[[#This Row],[Year]]&amp;"-"&amp;TimeEntry[[#This Row],[WkNo]]</f>
        <v>2019-17</v>
      </c>
    </row>
    <row r="635" spans="1:20" x14ac:dyDescent="0.25">
      <c r="A635" s="6">
        <f>MOD(IF(ROW()=2,0.1,IF(INDEX(TimeEntry[WkEnd],ROW()-1)  =  INDEX(TimeEntry[WkEnd],ROW()-2),    INDEX(TimeEntry[format],ROW()-2),    INDEX(TimeEntry[format],ROW()-2)    +1)),2)</f>
        <v>1.1000000000000001</v>
      </c>
      <c r="B635" s="7"/>
      <c r="C635" s="8">
        <v>43573</v>
      </c>
      <c r="D635" s="8"/>
      <c r="E635" s="1" t="s">
        <v>466</v>
      </c>
      <c r="F635" s="8">
        <f>IF(TimeEntry[[#This Row],[Date]]=0,F634,C635+(7-Q635))</f>
        <v>43576</v>
      </c>
      <c r="G635" s="35" t="str">
        <f>INDEX(projects[Charge_Code],MATCH(TimeEntry[[#This Row],[Project_ID]],projects[Project_ID],0))</f>
        <v>265720-10 VBB - Design Basis</v>
      </c>
      <c r="H635" s="1" t="str">
        <f t="shared" si="13"/>
        <v>Normal Time</v>
      </c>
      <c r="I635" s="1"/>
      <c r="J635" s="15">
        <v>3.75</v>
      </c>
      <c r="K635" s="15"/>
      <c r="L635" s="15"/>
      <c r="M635" s="15"/>
      <c r="N635" s="15"/>
      <c r="O635" s="15" t="str">
        <f>INDEX(projects[job number],MATCH(TimeEntry[[#This Row],[Project_ID]], projects[Project_ID],0))</f>
        <v>265720-10</v>
      </c>
      <c r="P635" s="15" t="str">
        <f>INDEX(projects[Project_Name],MATCH(TimeEntry[[#This Row],[Project_ID]], projects[Project_ID],0))</f>
        <v>VBB - Design Basis</v>
      </c>
      <c r="Q635" s="6">
        <f>IF(TimeEntry[[#This Row],[Date]]=0,"",WEEKDAY(C635,2))</f>
        <v>4</v>
      </c>
      <c r="R635" s="9">
        <f>YEAR(TimeEntry[[#This Row],[WkEnd]])</f>
        <v>2019</v>
      </c>
      <c r="S635" s="9">
        <f>WEEKNUM(TimeEntry[[#This Row],[WkEnd]])</f>
        <v>17</v>
      </c>
      <c r="T635" s="9" t="str">
        <f>TimeEntry[[#This Row],[Year]]&amp;"-"&amp;TimeEntry[[#This Row],[WkNo]]</f>
        <v>2019-17</v>
      </c>
    </row>
    <row r="636" spans="1:20" x14ac:dyDescent="0.25">
      <c r="A636" s="6">
        <f>MOD(IF(ROW()=2,0.1,IF(INDEX(TimeEntry[WkEnd],ROW()-1)  =  INDEX(TimeEntry[WkEnd],ROW()-2),    INDEX(TimeEntry[format],ROW()-2),    INDEX(TimeEntry[format],ROW()-2)    +1)),2)</f>
        <v>1.1000000000000001</v>
      </c>
      <c r="B636" s="7"/>
      <c r="C636" s="8">
        <v>43574</v>
      </c>
      <c r="D636" s="8"/>
      <c r="E636" s="1" t="s">
        <v>445</v>
      </c>
      <c r="F636" s="8">
        <f>IF(TimeEntry[[#This Row],[Date]]=0,F635,C636+(7-Q636))</f>
        <v>43576</v>
      </c>
      <c r="G636" s="35" t="str">
        <f>INDEX(projects[Charge_Code],MATCH(TimeEntry[[#This Row],[Project_ID]],projects[Project_ID],0))</f>
        <v>LEAVE</v>
      </c>
      <c r="H636" s="1" t="str">
        <f t="shared" si="13"/>
        <v>Normal Time</v>
      </c>
      <c r="I636" s="1"/>
      <c r="J636" s="15">
        <v>7.5</v>
      </c>
      <c r="K636" s="15"/>
      <c r="L636" s="15"/>
      <c r="M636" s="15"/>
      <c r="N636" s="15"/>
      <c r="O636" s="15" t="str">
        <f>INDEX(projects[job number],MATCH(TimeEntry[[#This Row],[Project_ID]], projects[Project_ID],0))</f>
        <v>LEAVE</v>
      </c>
      <c r="P636" s="15">
        <f>INDEX(projects[Project_Name],MATCH(TimeEntry[[#This Row],[Project_ID]], projects[Project_ID],0))</f>
        <v>0</v>
      </c>
      <c r="Q636" s="6">
        <f>IF(TimeEntry[[#This Row],[Date]]=0,"",WEEKDAY(C636,2))</f>
        <v>5</v>
      </c>
      <c r="R636" s="9">
        <f>YEAR(TimeEntry[[#This Row],[WkEnd]])</f>
        <v>2019</v>
      </c>
      <c r="S636" s="9">
        <f>WEEKNUM(TimeEntry[[#This Row],[WkEnd]])</f>
        <v>17</v>
      </c>
      <c r="T636" s="9" t="str">
        <f>TimeEntry[[#This Row],[Year]]&amp;"-"&amp;TimeEntry[[#This Row],[WkNo]]</f>
        <v>2019-17</v>
      </c>
    </row>
    <row r="637" spans="1:20" x14ac:dyDescent="0.25">
      <c r="A637" s="6">
        <f>MOD(IF(ROW()=2,0.1,IF(INDEX(TimeEntry[WkEnd],ROW()-1)  =  INDEX(TimeEntry[WkEnd],ROW()-2),    INDEX(TimeEntry[format],ROW()-2),    INDEX(TimeEntry[format],ROW()-2)    +1)),2)</f>
        <v>0.10000000000000009</v>
      </c>
      <c r="B637" s="7"/>
      <c r="C637" s="8">
        <v>43563</v>
      </c>
      <c r="D637" s="8"/>
      <c r="E637" s="1" t="s">
        <v>466</v>
      </c>
      <c r="F637" s="8">
        <f>IF(TimeEntry[[#This Row],[Date]]=0,F636,C637+(7-Q637))</f>
        <v>43569</v>
      </c>
      <c r="G637" s="35" t="str">
        <f>INDEX(projects[Charge_Code],MATCH(TimeEntry[[#This Row],[Project_ID]],projects[Project_ID],0))</f>
        <v>265720-10 VBB - Design Basis</v>
      </c>
      <c r="H637" s="1" t="str">
        <f t="shared" si="13"/>
        <v>Normal Time</v>
      </c>
      <c r="I637" s="1"/>
      <c r="J637" s="15">
        <v>7.5</v>
      </c>
      <c r="K637" s="15"/>
      <c r="L637" s="15"/>
      <c r="M637" s="15"/>
      <c r="N637" s="15"/>
      <c r="O637" s="15" t="str">
        <f>INDEX(projects[job number],MATCH(TimeEntry[[#This Row],[Project_ID]], projects[Project_ID],0))</f>
        <v>265720-10</v>
      </c>
      <c r="P637" s="15" t="str">
        <f>INDEX(projects[Project_Name],MATCH(TimeEntry[[#This Row],[Project_ID]], projects[Project_ID],0))</f>
        <v>VBB - Design Basis</v>
      </c>
      <c r="Q637" s="6">
        <f>IF(TimeEntry[[#This Row],[Date]]=0,"",WEEKDAY(C637,2))</f>
        <v>1</v>
      </c>
      <c r="R637" s="9">
        <f>YEAR(TimeEntry[[#This Row],[WkEnd]])</f>
        <v>2019</v>
      </c>
      <c r="S637" s="9">
        <f>WEEKNUM(TimeEntry[[#This Row],[WkEnd]])</f>
        <v>16</v>
      </c>
      <c r="T637" s="9" t="str">
        <f>TimeEntry[[#This Row],[Year]]&amp;"-"&amp;TimeEntry[[#This Row],[WkNo]]</f>
        <v>2019-16</v>
      </c>
    </row>
    <row r="638" spans="1:20" x14ac:dyDescent="0.25">
      <c r="A638" s="6">
        <f>MOD(IF(ROW()=2,0.1,IF(INDEX(TimeEntry[WkEnd],ROW()-1)  =  INDEX(TimeEntry[WkEnd],ROW()-2),    INDEX(TimeEntry[format],ROW()-2),    INDEX(TimeEntry[format],ROW()-2)    +1)),2)</f>
        <v>0.10000000000000009</v>
      </c>
      <c r="B638" s="7"/>
      <c r="C638" s="8">
        <v>43564</v>
      </c>
      <c r="D638" s="8"/>
      <c r="E638" s="1" t="s">
        <v>466</v>
      </c>
      <c r="F638" s="8">
        <f>IF(TimeEntry[[#This Row],[Date]]=0,F637,C638+(7-Q638))</f>
        <v>43569</v>
      </c>
      <c r="G638" s="35" t="str">
        <f>INDEX(projects[Charge_Code],MATCH(TimeEntry[[#This Row],[Project_ID]],projects[Project_ID],0))</f>
        <v>265720-10 VBB - Design Basis</v>
      </c>
      <c r="H638" s="1" t="str">
        <f t="shared" si="13"/>
        <v>Normal Time</v>
      </c>
      <c r="I638" s="1"/>
      <c r="J638" s="15">
        <v>7.5</v>
      </c>
      <c r="K638" s="15"/>
      <c r="L638" s="15"/>
      <c r="M638" s="15"/>
      <c r="N638" s="15"/>
      <c r="O638" s="15" t="str">
        <f>INDEX(projects[job number],MATCH(TimeEntry[[#This Row],[Project_ID]], projects[Project_ID],0))</f>
        <v>265720-10</v>
      </c>
      <c r="P638" s="15" t="str">
        <f>INDEX(projects[Project_Name],MATCH(TimeEntry[[#This Row],[Project_ID]], projects[Project_ID],0))</f>
        <v>VBB - Design Basis</v>
      </c>
      <c r="Q638" s="6">
        <f>IF(TimeEntry[[#This Row],[Date]]=0,"",WEEKDAY(C638,2))</f>
        <v>2</v>
      </c>
      <c r="R638" s="9">
        <f>YEAR(TimeEntry[[#This Row],[WkEnd]])</f>
        <v>2019</v>
      </c>
      <c r="S638" s="9">
        <f>WEEKNUM(TimeEntry[[#This Row],[WkEnd]])</f>
        <v>16</v>
      </c>
      <c r="T638" s="9" t="str">
        <f>TimeEntry[[#This Row],[Year]]&amp;"-"&amp;TimeEntry[[#This Row],[WkNo]]</f>
        <v>2019-16</v>
      </c>
    </row>
    <row r="639" spans="1:20" x14ac:dyDescent="0.25">
      <c r="A639" s="6">
        <f>MOD(IF(ROW()=2,0.1,IF(INDEX(TimeEntry[WkEnd],ROW()-1)  =  INDEX(TimeEntry[WkEnd],ROW()-2),    INDEX(TimeEntry[format],ROW()-2),    INDEX(TimeEntry[format],ROW()-2)    +1)),2)</f>
        <v>0.10000000000000009</v>
      </c>
      <c r="B639" s="7"/>
      <c r="C639" s="8">
        <v>43565</v>
      </c>
      <c r="D639" s="8"/>
      <c r="E639" s="1" t="s">
        <v>466</v>
      </c>
      <c r="F639" s="8">
        <f>IF(TimeEntry[[#This Row],[Date]]=0,F638,C639+(7-Q639))</f>
        <v>43569</v>
      </c>
      <c r="G639" s="35" t="str">
        <f>INDEX(projects[Charge_Code],MATCH(TimeEntry[[#This Row],[Project_ID]],projects[Project_ID],0))</f>
        <v>265720-10 VBB - Design Basis</v>
      </c>
      <c r="H639" s="1" t="str">
        <f t="shared" si="13"/>
        <v>Normal Time</v>
      </c>
      <c r="I639" s="1"/>
      <c r="J639" s="15">
        <v>2.5</v>
      </c>
      <c r="K639" s="15"/>
      <c r="L639" s="15"/>
      <c r="M639" s="15"/>
      <c r="N639" s="15"/>
      <c r="O639" s="15" t="str">
        <f>INDEX(projects[job number],MATCH(TimeEntry[[#This Row],[Project_ID]], projects[Project_ID],0))</f>
        <v>265720-10</v>
      </c>
      <c r="P639" s="15" t="str">
        <f>INDEX(projects[Project_Name],MATCH(TimeEntry[[#This Row],[Project_ID]], projects[Project_ID],0))</f>
        <v>VBB - Design Basis</v>
      </c>
      <c r="Q639" s="6">
        <f>IF(TimeEntry[[#This Row],[Date]]=0,"",WEEKDAY(C639,2))</f>
        <v>3</v>
      </c>
      <c r="R639" s="9">
        <f>YEAR(TimeEntry[[#This Row],[WkEnd]])</f>
        <v>2019</v>
      </c>
      <c r="S639" s="9">
        <f>WEEKNUM(TimeEntry[[#This Row],[WkEnd]])</f>
        <v>16</v>
      </c>
      <c r="T639" s="9" t="str">
        <f>TimeEntry[[#This Row],[Year]]&amp;"-"&amp;TimeEntry[[#This Row],[WkNo]]</f>
        <v>2019-16</v>
      </c>
    </row>
    <row r="640" spans="1:20" x14ac:dyDescent="0.25">
      <c r="A640" s="6">
        <f>MOD(IF(ROW()=2,0.1,IF(INDEX(TimeEntry[WkEnd],ROW()-1)  =  INDEX(TimeEntry[WkEnd],ROW()-2),    INDEX(TimeEntry[format],ROW()-2),    INDEX(TimeEntry[format],ROW()-2)    +1)),2)</f>
        <v>0.10000000000000009</v>
      </c>
      <c r="B640" s="7"/>
      <c r="C640" s="8">
        <v>43565</v>
      </c>
      <c r="D640" s="8"/>
      <c r="E640" s="1" t="s">
        <v>466</v>
      </c>
      <c r="F640" s="8">
        <f>IF(TimeEntry[[#This Row],[Date]]=0,F639,C640+(7-Q640))</f>
        <v>43569</v>
      </c>
      <c r="G640" s="35" t="str">
        <f>INDEX(projects[Charge_Code],MATCH(TimeEntry[[#This Row],[Project_ID]],projects[Project_ID],0))</f>
        <v>265720-10 VBB - Design Basis</v>
      </c>
      <c r="H640" s="1" t="str">
        <f t="shared" si="13"/>
        <v>Normal Time</v>
      </c>
      <c r="I640" s="1"/>
      <c r="J640" s="15">
        <v>5</v>
      </c>
      <c r="K640" s="15"/>
      <c r="L640" s="15"/>
      <c r="M640" s="15"/>
      <c r="N640" s="15"/>
      <c r="O640" s="15" t="str">
        <f>INDEX(projects[job number],MATCH(TimeEntry[[#This Row],[Project_ID]], projects[Project_ID],0))</f>
        <v>265720-10</v>
      </c>
      <c r="P640" s="15" t="str">
        <f>INDEX(projects[Project_Name],MATCH(TimeEntry[[#This Row],[Project_ID]], projects[Project_ID],0))</f>
        <v>VBB - Design Basis</v>
      </c>
      <c r="Q640" s="6">
        <f>IF(TimeEntry[[#This Row],[Date]]=0,"",WEEKDAY(C640,2))</f>
        <v>3</v>
      </c>
      <c r="R640" s="9">
        <f>YEAR(TimeEntry[[#This Row],[WkEnd]])</f>
        <v>2019</v>
      </c>
      <c r="S640" s="9">
        <f>WEEKNUM(TimeEntry[[#This Row],[WkEnd]])</f>
        <v>16</v>
      </c>
      <c r="T640" s="9" t="str">
        <f>TimeEntry[[#This Row],[Year]]&amp;"-"&amp;TimeEntry[[#This Row],[WkNo]]</f>
        <v>2019-16</v>
      </c>
    </row>
    <row r="641" spans="1:20" x14ac:dyDescent="0.25">
      <c r="A641" s="6">
        <f>MOD(IF(ROW()=2,0.1,IF(INDEX(TimeEntry[WkEnd],ROW()-1)  =  INDEX(TimeEntry[WkEnd],ROW()-2),    INDEX(TimeEntry[format],ROW()-2),    INDEX(TimeEntry[format],ROW()-2)    +1)),2)</f>
        <v>0.10000000000000009</v>
      </c>
      <c r="B641" s="7"/>
      <c r="C641" s="8">
        <v>43566</v>
      </c>
      <c r="D641" s="8"/>
      <c r="E641" s="1" t="s">
        <v>471</v>
      </c>
      <c r="F641" s="8">
        <f>IF(TimeEntry[[#This Row],[Date]]=0,F640,C641+(7-Q641))</f>
        <v>43569</v>
      </c>
      <c r="G641" s="35" t="str">
        <f>INDEX(projects[Charge_Code],MATCH(TimeEntry[[#This Row],[Project_ID]],projects[Project_ID],0))</f>
        <v>261723-02 SMP</v>
      </c>
      <c r="H641" s="1" t="str">
        <f t="shared" si="13"/>
        <v>Normal Time</v>
      </c>
      <c r="I641" s="1"/>
      <c r="J641" s="15">
        <v>3.75</v>
      </c>
      <c r="K641" s="15"/>
      <c r="L641" s="15"/>
      <c r="M641" s="15"/>
      <c r="N641" s="15"/>
      <c r="O641" s="15" t="str">
        <f>INDEX(projects[job number],MATCH(TimeEntry[[#This Row],[Project_ID]], projects[Project_ID],0))</f>
        <v>261723-02</v>
      </c>
      <c r="P641" s="15" t="str">
        <f>INDEX(projects[Project_Name],MATCH(TimeEntry[[#This Row],[Project_ID]], projects[Project_ID],0))</f>
        <v>SMP</v>
      </c>
      <c r="Q641" s="6">
        <f>IF(TimeEntry[[#This Row],[Date]]=0,"",WEEKDAY(C641,2))</f>
        <v>4</v>
      </c>
      <c r="R641" s="9">
        <f>YEAR(TimeEntry[[#This Row],[WkEnd]])</f>
        <v>2019</v>
      </c>
      <c r="S641" s="9">
        <f>WEEKNUM(TimeEntry[[#This Row],[WkEnd]])</f>
        <v>16</v>
      </c>
      <c r="T641" s="9" t="str">
        <f>TimeEntry[[#This Row],[Year]]&amp;"-"&amp;TimeEntry[[#This Row],[WkNo]]</f>
        <v>2019-16</v>
      </c>
    </row>
    <row r="642" spans="1:20" x14ac:dyDescent="0.25">
      <c r="A642" s="6">
        <f>MOD(IF(ROW()=2,0.1,IF(INDEX(TimeEntry[WkEnd],ROW()-1)  =  INDEX(TimeEntry[WkEnd],ROW()-2),    INDEX(TimeEntry[format],ROW()-2),    INDEX(TimeEntry[format],ROW()-2)    +1)),2)</f>
        <v>0.10000000000000009</v>
      </c>
      <c r="B642" s="7"/>
      <c r="C642" s="8">
        <v>43566</v>
      </c>
      <c r="D642" s="8"/>
      <c r="E642" s="1" t="s">
        <v>466</v>
      </c>
      <c r="F642" s="8">
        <f>IF(TimeEntry[[#This Row],[Date]]=0,F641,C642+(7-Q642))</f>
        <v>43569</v>
      </c>
      <c r="G642" s="35" t="str">
        <f>INDEX(projects[Charge_Code],MATCH(TimeEntry[[#This Row],[Project_ID]],projects[Project_ID],0))</f>
        <v>265720-10 VBB - Design Basis</v>
      </c>
      <c r="H642" s="1" t="str">
        <f t="shared" si="13"/>
        <v>Normal Time</v>
      </c>
      <c r="I642" s="1"/>
      <c r="J642" s="15">
        <v>3.75</v>
      </c>
      <c r="K642" s="15"/>
      <c r="L642" s="15"/>
      <c r="M642" s="15"/>
      <c r="N642" s="15"/>
      <c r="O642" s="15" t="str">
        <f>INDEX(projects[job number],MATCH(TimeEntry[[#This Row],[Project_ID]], projects[Project_ID],0))</f>
        <v>265720-10</v>
      </c>
      <c r="P642" s="15" t="str">
        <f>INDEX(projects[Project_Name],MATCH(TimeEntry[[#This Row],[Project_ID]], projects[Project_ID],0))</f>
        <v>VBB - Design Basis</v>
      </c>
      <c r="Q642" s="6">
        <f>IF(TimeEntry[[#This Row],[Date]]=0,"",WEEKDAY(C642,2))</f>
        <v>4</v>
      </c>
      <c r="R642" s="9">
        <f>YEAR(TimeEntry[[#This Row],[WkEnd]])</f>
        <v>2019</v>
      </c>
      <c r="S642" s="9">
        <f>WEEKNUM(TimeEntry[[#This Row],[WkEnd]])</f>
        <v>16</v>
      </c>
      <c r="T642" s="9" t="str">
        <f>TimeEntry[[#This Row],[Year]]&amp;"-"&amp;TimeEntry[[#This Row],[WkNo]]</f>
        <v>2019-16</v>
      </c>
    </row>
    <row r="643" spans="1:20" x14ac:dyDescent="0.25">
      <c r="A643" s="6">
        <f>MOD(IF(ROW()=2,0.1,IF(INDEX(TimeEntry[WkEnd],ROW()-1)  =  INDEX(TimeEntry[WkEnd],ROW()-2),    INDEX(TimeEntry[format],ROW()-2),    INDEX(TimeEntry[format],ROW()-2)    +1)),2)</f>
        <v>0.10000000000000009</v>
      </c>
      <c r="B643" s="7"/>
      <c r="C643" s="8">
        <v>43567</v>
      </c>
      <c r="D643" s="8"/>
      <c r="E643" s="1" t="s">
        <v>471</v>
      </c>
      <c r="F643" s="8">
        <f>IF(TimeEntry[[#This Row],[Date]]=0,F642,C643+(7-Q643))</f>
        <v>43569</v>
      </c>
      <c r="G643" s="35" t="str">
        <f>INDEX(projects[Charge_Code],MATCH(TimeEntry[[#This Row],[Project_ID]],projects[Project_ID],0))</f>
        <v>261723-02 SMP</v>
      </c>
      <c r="H643" s="1" t="str">
        <f t="shared" si="13"/>
        <v>Normal Time</v>
      </c>
      <c r="I643" s="1"/>
      <c r="J643" s="15">
        <v>3.75</v>
      </c>
      <c r="K643" s="15"/>
      <c r="L643" s="15"/>
      <c r="M643" s="15"/>
      <c r="N643" s="15"/>
      <c r="O643" s="15" t="str">
        <f>INDEX(projects[job number],MATCH(TimeEntry[[#This Row],[Project_ID]], projects[Project_ID],0))</f>
        <v>261723-02</v>
      </c>
      <c r="P643" s="15" t="str">
        <f>INDEX(projects[Project_Name],MATCH(TimeEntry[[#This Row],[Project_ID]], projects[Project_ID],0))</f>
        <v>SMP</v>
      </c>
      <c r="Q643" s="6">
        <f>IF(TimeEntry[[#This Row],[Date]]=0,"",WEEKDAY(C643,2))</f>
        <v>5</v>
      </c>
      <c r="R643" s="9">
        <f>YEAR(TimeEntry[[#This Row],[WkEnd]])</f>
        <v>2019</v>
      </c>
      <c r="S643" s="9">
        <f>WEEKNUM(TimeEntry[[#This Row],[WkEnd]])</f>
        <v>16</v>
      </c>
      <c r="T643" s="9" t="str">
        <f>TimeEntry[[#This Row],[Year]]&amp;"-"&amp;TimeEntry[[#This Row],[WkNo]]</f>
        <v>2019-16</v>
      </c>
    </row>
    <row r="644" spans="1:20" x14ac:dyDescent="0.25">
      <c r="A644" s="6">
        <f>MOD(IF(ROW()=2,0.1,IF(INDEX(TimeEntry[WkEnd],ROW()-1)  =  INDEX(TimeEntry[WkEnd],ROW()-2),    INDEX(TimeEntry[format],ROW()-2),    INDEX(TimeEntry[format],ROW()-2)    +1)),2)</f>
        <v>0.10000000000000009</v>
      </c>
      <c r="B644" s="7"/>
      <c r="C644" s="8">
        <v>43567</v>
      </c>
      <c r="D644" s="8"/>
      <c r="E644" s="1" t="s">
        <v>466</v>
      </c>
      <c r="F644" s="8">
        <f>IF(TimeEntry[[#This Row],[Date]]=0,F643,C644+(7-Q644))</f>
        <v>43569</v>
      </c>
      <c r="G644" s="35" t="str">
        <f>INDEX(projects[Charge_Code],MATCH(TimeEntry[[#This Row],[Project_ID]],projects[Project_ID],0))</f>
        <v>265720-10 VBB - Design Basis</v>
      </c>
      <c r="H644" s="1" t="str">
        <f t="shared" si="13"/>
        <v>Normal Time</v>
      </c>
      <c r="I644" s="1"/>
      <c r="J644" s="15">
        <v>3.75</v>
      </c>
      <c r="K644" s="15"/>
      <c r="L644" s="15"/>
      <c r="M644" s="15"/>
      <c r="N644" s="15"/>
      <c r="O644" s="15" t="str">
        <f>INDEX(projects[job number],MATCH(TimeEntry[[#This Row],[Project_ID]], projects[Project_ID],0))</f>
        <v>265720-10</v>
      </c>
      <c r="P644" s="15" t="str">
        <f>INDEX(projects[Project_Name],MATCH(TimeEntry[[#This Row],[Project_ID]], projects[Project_ID],0))</f>
        <v>VBB - Design Basis</v>
      </c>
      <c r="Q644" s="6">
        <f>IF(TimeEntry[[#This Row],[Date]]=0,"",WEEKDAY(C644,2))</f>
        <v>5</v>
      </c>
      <c r="R644" s="9">
        <f>YEAR(TimeEntry[[#This Row],[WkEnd]])</f>
        <v>2019</v>
      </c>
      <c r="S644" s="9">
        <f>WEEKNUM(TimeEntry[[#This Row],[WkEnd]])</f>
        <v>16</v>
      </c>
      <c r="T644" s="9" t="str">
        <f>TimeEntry[[#This Row],[Year]]&amp;"-"&amp;TimeEntry[[#This Row],[WkNo]]</f>
        <v>2019-16</v>
      </c>
    </row>
    <row r="645" spans="1:20" x14ac:dyDescent="0.25">
      <c r="A645" s="6">
        <f>MOD(IF(ROW()=2,0.1,IF(INDEX(TimeEntry[WkEnd],ROW()-1)  =  INDEX(TimeEntry[WkEnd],ROW()-2),    INDEX(TimeEntry[format],ROW()-2),    INDEX(TimeEntry[format],ROW()-2)    +1)),2)</f>
        <v>1.1000000000000001</v>
      </c>
      <c r="B645" s="7"/>
      <c r="C645" s="8">
        <v>43556</v>
      </c>
      <c r="D645" s="8"/>
      <c r="E645" s="1" t="s">
        <v>466</v>
      </c>
      <c r="F645" s="8">
        <f>IF(TimeEntry[[#This Row],[Date]]=0,F644,C645+(7-Q645))</f>
        <v>43562</v>
      </c>
      <c r="G645" s="35" t="str">
        <f>INDEX(projects[Charge_Code],MATCH(TimeEntry[[#This Row],[Project_ID]],projects[Project_ID],0))</f>
        <v>265720-10 VBB - Design Basis</v>
      </c>
      <c r="H645" s="1" t="str">
        <f t="shared" si="13"/>
        <v>Normal Time</v>
      </c>
      <c r="I645" s="1"/>
      <c r="J645" s="15">
        <v>4</v>
      </c>
      <c r="K645" s="15"/>
      <c r="L645" s="15"/>
      <c r="M645" s="15"/>
      <c r="N645" s="15"/>
      <c r="O645" s="15" t="str">
        <f>INDEX(projects[job number],MATCH(TimeEntry[[#This Row],[Project_ID]], projects[Project_ID],0))</f>
        <v>265720-10</v>
      </c>
      <c r="P645" s="15" t="str">
        <f>INDEX(projects[Project_Name],MATCH(TimeEntry[[#This Row],[Project_ID]], projects[Project_ID],0))</f>
        <v>VBB - Design Basis</v>
      </c>
      <c r="Q645" s="6">
        <f>IF(TimeEntry[[#This Row],[Date]]=0,"",WEEKDAY(C645,2))</f>
        <v>1</v>
      </c>
      <c r="R645" s="9">
        <f>YEAR(TimeEntry[[#This Row],[WkEnd]])</f>
        <v>2019</v>
      </c>
      <c r="S645" s="9">
        <f>WEEKNUM(TimeEntry[[#This Row],[WkEnd]])</f>
        <v>15</v>
      </c>
      <c r="T645" s="9" t="str">
        <f>TimeEntry[[#This Row],[Year]]&amp;"-"&amp;TimeEntry[[#This Row],[WkNo]]</f>
        <v>2019-15</v>
      </c>
    </row>
    <row r="646" spans="1:20" x14ac:dyDescent="0.25">
      <c r="A646" s="6">
        <f>MOD(IF(ROW()=2,0.1,IF(INDEX(TimeEntry[WkEnd],ROW()-1)  =  INDEX(TimeEntry[WkEnd],ROW()-2),    INDEX(TimeEntry[format],ROW()-2),    INDEX(TimeEntry[format],ROW()-2)    +1)),2)</f>
        <v>1.1000000000000001</v>
      </c>
      <c r="B646" s="7"/>
      <c r="C646" s="8">
        <v>43556</v>
      </c>
      <c r="D646" s="8"/>
      <c r="E646" s="1" t="s">
        <v>466</v>
      </c>
      <c r="F646" s="8">
        <f>IF(TimeEntry[[#This Row],[Date]]=0,F645,C646+(7-Q646))</f>
        <v>43562</v>
      </c>
      <c r="G646" s="35" t="str">
        <f>INDEX(projects[Charge_Code],MATCH(TimeEntry[[#This Row],[Project_ID]],projects[Project_ID],0))</f>
        <v>265720-10 VBB - Design Basis</v>
      </c>
      <c r="H646" s="1" t="str">
        <f t="shared" si="13"/>
        <v>Normal Time</v>
      </c>
      <c r="I646" s="1"/>
      <c r="J646" s="15">
        <v>2</v>
      </c>
      <c r="K646" s="15"/>
      <c r="L646" s="15"/>
      <c r="M646" s="15"/>
      <c r="N646" s="15"/>
      <c r="O646" s="15" t="str">
        <f>INDEX(projects[job number],MATCH(TimeEntry[[#This Row],[Project_ID]], projects[Project_ID],0))</f>
        <v>265720-10</v>
      </c>
      <c r="P646" s="15" t="str">
        <f>INDEX(projects[Project_Name],MATCH(TimeEntry[[#This Row],[Project_ID]], projects[Project_ID],0))</f>
        <v>VBB - Design Basis</v>
      </c>
      <c r="Q646" s="6">
        <f>IF(TimeEntry[[#This Row],[Date]]=0,"",WEEKDAY(C646,2))</f>
        <v>1</v>
      </c>
      <c r="R646" s="9">
        <f>YEAR(TimeEntry[[#This Row],[WkEnd]])</f>
        <v>2019</v>
      </c>
      <c r="S646" s="9">
        <f>WEEKNUM(TimeEntry[[#This Row],[WkEnd]])</f>
        <v>15</v>
      </c>
      <c r="T646" s="9" t="str">
        <f>TimeEntry[[#This Row],[Year]]&amp;"-"&amp;TimeEntry[[#This Row],[WkNo]]</f>
        <v>2019-15</v>
      </c>
    </row>
    <row r="647" spans="1:20" x14ac:dyDescent="0.25">
      <c r="A647" s="6">
        <f>MOD(IF(ROW()=2,0.1,IF(INDEX(TimeEntry[WkEnd],ROW()-1)  =  INDEX(TimeEntry[WkEnd],ROW()-2),    INDEX(TimeEntry[format],ROW()-2),    INDEX(TimeEntry[format],ROW()-2)    +1)),2)</f>
        <v>1.1000000000000001</v>
      </c>
      <c r="B647" s="7"/>
      <c r="C647" s="8">
        <v>43556</v>
      </c>
      <c r="D647" s="8"/>
      <c r="E647" s="1" t="s">
        <v>466</v>
      </c>
      <c r="F647" s="8">
        <f>IF(TimeEntry[[#This Row],[Date]]=0,F646,C647+(7-Q647))</f>
        <v>43562</v>
      </c>
      <c r="G647" s="35" t="str">
        <f>INDEX(projects[Charge_Code],MATCH(TimeEntry[[#This Row],[Project_ID]],projects[Project_ID],0))</f>
        <v>265720-10 VBB - Design Basis</v>
      </c>
      <c r="H647" s="1" t="str">
        <f t="shared" si="13"/>
        <v>Normal Time</v>
      </c>
      <c r="I647" s="1"/>
      <c r="J647" s="15">
        <v>1.5</v>
      </c>
      <c r="K647" s="15"/>
      <c r="L647" s="15"/>
      <c r="M647" s="15"/>
      <c r="N647" s="15"/>
      <c r="O647" s="15" t="str">
        <f>INDEX(projects[job number],MATCH(TimeEntry[[#This Row],[Project_ID]], projects[Project_ID],0))</f>
        <v>265720-10</v>
      </c>
      <c r="P647" s="15" t="str">
        <f>INDEX(projects[Project_Name],MATCH(TimeEntry[[#This Row],[Project_ID]], projects[Project_ID],0))</f>
        <v>VBB - Design Basis</v>
      </c>
      <c r="Q647" s="6">
        <f>IF(TimeEntry[[#This Row],[Date]]=0,"",WEEKDAY(C647,2))</f>
        <v>1</v>
      </c>
      <c r="R647" s="9">
        <f>YEAR(TimeEntry[[#This Row],[WkEnd]])</f>
        <v>2019</v>
      </c>
      <c r="S647" s="9">
        <f>WEEKNUM(TimeEntry[[#This Row],[WkEnd]])</f>
        <v>15</v>
      </c>
      <c r="T647" s="9" t="str">
        <f>TimeEntry[[#This Row],[Year]]&amp;"-"&amp;TimeEntry[[#This Row],[WkNo]]</f>
        <v>2019-15</v>
      </c>
    </row>
    <row r="648" spans="1:20" x14ac:dyDescent="0.25">
      <c r="A648" s="6">
        <f>MOD(IF(ROW()=2,0.1,IF(INDEX(TimeEntry[WkEnd],ROW()-1)  =  INDEX(TimeEntry[WkEnd],ROW()-2),    INDEX(TimeEntry[format],ROW()-2),    INDEX(TimeEntry[format],ROW()-2)    +1)),2)</f>
        <v>1.1000000000000001</v>
      </c>
      <c r="B648" s="7"/>
      <c r="C648" s="8">
        <v>43557</v>
      </c>
      <c r="D648" s="8"/>
      <c r="E648" s="1" t="s">
        <v>466</v>
      </c>
      <c r="F648" s="8">
        <f>IF(TimeEntry[[#This Row],[Date]]=0,F647,C648+(7-Q648))</f>
        <v>43562</v>
      </c>
      <c r="G648" s="35" t="str">
        <f>INDEX(projects[Charge_Code],MATCH(TimeEntry[[#This Row],[Project_ID]],projects[Project_ID],0))</f>
        <v>265720-10 VBB - Design Basis</v>
      </c>
      <c r="H648" s="1" t="str">
        <f t="shared" si="13"/>
        <v>Normal Time</v>
      </c>
      <c r="I648" s="1"/>
      <c r="J648" s="15">
        <v>7.5</v>
      </c>
      <c r="K648" s="15"/>
      <c r="L648" s="15"/>
      <c r="M648" s="15"/>
      <c r="N648" s="15"/>
      <c r="O648" s="15" t="str">
        <f>INDEX(projects[job number],MATCH(TimeEntry[[#This Row],[Project_ID]], projects[Project_ID],0))</f>
        <v>265720-10</v>
      </c>
      <c r="P648" s="15" t="str">
        <f>INDEX(projects[Project_Name],MATCH(TimeEntry[[#This Row],[Project_ID]], projects[Project_ID],0))</f>
        <v>VBB - Design Basis</v>
      </c>
      <c r="Q648" s="6">
        <f>IF(TimeEntry[[#This Row],[Date]]=0,"",WEEKDAY(C648,2))</f>
        <v>2</v>
      </c>
      <c r="R648" s="9">
        <f>YEAR(TimeEntry[[#This Row],[WkEnd]])</f>
        <v>2019</v>
      </c>
      <c r="S648" s="9">
        <f>WEEKNUM(TimeEntry[[#This Row],[WkEnd]])</f>
        <v>15</v>
      </c>
      <c r="T648" s="9" t="str">
        <f>TimeEntry[[#This Row],[Year]]&amp;"-"&amp;TimeEntry[[#This Row],[WkNo]]</f>
        <v>2019-15</v>
      </c>
    </row>
    <row r="649" spans="1:20" x14ac:dyDescent="0.25">
      <c r="A649" s="6">
        <f>MOD(IF(ROW()=2,0.1,IF(INDEX(TimeEntry[WkEnd],ROW()-1)  =  INDEX(TimeEntry[WkEnd],ROW()-2),    INDEX(TimeEntry[format],ROW()-2),    INDEX(TimeEntry[format],ROW()-2)    +1)),2)</f>
        <v>1.1000000000000001</v>
      </c>
      <c r="B649" s="7"/>
      <c r="C649" s="8">
        <v>43558</v>
      </c>
      <c r="D649" s="8"/>
      <c r="E649" s="1" t="s">
        <v>466</v>
      </c>
      <c r="F649" s="8">
        <f>IF(TimeEntry[[#This Row],[Date]]=0,F648,C649+(7-Q649))</f>
        <v>43562</v>
      </c>
      <c r="G649" s="35" t="str">
        <f>INDEX(projects[Charge_Code],MATCH(TimeEntry[[#This Row],[Project_ID]],projects[Project_ID],0))</f>
        <v>265720-10 VBB - Design Basis</v>
      </c>
      <c r="H649" s="1" t="str">
        <f t="shared" si="13"/>
        <v>Normal Time</v>
      </c>
      <c r="I649" s="1"/>
      <c r="J649" s="15">
        <v>7.5</v>
      </c>
      <c r="K649" s="15"/>
      <c r="L649" s="15"/>
      <c r="M649" s="15"/>
      <c r="N649" s="15"/>
      <c r="O649" s="15" t="str">
        <f>INDEX(projects[job number],MATCH(TimeEntry[[#This Row],[Project_ID]], projects[Project_ID],0))</f>
        <v>265720-10</v>
      </c>
      <c r="P649" s="15" t="str">
        <f>INDEX(projects[Project_Name],MATCH(TimeEntry[[#This Row],[Project_ID]], projects[Project_ID],0))</f>
        <v>VBB - Design Basis</v>
      </c>
      <c r="Q649" s="6">
        <f>IF(TimeEntry[[#This Row],[Date]]=0,"",WEEKDAY(C649,2))</f>
        <v>3</v>
      </c>
      <c r="R649" s="9">
        <f>YEAR(TimeEntry[[#This Row],[WkEnd]])</f>
        <v>2019</v>
      </c>
      <c r="S649" s="9">
        <f>WEEKNUM(TimeEntry[[#This Row],[WkEnd]])</f>
        <v>15</v>
      </c>
      <c r="T649" s="9" t="str">
        <f>TimeEntry[[#This Row],[Year]]&amp;"-"&amp;TimeEntry[[#This Row],[WkNo]]</f>
        <v>2019-15</v>
      </c>
    </row>
    <row r="650" spans="1:20" x14ac:dyDescent="0.25">
      <c r="A650" s="6">
        <f>MOD(IF(ROW()=2,0.1,IF(INDEX(TimeEntry[WkEnd],ROW()-1)  =  INDEX(TimeEntry[WkEnd],ROW()-2),    INDEX(TimeEntry[format],ROW()-2),    INDEX(TimeEntry[format],ROW()-2)    +1)),2)</f>
        <v>1.1000000000000001</v>
      </c>
      <c r="B650" s="7"/>
      <c r="C650" s="8">
        <v>43559</v>
      </c>
      <c r="D650" s="8"/>
      <c r="E650" s="1" t="s">
        <v>466</v>
      </c>
      <c r="F650" s="8">
        <f>IF(TimeEntry[[#This Row],[Date]]=0,F649,C650+(7-Q650))</f>
        <v>43562</v>
      </c>
      <c r="G650" s="35" t="str">
        <f>INDEX(projects[Charge_Code],MATCH(TimeEntry[[#This Row],[Project_ID]],projects[Project_ID],0))</f>
        <v>265720-10 VBB - Design Basis</v>
      </c>
      <c r="H650" s="1" t="str">
        <f t="shared" si="13"/>
        <v>Normal Time</v>
      </c>
      <c r="I650" s="1"/>
      <c r="J650" s="15">
        <v>7.5</v>
      </c>
      <c r="K650" s="15"/>
      <c r="L650" s="15"/>
      <c r="M650" s="15"/>
      <c r="N650" s="15"/>
      <c r="O650" s="15" t="str">
        <f>INDEX(projects[job number],MATCH(TimeEntry[[#This Row],[Project_ID]], projects[Project_ID],0))</f>
        <v>265720-10</v>
      </c>
      <c r="P650" s="15" t="str">
        <f>INDEX(projects[Project_Name],MATCH(TimeEntry[[#This Row],[Project_ID]], projects[Project_ID],0))</f>
        <v>VBB - Design Basis</v>
      </c>
      <c r="Q650" s="6">
        <f>IF(TimeEntry[[#This Row],[Date]]=0,"",WEEKDAY(C650,2))</f>
        <v>4</v>
      </c>
      <c r="R650" s="9">
        <f>YEAR(TimeEntry[[#This Row],[WkEnd]])</f>
        <v>2019</v>
      </c>
      <c r="S650" s="9">
        <f>WEEKNUM(TimeEntry[[#This Row],[WkEnd]])</f>
        <v>15</v>
      </c>
      <c r="T650" s="9" t="str">
        <f>TimeEntry[[#This Row],[Year]]&amp;"-"&amp;TimeEntry[[#This Row],[WkNo]]</f>
        <v>2019-15</v>
      </c>
    </row>
    <row r="651" spans="1:20" x14ac:dyDescent="0.25">
      <c r="A651" s="6">
        <f>MOD(IF(ROW()=2,0.1,IF(INDEX(TimeEntry[WkEnd],ROW()-1)  =  INDEX(TimeEntry[WkEnd],ROW()-2),    INDEX(TimeEntry[format],ROW()-2),    INDEX(TimeEntry[format],ROW()-2)    +1)),2)</f>
        <v>1.1000000000000001</v>
      </c>
      <c r="B651" s="7"/>
      <c r="C651" s="8">
        <v>43560</v>
      </c>
      <c r="D651" s="8"/>
      <c r="E651" s="1" t="s">
        <v>466</v>
      </c>
      <c r="F651" s="8">
        <f>IF(TimeEntry[[#This Row],[Date]]=0,F650,C651+(7-Q651))</f>
        <v>43562</v>
      </c>
      <c r="G651" s="35" t="str">
        <f>INDEX(projects[Charge_Code],MATCH(TimeEntry[[#This Row],[Project_ID]],projects[Project_ID],0))</f>
        <v>265720-10 VBB - Design Basis</v>
      </c>
      <c r="H651" s="1" t="str">
        <f t="shared" si="13"/>
        <v>Normal Time</v>
      </c>
      <c r="I651" s="1"/>
      <c r="J651" s="15">
        <v>7.5</v>
      </c>
      <c r="K651" s="15"/>
      <c r="L651" s="15"/>
      <c r="M651" s="15"/>
      <c r="N651" s="15"/>
      <c r="O651" s="15" t="str">
        <f>INDEX(projects[job number],MATCH(TimeEntry[[#This Row],[Project_ID]], projects[Project_ID],0))</f>
        <v>265720-10</v>
      </c>
      <c r="P651" s="15" t="str">
        <f>INDEX(projects[Project_Name],MATCH(TimeEntry[[#This Row],[Project_ID]], projects[Project_ID],0))</f>
        <v>VBB - Design Basis</v>
      </c>
      <c r="Q651" s="6">
        <f>IF(TimeEntry[[#This Row],[Date]]=0,"",WEEKDAY(C651,2))</f>
        <v>5</v>
      </c>
      <c r="R651" s="9">
        <f>YEAR(TimeEntry[[#This Row],[WkEnd]])</f>
        <v>2019</v>
      </c>
      <c r="S651" s="9">
        <f>WEEKNUM(TimeEntry[[#This Row],[WkEnd]])</f>
        <v>15</v>
      </c>
      <c r="T651" s="9" t="str">
        <f>TimeEntry[[#This Row],[Year]]&amp;"-"&amp;TimeEntry[[#This Row],[WkNo]]</f>
        <v>2019-15</v>
      </c>
    </row>
    <row r="652" spans="1:20" x14ac:dyDescent="0.25">
      <c r="A652" s="6">
        <f>MOD(IF(ROW()=2,0.1,IF(INDEX(TimeEntry[WkEnd],ROW()-1)  =  INDEX(TimeEntry[WkEnd],ROW()-2),    INDEX(TimeEntry[format],ROW()-2),    INDEX(TimeEntry[format],ROW()-2)    +1)),2)</f>
        <v>0.10000000000000009</v>
      </c>
      <c r="B652" s="7"/>
      <c r="C652" s="8">
        <v>43549</v>
      </c>
      <c r="D652" s="8"/>
      <c r="E652" s="1" t="s">
        <v>466</v>
      </c>
      <c r="F652" s="8">
        <f>IF(TimeEntry[[#This Row],[Date]]=0,F651,C652+(7-Q652))</f>
        <v>43555</v>
      </c>
      <c r="G652" s="35" t="str">
        <f>INDEX(projects[Charge_Code],MATCH(TimeEntry[[#This Row],[Project_ID]],projects[Project_ID],0))</f>
        <v>265720-10 VBB - Design Basis</v>
      </c>
      <c r="H652" s="1" t="str">
        <f t="shared" si="13"/>
        <v>Normal Time</v>
      </c>
      <c r="I652" s="1"/>
      <c r="J652" s="15">
        <v>7.5</v>
      </c>
      <c r="K652" s="15"/>
      <c r="L652" s="15"/>
      <c r="M652" s="15"/>
      <c r="N652" s="15"/>
      <c r="O652" s="15" t="str">
        <f>INDEX(projects[job number],MATCH(TimeEntry[[#This Row],[Project_ID]], projects[Project_ID],0))</f>
        <v>265720-10</v>
      </c>
      <c r="P652" s="15" t="str">
        <f>INDEX(projects[Project_Name],MATCH(TimeEntry[[#This Row],[Project_ID]], projects[Project_ID],0))</f>
        <v>VBB - Design Basis</v>
      </c>
      <c r="Q652" s="6">
        <f>IF(TimeEntry[[#This Row],[Date]]=0,"",WEEKDAY(C652,2))</f>
        <v>1</v>
      </c>
      <c r="R652" s="9">
        <f>YEAR(TimeEntry[[#This Row],[WkEnd]])</f>
        <v>2019</v>
      </c>
      <c r="S652" s="9">
        <f>WEEKNUM(TimeEntry[[#This Row],[WkEnd]])</f>
        <v>14</v>
      </c>
      <c r="T652" s="9" t="str">
        <f>TimeEntry[[#This Row],[Year]]&amp;"-"&amp;TimeEntry[[#This Row],[WkNo]]</f>
        <v>2019-14</v>
      </c>
    </row>
    <row r="653" spans="1:20" x14ac:dyDescent="0.25">
      <c r="A653" s="6">
        <f>MOD(IF(ROW()=2,0.1,IF(INDEX(TimeEntry[WkEnd],ROW()-1)  =  INDEX(TimeEntry[WkEnd],ROW()-2),    INDEX(TimeEntry[format],ROW()-2),    INDEX(TimeEntry[format],ROW()-2)    +1)),2)</f>
        <v>0.10000000000000009</v>
      </c>
      <c r="B653" s="7"/>
      <c r="C653" s="8">
        <v>43550</v>
      </c>
      <c r="D653" s="8"/>
      <c r="E653" s="1" t="s">
        <v>466</v>
      </c>
      <c r="F653" s="8">
        <f>IF(TimeEntry[[#This Row],[Date]]=0,F652,C653+(7-Q653))</f>
        <v>43555</v>
      </c>
      <c r="G653" s="35" t="str">
        <f>INDEX(projects[Charge_Code],MATCH(TimeEntry[[#This Row],[Project_ID]],projects[Project_ID],0))</f>
        <v>265720-10 VBB - Design Basis</v>
      </c>
      <c r="H653" s="1" t="str">
        <f t="shared" si="13"/>
        <v>Normal Time</v>
      </c>
      <c r="I653" s="1"/>
      <c r="J653" s="15">
        <v>2</v>
      </c>
      <c r="K653" s="15"/>
      <c r="L653" s="15"/>
      <c r="M653" s="15"/>
      <c r="N653" s="15"/>
      <c r="O653" s="15" t="str">
        <f>INDEX(projects[job number],MATCH(TimeEntry[[#This Row],[Project_ID]], projects[Project_ID],0))</f>
        <v>265720-10</v>
      </c>
      <c r="P653" s="15" t="str">
        <f>INDEX(projects[Project_Name],MATCH(TimeEntry[[#This Row],[Project_ID]], projects[Project_ID],0))</f>
        <v>VBB - Design Basis</v>
      </c>
      <c r="Q653" s="6">
        <f>IF(TimeEntry[[#This Row],[Date]]=0,"",WEEKDAY(C653,2))</f>
        <v>2</v>
      </c>
      <c r="R653" s="9">
        <f>YEAR(TimeEntry[[#This Row],[WkEnd]])</f>
        <v>2019</v>
      </c>
      <c r="S653" s="9">
        <f>WEEKNUM(TimeEntry[[#This Row],[WkEnd]])</f>
        <v>14</v>
      </c>
      <c r="T653" s="9" t="str">
        <f>TimeEntry[[#This Row],[Year]]&amp;"-"&amp;TimeEntry[[#This Row],[WkNo]]</f>
        <v>2019-14</v>
      </c>
    </row>
    <row r="654" spans="1:20" x14ac:dyDescent="0.25">
      <c r="A654" s="6">
        <f>MOD(IF(ROW()=2,0.1,IF(INDEX(TimeEntry[WkEnd],ROW()-1)  =  INDEX(TimeEntry[WkEnd],ROW()-2),    INDEX(TimeEntry[format],ROW()-2),    INDEX(TimeEntry[format],ROW()-2)    +1)),2)</f>
        <v>0.10000000000000009</v>
      </c>
      <c r="B654" s="7"/>
      <c r="C654" s="8">
        <v>43550</v>
      </c>
      <c r="D654" s="8"/>
      <c r="E654" s="1" t="s">
        <v>466</v>
      </c>
      <c r="F654" s="8">
        <f>IF(TimeEntry[[#This Row],[Date]]=0,F653,C654+(7-Q654))</f>
        <v>43555</v>
      </c>
      <c r="G654" s="35" t="str">
        <f>INDEX(projects[Charge_Code],MATCH(TimeEntry[[#This Row],[Project_ID]],projects[Project_ID],0))</f>
        <v>265720-10 VBB - Design Basis</v>
      </c>
      <c r="H654" s="1" t="str">
        <f t="shared" si="13"/>
        <v>Normal Time</v>
      </c>
      <c r="I654" s="1"/>
      <c r="J654" s="15">
        <v>3</v>
      </c>
      <c r="K654" s="15"/>
      <c r="L654" s="15"/>
      <c r="M654" s="15"/>
      <c r="N654" s="15"/>
      <c r="O654" s="15" t="str">
        <f>INDEX(projects[job number],MATCH(TimeEntry[[#This Row],[Project_ID]], projects[Project_ID],0))</f>
        <v>265720-10</v>
      </c>
      <c r="P654" s="15" t="str">
        <f>INDEX(projects[Project_Name],MATCH(TimeEntry[[#This Row],[Project_ID]], projects[Project_ID],0))</f>
        <v>VBB - Design Basis</v>
      </c>
      <c r="Q654" s="6">
        <f>IF(TimeEntry[[#This Row],[Date]]=0,"",WEEKDAY(C654,2))</f>
        <v>2</v>
      </c>
      <c r="R654" s="9">
        <f>YEAR(TimeEntry[[#This Row],[WkEnd]])</f>
        <v>2019</v>
      </c>
      <c r="S654" s="9">
        <f>WEEKNUM(TimeEntry[[#This Row],[WkEnd]])</f>
        <v>14</v>
      </c>
      <c r="T654" s="9" t="str">
        <f>TimeEntry[[#This Row],[Year]]&amp;"-"&amp;TimeEntry[[#This Row],[WkNo]]</f>
        <v>2019-14</v>
      </c>
    </row>
    <row r="655" spans="1:20" x14ac:dyDescent="0.25">
      <c r="A655" s="6">
        <f>MOD(IF(ROW()=2,0.1,IF(INDEX(TimeEntry[WkEnd],ROW()-1)  =  INDEX(TimeEntry[WkEnd],ROW()-2),    INDEX(TimeEntry[format],ROW()-2),    INDEX(TimeEntry[format],ROW()-2)    +1)),2)</f>
        <v>0.10000000000000009</v>
      </c>
      <c r="B655" s="7"/>
      <c r="C655" s="8">
        <v>43550</v>
      </c>
      <c r="D655" s="8"/>
      <c r="E655" s="1" t="s">
        <v>471</v>
      </c>
      <c r="F655" s="8">
        <f>IF(TimeEntry[[#This Row],[Date]]=0,F654,C655+(7-Q655))</f>
        <v>43555</v>
      </c>
      <c r="G655" s="35" t="str">
        <f>INDEX(projects[Charge_Code],MATCH(TimeEntry[[#This Row],[Project_ID]],projects[Project_ID],0))</f>
        <v>261723-02 SMP</v>
      </c>
      <c r="H655" s="1" t="str">
        <f t="shared" si="13"/>
        <v>Normal Time</v>
      </c>
      <c r="I655" s="1"/>
      <c r="J655" s="15">
        <v>2.5</v>
      </c>
      <c r="K655" s="15"/>
      <c r="L655" s="15"/>
      <c r="M655" s="15"/>
      <c r="N655" s="15"/>
      <c r="O655" s="15" t="str">
        <f>INDEX(projects[job number],MATCH(TimeEntry[[#This Row],[Project_ID]], projects[Project_ID],0))</f>
        <v>261723-02</v>
      </c>
      <c r="P655" s="15" t="str">
        <f>INDEX(projects[Project_Name],MATCH(TimeEntry[[#This Row],[Project_ID]], projects[Project_ID],0))</f>
        <v>SMP</v>
      </c>
      <c r="Q655" s="6">
        <f>IF(TimeEntry[[#This Row],[Date]]=0,"",WEEKDAY(C655,2))</f>
        <v>2</v>
      </c>
      <c r="R655" s="9">
        <f>YEAR(TimeEntry[[#This Row],[WkEnd]])</f>
        <v>2019</v>
      </c>
      <c r="S655" s="9">
        <f>WEEKNUM(TimeEntry[[#This Row],[WkEnd]])</f>
        <v>14</v>
      </c>
      <c r="T655" s="9" t="str">
        <f>TimeEntry[[#This Row],[Year]]&amp;"-"&amp;TimeEntry[[#This Row],[WkNo]]</f>
        <v>2019-14</v>
      </c>
    </row>
    <row r="656" spans="1:20" x14ac:dyDescent="0.25">
      <c r="A656" s="6">
        <f>MOD(IF(ROW()=2,0.1,IF(INDEX(TimeEntry[WkEnd],ROW()-1)  =  INDEX(TimeEntry[WkEnd],ROW()-2),    INDEX(TimeEntry[format],ROW()-2),    INDEX(TimeEntry[format],ROW()-2)    +1)),2)</f>
        <v>0.10000000000000009</v>
      </c>
      <c r="B656" s="7"/>
      <c r="C656" s="8">
        <v>43551</v>
      </c>
      <c r="D656" s="8"/>
      <c r="E656" s="1" t="s">
        <v>471</v>
      </c>
      <c r="F656" s="8">
        <f>IF(TimeEntry[[#This Row],[Date]]=0,F655,C656+(7-Q656))</f>
        <v>43555</v>
      </c>
      <c r="G656" s="35" t="str">
        <f>INDEX(projects[Charge_Code],MATCH(TimeEntry[[#This Row],[Project_ID]],projects[Project_ID],0))</f>
        <v>261723-02 SMP</v>
      </c>
      <c r="H656" s="1" t="str">
        <f t="shared" si="13"/>
        <v>Normal Time</v>
      </c>
      <c r="I656" s="1"/>
      <c r="J656" s="15">
        <v>5</v>
      </c>
      <c r="K656" s="15"/>
      <c r="L656" s="15"/>
      <c r="M656" s="15"/>
      <c r="N656" s="15"/>
      <c r="O656" s="15" t="str">
        <f>INDEX(projects[job number],MATCH(TimeEntry[[#This Row],[Project_ID]], projects[Project_ID],0))</f>
        <v>261723-02</v>
      </c>
      <c r="P656" s="15" t="str">
        <f>INDEX(projects[Project_Name],MATCH(TimeEntry[[#This Row],[Project_ID]], projects[Project_ID],0))</f>
        <v>SMP</v>
      </c>
      <c r="Q656" s="6">
        <f>IF(TimeEntry[[#This Row],[Date]]=0,"",WEEKDAY(C656,2))</f>
        <v>3</v>
      </c>
      <c r="R656" s="9">
        <f>YEAR(TimeEntry[[#This Row],[WkEnd]])</f>
        <v>2019</v>
      </c>
      <c r="S656" s="9">
        <f>WEEKNUM(TimeEntry[[#This Row],[WkEnd]])</f>
        <v>14</v>
      </c>
      <c r="T656" s="9" t="str">
        <f>TimeEntry[[#This Row],[Year]]&amp;"-"&amp;TimeEntry[[#This Row],[WkNo]]</f>
        <v>2019-14</v>
      </c>
    </row>
    <row r="657" spans="1:20" x14ac:dyDescent="0.25">
      <c r="A657" s="6">
        <f>MOD(IF(ROW()=2,0.1,IF(INDEX(TimeEntry[WkEnd],ROW()-1)  =  INDEX(TimeEntry[WkEnd],ROW()-2),    INDEX(TimeEntry[format],ROW()-2),    INDEX(TimeEntry[format],ROW()-2)    +1)),2)</f>
        <v>0.10000000000000009</v>
      </c>
      <c r="B657" s="7"/>
      <c r="C657" s="8">
        <v>43551</v>
      </c>
      <c r="D657" s="8"/>
      <c r="E657" s="1" t="s">
        <v>466</v>
      </c>
      <c r="F657" s="8">
        <f>IF(TimeEntry[[#This Row],[Date]]=0,F656,C657+(7-Q657))</f>
        <v>43555</v>
      </c>
      <c r="G657" s="35" t="str">
        <f>INDEX(projects[Charge_Code],MATCH(TimeEntry[[#This Row],[Project_ID]],projects[Project_ID],0))</f>
        <v>265720-10 VBB - Design Basis</v>
      </c>
      <c r="H657" s="1" t="str">
        <f t="shared" si="13"/>
        <v>Normal Time</v>
      </c>
      <c r="I657" s="1"/>
      <c r="J657" s="15">
        <v>2.5</v>
      </c>
      <c r="K657" s="15"/>
      <c r="L657" s="15"/>
      <c r="M657" s="15"/>
      <c r="N657" s="15"/>
      <c r="O657" s="15" t="str">
        <f>INDEX(projects[job number],MATCH(TimeEntry[[#This Row],[Project_ID]], projects[Project_ID],0))</f>
        <v>265720-10</v>
      </c>
      <c r="P657" s="15" t="str">
        <f>INDEX(projects[Project_Name],MATCH(TimeEntry[[#This Row],[Project_ID]], projects[Project_ID],0))</f>
        <v>VBB - Design Basis</v>
      </c>
      <c r="Q657" s="6">
        <f>IF(TimeEntry[[#This Row],[Date]]=0,"",WEEKDAY(C657,2))</f>
        <v>3</v>
      </c>
      <c r="R657" s="9">
        <f>YEAR(TimeEntry[[#This Row],[WkEnd]])</f>
        <v>2019</v>
      </c>
      <c r="S657" s="9">
        <f>WEEKNUM(TimeEntry[[#This Row],[WkEnd]])</f>
        <v>14</v>
      </c>
      <c r="T657" s="9" t="str">
        <f>TimeEntry[[#This Row],[Year]]&amp;"-"&amp;TimeEntry[[#This Row],[WkNo]]</f>
        <v>2019-14</v>
      </c>
    </row>
    <row r="658" spans="1:20" x14ac:dyDescent="0.25">
      <c r="A658" s="6">
        <f>MOD(IF(ROW()=2,0.1,IF(INDEX(TimeEntry[WkEnd],ROW()-1)  =  INDEX(TimeEntry[WkEnd],ROW()-2),    INDEX(TimeEntry[format],ROW()-2),    INDEX(TimeEntry[format],ROW()-2)    +1)),2)</f>
        <v>0.10000000000000009</v>
      </c>
      <c r="B658" s="7"/>
      <c r="C658" s="8">
        <v>43552</v>
      </c>
      <c r="D658" s="8"/>
      <c r="E658" s="1" t="s">
        <v>471</v>
      </c>
      <c r="F658" s="8">
        <f>IF(TimeEntry[[#This Row],[Date]]=0,F657,C658+(7-Q658))</f>
        <v>43555</v>
      </c>
      <c r="G658" s="35" t="str">
        <f>INDEX(projects[Charge_Code],MATCH(TimeEntry[[#This Row],[Project_ID]],projects[Project_ID],0))</f>
        <v>261723-02 SMP</v>
      </c>
      <c r="H658" s="1" t="str">
        <f t="shared" si="13"/>
        <v>Normal Time</v>
      </c>
      <c r="I658" s="1"/>
      <c r="J658" s="15">
        <v>2.5</v>
      </c>
      <c r="K658" s="15"/>
      <c r="L658" s="15"/>
      <c r="M658" s="15"/>
      <c r="N658" s="15"/>
      <c r="O658" s="15" t="str">
        <f>INDEX(projects[job number],MATCH(TimeEntry[[#This Row],[Project_ID]], projects[Project_ID],0))</f>
        <v>261723-02</v>
      </c>
      <c r="P658" s="15" t="str">
        <f>INDEX(projects[Project_Name],MATCH(TimeEntry[[#This Row],[Project_ID]], projects[Project_ID],0))</f>
        <v>SMP</v>
      </c>
      <c r="Q658" s="6">
        <f>IF(TimeEntry[[#This Row],[Date]]=0,"",WEEKDAY(C658,2))</f>
        <v>4</v>
      </c>
      <c r="R658" s="9">
        <f>YEAR(TimeEntry[[#This Row],[WkEnd]])</f>
        <v>2019</v>
      </c>
      <c r="S658" s="9">
        <f>WEEKNUM(TimeEntry[[#This Row],[WkEnd]])</f>
        <v>14</v>
      </c>
      <c r="T658" s="9" t="str">
        <f>TimeEntry[[#This Row],[Year]]&amp;"-"&amp;TimeEntry[[#This Row],[WkNo]]</f>
        <v>2019-14</v>
      </c>
    </row>
    <row r="659" spans="1:20" x14ac:dyDescent="0.25">
      <c r="A659" s="6">
        <f>MOD(IF(ROW()=2,0.1,IF(INDEX(TimeEntry[WkEnd],ROW()-1)  =  INDEX(TimeEntry[WkEnd],ROW()-2),    INDEX(TimeEntry[format],ROW()-2),    INDEX(TimeEntry[format],ROW()-2)    +1)),2)</f>
        <v>0.10000000000000009</v>
      </c>
      <c r="B659" s="7"/>
      <c r="C659" s="8">
        <v>43552</v>
      </c>
      <c r="D659" s="8"/>
      <c r="E659" s="1" t="s">
        <v>466</v>
      </c>
      <c r="F659" s="8">
        <f>IF(TimeEntry[[#This Row],[Date]]=0,F658,C659+(7-Q659))</f>
        <v>43555</v>
      </c>
      <c r="G659" s="35" t="str">
        <f>INDEX(projects[Charge_Code],MATCH(TimeEntry[[#This Row],[Project_ID]],projects[Project_ID],0))</f>
        <v>265720-10 VBB - Design Basis</v>
      </c>
      <c r="H659" s="1" t="str">
        <f t="shared" si="13"/>
        <v>Normal Time</v>
      </c>
      <c r="I659" s="1"/>
      <c r="J659" s="15">
        <v>5</v>
      </c>
      <c r="K659" s="15"/>
      <c r="L659" s="15"/>
      <c r="M659" s="15"/>
      <c r="N659" s="15"/>
      <c r="O659" s="15" t="str">
        <f>INDEX(projects[job number],MATCH(TimeEntry[[#This Row],[Project_ID]], projects[Project_ID],0))</f>
        <v>265720-10</v>
      </c>
      <c r="P659" s="15" t="str">
        <f>INDEX(projects[Project_Name],MATCH(TimeEntry[[#This Row],[Project_ID]], projects[Project_ID],0))</f>
        <v>VBB - Design Basis</v>
      </c>
      <c r="Q659" s="6">
        <f>IF(TimeEntry[[#This Row],[Date]]=0,"",WEEKDAY(C659,2))</f>
        <v>4</v>
      </c>
      <c r="R659" s="9">
        <f>YEAR(TimeEntry[[#This Row],[WkEnd]])</f>
        <v>2019</v>
      </c>
      <c r="S659" s="9">
        <f>WEEKNUM(TimeEntry[[#This Row],[WkEnd]])</f>
        <v>14</v>
      </c>
      <c r="T659" s="9" t="str">
        <f>TimeEntry[[#This Row],[Year]]&amp;"-"&amp;TimeEntry[[#This Row],[WkNo]]</f>
        <v>2019-14</v>
      </c>
    </row>
    <row r="660" spans="1:20" x14ac:dyDescent="0.25">
      <c r="A660" s="6">
        <f>MOD(IF(ROW()=2,0.1,IF(INDEX(TimeEntry[WkEnd],ROW()-1)  =  INDEX(TimeEntry[WkEnd],ROW()-2),    INDEX(TimeEntry[format],ROW()-2),    INDEX(TimeEntry[format],ROW()-2)    +1)),2)</f>
        <v>0.10000000000000009</v>
      </c>
      <c r="B660" s="7"/>
      <c r="C660" s="8">
        <v>43553</v>
      </c>
      <c r="D660" s="8"/>
      <c r="E660" s="1" t="s">
        <v>466</v>
      </c>
      <c r="F660" s="8">
        <f>IF(TimeEntry[[#This Row],[Date]]=0,F659,C660+(7-Q660))</f>
        <v>43555</v>
      </c>
      <c r="G660" s="35" t="str">
        <f>INDEX(projects[Charge_Code],MATCH(TimeEntry[[#This Row],[Project_ID]],projects[Project_ID],0))</f>
        <v>265720-10 VBB - Design Basis</v>
      </c>
      <c r="H660" s="1" t="str">
        <f t="shared" si="13"/>
        <v>Normal Time</v>
      </c>
      <c r="I660" s="1"/>
      <c r="J660" s="15">
        <v>7.5</v>
      </c>
      <c r="K660" s="15"/>
      <c r="L660" s="15"/>
      <c r="M660" s="15"/>
      <c r="N660" s="15"/>
      <c r="O660" s="15" t="str">
        <f>INDEX(projects[job number],MATCH(TimeEntry[[#This Row],[Project_ID]], projects[Project_ID],0))</f>
        <v>265720-10</v>
      </c>
      <c r="P660" s="15" t="str">
        <f>INDEX(projects[Project_Name],MATCH(TimeEntry[[#This Row],[Project_ID]], projects[Project_ID],0))</f>
        <v>VBB - Design Basis</v>
      </c>
      <c r="Q660" s="6">
        <f>IF(TimeEntry[[#This Row],[Date]]=0,"",WEEKDAY(C660,2))</f>
        <v>5</v>
      </c>
      <c r="R660" s="9">
        <f>YEAR(TimeEntry[[#This Row],[WkEnd]])</f>
        <v>2019</v>
      </c>
      <c r="S660" s="9">
        <f>WEEKNUM(TimeEntry[[#This Row],[WkEnd]])</f>
        <v>14</v>
      </c>
      <c r="T660" s="9" t="str">
        <f>TimeEntry[[#This Row],[Year]]&amp;"-"&amp;TimeEntry[[#This Row],[WkNo]]</f>
        <v>2019-14</v>
      </c>
    </row>
    <row r="661" spans="1:20" x14ac:dyDescent="0.25">
      <c r="A661" s="6">
        <f>MOD(IF(ROW()=2,0.1,IF(INDEX(TimeEntry[WkEnd],ROW()-1)  =  INDEX(TimeEntry[WkEnd],ROW()-2),    INDEX(TimeEntry[format],ROW()-2),    INDEX(TimeEntry[format],ROW()-2)    +1)),2)</f>
        <v>1.1000000000000001</v>
      </c>
      <c r="B661" s="7"/>
      <c r="C661" s="8">
        <v>43542</v>
      </c>
      <c r="D661" s="8"/>
      <c r="E661" s="1" t="s">
        <v>472</v>
      </c>
      <c r="F661" s="8">
        <f>IF(TimeEntry[[#This Row],[Date]]=0,F660,C661+(7-Q661))</f>
        <v>43548</v>
      </c>
      <c r="G661" s="35" t="str">
        <f>INDEX(projects[Charge_Code],MATCH(TimeEntry[[#This Row],[Project_ID]],projects[Project_ID],0))</f>
        <v>266122-21 A465</v>
      </c>
      <c r="H661" s="1" t="str">
        <f t="shared" si="13"/>
        <v>Normal Time</v>
      </c>
      <c r="I661" s="1"/>
      <c r="J661" s="15">
        <v>7.5</v>
      </c>
      <c r="K661" s="15"/>
      <c r="L661" s="15"/>
      <c r="M661" s="15"/>
      <c r="N661" s="15"/>
      <c r="O661" s="15" t="str">
        <f>INDEX(projects[job number],MATCH(TimeEntry[[#This Row],[Project_ID]], projects[Project_ID],0))</f>
        <v>266122-21</v>
      </c>
      <c r="P661" s="15" t="str">
        <f>INDEX(projects[Project_Name],MATCH(TimeEntry[[#This Row],[Project_ID]], projects[Project_ID],0))</f>
        <v>A465</v>
      </c>
      <c r="Q661" s="6">
        <f>IF(TimeEntry[[#This Row],[Date]]=0,"",WEEKDAY(C661,2))</f>
        <v>1</v>
      </c>
      <c r="R661" s="9">
        <f>YEAR(TimeEntry[[#This Row],[WkEnd]])</f>
        <v>2019</v>
      </c>
      <c r="S661" s="9">
        <f>WEEKNUM(TimeEntry[[#This Row],[WkEnd]])</f>
        <v>13</v>
      </c>
      <c r="T661" s="9" t="str">
        <f>TimeEntry[[#This Row],[Year]]&amp;"-"&amp;TimeEntry[[#This Row],[WkNo]]</f>
        <v>2019-13</v>
      </c>
    </row>
    <row r="662" spans="1:20" x14ac:dyDescent="0.25">
      <c r="A662" s="6">
        <f>MOD(IF(ROW()=2,0.1,IF(INDEX(TimeEntry[WkEnd],ROW()-1)  =  INDEX(TimeEntry[WkEnd],ROW()-2),    INDEX(TimeEntry[format],ROW()-2),    INDEX(TimeEntry[format],ROW()-2)    +1)),2)</f>
        <v>1.1000000000000001</v>
      </c>
      <c r="B662" s="7"/>
      <c r="C662" s="8">
        <v>43543</v>
      </c>
      <c r="D662" s="8"/>
      <c r="E662" s="1" t="s">
        <v>466</v>
      </c>
      <c r="F662" s="8">
        <f>IF(TimeEntry[[#This Row],[Date]]=0,F661,C662+(7-Q662))</f>
        <v>43548</v>
      </c>
      <c r="G662" s="35" t="str">
        <f>INDEX(projects[Charge_Code],MATCH(TimeEntry[[#This Row],[Project_ID]],projects[Project_ID],0))</f>
        <v>265720-10 VBB - Design Basis</v>
      </c>
      <c r="H662" s="1" t="str">
        <f t="shared" si="13"/>
        <v>Normal Time</v>
      </c>
      <c r="I662" s="1"/>
      <c r="J662" s="15">
        <v>7.5</v>
      </c>
      <c r="K662" s="15"/>
      <c r="L662" s="15"/>
      <c r="M662" s="15"/>
      <c r="N662" s="15"/>
      <c r="O662" s="15" t="str">
        <f>INDEX(projects[job number],MATCH(TimeEntry[[#This Row],[Project_ID]], projects[Project_ID],0))</f>
        <v>265720-10</v>
      </c>
      <c r="P662" s="15" t="str">
        <f>INDEX(projects[Project_Name],MATCH(TimeEntry[[#This Row],[Project_ID]], projects[Project_ID],0))</f>
        <v>VBB - Design Basis</v>
      </c>
      <c r="Q662" s="6">
        <f>IF(TimeEntry[[#This Row],[Date]]=0,"",WEEKDAY(C662,2))</f>
        <v>2</v>
      </c>
      <c r="R662" s="9">
        <f>YEAR(TimeEntry[[#This Row],[WkEnd]])</f>
        <v>2019</v>
      </c>
      <c r="S662" s="9">
        <f>WEEKNUM(TimeEntry[[#This Row],[WkEnd]])</f>
        <v>13</v>
      </c>
      <c r="T662" s="9" t="str">
        <f>TimeEntry[[#This Row],[Year]]&amp;"-"&amp;TimeEntry[[#This Row],[WkNo]]</f>
        <v>2019-13</v>
      </c>
    </row>
    <row r="663" spans="1:20" x14ac:dyDescent="0.25">
      <c r="A663" s="6">
        <f>MOD(IF(ROW()=2,0.1,IF(INDEX(TimeEntry[WkEnd],ROW()-1)  =  INDEX(TimeEntry[WkEnd],ROW()-2),    INDEX(TimeEntry[format],ROW()-2),    INDEX(TimeEntry[format],ROW()-2)    +1)),2)</f>
        <v>1.1000000000000001</v>
      </c>
      <c r="B663" s="7"/>
      <c r="C663" s="8">
        <v>43544</v>
      </c>
      <c r="D663" s="8"/>
      <c r="E663" s="1" t="s">
        <v>466</v>
      </c>
      <c r="F663" s="8">
        <f>IF(TimeEntry[[#This Row],[Date]]=0,F662,C663+(7-Q663))</f>
        <v>43548</v>
      </c>
      <c r="G663" s="35" t="str">
        <f>INDEX(projects[Charge_Code],MATCH(TimeEntry[[#This Row],[Project_ID]],projects[Project_ID],0))</f>
        <v>265720-10 VBB - Design Basis</v>
      </c>
      <c r="H663" s="1" t="str">
        <f t="shared" si="13"/>
        <v>Normal Time</v>
      </c>
      <c r="I663" s="1"/>
      <c r="J663" s="15">
        <v>7.5</v>
      </c>
      <c r="K663" s="15"/>
      <c r="L663" s="15"/>
      <c r="M663" s="15"/>
      <c r="N663" s="15"/>
      <c r="O663" s="15" t="str">
        <f>INDEX(projects[job number],MATCH(TimeEntry[[#This Row],[Project_ID]], projects[Project_ID],0))</f>
        <v>265720-10</v>
      </c>
      <c r="P663" s="15" t="str">
        <f>INDEX(projects[Project_Name],MATCH(TimeEntry[[#This Row],[Project_ID]], projects[Project_ID],0))</f>
        <v>VBB - Design Basis</v>
      </c>
      <c r="Q663" s="6">
        <f>IF(TimeEntry[[#This Row],[Date]]=0,"",WEEKDAY(C663,2))</f>
        <v>3</v>
      </c>
      <c r="R663" s="9">
        <f>YEAR(TimeEntry[[#This Row],[WkEnd]])</f>
        <v>2019</v>
      </c>
      <c r="S663" s="9">
        <f>WEEKNUM(TimeEntry[[#This Row],[WkEnd]])</f>
        <v>13</v>
      </c>
      <c r="T663" s="9" t="str">
        <f>TimeEntry[[#This Row],[Year]]&amp;"-"&amp;TimeEntry[[#This Row],[WkNo]]</f>
        <v>2019-13</v>
      </c>
    </row>
    <row r="664" spans="1:20" x14ac:dyDescent="0.25">
      <c r="A664" s="6">
        <f>MOD(IF(ROW()=2,0.1,IF(INDEX(TimeEntry[WkEnd],ROW()-1)  =  INDEX(TimeEntry[WkEnd],ROW()-2),    INDEX(TimeEntry[format],ROW()-2),    INDEX(TimeEntry[format],ROW()-2)    +1)),2)</f>
        <v>1.1000000000000001</v>
      </c>
      <c r="B664" s="7"/>
      <c r="C664" s="8">
        <v>43545</v>
      </c>
      <c r="D664" s="8"/>
      <c r="E664" s="1" t="s">
        <v>466</v>
      </c>
      <c r="F664" s="8">
        <f>IF(TimeEntry[[#This Row],[Date]]=0,F663,C664+(7-Q664))</f>
        <v>43548</v>
      </c>
      <c r="G664" s="35" t="str">
        <f>INDEX(projects[Charge_Code],MATCH(TimeEntry[[#This Row],[Project_ID]],projects[Project_ID],0))</f>
        <v>265720-10 VBB - Design Basis</v>
      </c>
      <c r="H664" s="1" t="str">
        <f t="shared" si="13"/>
        <v>Normal Time</v>
      </c>
      <c r="I664" s="1"/>
      <c r="J664" s="15">
        <v>7.5</v>
      </c>
      <c r="K664" s="15"/>
      <c r="L664" s="15"/>
      <c r="M664" s="15"/>
      <c r="N664" s="15"/>
      <c r="O664" s="15" t="str">
        <f>INDEX(projects[job number],MATCH(TimeEntry[[#This Row],[Project_ID]], projects[Project_ID],0))</f>
        <v>265720-10</v>
      </c>
      <c r="P664" s="15" t="str">
        <f>INDEX(projects[Project_Name],MATCH(TimeEntry[[#This Row],[Project_ID]], projects[Project_ID],0))</f>
        <v>VBB - Design Basis</v>
      </c>
      <c r="Q664" s="6">
        <f>IF(TimeEntry[[#This Row],[Date]]=0,"",WEEKDAY(C664,2))</f>
        <v>4</v>
      </c>
      <c r="R664" s="9">
        <f>YEAR(TimeEntry[[#This Row],[WkEnd]])</f>
        <v>2019</v>
      </c>
      <c r="S664" s="9">
        <f>WEEKNUM(TimeEntry[[#This Row],[WkEnd]])</f>
        <v>13</v>
      </c>
      <c r="T664" s="9" t="str">
        <f>TimeEntry[[#This Row],[Year]]&amp;"-"&amp;TimeEntry[[#This Row],[WkNo]]</f>
        <v>2019-13</v>
      </c>
    </row>
    <row r="665" spans="1:20" x14ac:dyDescent="0.25">
      <c r="A665" s="6">
        <f>MOD(IF(ROW()=2,0.1,IF(INDEX(TimeEntry[WkEnd],ROW()-1)  =  INDEX(TimeEntry[WkEnd],ROW()-2),    INDEX(TimeEntry[format],ROW()-2),    INDEX(TimeEntry[format],ROW()-2)    +1)),2)</f>
        <v>1.1000000000000001</v>
      </c>
      <c r="B665" s="7"/>
      <c r="C665" s="8">
        <v>43546</v>
      </c>
      <c r="D665" s="8"/>
      <c r="E665" s="1" t="s">
        <v>472</v>
      </c>
      <c r="F665" s="8">
        <f>IF(TimeEntry[[#This Row],[Date]]=0,F664,C665+(7-Q665))</f>
        <v>43548</v>
      </c>
      <c r="G665" s="35" t="str">
        <f>INDEX(projects[Charge_Code],MATCH(TimeEntry[[#This Row],[Project_ID]],projects[Project_ID],0))</f>
        <v>266122-21 A465</v>
      </c>
      <c r="H665" s="1" t="str">
        <f t="shared" si="13"/>
        <v>Normal Time</v>
      </c>
      <c r="I665" s="1"/>
      <c r="J665" s="15">
        <v>7.5</v>
      </c>
      <c r="K665" s="15"/>
      <c r="L665" s="15"/>
      <c r="M665" s="15"/>
      <c r="N665" s="15"/>
      <c r="O665" s="15" t="str">
        <f>INDEX(projects[job number],MATCH(TimeEntry[[#This Row],[Project_ID]], projects[Project_ID],0))</f>
        <v>266122-21</v>
      </c>
      <c r="P665" s="15" t="str">
        <f>INDEX(projects[Project_Name],MATCH(TimeEntry[[#This Row],[Project_ID]], projects[Project_ID],0))</f>
        <v>A465</v>
      </c>
      <c r="Q665" s="6">
        <f>IF(TimeEntry[[#This Row],[Date]]=0,"",WEEKDAY(C665,2))</f>
        <v>5</v>
      </c>
      <c r="R665" s="9">
        <f>YEAR(TimeEntry[[#This Row],[WkEnd]])</f>
        <v>2019</v>
      </c>
      <c r="S665" s="9">
        <f>WEEKNUM(TimeEntry[[#This Row],[WkEnd]])</f>
        <v>13</v>
      </c>
      <c r="T665" s="9" t="str">
        <f>TimeEntry[[#This Row],[Year]]&amp;"-"&amp;TimeEntry[[#This Row],[WkNo]]</f>
        <v>2019-13</v>
      </c>
    </row>
    <row r="666" spans="1:20" x14ac:dyDescent="0.25">
      <c r="A666" s="6">
        <f>MOD(IF(ROW()=2,0.1,IF(INDEX(TimeEntry[WkEnd],ROW()-1)  =  INDEX(TimeEntry[WkEnd],ROW()-2),    INDEX(TimeEntry[format],ROW()-2),    INDEX(TimeEntry[format],ROW()-2)    +1)),2)</f>
        <v>0.10000000000000009</v>
      </c>
      <c r="B666" s="7"/>
      <c r="C666" s="8">
        <v>43535</v>
      </c>
      <c r="D666" s="8"/>
      <c r="E666" s="1" t="s">
        <v>472</v>
      </c>
      <c r="F666" s="8">
        <f>IF(TimeEntry[[#This Row],[Date]]=0,F665,C666+(7-Q666))</f>
        <v>43541</v>
      </c>
      <c r="G666" s="35" t="str">
        <f>INDEX(projects[Charge_Code],MATCH(TimeEntry[[#This Row],[Project_ID]],projects[Project_ID],0))</f>
        <v>266122-21 A465</v>
      </c>
      <c r="H666" s="1" t="str">
        <f t="shared" si="13"/>
        <v>Normal Time</v>
      </c>
      <c r="I666" s="1"/>
      <c r="J666" s="15">
        <v>5</v>
      </c>
      <c r="K666" s="15"/>
      <c r="L666" s="15"/>
      <c r="M666" s="15"/>
      <c r="N666" s="15"/>
      <c r="O666" s="15" t="str">
        <f>INDEX(projects[job number],MATCH(TimeEntry[[#This Row],[Project_ID]], projects[Project_ID],0))</f>
        <v>266122-21</v>
      </c>
      <c r="P666" s="15" t="str">
        <f>INDEX(projects[Project_Name],MATCH(TimeEntry[[#This Row],[Project_ID]], projects[Project_ID],0))</f>
        <v>A465</v>
      </c>
      <c r="Q666" s="6">
        <f>IF(TimeEntry[[#This Row],[Date]]=0,"",WEEKDAY(C666,2))</f>
        <v>1</v>
      </c>
      <c r="R666" s="9">
        <f>YEAR(TimeEntry[[#This Row],[WkEnd]])</f>
        <v>2019</v>
      </c>
      <c r="S666" s="9">
        <f>WEEKNUM(TimeEntry[[#This Row],[WkEnd]])</f>
        <v>12</v>
      </c>
      <c r="T666" s="9" t="str">
        <f>TimeEntry[[#This Row],[Year]]&amp;"-"&amp;TimeEntry[[#This Row],[WkNo]]</f>
        <v>2019-12</v>
      </c>
    </row>
    <row r="667" spans="1:20" x14ac:dyDescent="0.25">
      <c r="A667" s="6">
        <f>MOD(IF(ROW()=2,0.1,IF(INDEX(TimeEntry[WkEnd],ROW()-1)  =  INDEX(TimeEntry[WkEnd],ROW()-2),    INDEX(TimeEntry[format],ROW()-2),    INDEX(TimeEntry[format],ROW()-2)    +1)),2)</f>
        <v>0.10000000000000009</v>
      </c>
      <c r="B667" s="7"/>
      <c r="C667" s="8">
        <v>43535</v>
      </c>
      <c r="D667" s="8"/>
      <c r="E667" s="1" t="s">
        <v>472</v>
      </c>
      <c r="F667" s="8">
        <f>IF(TimeEntry[[#This Row],[Date]]=0,F666,C667+(7-Q667))</f>
        <v>43541</v>
      </c>
      <c r="G667" s="35" t="str">
        <f>INDEX(projects[Charge_Code],MATCH(TimeEntry[[#This Row],[Project_ID]],projects[Project_ID],0))</f>
        <v>266122-21 A465</v>
      </c>
      <c r="H667" s="1" t="str">
        <f t="shared" si="13"/>
        <v>Normal Time</v>
      </c>
      <c r="I667" s="1"/>
      <c r="J667" s="15">
        <v>2.5</v>
      </c>
      <c r="K667" s="15"/>
      <c r="L667" s="15"/>
      <c r="M667" s="15"/>
      <c r="N667" s="15"/>
      <c r="O667" s="15" t="str">
        <f>INDEX(projects[job number],MATCH(TimeEntry[[#This Row],[Project_ID]], projects[Project_ID],0))</f>
        <v>266122-21</v>
      </c>
      <c r="P667" s="15" t="str">
        <f>INDEX(projects[Project_Name],MATCH(TimeEntry[[#This Row],[Project_ID]], projects[Project_ID],0))</f>
        <v>A465</v>
      </c>
      <c r="Q667" s="6">
        <f>IF(TimeEntry[[#This Row],[Date]]=0,"",WEEKDAY(C667,2))</f>
        <v>1</v>
      </c>
      <c r="R667" s="9">
        <f>YEAR(TimeEntry[[#This Row],[WkEnd]])</f>
        <v>2019</v>
      </c>
      <c r="S667" s="9">
        <f>WEEKNUM(TimeEntry[[#This Row],[WkEnd]])</f>
        <v>12</v>
      </c>
      <c r="T667" s="9" t="str">
        <f>TimeEntry[[#This Row],[Year]]&amp;"-"&amp;TimeEntry[[#This Row],[WkNo]]</f>
        <v>2019-12</v>
      </c>
    </row>
    <row r="668" spans="1:20" x14ac:dyDescent="0.25">
      <c r="A668" s="6">
        <f>MOD(IF(ROW()=2,0.1,IF(INDEX(TimeEntry[WkEnd],ROW()-1)  =  INDEX(TimeEntry[WkEnd],ROW()-2),    INDEX(TimeEntry[format],ROW()-2),    INDEX(TimeEntry[format],ROW()-2)    +1)),2)</f>
        <v>0.10000000000000009</v>
      </c>
      <c r="B668" s="7"/>
      <c r="C668" s="8">
        <v>43536</v>
      </c>
      <c r="D668" s="8"/>
      <c r="E668" s="1" t="s">
        <v>472</v>
      </c>
      <c r="F668" s="8">
        <f>IF(TimeEntry[[#This Row],[Date]]=0,F667,C668+(7-Q668))</f>
        <v>43541</v>
      </c>
      <c r="G668" s="35" t="str">
        <f>INDEX(projects[Charge_Code],MATCH(TimeEntry[[#This Row],[Project_ID]],projects[Project_ID],0))</f>
        <v>266122-21 A465</v>
      </c>
      <c r="H668" s="1" t="str">
        <f t="shared" si="13"/>
        <v>Normal Time</v>
      </c>
      <c r="I668" s="1"/>
      <c r="J668" s="15">
        <v>7.5</v>
      </c>
      <c r="K668" s="15"/>
      <c r="L668" s="15"/>
      <c r="M668" s="15"/>
      <c r="N668" s="15"/>
      <c r="O668" s="15" t="str">
        <f>INDEX(projects[job number],MATCH(TimeEntry[[#This Row],[Project_ID]], projects[Project_ID],0))</f>
        <v>266122-21</v>
      </c>
      <c r="P668" s="15" t="str">
        <f>INDEX(projects[Project_Name],MATCH(TimeEntry[[#This Row],[Project_ID]], projects[Project_ID],0))</f>
        <v>A465</v>
      </c>
      <c r="Q668" s="6">
        <f>IF(TimeEntry[[#This Row],[Date]]=0,"",WEEKDAY(C668,2))</f>
        <v>2</v>
      </c>
      <c r="R668" s="9">
        <f>YEAR(TimeEntry[[#This Row],[WkEnd]])</f>
        <v>2019</v>
      </c>
      <c r="S668" s="9">
        <f>WEEKNUM(TimeEntry[[#This Row],[WkEnd]])</f>
        <v>12</v>
      </c>
      <c r="T668" s="9" t="str">
        <f>TimeEntry[[#This Row],[Year]]&amp;"-"&amp;TimeEntry[[#This Row],[WkNo]]</f>
        <v>2019-12</v>
      </c>
    </row>
    <row r="669" spans="1:20" x14ac:dyDescent="0.25">
      <c r="A669" s="6">
        <f>MOD(IF(ROW()=2,0.1,IF(INDEX(TimeEntry[WkEnd],ROW()-1)  =  INDEX(TimeEntry[WkEnd],ROW()-2),    INDEX(TimeEntry[format],ROW()-2),    INDEX(TimeEntry[format],ROW()-2)    +1)),2)</f>
        <v>0.10000000000000009</v>
      </c>
      <c r="B669" s="7"/>
      <c r="C669" s="8">
        <v>43537</v>
      </c>
      <c r="D669" s="8"/>
      <c r="E669" s="1" t="s">
        <v>466</v>
      </c>
      <c r="F669" s="8">
        <f>IF(TimeEntry[[#This Row],[Date]]=0,F668,C669+(7-Q669))</f>
        <v>43541</v>
      </c>
      <c r="G669" s="35" t="str">
        <f>INDEX(projects[Charge_Code],MATCH(TimeEntry[[#This Row],[Project_ID]],projects[Project_ID],0))</f>
        <v>265720-10 VBB - Design Basis</v>
      </c>
      <c r="H669" s="1" t="str">
        <f t="shared" ref="H669:H732" si="14">"Normal Time"</f>
        <v>Normal Time</v>
      </c>
      <c r="I669" s="1"/>
      <c r="J669" s="15">
        <v>7.5</v>
      </c>
      <c r="K669" s="15"/>
      <c r="L669" s="15"/>
      <c r="M669" s="15"/>
      <c r="N669" s="15"/>
      <c r="O669" s="15" t="str">
        <f>INDEX(projects[job number],MATCH(TimeEntry[[#This Row],[Project_ID]], projects[Project_ID],0))</f>
        <v>265720-10</v>
      </c>
      <c r="P669" s="15" t="str">
        <f>INDEX(projects[Project_Name],MATCH(TimeEntry[[#This Row],[Project_ID]], projects[Project_ID],0))</f>
        <v>VBB - Design Basis</v>
      </c>
      <c r="Q669" s="6">
        <f>IF(TimeEntry[[#This Row],[Date]]=0,"",WEEKDAY(C669,2))</f>
        <v>3</v>
      </c>
      <c r="R669" s="9">
        <f>YEAR(TimeEntry[[#This Row],[WkEnd]])</f>
        <v>2019</v>
      </c>
      <c r="S669" s="9">
        <f>WEEKNUM(TimeEntry[[#This Row],[WkEnd]])</f>
        <v>12</v>
      </c>
      <c r="T669" s="9" t="str">
        <f>TimeEntry[[#This Row],[Year]]&amp;"-"&amp;TimeEntry[[#This Row],[WkNo]]</f>
        <v>2019-12</v>
      </c>
    </row>
    <row r="670" spans="1:20" x14ac:dyDescent="0.25">
      <c r="A670" s="6">
        <f>MOD(IF(ROW()=2,0.1,IF(INDEX(TimeEntry[WkEnd],ROW()-1)  =  INDEX(TimeEntry[WkEnd],ROW()-2),    INDEX(TimeEntry[format],ROW()-2),    INDEX(TimeEntry[format],ROW()-2)    +1)),2)</f>
        <v>0.10000000000000009</v>
      </c>
      <c r="B670" s="7"/>
      <c r="C670" s="8">
        <v>43538</v>
      </c>
      <c r="D670" s="8"/>
      <c r="E670" s="1" t="s">
        <v>466</v>
      </c>
      <c r="F670" s="8">
        <f>IF(TimeEntry[[#This Row],[Date]]=0,F669,C670+(7-Q670))</f>
        <v>43541</v>
      </c>
      <c r="G670" s="35" t="str">
        <f>INDEX(projects[Charge_Code],MATCH(TimeEntry[[#This Row],[Project_ID]],projects[Project_ID],0))</f>
        <v>265720-10 VBB - Design Basis</v>
      </c>
      <c r="H670" s="1" t="str">
        <f t="shared" si="14"/>
        <v>Normal Time</v>
      </c>
      <c r="I670" s="1"/>
      <c r="J670" s="15">
        <v>7.5</v>
      </c>
      <c r="K670" s="15"/>
      <c r="L670" s="15"/>
      <c r="M670" s="15"/>
      <c r="N670" s="15"/>
      <c r="O670" s="15" t="str">
        <f>INDEX(projects[job number],MATCH(TimeEntry[[#This Row],[Project_ID]], projects[Project_ID],0))</f>
        <v>265720-10</v>
      </c>
      <c r="P670" s="15" t="str">
        <f>INDEX(projects[Project_Name],MATCH(TimeEntry[[#This Row],[Project_ID]], projects[Project_ID],0))</f>
        <v>VBB - Design Basis</v>
      </c>
      <c r="Q670" s="6">
        <f>IF(TimeEntry[[#This Row],[Date]]=0,"",WEEKDAY(C670,2))</f>
        <v>4</v>
      </c>
      <c r="R670" s="9">
        <f>YEAR(TimeEntry[[#This Row],[WkEnd]])</f>
        <v>2019</v>
      </c>
      <c r="S670" s="9">
        <f>WEEKNUM(TimeEntry[[#This Row],[WkEnd]])</f>
        <v>12</v>
      </c>
      <c r="T670" s="9" t="str">
        <f>TimeEntry[[#This Row],[Year]]&amp;"-"&amp;TimeEntry[[#This Row],[WkNo]]</f>
        <v>2019-12</v>
      </c>
    </row>
    <row r="671" spans="1:20" x14ac:dyDescent="0.25">
      <c r="A671" s="6">
        <f>MOD(IF(ROW()=2,0.1,IF(INDEX(TimeEntry[WkEnd],ROW()-1)  =  INDEX(TimeEntry[WkEnd],ROW()-2),    INDEX(TimeEntry[format],ROW()-2),    INDEX(TimeEntry[format],ROW()-2)    +1)),2)</f>
        <v>0.10000000000000009</v>
      </c>
      <c r="B671" s="7"/>
      <c r="C671" s="8">
        <v>43539</v>
      </c>
      <c r="D671" s="8"/>
      <c r="E671" s="1" t="s">
        <v>472</v>
      </c>
      <c r="F671" s="8">
        <f>IF(TimeEntry[[#This Row],[Date]]=0,F670,C671+(7-Q671))</f>
        <v>43541</v>
      </c>
      <c r="G671" s="35" t="str">
        <f>INDEX(projects[Charge_Code],MATCH(TimeEntry[[#This Row],[Project_ID]],projects[Project_ID],0))</f>
        <v>266122-21 A465</v>
      </c>
      <c r="H671" s="1" t="str">
        <f t="shared" si="14"/>
        <v>Normal Time</v>
      </c>
      <c r="I671" s="1"/>
      <c r="J671" s="15">
        <v>7.5</v>
      </c>
      <c r="K671" s="15"/>
      <c r="L671" s="15"/>
      <c r="M671" s="15"/>
      <c r="N671" s="15"/>
      <c r="O671" s="15" t="str">
        <f>INDEX(projects[job number],MATCH(TimeEntry[[#This Row],[Project_ID]], projects[Project_ID],0))</f>
        <v>266122-21</v>
      </c>
      <c r="P671" s="15" t="str">
        <f>INDEX(projects[Project_Name],MATCH(TimeEntry[[#This Row],[Project_ID]], projects[Project_ID],0))</f>
        <v>A465</v>
      </c>
      <c r="Q671" s="6">
        <f>IF(TimeEntry[[#This Row],[Date]]=0,"",WEEKDAY(C671,2))</f>
        <v>5</v>
      </c>
      <c r="R671" s="9">
        <f>YEAR(TimeEntry[[#This Row],[WkEnd]])</f>
        <v>2019</v>
      </c>
      <c r="S671" s="9">
        <f>WEEKNUM(TimeEntry[[#This Row],[WkEnd]])</f>
        <v>12</v>
      </c>
      <c r="T671" s="9" t="str">
        <f>TimeEntry[[#This Row],[Year]]&amp;"-"&amp;TimeEntry[[#This Row],[WkNo]]</f>
        <v>2019-12</v>
      </c>
    </row>
    <row r="672" spans="1:20" x14ac:dyDescent="0.25">
      <c r="A672" s="6">
        <f>MOD(IF(ROW()=2,0.1,IF(INDEX(TimeEntry[WkEnd],ROW()-1)  =  INDEX(TimeEntry[WkEnd],ROW()-2),    INDEX(TimeEntry[format],ROW()-2),    INDEX(TimeEntry[format],ROW()-2)    +1)),2)</f>
        <v>1.1000000000000001</v>
      </c>
      <c r="B672" s="7"/>
      <c r="C672" s="8">
        <v>43528</v>
      </c>
      <c r="D672" s="8"/>
      <c r="E672" s="1" t="s">
        <v>472</v>
      </c>
      <c r="F672" s="8">
        <f>IF(TimeEntry[[#This Row],[Date]]=0,F671,C672+(7-Q672))</f>
        <v>43534</v>
      </c>
      <c r="G672" s="35" t="str">
        <f>INDEX(projects[Charge_Code],MATCH(TimeEntry[[#This Row],[Project_ID]],projects[Project_ID],0))</f>
        <v>266122-21 A465</v>
      </c>
      <c r="H672" s="1" t="str">
        <f t="shared" si="14"/>
        <v>Normal Time</v>
      </c>
      <c r="I672" s="1"/>
      <c r="J672" s="15">
        <v>2</v>
      </c>
      <c r="K672" s="15"/>
      <c r="L672" s="15"/>
      <c r="M672" s="15"/>
      <c r="N672" s="15"/>
      <c r="O672" s="15" t="str">
        <f>INDEX(projects[job number],MATCH(TimeEntry[[#This Row],[Project_ID]], projects[Project_ID],0))</f>
        <v>266122-21</v>
      </c>
      <c r="P672" s="15" t="str">
        <f>INDEX(projects[Project_Name],MATCH(TimeEntry[[#This Row],[Project_ID]], projects[Project_ID],0))</f>
        <v>A465</v>
      </c>
      <c r="Q672" s="6">
        <f>IF(TimeEntry[[#This Row],[Date]]=0,"",WEEKDAY(C672,2))</f>
        <v>1</v>
      </c>
      <c r="R672" s="9">
        <f>YEAR(TimeEntry[[#This Row],[WkEnd]])</f>
        <v>2019</v>
      </c>
      <c r="S672" s="9">
        <f>WEEKNUM(TimeEntry[[#This Row],[WkEnd]])</f>
        <v>11</v>
      </c>
      <c r="T672" s="9" t="str">
        <f>TimeEntry[[#This Row],[Year]]&amp;"-"&amp;TimeEntry[[#This Row],[WkNo]]</f>
        <v>2019-11</v>
      </c>
    </row>
    <row r="673" spans="1:20" x14ac:dyDescent="0.25">
      <c r="A673" s="6">
        <f>MOD(IF(ROW()=2,0.1,IF(INDEX(TimeEntry[WkEnd],ROW()-1)  =  INDEX(TimeEntry[WkEnd],ROW()-2),    INDEX(TimeEntry[format],ROW()-2),    INDEX(TimeEntry[format],ROW()-2)    +1)),2)</f>
        <v>1.1000000000000001</v>
      </c>
      <c r="B673" s="7"/>
      <c r="C673" s="8">
        <v>43528</v>
      </c>
      <c r="D673" s="8"/>
      <c r="E673" s="1" t="s">
        <v>472</v>
      </c>
      <c r="F673" s="8">
        <f>IF(TimeEntry[[#This Row],[Date]]=0,F672,C673+(7-Q673))</f>
        <v>43534</v>
      </c>
      <c r="G673" s="35" t="str">
        <f>INDEX(projects[Charge_Code],MATCH(TimeEntry[[#This Row],[Project_ID]],projects[Project_ID],0))</f>
        <v>266122-21 A465</v>
      </c>
      <c r="H673" s="1" t="str">
        <f t="shared" si="14"/>
        <v>Normal Time</v>
      </c>
      <c r="I673" s="1"/>
      <c r="J673" s="15">
        <v>5.5</v>
      </c>
      <c r="K673" s="15"/>
      <c r="L673" s="15"/>
      <c r="M673" s="15"/>
      <c r="N673" s="15"/>
      <c r="O673" s="15" t="str">
        <f>INDEX(projects[job number],MATCH(TimeEntry[[#This Row],[Project_ID]], projects[Project_ID],0))</f>
        <v>266122-21</v>
      </c>
      <c r="P673" s="15" t="str">
        <f>INDEX(projects[Project_Name],MATCH(TimeEntry[[#This Row],[Project_ID]], projects[Project_ID],0))</f>
        <v>A465</v>
      </c>
      <c r="Q673" s="6">
        <f>IF(TimeEntry[[#This Row],[Date]]=0,"",WEEKDAY(C673,2))</f>
        <v>1</v>
      </c>
      <c r="R673" s="9">
        <f>YEAR(TimeEntry[[#This Row],[WkEnd]])</f>
        <v>2019</v>
      </c>
      <c r="S673" s="9">
        <f>WEEKNUM(TimeEntry[[#This Row],[WkEnd]])</f>
        <v>11</v>
      </c>
      <c r="T673" s="9" t="str">
        <f>TimeEntry[[#This Row],[Year]]&amp;"-"&amp;TimeEntry[[#This Row],[WkNo]]</f>
        <v>2019-11</v>
      </c>
    </row>
    <row r="674" spans="1:20" x14ac:dyDescent="0.25">
      <c r="A674" s="6">
        <f>MOD(IF(ROW()=2,0.1,IF(INDEX(TimeEntry[WkEnd],ROW()-1)  =  INDEX(TimeEntry[WkEnd],ROW()-2),    INDEX(TimeEntry[format],ROW()-2),    INDEX(TimeEntry[format],ROW()-2)    +1)),2)</f>
        <v>1.1000000000000001</v>
      </c>
      <c r="B674" s="7"/>
      <c r="C674" s="8">
        <v>43529</v>
      </c>
      <c r="D674" s="8"/>
      <c r="E674" s="1" t="s">
        <v>472</v>
      </c>
      <c r="F674" s="8">
        <f>IF(TimeEntry[[#This Row],[Date]]=0,F673,C674+(7-Q674))</f>
        <v>43534</v>
      </c>
      <c r="G674" s="35" t="str">
        <f>INDEX(projects[Charge_Code],MATCH(TimeEntry[[#This Row],[Project_ID]],projects[Project_ID],0))</f>
        <v>266122-21 A465</v>
      </c>
      <c r="H674" s="1" t="str">
        <f t="shared" si="14"/>
        <v>Normal Time</v>
      </c>
      <c r="I674" s="1"/>
      <c r="J674" s="15">
        <v>2.5</v>
      </c>
      <c r="K674" s="15"/>
      <c r="L674" s="15"/>
      <c r="M674" s="15"/>
      <c r="N674" s="15"/>
      <c r="O674" s="15" t="str">
        <f>INDEX(projects[job number],MATCH(TimeEntry[[#This Row],[Project_ID]], projects[Project_ID],0))</f>
        <v>266122-21</v>
      </c>
      <c r="P674" s="15" t="str">
        <f>INDEX(projects[Project_Name],MATCH(TimeEntry[[#This Row],[Project_ID]], projects[Project_ID],0))</f>
        <v>A465</v>
      </c>
      <c r="Q674" s="6">
        <f>IF(TimeEntry[[#This Row],[Date]]=0,"",WEEKDAY(C674,2))</f>
        <v>2</v>
      </c>
      <c r="R674" s="9">
        <f>YEAR(TimeEntry[[#This Row],[WkEnd]])</f>
        <v>2019</v>
      </c>
      <c r="S674" s="9">
        <f>WEEKNUM(TimeEntry[[#This Row],[WkEnd]])</f>
        <v>11</v>
      </c>
      <c r="T674" s="9" t="str">
        <f>TimeEntry[[#This Row],[Year]]&amp;"-"&amp;TimeEntry[[#This Row],[WkNo]]</f>
        <v>2019-11</v>
      </c>
    </row>
    <row r="675" spans="1:20" x14ac:dyDescent="0.25">
      <c r="A675" s="6">
        <f>MOD(IF(ROW()=2,0.1,IF(INDEX(TimeEntry[WkEnd],ROW()-1)  =  INDEX(TimeEntry[WkEnd],ROW()-2),    INDEX(TimeEntry[format],ROW()-2),    INDEX(TimeEntry[format],ROW()-2)    +1)),2)</f>
        <v>1.1000000000000001</v>
      </c>
      <c r="B675" s="7"/>
      <c r="C675" s="8">
        <v>43529</v>
      </c>
      <c r="D675" s="8"/>
      <c r="E675" s="1" t="s">
        <v>473</v>
      </c>
      <c r="F675" s="8">
        <f>IF(TimeEntry[[#This Row],[Date]]=0,F674,C675+(7-Q675))</f>
        <v>43534</v>
      </c>
      <c r="G675" s="35" t="str">
        <f>INDEX(projects[Charge_Code],MATCH(TimeEntry[[#This Row],[Project_ID]],projects[Project_ID],0))</f>
        <v>264520-00 Gatwick</v>
      </c>
      <c r="H675" s="1" t="str">
        <f t="shared" si="14"/>
        <v>Normal Time</v>
      </c>
      <c r="I675" s="1"/>
      <c r="J675" s="15">
        <v>5</v>
      </c>
      <c r="K675" s="15"/>
      <c r="L675" s="15"/>
      <c r="M675" s="15"/>
      <c r="N675" s="15"/>
      <c r="O675" s="15" t="str">
        <f>INDEX(projects[job number],MATCH(TimeEntry[[#This Row],[Project_ID]], projects[Project_ID],0))</f>
        <v>264520-00</v>
      </c>
      <c r="P675" s="15" t="str">
        <f>INDEX(projects[Project_Name],MATCH(TimeEntry[[#This Row],[Project_ID]], projects[Project_ID],0))</f>
        <v>Gatwick</v>
      </c>
      <c r="Q675" s="6">
        <f>IF(TimeEntry[[#This Row],[Date]]=0,"",WEEKDAY(C675,2))</f>
        <v>2</v>
      </c>
      <c r="R675" s="9">
        <f>YEAR(TimeEntry[[#This Row],[WkEnd]])</f>
        <v>2019</v>
      </c>
      <c r="S675" s="9">
        <f>WEEKNUM(TimeEntry[[#This Row],[WkEnd]])</f>
        <v>11</v>
      </c>
      <c r="T675" s="9" t="str">
        <f>TimeEntry[[#This Row],[Year]]&amp;"-"&amp;TimeEntry[[#This Row],[WkNo]]</f>
        <v>2019-11</v>
      </c>
    </row>
    <row r="676" spans="1:20" x14ac:dyDescent="0.25">
      <c r="A676" s="6">
        <f>MOD(IF(ROW()=2,0.1,IF(INDEX(TimeEntry[WkEnd],ROW()-1)  =  INDEX(TimeEntry[WkEnd],ROW()-2),    INDEX(TimeEntry[format],ROW()-2),    INDEX(TimeEntry[format],ROW()-2)    +1)),2)</f>
        <v>1.1000000000000001</v>
      </c>
      <c r="B676" s="7"/>
      <c r="C676" s="8">
        <v>43530</v>
      </c>
      <c r="D676" s="8"/>
      <c r="E676" s="1" t="s">
        <v>474</v>
      </c>
      <c r="F676" s="8">
        <f>IF(TimeEntry[[#This Row],[Date]]=0,F675,C676+(7-Q676))</f>
        <v>43534</v>
      </c>
      <c r="G676" s="35" t="str">
        <f>INDEX(projects[Charge_Code],MATCH(TimeEntry[[#This Row],[Project_ID]],projects[Project_ID],0))</f>
        <v>239230-42 SHB - Existing</v>
      </c>
      <c r="H676" s="1" t="str">
        <f t="shared" si="14"/>
        <v>Normal Time</v>
      </c>
      <c r="I676" s="1"/>
      <c r="J676" s="15">
        <v>7.5</v>
      </c>
      <c r="K676" s="15"/>
      <c r="L676" s="15"/>
      <c r="M676" s="15"/>
      <c r="N676" s="15"/>
      <c r="O676" s="15" t="str">
        <f>INDEX(projects[job number],MATCH(TimeEntry[[#This Row],[Project_ID]], projects[Project_ID],0))</f>
        <v>239230-42</v>
      </c>
      <c r="P676" s="15" t="str">
        <f>INDEX(projects[Project_Name],MATCH(TimeEntry[[#This Row],[Project_ID]], projects[Project_ID],0))</f>
        <v>SHB - Existing</v>
      </c>
      <c r="Q676" s="6">
        <f>IF(TimeEntry[[#This Row],[Date]]=0,"",WEEKDAY(C676,2))</f>
        <v>3</v>
      </c>
      <c r="R676" s="9">
        <f>YEAR(TimeEntry[[#This Row],[WkEnd]])</f>
        <v>2019</v>
      </c>
      <c r="S676" s="9">
        <f>WEEKNUM(TimeEntry[[#This Row],[WkEnd]])</f>
        <v>11</v>
      </c>
      <c r="T676" s="9" t="str">
        <f>TimeEntry[[#This Row],[Year]]&amp;"-"&amp;TimeEntry[[#This Row],[WkNo]]</f>
        <v>2019-11</v>
      </c>
    </row>
    <row r="677" spans="1:20" x14ac:dyDescent="0.25">
      <c r="A677" s="6">
        <f>MOD(IF(ROW()=2,0.1,IF(INDEX(TimeEntry[WkEnd],ROW()-1)  =  INDEX(TimeEntry[WkEnd],ROW()-2),    INDEX(TimeEntry[format],ROW()-2),    INDEX(TimeEntry[format],ROW()-2)    +1)),2)</f>
        <v>1.1000000000000001</v>
      </c>
      <c r="B677" s="7"/>
      <c r="C677" s="8">
        <v>43531</v>
      </c>
      <c r="D677" s="8"/>
      <c r="E677" s="1" t="s">
        <v>466</v>
      </c>
      <c r="F677" s="8">
        <f>IF(TimeEntry[[#This Row],[Date]]=0,F676,C677+(7-Q677))</f>
        <v>43534</v>
      </c>
      <c r="G677" s="35" t="str">
        <f>INDEX(projects[Charge_Code],MATCH(TimeEntry[[#This Row],[Project_ID]],projects[Project_ID],0))</f>
        <v>265720-10 VBB - Design Basis</v>
      </c>
      <c r="H677" s="1" t="str">
        <f t="shared" si="14"/>
        <v>Normal Time</v>
      </c>
      <c r="I677" s="1"/>
      <c r="J677" s="15">
        <v>7.5</v>
      </c>
      <c r="K677" s="15"/>
      <c r="L677" s="15"/>
      <c r="M677" s="15"/>
      <c r="N677" s="15"/>
      <c r="O677" s="15" t="str">
        <f>INDEX(projects[job number],MATCH(TimeEntry[[#This Row],[Project_ID]], projects[Project_ID],0))</f>
        <v>265720-10</v>
      </c>
      <c r="P677" s="15" t="str">
        <f>INDEX(projects[Project_Name],MATCH(TimeEntry[[#This Row],[Project_ID]], projects[Project_ID],0))</f>
        <v>VBB - Design Basis</v>
      </c>
      <c r="Q677" s="6">
        <f>IF(TimeEntry[[#This Row],[Date]]=0,"",WEEKDAY(C677,2))</f>
        <v>4</v>
      </c>
      <c r="R677" s="9">
        <f>YEAR(TimeEntry[[#This Row],[WkEnd]])</f>
        <v>2019</v>
      </c>
      <c r="S677" s="9">
        <f>WEEKNUM(TimeEntry[[#This Row],[WkEnd]])</f>
        <v>11</v>
      </c>
      <c r="T677" s="9" t="str">
        <f>TimeEntry[[#This Row],[Year]]&amp;"-"&amp;TimeEntry[[#This Row],[WkNo]]</f>
        <v>2019-11</v>
      </c>
    </row>
    <row r="678" spans="1:20" x14ac:dyDescent="0.25">
      <c r="A678" s="6">
        <f>MOD(IF(ROW()=2,0.1,IF(INDEX(TimeEntry[WkEnd],ROW()-1)  =  INDEX(TimeEntry[WkEnd],ROW()-2),    INDEX(TimeEntry[format],ROW()-2),    INDEX(TimeEntry[format],ROW()-2)    +1)),2)</f>
        <v>1.1000000000000001</v>
      </c>
      <c r="B678" s="7"/>
      <c r="C678" s="8">
        <v>43532</v>
      </c>
      <c r="D678" s="8"/>
      <c r="E678" s="1" t="s">
        <v>472</v>
      </c>
      <c r="F678" s="8">
        <f>IF(TimeEntry[[#This Row],[Date]]=0,F677,C678+(7-Q678))</f>
        <v>43534</v>
      </c>
      <c r="G678" s="35" t="str">
        <f>INDEX(projects[Charge_Code],MATCH(TimeEntry[[#This Row],[Project_ID]],projects[Project_ID],0))</f>
        <v>266122-21 A465</v>
      </c>
      <c r="H678" s="1" t="str">
        <f t="shared" si="14"/>
        <v>Normal Time</v>
      </c>
      <c r="I678" s="1"/>
      <c r="J678" s="15">
        <v>5</v>
      </c>
      <c r="K678" s="15"/>
      <c r="L678" s="15"/>
      <c r="M678" s="15"/>
      <c r="N678" s="15"/>
      <c r="O678" s="15" t="str">
        <f>INDEX(projects[job number],MATCH(TimeEntry[[#This Row],[Project_ID]], projects[Project_ID],0))</f>
        <v>266122-21</v>
      </c>
      <c r="P678" s="15" t="str">
        <f>INDEX(projects[Project_Name],MATCH(TimeEntry[[#This Row],[Project_ID]], projects[Project_ID],0))</f>
        <v>A465</v>
      </c>
      <c r="Q678" s="6">
        <f>IF(TimeEntry[[#This Row],[Date]]=0,"",WEEKDAY(C678,2))</f>
        <v>5</v>
      </c>
      <c r="R678" s="9">
        <f>YEAR(TimeEntry[[#This Row],[WkEnd]])</f>
        <v>2019</v>
      </c>
      <c r="S678" s="9">
        <f>WEEKNUM(TimeEntry[[#This Row],[WkEnd]])</f>
        <v>11</v>
      </c>
      <c r="T678" s="9" t="str">
        <f>TimeEntry[[#This Row],[Year]]&amp;"-"&amp;TimeEntry[[#This Row],[WkNo]]</f>
        <v>2019-11</v>
      </c>
    </row>
    <row r="679" spans="1:20" x14ac:dyDescent="0.25">
      <c r="A679" s="6">
        <f>MOD(IF(ROW()=2,0.1,IF(INDEX(TimeEntry[WkEnd],ROW()-1)  =  INDEX(TimeEntry[WkEnd],ROW()-2),    INDEX(TimeEntry[format],ROW()-2),    INDEX(TimeEntry[format],ROW()-2)    +1)),2)</f>
        <v>1.1000000000000001</v>
      </c>
      <c r="B679" s="7"/>
      <c r="C679" s="8">
        <v>43532</v>
      </c>
      <c r="D679" s="8"/>
      <c r="E679" s="1" t="s">
        <v>472</v>
      </c>
      <c r="F679" s="8">
        <f>IF(TimeEntry[[#This Row],[Date]]=0,F678,C679+(7-Q679))</f>
        <v>43534</v>
      </c>
      <c r="G679" s="35" t="str">
        <f>INDEX(projects[Charge_Code],MATCH(TimeEntry[[#This Row],[Project_ID]],projects[Project_ID],0))</f>
        <v>266122-21 A465</v>
      </c>
      <c r="H679" s="1" t="str">
        <f t="shared" si="14"/>
        <v>Normal Time</v>
      </c>
      <c r="I679" s="1"/>
      <c r="J679" s="15">
        <v>2.5</v>
      </c>
      <c r="K679" s="15"/>
      <c r="L679" s="15"/>
      <c r="M679" s="15"/>
      <c r="N679" s="15"/>
      <c r="O679" s="15" t="str">
        <f>INDEX(projects[job number],MATCH(TimeEntry[[#This Row],[Project_ID]], projects[Project_ID],0))</f>
        <v>266122-21</v>
      </c>
      <c r="P679" s="15" t="str">
        <f>INDEX(projects[Project_Name],MATCH(TimeEntry[[#This Row],[Project_ID]], projects[Project_ID],0))</f>
        <v>A465</v>
      </c>
      <c r="Q679" s="6">
        <f>IF(TimeEntry[[#This Row],[Date]]=0,"",WEEKDAY(C679,2))</f>
        <v>5</v>
      </c>
      <c r="R679" s="9">
        <f>YEAR(TimeEntry[[#This Row],[WkEnd]])</f>
        <v>2019</v>
      </c>
      <c r="S679" s="9">
        <f>WEEKNUM(TimeEntry[[#This Row],[WkEnd]])</f>
        <v>11</v>
      </c>
      <c r="T679" s="9" t="str">
        <f>TimeEntry[[#This Row],[Year]]&amp;"-"&amp;TimeEntry[[#This Row],[WkNo]]</f>
        <v>2019-11</v>
      </c>
    </row>
    <row r="680" spans="1:20" x14ac:dyDescent="0.25">
      <c r="A680" s="6">
        <f>MOD(IF(ROW()=2,0.1,IF(INDEX(TimeEntry[WkEnd],ROW()-1)  =  INDEX(TimeEntry[WkEnd],ROW()-2),    INDEX(TimeEntry[format],ROW()-2),    INDEX(TimeEntry[format],ROW()-2)    +1)),2)</f>
        <v>0.10000000000000009</v>
      </c>
      <c r="B680" s="7"/>
      <c r="C680" s="8">
        <v>43521</v>
      </c>
      <c r="D680" s="8"/>
      <c r="E680" s="1" t="s">
        <v>475</v>
      </c>
      <c r="F680" s="8">
        <f>IF(TimeEntry[[#This Row],[Date]]=0,F679,C680+(7-Q680))</f>
        <v>43527</v>
      </c>
      <c r="G680" s="35" t="str">
        <f>INDEX(projects[Charge_Code],MATCH(TimeEntry[[#This Row],[Project_ID]],projects[Project_ID],0))</f>
        <v>264744-00 WLW</v>
      </c>
      <c r="H680" s="1" t="str">
        <f t="shared" si="14"/>
        <v>Normal Time</v>
      </c>
      <c r="I680" s="1"/>
      <c r="J680" s="15">
        <v>2</v>
      </c>
      <c r="K680" s="15"/>
      <c r="L680" s="15"/>
      <c r="M680" s="15"/>
      <c r="N680" s="15"/>
      <c r="O680" s="15" t="str">
        <f>INDEX(projects[job number],MATCH(TimeEntry[[#This Row],[Project_ID]], projects[Project_ID],0))</f>
        <v>264744-00</v>
      </c>
      <c r="P680" s="15" t="str">
        <f>INDEX(projects[Project_Name],MATCH(TimeEntry[[#This Row],[Project_ID]], projects[Project_ID],0))</f>
        <v>WLW</v>
      </c>
      <c r="Q680" s="6">
        <f>IF(TimeEntry[[#This Row],[Date]]=0,"",WEEKDAY(C680,2))</f>
        <v>1</v>
      </c>
      <c r="R680" s="9">
        <f>YEAR(TimeEntry[[#This Row],[WkEnd]])</f>
        <v>2019</v>
      </c>
      <c r="S680" s="9">
        <f>WEEKNUM(TimeEntry[[#This Row],[WkEnd]])</f>
        <v>10</v>
      </c>
      <c r="T680" s="9" t="str">
        <f>TimeEntry[[#This Row],[Year]]&amp;"-"&amp;TimeEntry[[#This Row],[WkNo]]</f>
        <v>2019-10</v>
      </c>
    </row>
    <row r="681" spans="1:20" x14ac:dyDescent="0.25">
      <c r="A681" s="6">
        <f>MOD(IF(ROW()=2,0.1,IF(INDEX(TimeEntry[WkEnd],ROW()-1)  =  INDEX(TimeEntry[WkEnd],ROW()-2),    INDEX(TimeEntry[format],ROW()-2),    INDEX(TimeEntry[format],ROW()-2)    +1)),2)</f>
        <v>0.10000000000000009</v>
      </c>
      <c r="B681" s="7"/>
      <c r="C681" s="8">
        <v>43521</v>
      </c>
      <c r="D681" s="8"/>
      <c r="E681" s="1" t="s">
        <v>476</v>
      </c>
      <c r="F681" s="8">
        <f>IF(TimeEntry[[#This Row],[Date]]=0,F680,C681+(7-Q681))</f>
        <v>43527</v>
      </c>
      <c r="G681" s="35" t="str">
        <f>INDEX(projects[Charge_Code],MATCH(TimeEntry[[#This Row],[Project_ID]],projects[Project_ID],0))</f>
        <v>000000-00 AMS Support</v>
      </c>
      <c r="H681" s="1" t="str">
        <f t="shared" si="14"/>
        <v>Normal Time</v>
      </c>
      <c r="I681" s="1"/>
      <c r="J681" s="15">
        <v>2.5</v>
      </c>
      <c r="K681" s="15"/>
      <c r="L681" s="15"/>
      <c r="M681" s="15"/>
      <c r="N681" s="15"/>
      <c r="O681" s="15" t="str">
        <f>INDEX(projects[job number],MATCH(TimeEntry[[#This Row],[Project_ID]], projects[Project_ID],0))</f>
        <v>000000-00</v>
      </c>
      <c r="P681" s="15" t="str">
        <f>INDEX(projects[Project_Name],MATCH(TimeEntry[[#This Row],[Project_ID]], projects[Project_ID],0))</f>
        <v>AMS Support</v>
      </c>
      <c r="Q681" s="6">
        <f>IF(TimeEntry[[#This Row],[Date]]=0,"",WEEKDAY(C681,2))</f>
        <v>1</v>
      </c>
      <c r="R681" s="9">
        <f>YEAR(TimeEntry[[#This Row],[WkEnd]])</f>
        <v>2019</v>
      </c>
      <c r="S681" s="9">
        <f>WEEKNUM(TimeEntry[[#This Row],[WkEnd]])</f>
        <v>10</v>
      </c>
      <c r="T681" s="9" t="str">
        <f>TimeEntry[[#This Row],[Year]]&amp;"-"&amp;TimeEntry[[#This Row],[WkNo]]</f>
        <v>2019-10</v>
      </c>
    </row>
    <row r="682" spans="1:20" x14ac:dyDescent="0.25">
      <c r="A682" s="6">
        <f>MOD(IF(ROW()=2,0.1,IF(INDEX(TimeEntry[WkEnd],ROW()-1)  =  INDEX(TimeEntry[WkEnd],ROW()-2),    INDEX(TimeEntry[format],ROW()-2),    INDEX(TimeEntry[format],ROW()-2)    +1)),2)</f>
        <v>0.10000000000000009</v>
      </c>
      <c r="B682" s="7"/>
      <c r="C682" s="8">
        <v>43521</v>
      </c>
      <c r="D682" s="8"/>
      <c r="E682" s="1" t="s">
        <v>476</v>
      </c>
      <c r="F682" s="8">
        <f>IF(TimeEntry[[#This Row],[Date]]=0,F681,C682+(7-Q682))</f>
        <v>43527</v>
      </c>
      <c r="G682" s="35" t="str">
        <f>INDEX(projects[Charge_Code],MATCH(TimeEntry[[#This Row],[Project_ID]],projects[Project_ID],0))</f>
        <v>000000-00 AMS Support</v>
      </c>
      <c r="H682" s="1" t="str">
        <f t="shared" si="14"/>
        <v>Normal Time</v>
      </c>
      <c r="I682" s="1"/>
      <c r="J682" s="15">
        <v>1</v>
      </c>
      <c r="K682" s="15"/>
      <c r="L682" s="15"/>
      <c r="M682" s="15"/>
      <c r="N682" s="15"/>
      <c r="O682" s="15" t="str">
        <f>INDEX(projects[job number],MATCH(TimeEntry[[#This Row],[Project_ID]], projects[Project_ID],0))</f>
        <v>000000-00</v>
      </c>
      <c r="P682" s="15" t="str">
        <f>INDEX(projects[Project_Name],MATCH(TimeEntry[[#This Row],[Project_ID]], projects[Project_ID],0))</f>
        <v>AMS Support</v>
      </c>
      <c r="Q682" s="6">
        <f>IF(TimeEntry[[#This Row],[Date]]=0,"",WEEKDAY(C682,2))</f>
        <v>1</v>
      </c>
      <c r="R682" s="9">
        <f>YEAR(TimeEntry[[#This Row],[WkEnd]])</f>
        <v>2019</v>
      </c>
      <c r="S682" s="9">
        <f>WEEKNUM(TimeEntry[[#This Row],[WkEnd]])</f>
        <v>10</v>
      </c>
      <c r="T682" s="9" t="str">
        <f>TimeEntry[[#This Row],[Year]]&amp;"-"&amp;TimeEntry[[#This Row],[WkNo]]</f>
        <v>2019-10</v>
      </c>
    </row>
    <row r="683" spans="1:20" x14ac:dyDescent="0.25">
      <c r="A683" s="6">
        <f>MOD(IF(ROW()=2,0.1,IF(INDEX(TimeEntry[WkEnd],ROW()-1)  =  INDEX(TimeEntry[WkEnd],ROW()-2),    INDEX(TimeEntry[format],ROW()-2),    INDEX(TimeEntry[format],ROW()-2)    +1)),2)</f>
        <v>0.10000000000000009</v>
      </c>
      <c r="B683" s="7"/>
      <c r="C683" s="8">
        <v>43521</v>
      </c>
      <c r="D683" s="8"/>
      <c r="E683" s="1" t="s">
        <v>474</v>
      </c>
      <c r="F683" s="8">
        <f>IF(TimeEntry[[#This Row],[Date]]=0,F682,C683+(7-Q683))</f>
        <v>43527</v>
      </c>
      <c r="G683" s="35" t="str">
        <f>INDEX(projects[Charge_Code],MATCH(TimeEntry[[#This Row],[Project_ID]],projects[Project_ID],0))</f>
        <v>239230-42 SHB - Existing</v>
      </c>
      <c r="H683" s="1" t="str">
        <f t="shared" si="14"/>
        <v>Normal Time</v>
      </c>
      <c r="I683" s="1"/>
      <c r="J683" s="15">
        <v>1</v>
      </c>
      <c r="K683" s="15"/>
      <c r="L683" s="15"/>
      <c r="M683" s="15"/>
      <c r="N683" s="15"/>
      <c r="O683" s="15" t="str">
        <f>INDEX(projects[job number],MATCH(TimeEntry[[#This Row],[Project_ID]], projects[Project_ID],0))</f>
        <v>239230-42</v>
      </c>
      <c r="P683" s="15" t="str">
        <f>INDEX(projects[Project_Name],MATCH(TimeEntry[[#This Row],[Project_ID]], projects[Project_ID],0))</f>
        <v>SHB - Existing</v>
      </c>
      <c r="Q683" s="6">
        <f>IF(TimeEntry[[#This Row],[Date]]=0,"",WEEKDAY(C683,2))</f>
        <v>1</v>
      </c>
      <c r="R683" s="9">
        <f>YEAR(TimeEntry[[#This Row],[WkEnd]])</f>
        <v>2019</v>
      </c>
      <c r="S683" s="9">
        <f>WEEKNUM(TimeEntry[[#This Row],[WkEnd]])</f>
        <v>10</v>
      </c>
      <c r="T683" s="9" t="str">
        <f>TimeEntry[[#This Row],[Year]]&amp;"-"&amp;TimeEntry[[#This Row],[WkNo]]</f>
        <v>2019-10</v>
      </c>
    </row>
    <row r="684" spans="1:20" x14ac:dyDescent="0.25">
      <c r="A684" s="6">
        <f>MOD(IF(ROW()=2,0.1,IF(INDEX(TimeEntry[WkEnd],ROW()-1)  =  INDEX(TimeEntry[WkEnd],ROW()-2),    INDEX(TimeEntry[format],ROW()-2),    INDEX(TimeEntry[format],ROW()-2)    +1)),2)</f>
        <v>0.10000000000000009</v>
      </c>
      <c r="B684" s="7"/>
      <c r="C684" s="8">
        <v>43521</v>
      </c>
      <c r="D684" s="8"/>
      <c r="E684" s="1" t="s">
        <v>472</v>
      </c>
      <c r="F684" s="8">
        <f>IF(TimeEntry[[#This Row],[Date]]=0,F683,C684+(7-Q684))</f>
        <v>43527</v>
      </c>
      <c r="G684" s="35" t="str">
        <f>INDEX(projects[Charge_Code],MATCH(TimeEntry[[#This Row],[Project_ID]],projects[Project_ID],0))</f>
        <v>266122-21 A465</v>
      </c>
      <c r="H684" s="1" t="str">
        <f t="shared" si="14"/>
        <v>Normal Time</v>
      </c>
      <c r="I684" s="1"/>
      <c r="J684" s="15">
        <v>1</v>
      </c>
      <c r="K684" s="15"/>
      <c r="L684" s="15"/>
      <c r="M684" s="15"/>
      <c r="N684" s="15"/>
      <c r="O684" s="15" t="str">
        <f>INDEX(projects[job number],MATCH(TimeEntry[[#This Row],[Project_ID]], projects[Project_ID],0))</f>
        <v>266122-21</v>
      </c>
      <c r="P684" s="15" t="str">
        <f>INDEX(projects[Project_Name],MATCH(TimeEntry[[#This Row],[Project_ID]], projects[Project_ID],0))</f>
        <v>A465</v>
      </c>
      <c r="Q684" s="6">
        <f>IF(TimeEntry[[#This Row],[Date]]=0,"",WEEKDAY(C684,2))</f>
        <v>1</v>
      </c>
      <c r="R684" s="9">
        <f>YEAR(TimeEntry[[#This Row],[WkEnd]])</f>
        <v>2019</v>
      </c>
      <c r="S684" s="9">
        <f>WEEKNUM(TimeEntry[[#This Row],[WkEnd]])</f>
        <v>10</v>
      </c>
      <c r="T684" s="9" t="str">
        <f>TimeEntry[[#This Row],[Year]]&amp;"-"&amp;TimeEntry[[#This Row],[WkNo]]</f>
        <v>2019-10</v>
      </c>
    </row>
    <row r="685" spans="1:20" x14ac:dyDescent="0.25">
      <c r="A685" s="6">
        <f>MOD(IF(ROW()=2,0.1,IF(INDEX(TimeEntry[WkEnd],ROW()-1)  =  INDEX(TimeEntry[WkEnd],ROW()-2),    INDEX(TimeEntry[format],ROW()-2),    INDEX(TimeEntry[format],ROW()-2)    +1)),2)</f>
        <v>0.10000000000000009</v>
      </c>
      <c r="B685" s="7"/>
      <c r="C685" s="8">
        <v>43522</v>
      </c>
      <c r="D685" s="8"/>
      <c r="E685" s="1" t="s">
        <v>477</v>
      </c>
      <c r="F685" s="8">
        <f>IF(TimeEntry[[#This Row],[Date]]=0,F684,C685+(7-Q685))</f>
        <v>43527</v>
      </c>
      <c r="G685" s="35" t="str">
        <f>INDEX(projects[Charge_Code],MATCH(TimeEntry[[#This Row],[Project_ID]],projects[Project_ID],0))</f>
        <v>259933-00 Waalbrug</v>
      </c>
      <c r="H685" s="1" t="str">
        <f t="shared" si="14"/>
        <v>Normal Time</v>
      </c>
      <c r="I685" s="1"/>
      <c r="J685" s="15">
        <v>5.5</v>
      </c>
      <c r="K685" s="15"/>
      <c r="L685" s="15"/>
      <c r="M685" s="15"/>
      <c r="N685" s="15"/>
      <c r="O685" s="15" t="str">
        <f>INDEX(projects[job number],MATCH(TimeEntry[[#This Row],[Project_ID]], projects[Project_ID],0))</f>
        <v>259933-00</v>
      </c>
      <c r="P685" s="15" t="str">
        <f>INDEX(projects[Project_Name],MATCH(TimeEntry[[#This Row],[Project_ID]], projects[Project_ID],0))</f>
        <v>Waalbrug</v>
      </c>
      <c r="Q685" s="6">
        <f>IF(TimeEntry[[#This Row],[Date]]=0,"",WEEKDAY(C685,2))</f>
        <v>2</v>
      </c>
      <c r="R685" s="9">
        <f>YEAR(TimeEntry[[#This Row],[WkEnd]])</f>
        <v>2019</v>
      </c>
      <c r="S685" s="9">
        <f>WEEKNUM(TimeEntry[[#This Row],[WkEnd]])</f>
        <v>10</v>
      </c>
      <c r="T685" s="9" t="str">
        <f>TimeEntry[[#This Row],[Year]]&amp;"-"&amp;TimeEntry[[#This Row],[WkNo]]</f>
        <v>2019-10</v>
      </c>
    </row>
    <row r="686" spans="1:20" x14ac:dyDescent="0.25">
      <c r="A686" s="6">
        <f>MOD(IF(ROW()=2,0.1,IF(INDEX(TimeEntry[WkEnd],ROW()-1)  =  INDEX(TimeEntry[WkEnd],ROW()-2),    INDEX(TimeEntry[format],ROW()-2),    INDEX(TimeEntry[format],ROW()-2)    +1)),2)</f>
        <v>0.10000000000000009</v>
      </c>
      <c r="B686" s="7"/>
      <c r="C686" s="8">
        <v>43522</v>
      </c>
      <c r="D686" s="8"/>
      <c r="E686" s="1" t="s">
        <v>474</v>
      </c>
      <c r="F686" s="8">
        <f>IF(TimeEntry[[#This Row],[Date]]=0,F685,C686+(7-Q686))</f>
        <v>43527</v>
      </c>
      <c r="G686" s="35" t="str">
        <f>INDEX(projects[Charge_Code],MATCH(TimeEntry[[#This Row],[Project_ID]],projects[Project_ID],0))</f>
        <v>239230-42 SHB - Existing</v>
      </c>
      <c r="H686" s="1" t="str">
        <f t="shared" si="14"/>
        <v>Normal Time</v>
      </c>
      <c r="I686" s="1"/>
      <c r="J686" s="15">
        <v>2</v>
      </c>
      <c r="K686" s="15"/>
      <c r="L686" s="15"/>
      <c r="M686" s="15"/>
      <c r="N686" s="15"/>
      <c r="O686" s="15" t="str">
        <f>INDEX(projects[job number],MATCH(TimeEntry[[#This Row],[Project_ID]], projects[Project_ID],0))</f>
        <v>239230-42</v>
      </c>
      <c r="P686" s="15" t="str">
        <f>INDEX(projects[Project_Name],MATCH(TimeEntry[[#This Row],[Project_ID]], projects[Project_ID],0))</f>
        <v>SHB - Existing</v>
      </c>
      <c r="Q686" s="6">
        <f>IF(TimeEntry[[#This Row],[Date]]=0,"",WEEKDAY(C686,2))</f>
        <v>2</v>
      </c>
      <c r="R686" s="9">
        <f>YEAR(TimeEntry[[#This Row],[WkEnd]])</f>
        <v>2019</v>
      </c>
      <c r="S686" s="9">
        <f>WEEKNUM(TimeEntry[[#This Row],[WkEnd]])</f>
        <v>10</v>
      </c>
      <c r="T686" s="9" t="str">
        <f>TimeEntry[[#This Row],[Year]]&amp;"-"&amp;TimeEntry[[#This Row],[WkNo]]</f>
        <v>2019-10</v>
      </c>
    </row>
    <row r="687" spans="1:20" x14ac:dyDescent="0.25">
      <c r="A687" s="6">
        <f>MOD(IF(ROW()=2,0.1,IF(INDEX(TimeEntry[WkEnd],ROW()-1)  =  INDEX(TimeEntry[WkEnd],ROW()-2),    INDEX(TimeEntry[format],ROW()-2),    INDEX(TimeEntry[format],ROW()-2)    +1)),2)</f>
        <v>0.10000000000000009</v>
      </c>
      <c r="B687" s="7"/>
      <c r="C687" s="8">
        <v>43523</v>
      </c>
      <c r="D687" s="8"/>
      <c r="E687" s="1" t="s">
        <v>472</v>
      </c>
      <c r="F687" s="8">
        <f>IF(TimeEntry[[#This Row],[Date]]=0,F686,C687+(7-Q687))</f>
        <v>43527</v>
      </c>
      <c r="G687" s="35" t="str">
        <f>INDEX(projects[Charge_Code],MATCH(TimeEntry[[#This Row],[Project_ID]],projects[Project_ID],0))</f>
        <v>266122-21 A465</v>
      </c>
      <c r="H687" s="1" t="str">
        <f t="shared" si="14"/>
        <v>Normal Time</v>
      </c>
      <c r="I687" s="1"/>
      <c r="J687" s="15">
        <v>3.75</v>
      </c>
      <c r="K687" s="15"/>
      <c r="L687" s="15"/>
      <c r="M687" s="15"/>
      <c r="N687" s="15"/>
      <c r="O687" s="15" t="str">
        <f>INDEX(projects[job number],MATCH(TimeEntry[[#This Row],[Project_ID]], projects[Project_ID],0))</f>
        <v>266122-21</v>
      </c>
      <c r="P687" s="15" t="str">
        <f>INDEX(projects[Project_Name],MATCH(TimeEntry[[#This Row],[Project_ID]], projects[Project_ID],0))</f>
        <v>A465</v>
      </c>
      <c r="Q687" s="6">
        <f>IF(TimeEntry[[#This Row],[Date]]=0,"",WEEKDAY(C687,2))</f>
        <v>3</v>
      </c>
      <c r="R687" s="9">
        <f>YEAR(TimeEntry[[#This Row],[WkEnd]])</f>
        <v>2019</v>
      </c>
      <c r="S687" s="9">
        <f>WEEKNUM(TimeEntry[[#This Row],[WkEnd]])</f>
        <v>10</v>
      </c>
      <c r="T687" s="9" t="str">
        <f>TimeEntry[[#This Row],[Year]]&amp;"-"&amp;TimeEntry[[#This Row],[WkNo]]</f>
        <v>2019-10</v>
      </c>
    </row>
    <row r="688" spans="1:20" x14ac:dyDescent="0.25">
      <c r="A688" s="6">
        <f>MOD(IF(ROW()=2,0.1,IF(INDEX(TimeEntry[WkEnd],ROW()-1)  =  INDEX(TimeEntry[WkEnd],ROW()-2),    INDEX(TimeEntry[format],ROW()-2),    INDEX(TimeEntry[format],ROW()-2)    +1)),2)</f>
        <v>0.10000000000000009</v>
      </c>
      <c r="B688" s="7"/>
      <c r="C688" s="8">
        <v>43523</v>
      </c>
      <c r="D688" s="8"/>
      <c r="E688" s="1" t="s">
        <v>472</v>
      </c>
      <c r="F688" s="8">
        <f>IF(TimeEntry[[#This Row],[Date]]=0,F687,C688+(7-Q688))</f>
        <v>43527</v>
      </c>
      <c r="G688" s="35" t="str">
        <f>INDEX(projects[Charge_Code],MATCH(TimeEntry[[#This Row],[Project_ID]],projects[Project_ID],0))</f>
        <v>266122-21 A465</v>
      </c>
      <c r="H688" s="1" t="str">
        <f t="shared" si="14"/>
        <v>Normal Time</v>
      </c>
      <c r="I688" s="1"/>
      <c r="J688" s="15">
        <v>3.75</v>
      </c>
      <c r="K688" s="15"/>
      <c r="L688" s="15"/>
      <c r="M688" s="15"/>
      <c r="N688" s="15"/>
      <c r="O688" s="15" t="str">
        <f>INDEX(projects[job number],MATCH(TimeEntry[[#This Row],[Project_ID]], projects[Project_ID],0))</f>
        <v>266122-21</v>
      </c>
      <c r="P688" s="15" t="str">
        <f>INDEX(projects[Project_Name],MATCH(TimeEntry[[#This Row],[Project_ID]], projects[Project_ID],0))</f>
        <v>A465</v>
      </c>
      <c r="Q688" s="6">
        <f>IF(TimeEntry[[#This Row],[Date]]=0,"",WEEKDAY(C688,2))</f>
        <v>3</v>
      </c>
      <c r="R688" s="9">
        <f>YEAR(TimeEntry[[#This Row],[WkEnd]])</f>
        <v>2019</v>
      </c>
      <c r="S688" s="9">
        <f>WEEKNUM(TimeEntry[[#This Row],[WkEnd]])</f>
        <v>10</v>
      </c>
      <c r="T688" s="9" t="str">
        <f>TimeEntry[[#This Row],[Year]]&amp;"-"&amp;TimeEntry[[#This Row],[WkNo]]</f>
        <v>2019-10</v>
      </c>
    </row>
    <row r="689" spans="1:20" x14ac:dyDescent="0.25">
      <c r="A689" s="6">
        <f>MOD(IF(ROW()=2,0.1,IF(INDEX(TimeEntry[WkEnd],ROW()-1)  =  INDEX(TimeEntry[WkEnd],ROW()-2),    INDEX(TimeEntry[format],ROW()-2),    INDEX(TimeEntry[format],ROW()-2)    +1)),2)</f>
        <v>0.10000000000000009</v>
      </c>
      <c r="B689" s="7"/>
      <c r="C689" s="8">
        <v>43524</v>
      </c>
      <c r="D689" s="8"/>
      <c r="E689" s="1" t="s">
        <v>471</v>
      </c>
      <c r="F689" s="8">
        <f>IF(TimeEntry[[#This Row],[Date]]=0,F688,C689+(7-Q689))</f>
        <v>43527</v>
      </c>
      <c r="G689" s="35" t="str">
        <f>INDEX(projects[Charge_Code],MATCH(TimeEntry[[#This Row],[Project_ID]],projects[Project_ID],0))</f>
        <v>261723-02 SMP</v>
      </c>
      <c r="H689" s="1" t="str">
        <f t="shared" si="14"/>
        <v>Normal Time</v>
      </c>
      <c r="I689" s="1"/>
      <c r="J689" s="15">
        <v>2.5</v>
      </c>
      <c r="K689" s="15"/>
      <c r="L689" s="15"/>
      <c r="M689" s="15"/>
      <c r="N689" s="15"/>
      <c r="O689" s="15" t="str">
        <f>INDEX(projects[job number],MATCH(TimeEntry[[#This Row],[Project_ID]], projects[Project_ID],0))</f>
        <v>261723-02</v>
      </c>
      <c r="P689" s="15" t="str">
        <f>INDEX(projects[Project_Name],MATCH(TimeEntry[[#This Row],[Project_ID]], projects[Project_ID],0))</f>
        <v>SMP</v>
      </c>
      <c r="Q689" s="6">
        <f>IF(TimeEntry[[#This Row],[Date]]=0,"",WEEKDAY(C689,2))</f>
        <v>4</v>
      </c>
      <c r="R689" s="9">
        <f>YEAR(TimeEntry[[#This Row],[WkEnd]])</f>
        <v>2019</v>
      </c>
      <c r="S689" s="9">
        <f>WEEKNUM(TimeEntry[[#This Row],[WkEnd]])</f>
        <v>10</v>
      </c>
      <c r="T689" s="9" t="str">
        <f>TimeEntry[[#This Row],[Year]]&amp;"-"&amp;TimeEntry[[#This Row],[WkNo]]</f>
        <v>2019-10</v>
      </c>
    </row>
    <row r="690" spans="1:20" x14ac:dyDescent="0.25">
      <c r="A690" s="6">
        <f>MOD(IF(ROW()=2,0.1,IF(INDEX(TimeEntry[WkEnd],ROW()-1)  =  INDEX(TimeEntry[WkEnd],ROW()-2),    INDEX(TimeEntry[format],ROW()-2),    INDEX(TimeEntry[format],ROW()-2)    +1)),2)</f>
        <v>0.10000000000000009</v>
      </c>
      <c r="B690" s="7"/>
      <c r="C690" s="8">
        <v>43524</v>
      </c>
      <c r="D690" s="8"/>
      <c r="E690" s="1" t="s">
        <v>452</v>
      </c>
      <c r="F690" s="8">
        <f>IF(TimeEntry[[#This Row],[Date]]=0,F689,C690+(7-Q690))</f>
        <v>43527</v>
      </c>
      <c r="G690" s="35" t="str">
        <f>INDEX(projects[Charge_Code],MATCH(TimeEntry[[#This Row],[Project_ID]],projects[Project_ID],0))</f>
        <v>254304-96 HCC - Paul Cully (01-382)</v>
      </c>
      <c r="H690" s="1" t="str">
        <f t="shared" si="14"/>
        <v>Normal Time</v>
      </c>
      <c r="I690" s="1"/>
      <c r="J690" s="15">
        <v>2.5</v>
      </c>
      <c r="K690" s="15"/>
      <c r="L690" s="15"/>
      <c r="M690" s="15"/>
      <c r="N690" s="15"/>
      <c r="O690" s="15" t="str">
        <f>INDEX(projects[job number],MATCH(TimeEntry[[#This Row],[Project_ID]], projects[Project_ID],0))</f>
        <v>254304-96</v>
      </c>
      <c r="P690" s="15" t="str">
        <f>INDEX(projects[Project_Name],MATCH(TimeEntry[[#This Row],[Project_ID]], projects[Project_ID],0))</f>
        <v>HCC - Paul Cully</v>
      </c>
      <c r="Q690" s="6">
        <f>IF(TimeEntry[[#This Row],[Date]]=0,"",WEEKDAY(C690,2))</f>
        <v>4</v>
      </c>
      <c r="R690" s="9">
        <f>YEAR(TimeEntry[[#This Row],[WkEnd]])</f>
        <v>2019</v>
      </c>
      <c r="S690" s="9">
        <f>WEEKNUM(TimeEntry[[#This Row],[WkEnd]])</f>
        <v>10</v>
      </c>
      <c r="T690" s="9" t="str">
        <f>TimeEntry[[#This Row],[Year]]&amp;"-"&amp;TimeEntry[[#This Row],[WkNo]]</f>
        <v>2019-10</v>
      </c>
    </row>
    <row r="691" spans="1:20" x14ac:dyDescent="0.25">
      <c r="A691" s="6">
        <f>MOD(IF(ROW()=2,0.1,IF(INDEX(TimeEntry[WkEnd],ROW()-1)  =  INDEX(TimeEntry[WkEnd],ROW()-2),    INDEX(TimeEntry[format],ROW()-2),    INDEX(TimeEntry[format],ROW()-2)    +1)),2)</f>
        <v>0.10000000000000009</v>
      </c>
      <c r="B691" s="7"/>
      <c r="C691" s="8">
        <v>43524</v>
      </c>
      <c r="D691" s="8"/>
      <c r="E691" s="1" t="s">
        <v>452</v>
      </c>
      <c r="F691" s="8">
        <f>IF(TimeEntry[[#This Row],[Date]]=0,F690,C691+(7-Q691))</f>
        <v>43527</v>
      </c>
      <c r="G691" s="35" t="str">
        <f>INDEX(projects[Charge_Code],MATCH(TimeEntry[[#This Row],[Project_ID]],projects[Project_ID],0))</f>
        <v>254304-96 HCC - Paul Cully (01-382)</v>
      </c>
      <c r="H691" s="1" t="str">
        <f t="shared" si="14"/>
        <v>Normal Time</v>
      </c>
      <c r="I691" s="1"/>
      <c r="J691" s="15">
        <v>2.5</v>
      </c>
      <c r="K691" s="15"/>
      <c r="L691" s="15"/>
      <c r="M691" s="15"/>
      <c r="N691" s="15"/>
      <c r="O691" s="15" t="str">
        <f>INDEX(projects[job number],MATCH(TimeEntry[[#This Row],[Project_ID]], projects[Project_ID],0))</f>
        <v>254304-96</v>
      </c>
      <c r="P691" s="15" t="str">
        <f>INDEX(projects[Project_Name],MATCH(TimeEntry[[#This Row],[Project_ID]], projects[Project_ID],0))</f>
        <v>HCC - Paul Cully</v>
      </c>
      <c r="Q691" s="6">
        <f>IF(TimeEntry[[#This Row],[Date]]=0,"",WEEKDAY(C691,2))</f>
        <v>4</v>
      </c>
      <c r="R691" s="9">
        <f>YEAR(TimeEntry[[#This Row],[WkEnd]])</f>
        <v>2019</v>
      </c>
      <c r="S691" s="9">
        <f>WEEKNUM(TimeEntry[[#This Row],[WkEnd]])</f>
        <v>10</v>
      </c>
      <c r="T691" s="9" t="str">
        <f>TimeEntry[[#This Row],[Year]]&amp;"-"&amp;TimeEntry[[#This Row],[WkNo]]</f>
        <v>2019-10</v>
      </c>
    </row>
    <row r="692" spans="1:20" x14ac:dyDescent="0.25">
      <c r="A692" s="6">
        <f>MOD(IF(ROW()=2,0.1,IF(INDEX(TimeEntry[WkEnd],ROW()-1)  =  INDEX(TimeEntry[WkEnd],ROW()-2),    INDEX(TimeEntry[format],ROW()-2),    INDEX(TimeEntry[format],ROW()-2)    +1)),2)</f>
        <v>0.10000000000000009</v>
      </c>
      <c r="B692" s="7"/>
      <c r="C692" s="8">
        <v>43525</v>
      </c>
      <c r="D692" s="8"/>
      <c r="E692" s="1" t="s">
        <v>472</v>
      </c>
      <c r="F692" s="8">
        <f>IF(TimeEntry[[#This Row],[Date]]=0,F691,C692+(7-Q692))</f>
        <v>43527</v>
      </c>
      <c r="G692" s="35" t="str">
        <f>INDEX(projects[Charge_Code],MATCH(TimeEntry[[#This Row],[Project_ID]],projects[Project_ID],0))</f>
        <v>266122-21 A465</v>
      </c>
      <c r="H692" s="1" t="str">
        <f t="shared" si="14"/>
        <v>Normal Time</v>
      </c>
      <c r="I692" s="1"/>
      <c r="J692" s="15">
        <v>7.5</v>
      </c>
      <c r="K692" s="15"/>
      <c r="L692" s="15"/>
      <c r="M692" s="15"/>
      <c r="N692" s="15"/>
      <c r="O692" s="15" t="str">
        <f>INDEX(projects[job number],MATCH(TimeEntry[[#This Row],[Project_ID]], projects[Project_ID],0))</f>
        <v>266122-21</v>
      </c>
      <c r="P692" s="15" t="str">
        <f>INDEX(projects[Project_Name],MATCH(TimeEntry[[#This Row],[Project_ID]], projects[Project_ID],0))</f>
        <v>A465</v>
      </c>
      <c r="Q692" s="6">
        <f>IF(TimeEntry[[#This Row],[Date]]=0,"",WEEKDAY(C692,2))</f>
        <v>5</v>
      </c>
      <c r="R692" s="9">
        <f>YEAR(TimeEntry[[#This Row],[WkEnd]])</f>
        <v>2019</v>
      </c>
      <c r="S692" s="9">
        <f>WEEKNUM(TimeEntry[[#This Row],[WkEnd]])</f>
        <v>10</v>
      </c>
      <c r="T692" s="9" t="str">
        <f>TimeEntry[[#This Row],[Year]]&amp;"-"&amp;TimeEntry[[#This Row],[WkNo]]</f>
        <v>2019-10</v>
      </c>
    </row>
    <row r="693" spans="1:20" x14ac:dyDescent="0.25">
      <c r="A693" s="6">
        <f>MOD(IF(ROW()=2,0.1,IF(INDEX(TimeEntry[WkEnd],ROW()-1)  =  INDEX(TimeEntry[WkEnd],ROW()-2),    INDEX(TimeEntry[format],ROW()-2),    INDEX(TimeEntry[format],ROW()-2)    +1)),2)</f>
        <v>1.1000000000000001</v>
      </c>
      <c r="B693" s="7"/>
      <c r="C693" s="8">
        <v>43514</v>
      </c>
      <c r="D693" s="8"/>
      <c r="E693" s="1" t="s">
        <v>472</v>
      </c>
      <c r="F693" s="8">
        <f>IF(TimeEntry[[#This Row],[Date]]=0,F692,C693+(7-Q693))</f>
        <v>43520</v>
      </c>
      <c r="G693" s="35" t="str">
        <f>INDEX(projects[Charge_Code],MATCH(TimeEntry[[#This Row],[Project_ID]],projects[Project_ID],0))</f>
        <v>266122-21 A465</v>
      </c>
      <c r="H693" s="1" t="str">
        <f t="shared" si="14"/>
        <v>Normal Time</v>
      </c>
      <c r="I693" s="1"/>
      <c r="J693" s="15">
        <v>7.5</v>
      </c>
      <c r="K693" s="15"/>
      <c r="L693" s="15"/>
      <c r="M693" s="15"/>
      <c r="N693" s="15"/>
      <c r="O693" s="15" t="str">
        <f>INDEX(projects[job number],MATCH(TimeEntry[[#This Row],[Project_ID]], projects[Project_ID],0))</f>
        <v>266122-21</v>
      </c>
      <c r="P693" s="15" t="str">
        <f>INDEX(projects[Project_Name],MATCH(TimeEntry[[#This Row],[Project_ID]], projects[Project_ID],0))</f>
        <v>A465</v>
      </c>
      <c r="Q693" s="6">
        <f>IF(TimeEntry[[#This Row],[Date]]=0,"",WEEKDAY(C693,2))</f>
        <v>1</v>
      </c>
      <c r="R693" s="9">
        <f>YEAR(TimeEntry[[#This Row],[WkEnd]])</f>
        <v>2019</v>
      </c>
      <c r="S693" s="9">
        <f>WEEKNUM(TimeEntry[[#This Row],[WkEnd]])</f>
        <v>9</v>
      </c>
      <c r="T693" s="9" t="str">
        <f>TimeEntry[[#This Row],[Year]]&amp;"-"&amp;TimeEntry[[#This Row],[WkNo]]</f>
        <v>2019-9</v>
      </c>
    </row>
    <row r="694" spans="1:20" x14ac:dyDescent="0.25">
      <c r="A694" s="6">
        <f>MOD(IF(ROW()=2,0.1,IF(INDEX(TimeEntry[WkEnd],ROW()-1)  =  INDEX(TimeEntry[WkEnd],ROW()-2),    INDEX(TimeEntry[format],ROW()-2),    INDEX(TimeEntry[format],ROW()-2)    +1)),2)</f>
        <v>1.1000000000000001</v>
      </c>
      <c r="B694" s="7"/>
      <c r="C694" s="8">
        <v>43515</v>
      </c>
      <c r="D694" s="8"/>
      <c r="E694" s="1" t="s">
        <v>457</v>
      </c>
      <c r="F694" s="8">
        <f>IF(TimeEntry[[#This Row],[Date]]=0,F693,C694+(7-Q694))</f>
        <v>43520</v>
      </c>
      <c r="G694" s="35" t="str">
        <f>INDEX(projects[Charge_Code],MATCH(TimeEntry[[#This Row],[Project_ID]],projects[Project_ID],0))</f>
        <v>255375-00 M25 West MSA</v>
      </c>
      <c r="H694" s="1" t="str">
        <f t="shared" si="14"/>
        <v>Normal Time</v>
      </c>
      <c r="I694" s="1"/>
      <c r="J694" s="15">
        <v>6.5</v>
      </c>
      <c r="K694" s="15"/>
      <c r="L694" s="15"/>
      <c r="M694" s="15"/>
      <c r="N694" s="15"/>
      <c r="O694" s="15" t="str">
        <f>INDEX(projects[job number],MATCH(TimeEntry[[#This Row],[Project_ID]], projects[Project_ID],0))</f>
        <v>255375-00</v>
      </c>
      <c r="P694" s="15" t="str">
        <f>INDEX(projects[Project_Name],MATCH(TimeEntry[[#This Row],[Project_ID]], projects[Project_ID],0))</f>
        <v>M25 West MSA</v>
      </c>
      <c r="Q694" s="6">
        <f>IF(TimeEntry[[#This Row],[Date]]=0,"",WEEKDAY(C694,2))</f>
        <v>2</v>
      </c>
      <c r="R694" s="9">
        <f>YEAR(TimeEntry[[#This Row],[WkEnd]])</f>
        <v>2019</v>
      </c>
      <c r="S694" s="9">
        <f>WEEKNUM(TimeEntry[[#This Row],[WkEnd]])</f>
        <v>9</v>
      </c>
      <c r="T694" s="9" t="str">
        <f>TimeEntry[[#This Row],[Year]]&amp;"-"&amp;TimeEntry[[#This Row],[WkNo]]</f>
        <v>2019-9</v>
      </c>
    </row>
    <row r="695" spans="1:20" x14ac:dyDescent="0.25">
      <c r="A695" s="6">
        <f>MOD(IF(ROW()=2,0.1,IF(INDEX(TimeEntry[WkEnd],ROW()-1)  =  INDEX(TimeEntry[WkEnd],ROW()-2),    INDEX(TimeEntry[format],ROW()-2),    INDEX(TimeEntry[format],ROW()-2)    +1)),2)</f>
        <v>1.1000000000000001</v>
      </c>
      <c r="B695" s="7"/>
      <c r="C695" s="8">
        <v>43515</v>
      </c>
      <c r="D695" s="8"/>
      <c r="E695" s="1" t="s">
        <v>449</v>
      </c>
      <c r="F695" s="8">
        <f>IF(TimeEntry[[#This Row],[Date]]=0,F694,C695+(7-Q695))</f>
        <v>43520</v>
      </c>
      <c r="G695" s="35" t="str">
        <f>INDEX(projects[Charge_Code],MATCH(TimeEntry[[#This Row],[Project_ID]],projects[Project_ID],0))</f>
        <v>255670-17 LOWER KINGS ROAD ASSESSMENT (01-382)</v>
      </c>
      <c r="H695" s="1" t="str">
        <f t="shared" si="14"/>
        <v>Normal Time</v>
      </c>
      <c r="I695" s="1"/>
      <c r="J695" s="15">
        <v>1</v>
      </c>
      <c r="K695" s="15"/>
      <c r="L695" s="15"/>
      <c r="M695" s="15"/>
      <c r="N695" s="15"/>
      <c r="O695" s="15" t="str">
        <f>INDEX(projects[job number],MATCH(TimeEntry[[#This Row],[Project_ID]], projects[Project_ID],0))</f>
        <v>255670-17</v>
      </c>
      <c r="P695" s="15" t="str">
        <f>INDEX(projects[Project_Name],MATCH(TimeEntry[[#This Row],[Project_ID]], projects[Project_ID],0))</f>
        <v>LOWER KINGS ROAD ASSESSMENT</v>
      </c>
      <c r="Q695" s="6">
        <f>IF(TimeEntry[[#This Row],[Date]]=0,"",WEEKDAY(C695,2))</f>
        <v>2</v>
      </c>
      <c r="R695" s="9">
        <f>YEAR(TimeEntry[[#This Row],[WkEnd]])</f>
        <v>2019</v>
      </c>
      <c r="S695" s="9">
        <f>WEEKNUM(TimeEntry[[#This Row],[WkEnd]])</f>
        <v>9</v>
      </c>
      <c r="T695" s="9" t="str">
        <f>TimeEntry[[#This Row],[Year]]&amp;"-"&amp;TimeEntry[[#This Row],[WkNo]]</f>
        <v>2019-9</v>
      </c>
    </row>
    <row r="696" spans="1:20" x14ac:dyDescent="0.25">
      <c r="A696" s="6">
        <f>MOD(IF(ROW()=2,0.1,IF(INDEX(TimeEntry[WkEnd],ROW()-1)  =  INDEX(TimeEntry[WkEnd],ROW()-2),    INDEX(TimeEntry[format],ROW()-2),    INDEX(TimeEntry[format],ROW()-2)    +1)),2)</f>
        <v>1.1000000000000001</v>
      </c>
      <c r="B696" s="7"/>
      <c r="C696" s="8">
        <v>43516</v>
      </c>
      <c r="D696" s="8"/>
      <c r="E696" s="1" t="s">
        <v>475</v>
      </c>
      <c r="F696" s="8">
        <f>IF(TimeEntry[[#This Row],[Date]]=0,F695,C696+(7-Q696))</f>
        <v>43520</v>
      </c>
      <c r="G696" s="35" t="str">
        <f>INDEX(projects[Charge_Code],MATCH(TimeEntry[[#This Row],[Project_ID]],projects[Project_ID],0))</f>
        <v>264744-00 WLW</v>
      </c>
      <c r="H696" s="1" t="str">
        <f t="shared" si="14"/>
        <v>Normal Time</v>
      </c>
      <c r="I696" s="1"/>
      <c r="J696" s="15">
        <v>2</v>
      </c>
      <c r="K696" s="15"/>
      <c r="L696" s="15"/>
      <c r="M696" s="15"/>
      <c r="N696" s="15"/>
      <c r="O696" s="15" t="str">
        <f>INDEX(projects[job number],MATCH(TimeEntry[[#This Row],[Project_ID]], projects[Project_ID],0))</f>
        <v>264744-00</v>
      </c>
      <c r="P696" s="15" t="str">
        <f>INDEX(projects[Project_Name],MATCH(TimeEntry[[#This Row],[Project_ID]], projects[Project_ID],0))</f>
        <v>WLW</v>
      </c>
      <c r="Q696" s="6">
        <f>IF(TimeEntry[[#This Row],[Date]]=0,"",WEEKDAY(C696,2))</f>
        <v>3</v>
      </c>
      <c r="R696" s="9">
        <f>YEAR(TimeEntry[[#This Row],[WkEnd]])</f>
        <v>2019</v>
      </c>
      <c r="S696" s="9">
        <f>WEEKNUM(TimeEntry[[#This Row],[WkEnd]])</f>
        <v>9</v>
      </c>
      <c r="T696" s="9" t="str">
        <f>TimeEntry[[#This Row],[Year]]&amp;"-"&amp;TimeEntry[[#This Row],[WkNo]]</f>
        <v>2019-9</v>
      </c>
    </row>
    <row r="697" spans="1:20" x14ac:dyDescent="0.25">
      <c r="A697" s="6">
        <f>MOD(IF(ROW()=2,0.1,IF(INDEX(TimeEntry[WkEnd],ROW()-1)  =  INDEX(TimeEntry[WkEnd],ROW()-2),    INDEX(TimeEntry[format],ROW()-2),    INDEX(TimeEntry[format],ROW()-2)    +1)),2)</f>
        <v>1.1000000000000001</v>
      </c>
      <c r="B697" s="7"/>
      <c r="C697" s="8">
        <v>43516</v>
      </c>
      <c r="D697" s="8"/>
      <c r="E697" s="1" t="s">
        <v>471</v>
      </c>
      <c r="F697" s="8">
        <f>IF(TimeEntry[[#This Row],[Date]]=0,F696,C697+(7-Q697))</f>
        <v>43520</v>
      </c>
      <c r="G697" s="35" t="str">
        <f>INDEX(projects[Charge_Code],MATCH(TimeEntry[[#This Row],[Project_ID]],projects[Project_ID],0))</f>
        <v>261723-02 SMP</v>
      </c>
      <c r="H697" s="1" t="str">
        <f t="shared" si="14"/>
        <v>Normal Time</v>
      </c>
      <c r="I697" s="1"/>
      <c r="J697" s="15">
        <v>2</v>
      </c>
      <c r="K697" s="15"/>
      <c r="L697" s="15"/>
      <c r="M697" s="15"/>
      <c r="N697" s="15"/>
      <c r="O697" s="15" t="str">
        <f>INDEX(projects[job number],MATCH(TimeEntry[[#This Row],[Project_ID]], projects[Project_ID],0))</f>
        <v>261723-02</v>
      </c>
      <c r="P697" s="15" t="str">
        <f>INDEX(projects[Project_Name],MATCH(TimeEntry[[#This Row],[Project_ID]], projects[Project_ID],0))</f>
        <v>SMP</v>
      </c>
      <c r="Q697" s="6">
        <f>IF(TimeEntry[[#This Row],[Date]]=0,"",WEEKDAY(C697,2))</f>
        <v>3</v>
      </c>
      <c r="R697" s="9">
        <f>YEAR(TimeEntry[[#This Row],[WkEnd]])</f>
        <v>2019</v>
      </c>
      <c r="S697" s="9">
        <f>WEEKNUM(TimeEntry[[#This Row],[WkEnd]])</f>
        <v>9</v>
      </c>
      <c r="T697" s="9" t="str">
        <f>TimeEntry[[#This Row],[Year]]&amp;"-"&amp;TimeEntry[[#This Row],[WkNo]]</f>
        <v>2019-9</v>
      </c>
    </row>
    <row r="698" spans="1:20" x14ac:dyDescent="0.25">
      <c r="A698" s="6">
        <f>MOD(IF(ROW()=2,0.1,IF(INDEX(TimeEntry[WkEnd],ROW()-1)  =  INDEX(TimeEntry[WkEnd],ROW()-2),    INDEX(TimeEntry[format],ROW()-2),    INDEX(TimeEntry[format],ROW()-2)    +1)),2)</f>
        <v>1.1000000000000001</v>
      </c>
      <c r="B698" s="7"/>
      <c r="C698" s="8">
        <v>43516</v>
      </c>
      <c r="D698" s="8"/>
      <c r="E698" s="1" t="s">
        <v>472</v>
      </c>
      <c r="F698" s="8">
        <f>IF(TimeEntry[[#This Row],[Date]]=0,F697,C698+(7-Q698))</f>
        <v>43520</v>
      </c>
      <c r="G698" s="35" t="str">
        <f>INDEX(projects[Charge_Code],MATCH(TimeEntry[[#This Row],[Project_ID]],projects[Project_ID],0))</f>
        <v>266122-21 A465</v>
      </c>
      <c r="H698" s="1" t="str">
        <f t="shared" si="14"/>
        <v>Normal Time</v>
      </c>
      <c r="I698" s="1"/>
      <c r="J698" s="15">
        <v>3.5</v>
      </c>
      <c r="K698" s="15"/>
      <c r="L698" s="15"/>
      <c r="M698" s="15"/>
      <c r="N698" s="15"/>
      <c r="O698" s="15" t="str">
        <f>INDEX(projects[job number],MATCH(TimeEntry[[#This Row],[Project_ID]], projects[Project_ID],0))</f>
        <v>266122-21</v>
      </c>
      <c r="P698" s="15" t="str">
        <f>INDEX(projects[Project_Name],MATCH(TimeEntry[[#This Row],[Project_ID]], projects[Project_ID],0))</f>
        <v>A465</v>
      </c>
      <c r="Q698" s="6">
        <f>IF(TimeEntry[[#This Row],[Date]]=0,"",WEEKDAY(C698,2))</f>
        <v>3</v>
      </c>
      <c r="R698" s="9">
        <f>YEAR(TimeEntry[[#This Row],[WkEnd]])</f>
        <v>2019</v>
      </c>
      <c r="S698" s="9">
        <f>WEEKNUM(TimeEntry[[#This Row],[WkEnd]])</f>
        <v>9</v>
      </c>
      <c r="T698" s="9" t="str">
        <f>TimeEntry[[#This Row],[Year]]&amp;"-"&amp;TimeEntry[[#This Row],[WkNo]]</f>
        <v>2019-9</v>
      </c>
    </row>
    <row r="699" spans="1:20" x14ac:dyDescent="0.25">
      <c r="A699" s="6">
        <f>MOD(IF(ROW()=2,0.1,IF(INDEX(TimeEntry[WkEnd],ROW()-1)  =  INDEX(TimeEntry[WkEnd],ROW()-2),    INDEX(TimeEntry[format],ROW()-2),    INDEX(TimeEntry[format],ROW()-2)    +1)),2)</f>
        <v>1.1000000000000001</v>
      </c>
      <c r="B699" s="7"/>
      <c r="C699" s="8">
        <v>43517</v>
      </c>
      <c r="D699" s="8"/>
      <c r="E699" s="1" t="s">
        <v>478</v>
      </c>
      <c r="F699" s="8">
        <f>IF(TimeEntry[[#This Row],[Date]]=0,F698,C699+(7-Q699))</f>
        <v>43520</v>
      </c>
      <c r="G699" s="35" t="str">
        <f>INDEX(projects[Charge_Code],MATCH(TimeEntry[[#This Row],[Project_ID]],projects[Project_ID],0))</f>
        <v>Interview</v>
      </c>
      <c r="H699" s="1" t="str">
        <f t="shared" si="14"/>
        <v>Normal Time</v>
      </c>
      <c r="I699" s="1"/>
      <c r="J699" s="15">
        <v>4</v>
      </c>
      <c r="K699" s="15"/>
      <c r="L699" s="15"/>
      <c r="M699" s="15"/>
      <c r="N699" s="15"/>
      <c r="O699" s="15">
        <f>INDEX(projects[job number],MATCH(TimeEntry[[#This Row],[Project_ID]], projects[Project_ID],0))</f>
        <v>0</v>
      </c>
      <c r="P699" s="15" t="str">
        <f>INDEX(projects[Project_Name],MATCH(TimeEntry[[#This Row],[Project_ID]], projects[Project_ID],0))</f>
        <v>Interview</v>
      </c>
      <c r="Q699" s="6">
        <f>IF(TimeEntry[[#This Row],[Date]]=0,"",WEEKDAY(C699,2))</f>
        <v>4</v>
      </c>
      <c r="R699" s="9">
        <f>YEAR(TimeEntry[[#This Row],[WkEnd]])</f>
        <v>2019</v>
      </c>
      <c r="S699" s="9">
        <f>WEEKNUM(TimeEntry[[#This Row],[WkEnd]])</f>
        <v>9</v>
      </c>
      <c r="T699" s="9" t="str">
        <f>TimeEntry[[#This Row],[Year]]&amp;"-"&amp;TimeEntry[[#This Row],[WkNo]]</f>
        <v>2019-9</v>
      </c>
    </row>
    <row r="700" spans="1:20" x14ac:dyDescent="0.25">
      <c r="A700" s="6">
        <f>MOD(IF(ROW()=2,0.1,IF(INDEX(TimeEntry[WkEnd],ROW()-1)  =  INDEX(TimeEntry[WkEnd],ROW()-2),    INDEX(TimeEntry[format],ROW()-2),    INDEX(TimeEntry[format],ROW()-2)    +1)),2)</f>
        <v>1.1000000000000001</v>
      </c>
      <c r="B700" s="7"/>
      <c r="C700" s="8">
        <v>43517</v>
      </c>
      <c r="D700" s="8"/>
      <c r="E700" s="1" t="s">
        <v>472</v>
      </c>
      <c r="F700" s="8">
        <f>IF(TimeEntry[[#This Row],[Date]]=0,F699,C700+(7-Q700))</f>
        <v>43520</v>
      </c>
      <c r="G700" s="35" t="str">
        <f>INDEX(projects[Charge_Code],MATCH(TimeEntry[[#This Row],[Project_ID]],projects[Project_ID],0))</f>
        <v>266122-21 A465</v>
      </c>
      <c r="H700" s="1" t="str">
        <f t="shared" si="14"/>
        <v>Normal Time</v>
      </c>
      <c r="I700" s="1"/>
      <c r="J700" s="15">
        <v>3.5</v>
      </c>
      <c r="K700" s="15"/>
      <c r="L700" s="15"/>
      <c r="M700" s="15"/>
      <c r="N700" s="15"/>
      <c r="O700" s="15" t="str">
        <f>INDEX(projects[job number],MATCH(TimeEntry[[#This Row],[Project_ID]], projects[Project_ID],0))</f>
        <v>266122-21</v>
      </c>
      <c r="P700" s="15" t="str">
        <f>INDEX(projects[Project_Name],MATCH(TimeEntry[[#This Row],[Project_ID]], projects[Project_ID],0))</f>
        <v>A465</v>
      </c>
      <c r="Q700" s="6">
        <f>IF(TimeEntry[[#This Row],[Date]]=0,"",WEEKDAY(C700,2))</f>
        <v>4</v>
      </c>
      <c r="R700" s="9">
        <f>YEAR(TimeEntry[[#This Row],[WkEnd]])</f>
        <v>2019</v>
      </c>
      <c r="S700" s="9">
        <f>WEEKNUM(TimeEntry[[#This Row],[WkEnd]])</f>
        <v>9</v>
      </c>
      <c r="T700" s="9" t="str">
        <f>TimeEntry[[#This Row],[Year]]&amp;"-"&amp;TimeEntry[[#This Row],[WkNo]]</f>
        <v>2019-9</v>
      </c>
    </row>
    <row r="701" spans="1:20" x14ac:dyDescent="0.25">
      <c r="A701" s="6">
        <f>MOD(IF(ROW()=2,0.1,IF(INDEX(TimeEntry[WkEnd],ROW()-1)  =  INDEX(TimeEntry[WkEnd],ROW()-2),    INDEX(TimeEntry[format],ROW()-2),    INDEX(TimeEntry[format],ROW()-2)    +1)),2)</f>
        <v>1.1000000000000001</v>
      </c>
      <c r="B701" s="7"/>
      <c r="C701" s="8">
        <v>43518</v>
      </c>
      <c r="D701" s="8"/>
      <c r="E701" s="1" t="s">
        <v>472</v>
      </c>
      <c r="F701" s="8">
        <f>IF(TimeEntry[[#This Row],[Date]]=0,F700,C701+(7-Q701))</f>
        <v>43520</v>
      </c>
      <c r="G701" s="35" t="str">
        <f>INDEX(projects[Charge_Code],MATCH(TimeEntry[[#This Row],[Project_ID]],projects[Project_ID],0))</f>
        <v>266122-21 A465</v>
      </c>
      <c r="H701" s="1" t="str">
        <f t="shared" si="14"/>
        <v>Normal Time</v>
      </c>
      <c r="I701" s="1"/>
      <c r="J701" s="15">
        <v>7.5</v>
      </c>
      <c r="K701" s="15"/>
      <c r="L701" s="15"/>
      <c r="M701" s="15"/>
      <c r="N701" s="15"/>
      <c r="O701" s="15" t="str">
        <f>INDEX(projects[job number],MATCH(TimeEntry[[#This Row],[Project_ID]], projects[Project_ID],0))</f>
        <v>266122-21</v>
      </c>
      <c r="P701" s="15" t="str">
        <f>INDEX(projects[Project_Name],MATCH(TimeEntry[[#This Row],[Project_ID]], projects[Project_ID],0))</f>
        <v>A465</v>
      </c>
      <c r="Q701" s="6">
        <f>IF(TimeEntry[[#This Row],[Date]]=0,"",WEEKDAY(C701,2))</f>
        <v>5</v>
      </c>
      <c r="R701" s="9">
        <f>YEAR(TimeEntry[[#This Row],[WkEnd]])</f>
        <v>2019</v>
      </c>
      <c r="S701" s="9">
        <f>WEEKNUM(TimeEntry[[#This Row],[WkEnd]])</f>
        <v>9</v>
      </c>
      <c r="T701" s="9" t="str">
        <f>TimeEntry[[#This Row],[Year]]&amp;"-"&amp;TimeEntry[[#This Row],[WkNo]]</f>
        <v>2019-9</v>
      </c>
    </row>
    <row r="702" spans="1:20" x14ac:dyDescent="0.25">
      <c r="A702" s="6">
        <f>MOD(IF(ROW()=2,0.1,IF(INDEX(TimeEntry[WkEnd],ROW()-1)  =  INDEX(TimeEntry[WkEnd],ROW()-2),    INDEX(TimeEntry[format],ROW()-2),    INDEX(TimeEntry[format],ROW()-2)    +1)),2)</f>
        <v>0.10000000000000009</v>
      </c>
      <c r="B702" s="7"/>
      <c r="C702" s="8">
        <v>43507</v>
      </c>
      <c r="D702" s="8"/>
      <c r="E702" s="1" t="s">
        <v>445</v>
      </c>
      <c r="F702" s="8">
        <f>IF(TimeEntry[[#This Row],[Date]]=0,F701,C702+(7-Q702))</f>
        <v>43513</v>
      </c>
      <c r="G702" s="35" t="str">
        <f>INDEX(projects[Charge_Code],MATCH(TimeEntry[[#This Row],[Project_ID]],projects[Project_ID],0))</f>
        <v>LEAVE</v>
      </c>
      <c r="H702" s="1" t="str">
        <f t="shared" si="14"/>
        <v>Normal Time</v>
      </c>
      <c r="I702" s="1"/>
      <c r="J702" s="15">
        <v>7.5</v>
      </c>
      <c r="K702" s="15"/>
      <c r="L702" s="15"/>
      <c r="M702" s="15"/>
      <c r="N702" s="15"/>
      <c r="O702" s="15" t="str">
        <f>INDEX(projects[job number],MATCH(TimeEntry[[#This Row],[Project_ID]], projects[Project_ID],0))</f>
        <v>LEAVE</v>
      </c>
      <c r="P702" s="15">
        <f>INDEX(projects[Project_Name],MATCH(TimeEntry[[#This Row],[Project_ID]], projects[Project_ID],0))</f>
        <v>0</v>
      </c>
      <c r="Q702" s="6">
        <f>IF(TimeEntry[[#This Row],[Date]]=0,"",WEEKDAY(C702,2))</f>
        <v>1</v>
      </c>
      <c r="R702" s="9">
        <f>YEAR(TimeEntry[[#This Row],[WkEnd]])</f>
        <v>2019</v>
      </c>
      <c r="S702" s="9">
        <f>WEEKNUM(TimeEntry[[#This Row],[WkEnd]])</f>
        <v>8</v>
      </c>
      <c r="T702" s="9" t="str">
        <f>TimeEntry[[#This Row],[Year]]&amp;"-"&amp;TimeEntry[[#This Row],[WkNo]]</f>
        <v>2019-8</v>
      </c>
    </row>
    <row r="703" spans="1:20" x14ac:dyDescent="0.25">
      <c r="A703" s="6">
        <f>MOD(IF(ROW()=2,0.1,IF(INDEX(TimeEntry[WkEnd],ROW()-1)  =  INDEX(TimeEntry[WkEnd],ROW()-2),    INDEX(TimeEntry[format],ROW()-2),    INDEX(TimeEntry[format],ROW()-2)    +1)),2)</f>
        <v>0.10000000000000009</v>
      </c>
      <c r="B703" s="7"/>
      <c r="C703" s="8">
        <v>43508</v>
      </c>
      <c r="D703" s="8"/>
      <c r="E703" s="1" t="s">
        <v>445</v>
      </c>
      <c r="F703" s="8">
        <f>IF(TimeEntry[[#This Row],[Date]]=0,F702,C703+(7-Q703))</f>
        <v>43513</v>
      </c>
      <c r="G703" s="35" t="str">
        <f>INDEX(projects[Charge_Code],MATCH(TimeEntry[[#This Row],[Project_ID]],projects[Project_ID],0))</f>
        <v>LEAVE</v>
      </c>
      <c r="H703" s="1" t="str">
        <f t="shared" si="14"/>
        <v>Normal Time</v>
      </c>
      <c r="I703" s="1"/>
      <c r="J703" s="15">
        <v>7.5</v>
      </c>
      <c r="K703" s="15"/>
      <c r="L703" s="15"/>
      <c r="M703" s="15"/>
      <c r="N703" s="15"/>
      <c r="O703" s="15" t="str">
        <f>INDEX(projects[job number],MATCH(TimeEntry[[#This Row],[Project_ID]], projects[Project_ID],0))</f>
        <v>LEAVE</v>
      </c>
      <c r="P703" s="15">
        <f>INDEX(projects[Project_Name],MATCH(TimeEntry[[#This Row],[Project_ID]], projects[Project_ID],0))</f>
        <v>0</v>
      </c>
      <c r="Q703" s="6">
        <f>IF(TimeEntry[[#This Row],[Date]]=0,"",WEEKDAY(C703,2))</f>
        <v>2</v>
      </c>
      <c r="R703" s="9">
        <f>YEAR(TimeEntry[[#This Row],[WkEnd]])</f>
        <v>2019</v>
      </c>
      <c r="S703" s="9">
        <f>WEEKNUM(TimeEntry[[#This Row],[WkEnd]])</f>
        <v>8</v>
      </c>
      <c r="T703" s="9" t="str">
        <f>TimeEntry[[#This Row],[Year]]&amp;"-"&amp;TimeEntry[[#This Row],[WkNo]]</f>
        <v>2019-8</v>
      </c>
    </row>
    <row r="704" spans="1:20" x14ac:dyDescent="0.25">
      <c r="A704" s="6">
        <f>MOD(IF(ROW()=2,0.1,IF(INDEX(TimeEntry[WkEnd],ROW()-1)  =  INDEX(TimeEntry[WkEnd],ROW()-2),    INDEX(TimeEntry[format],ROW()-2),    INDEX(TimeEntry[format],ROW()-2)    +1)),2)</f>
        <v>0.10000000000000009</v>
      </c>
      <c r="B704" s="7"/>
      <c r="C704" s="8">
        <v>43509</v>
      </c>
      <c r="D704" s="8"/>
      <c r="E704" s="1" t="s">
        <v>445</v>
      </c>
      <c r="F704" s="8">
        <f>IF(TimeEntry[[#This Row],[Date]]=0,F703,C704+(7-Q704))</f>
        <v>43513</v>
      </c>
      <c r="G704" s="35" t="str">
        <f>INDEX(projects[Charge_Code],MATCH(TimeEntry[[#This Row],[Project_ID]],projects[Project_ID],0))</f>
        <v>LEAVE</v>
      </c>
      <c r="H704" s="1" t="str">
        <f t="shared" si="14"/>
        <v>Normal Time</v>
      </c>
      <c r="I704" s="1"/>
      <c r="J704" s="15">
        <v>7.5</v>
      </c>
      <c r="K704" s="15"/>
      <c r="L704" s="15"/>
      <c r="M704" s="15"/>
      <c r="N704" s="15"/>
      <c r="O704" s="15" t="str">
        <f>INDEX(projects[job number],MATCH(TimeEntry[[#This Row],[Project_ID]], projects[Project_ID],0))</f>
        <v>LEAVE</v>
      </c>
      <c r="P704" s="15">
        <f>INDEX(projects[Project_Name],MATCH(TimeEntry[[#This Row],[Project_ID]], projects[Project_ID],0))</f>
        <v>0</v>
      </c>
      <c r="Q704" s="6">
        <f>IF(TimeEntry[[#This Row],[Date]]=0,"",WEEKDAY(C704,2))</f>
        <v>3</v>
      </c>
      <c r="R704" s="9">
        <f>YEAR(TimeEntry[[#This Row],[WkEnd]])</f>
        <v>2019</v>
      </c>
      <c r="S704" s="9">
        <f>WEEKNUM(TimeEntry[[#This Row],[WkEnd]])</f>
        <v>8</v>
      </c>
      <c r="T704" s="9" t="str">
        <f>TimeEntry[[#This Row],[Year]]&amp;"-"&amp;TimeEntry[[#This Row],[WkNo]]</f>
        <v>2019-8</v>
      </c>
    </row>
    <row r="705" spans="1:20" x14ac:dyDescent="0.25">
      <c r="A705" s="6">
        <f>MOD(IF(ROW()=2,0.1,IF(INDEX(TimeEntry[WkEnd],ROW()-1)  =  INDEX(TimeEntry[WkEnd],ROW()-2),    INDEX(TimeEntry[format],ROW()-2),    INDEX(TimeEntry[format],ROW()-2)    +1)),2)</f>
        <v>0.10000000000000009</v>
      </c>
      <c r="B705" s="7"/>
      <c r="C705" s="8">
        <v>43510</v>
      </c>
      <c r="D705" s="8"/>
      <c r="E705" s="1" t="s">
        <v>445</v>
      </c>
      <c r="F705" s="8">
        <f>IF(TimeEntry[[#This Row],[Date]]=0,F704,C705+(7-Q705))</f>
        <v>43513</v>
      </c>
      <c r="G705" s="35" t="str">
        <f>INDEX(projects[Charge_Code],MATCH(TimeEntry[[#This Row],[Project_ID]],projects[Project_ID],0))</f>
        <v>LEAVE</v>
      </c>
      <c r="H705" s="1" t="str">
        <f t="shared" si="14"/>
        <v>Normal Time</v>
      </c>
      <c r="I705" s="1"/>
      <c r="J705" s="15">
        <v>7.5</v>
      </c>
      <c r="K705" s="15"/>
      <c r="L705" s="15"/>
      <c r="M705" s="15"/>
      <c r="N705" s="15"/>
      <c r="O705" s="15" t="str">
        <f>INDEX(projects[job number],MATCH(TimeEntry[[#This Row],[Project_ID]], projects[Project_ID],0))</f>
        <v>LEAVE</v>
      </c>
      <c r="P705" s="15">
        <f>INDEX(projects[Project_Name],MATCH(TimeEntry[[#This Row],[Project_ID]], projects[Project_ID],0))</f>
        <v>0</v>
      </c>
      <c r="Q705" s="6">
        <f>IF(TimeEntry[[#This Row],[Date]]=0,"",WEEKDAY(C705,2))</f>
        <v>4</v>
      </c>
      <c r="R705" s="9">
        <f>YEAR(TimeEntry[[#This Row],[WkEnd]])</f>
        <v>2019</v>
      </c>
      <c r="S705" s="9">
        <f>WEEKNUM(TimeEntry[[#This Row],[WkEnd]])</f>
        <v>8</v>
      </c>
      <c r="T705" s="9" t="str">
        <f>TimeEntry[[#This Row],[Year]]&amp;"-"&amp;TimeEntry[[#This Row],[WkNo]]</f>
        <v>2019-8</v>
      </c>
    </row>
    <row r="706" spans="1:20" x14ac:dyDescent="0.25">
      <c r="A706" s="6">
        <f>MOD(IF(ROW()=2,0.1,IF(INDEX(TimeEntry[WkEnd],ROW()-1)  =  INDEX(TimeEntry[WkEnd],ROW()-2),    INDEX(TimeEntry[format],ROW()-2),    INDEX(TimeEntry[format],ROW()-2)    +1)),2)</f>
        <v>0.10000000000000009</v>
      </c>
      <c r="B706" s="7"/>
      <c r="C706" s="8">
        <v>43511</v>
      </c>
      <c r="D706" s="8"/>
      <c r="E706" s="1" t="s">
        <v>445</v>
      </c>
      <c r="F706" s="8">
        <f>IF(TimeEntry[[#This Row],[Date]]=0,F705,C706+(7-Q706))</f>
        <v>43513</v>
      </c>
      <c r="G706" s="35" t="str">
        <f>INDEX(projects[Charge_Code],MATCH(TimeEntry[[#This Row],[Project_ID]],projects[Project_ID],0))</f>
        <v>LEAVE</v>
      </c>
      <c r="H706" s="1" t="str">
        <f t="shared" si="14"/>
        <v>Normal Time</v>
      </c>
      <c r="I706" s="1"/>
      <c r="J706" s="15">
        <v>7.5</v>
      </c>
      <c r="K706" s="15"/>
      <c r="L706" s="15"/>
      <c r="M706" s="15"/>
      <c r="N706" s="15"/>
      <c r="O706" s="15" t="str">
        <f>INDEX(projects[job number],MATCH(TimeEntry[[#This Row],[Project_ID]], projects[Project_ID],0))</f>
        <v>LEAVE</v>
      </c>
      <c r="P706" s="15">
        <f>INDEX(projects[Project_Name],MATCH(TimeEntry[[#This Row],[Project_ID]], projects[Project_ID],0))</f>
        <v>0</v>
      </c>
      <c r="Q706" s="6">
        <f>IF(TimeEntry[[#This Row],[Date]]=0,"",WEEKDAY(C706,2))</f>
        <v>5</v>
      </c>
      <c r="R706" s="9">
        <f>YEAR(TimeEntry[[#This Row],[WkEnd]])</f>
        <v>2019</v>
      </c>
      <c r="S706" s="9">
        <f>WEEKNUM(TimeEntry[[#This Row],[WkEnd]])</f>
        <v>8</v>
      </c>
      <c r="T706" s="9" t="str">
        <f>TimeEntry[[#This Row],[Year]]&amp;"-"&amp;TimeEntry[[#This Row],[WkNo]]</f>
        <v>2019-8</v>
      </c>
    </row>
    <row r="707" spans="1:20" x14ac:dyDescent="0.25">
      <c r="A707" s="6">
        <f>MOD(IF(ROW()=2,0.1,IF(INDEX(TimeEntry[WkEnd],ROW()-1)  =  INDEX(TimeEntry[WkEnd],ROW()-2),    INDEX(TimeEntry[format],ROW()-2),    INDEX(TimeEntry[format],ROW()-2)    +1)),2)</f>
        <v>1.1000000000000001</v>
      </c>
      <c r="B707" s="7"/>
      <c r="C707" s="8">
        <v>43500</v>
      </c>
      <c r="D707" s="8"/>
      <c r="E707" s="1" t="s">
        <v>479</v>
      </c>
      <c r="F707" s="8">
        <f>IF(TimeEntry[[#This Row],[Date]]=0,F706,C707+(7-Q707))</f>
        <v>43506</v>
      </c>
      <c r="G707" s="35" t="str">
        <f>INDEX(projects[Charge_Code],MATCH(TimeEntry[[#This Row],[Project_ID]],projects[Project_ID],0))</f>
        <v>260258-41 Galecopper - joints and bearings</v>
      </c>
      <c r="H707" s="1" t="str">
        <f t="shared" si="14"/>
        <v>Normal Time</v>
      </c>
      <c r="I707" s="1"/>
      <c r="J707" s="15">
        <v>3.75</v>
      </c>
      <c r="K707" s="15"/>
      <c r="L707" s="15"/>
      <c r="M707" s="15"/>
      <c r="N707" s="15"/>
      <c r="O707" s="15" t="str">
        <f>INDEX(projects[job number],MATCH(TimeEntry[[#This Row],[Project_ID]], projects[Project_ID],0))</f>
        <v>260258-41</v>
      </c>
      <c r="P707" s="15" t="str">
        <f>INDEX(projects[Project_Name],MATCH(TimeEntry[[#This Row],[Project_ID]], projects[Project_ID],0))</f>
        <v>Galecopper - joints and bearings</v>
      </c>
      <c r="Q707" s="6">
        <f>IF(TimeEntry[[#This Row],[Date]]=0,"",WEEKDAY(C707,2))</f>
        <v>1</v>
      </c>
      <c r="R707" s="9">
        <f>YEAR(TimeEntry[[#This Row],[WkEnd]])</f>
        <v>2019</v>
      </c>
      <c r="S707" s="9">
        <f>WEEKNUM(TimeEntry[[#This Row],[WkEnd]])</f>
        <v>7</v>
      </c>
      <c r="T707" s="9" t="str">
        <f>TimeEntry[[#This Row],[Year]]&amp;"-"&amp;TimeEntry[[#This Row],[WkNo]]</f>
        <v>2019-7</v>
      </c>
    </row>
    <row r="708" spans="1:20" x14ac:dyDescent="0.25">
      <c r="A708" s="6">
        <f>MOD(IF(ROW()=2,0.1,IF(INDEX(TimeEntry[WkEnd],ROW()-1)  =  INDEX(TimeEntry[WkEnd],ROW()-2),    INDEX(TimeEntry[format],ROW()-2),    INDEX(TimeEntry[format],ROW()-2)    +1)),2)</f>
        <v>1.1000000000000001</v>
      </c>
      <c r="B708" s="7"/>
      <c r="C708" s="8">
        <v>43500</v>
      </c>
      <c r="D708" s="8"/>
      <c r="E708" s="1" t="s">
        <v>457</v>
      </c>
      <c r="F708" s="8">
        <f>IF(TimeEntry[[#This Row],[Date]]=0,F707,C708+(7-Q708))</f>
        <v>43506</v>
      </c>
      <c r="G708" s="35" t="str">
        <f>INDEX(projects[Charge_Code],MATCH(TimeEntry[[#This Row],[Project_ID]],projects[Project_ID],0))</f>
        <v>255375-00 M25 West MSA</v>
      </c>
      <c r="H708" s="1" t="str">
        <f t="shared" si="14"/>
        <v>Normal Time</v>
      </c>
      <c r="I708" s="1"/>
      <c r="J708" s="15">
        <v>3.75</v>
      </c>
      <c r="K708" s="15"/>
      <c r="L708" s="15"/>
      <c r="M708" s="15"/>
      <c r="N708" s="15"/>
      <c r="O708" s="15" t="str">
        <f>INDEX(projects[job number],MATCH(TimeEntry[[#This Row],[Project_ID]], projects[Project_ID],0))</f>
        <v>255375-00</v>
      </c>
      <c r="P708" s="15" t="str">
        <f>INDEX(projects[Project_Name],MATCH(TimeEntry[[#This Row],[Project_ID]], projects[Project_ID],0))</f>
        <v>M25 West MSA</v>
      </c>
      <c r="Q708" s="6">
        <f>IF(TimeEntry[[#This Row],[Date]]=0,"",WEEKDAY(C708,2))</f>
        <v>1</v>
      </c>
      <c r="R708" s="9">
        <f>YEAR(TimeEntry[[#This Row],[WkEnd]])</f>
        <v>2019</v>
      </c>
      <c r="S708" s="9">
        <f>WEEKNUM(TimeEntry[[#This Row],[WkEnd]])</f>
        <v>7</v>
      </c>
      <c r="T708" s="9" t="str">
        <f>TimeEntry[[#This Row],[Year]]&amp;"-"&amp;TimeEntry[[#This Row],[WkNo]]</f>
        <v>2019-7</v>
      </c>
    </row>
    <row r="709" spans="1:20" x14ac:dyDescent="0.25">
      <c r="A709" s="6">
        <f>MOD(IF(ROW()=2,0.1,IF(INDEX(TimeEntry[WkEnd],ROW()-1)  =  INDEX(TimeEntry[WkEnd],ROW()-2),    INDEX(TimeEntry[format],ROW()-2),    INDEX(TimeEntry[format],ROW()-2)    +1)),2)</f>
        <v>1.1000000000000001</v>
      </c>
      <c r="B709" s="7"/>
      <c r="C709" s="8">
        <v>43501</v>
      </c>
      <c r="D709" s="8"/>
      <c r="E709" s="1" t="s">
        <v>472</v>
      </c>
      <c r="F709" s="8">
        <f>IF(TimeEntry[[#This Row],[Date]]=0,F708,C709+(7-Q709))</f>
        <v>43506</v>
      </c>
      <c r="G709" s="35" t="str">
        <f>INDEX(projects[Charge_Code],MATCH(TimeEntry[[#This Row],[Project_ID]],projects[Project_ID],0))</f>
        <v>266122-21 A465</v>
      </c>
      <c r="H709" s="1" t="str">
        <f t="shared" si="14"/>
        <v>Normal Time</v>
      </c>
      <c r="I709" s="1"/>
      <c r="J709" s="15">
        <v>7.5</v>
      </c>
      <c r="K709" s="15"/>
      <c r="L709" s="15"/>
      <c r="M709" s="15"/>
      <c r="N709" s="15"/>
      <c r="O709" s="15" t="str">
        <f>INDEX(projects[job number],MATCH(TimeEntry[[#This Row],[Project_ID]], projects[Project_ID],0))</f>
        <v>266122-21</v>
      </c>
      <c r="P709" s="15" t="str">
        <f>INDEX(projects[Project_Name],MATCH(TimeEntry[[#This Row],[Project_ID]], projects[Project_ID],0))</f>
        <v>A465</v>
      </c>
      <c r="Q709" s="6">
        <f>IF(TimeEntry[[#This Row],[Date]]=0,"",WEEKDAY(C709,2))</f>
        <v>2</v>
      </c>
      <c r="R709" s="9">
        <f>YEAR(TimeEntry[[#This Row],[WkEnd]])</f>
        <v>2019</v>
      </c>
      <c r="S709" s="9">
        <f>WEEKNUM(TimeEntry[[#This Row],[WkEnd]])</f>
        <v>7</v>
      </c>
      <c r="T709" s="9" t="str">
        <f>TimeEntry[[#This Row],[Year]]&amp;"-"&amp;TimeEntry[[#This Row],[WkNo]]</f>
        <v>2019-7</v>
      </c>
    </row>
    <row r="710" spans="1:20" x14ac:dyDescent="0.25">
      <c r="A710" s="6">
        <f>MOD(IF(ROW()=2,0.1,IF(INDEX(TimeEntry[WkEnd],ROW()-1)  =  INDEX(TimeEntry[WkEnd],ROW()-2),    INDEX(TimeEntry[format],ROW()-2),    INDEX(TimeEntry[format],ROW()-2)    +1)),2)</f>
        <v>1.1000000000000001</v>
      </c>
      <c r="B710" s="7"/>
      <c r="C710" s="8">
        <v>43502</v>
      </c>
      <c r="D710" s="8"/>
      <c r="E710" s="1" t="s">
        <v>479</v>
      </c>
      <c r="F710" s="8">
        <f>IF(TimeEntry[[#This Row],[Date]]=0,F709,C710+(7-Q710))</f>
        <v>43506</v>
      </c>
      <c r="G710" s="35" t="str">
        <f>INDEX(projects[Charge_Code],MATCH(TimeEntry[[#This Row],[Project_ID]],projects[Project_ID],0))</f>
        <v>260258-41 Galecopper - joints and bearings</v>
      </c>
      <c r="H710" s="1" t="str">
        <f t="shared" si="14"/>
        <v>Normal Time</v>
      </c>
      <c r="I710" s="1"/>
      <c r="J710" s="15">
        <v>7.5</v>
      </c>
      <c r="K710" s="15"/>
      <c r="L710" s="15"/>
      <c r="M710" s="15"/>
      <c r="N710" s="15"/>
      <c r="O710" s="15" t="str">
        <f>INDEX(projects[job number],MATCH(TimeEntry[[#This Row],[Project_ID]], projects[Project_ID],0))</f>
        <v>260258-41</v>
      </c>
      <c r="P710" s="15" t="str">
        <f>INDEX(projects[Project_Name],MATCH(TimeEntry[[#This Row],[Project_ID]], projects[Project_ID],0))</f>
        <v>Galecopper - joints and bearings</v>
      </c>
      <c r="Q710" s="6">
        <f>IF(TimeEntry[[#This Row],[Date]]=0,"",WEEKDAY(C710,2))</f>
        <v>3</v>
      </c>
      <c r="R710" s="9">
        <f>YEAR(TimeEntry[[#This Row],[WkEnd]])</f>
        <v>2019</v>
      </c>
      <c r="S710" s="9">
        <f>WEEKNUM(TimeEntry[[#This Row],[WkEnd]])</f>
        <v>7</v>
      </c>
      <c r="T710" s="9" t="str">
        <f>TimeEntry[[#This Row],[Year]]&amp;"-"&amp;TimeEntry[[#This Row],[WkNo]]</f>
        <v>2019-7</v>
      </c>
    </row>
    <row r="711" spans="1:20" x14ac:dyDescent="0.25">
      <c r="A711" s="6">
        <f>MOD(IF(ROW()=2,0.1,IF(INDEX(TimeEntry[WkEnd],ROW()-1)  =  INDEX(TimeEntry[WkEnd],ROW()-2),    INDEX(TimeEntry[format],ROW()-2),    INDEX(TimeEntry[format],ROW()-2)    +1)),2)</f>
        <v>1.1000000000000001</v>
      </c>
      <c r="B711" s="7"/>
      <c r="C711" s="8">
        <v>43503</v>
      </c>
      <c r="D711" s="8"/>
      <c r="E711" s="1" t="s">
        <v>480</v>
      </c>
      <c r="F711" s="8">
        <f>IF(TimeEntry[[#This Row],[Date]]=0,F710,C711+(7-Q711))</f>
        <v>43506</v>
      </c>
      <c r="G711" s="35" t="str">
        <f>INDEX(projects[Charge_Code],MATCH(TimeEntry[[#This Row],[Project_ID]],projects[Project_ID],0))</f>
        <v>077616-63 Infra BIM</v>
      </c>
      <c r="H711" s="1" t="str">
        <f t="shared" si="14"/>
        <v>Normal Time</v>
      </c>
      <c r="I711" s="1"/>
      <c r="J711" s="15">
        <v>7.5</v>
      </c>
      <c r="K711" s="15"/>
      <c r="L711" s="15"/>
      <c r="M711" s="15"/>
      <c r="N711" s="15"/>
      <c r="O711" s="15" t="str">
        <f>INDEX(projects[job number],MATCH(TimeEntry[[#This Row],[Project_ID]], projects[Project_ID],0))</f>
        <v>077616-63</v>
      </c>
      <c r="P711" s="15" t="str">
        <f>INDEX(projects[Project_Name],MATCH(TimeEntry[[#This Row],[Project_ID]], projects[Project_ID],0))</f>
        <v>Infra BIM</v>
      </c>
      <c r="Q711" s="6">
        <f>IF(TimeEntry[[#This Row],[Date]]=0,"",WEEKDAY(C711,2))</f>
        <v>4</v>
      </c>
      <c r="R711" s="9">
        <f>YEAR(TimeEntry[[#This Row],[WkEnd]])</f>
        <v>2019</v>
      </c>
      <c r="S711" s="9">
        <f>WEEKNUM(TimeEntry[[#This Row],[WkEnd]])</f>
        <v>7</v>
      </c>
      <c r="T711" s="9" t="str">
        <f>TimeEntry[[#This Row],[Year]]&amp;"-"&amp;TimeEntry[[#This Row],[WkNo]]</f>
        <v>2019-7</v>
      </c>
    </row>
    <row r="712" spans="1:20" x14ac:dyDescent="0.25">
      <c r="A712" s="6">
        <f>MOD(IF(ROW()=2,0.1,IF(INDEX(TimeEntry[WkEnd],ROW()-1)  =  INDEX(TimeEntry[WkEnd],ROW()-2),    INDEX(TimeEntry[format],ROW()-2),    INDEX(TimeEntry[format],ROW()-2)    +1)),2)</f>
        <v>1.1000000000000001</v>
      </c>
      <c r="B712" s="7"/>
      <c r="C712" s="8">
        <v>43504</v>
      </c>
      <c r="D712" s="8"/>
      <c r="E712" s="1" t="s">
        <v>472</v>
      </c>
      <c r="F712" s="8">
        <f>IF(TimeEntry[[#This Row],[Date]]=0,F711,C712+(7-Q712))</f>
        <v>43506</v>
      </c>
      <c r="G712" s="35" t="str">
        <f>INDEX(projects[Charge_Code],MATCH(TimeEntry[[#This Row],[Project_ID]],projects[Project_ID],0))</f>
        <v>266122-21 A465</v>
      </c>
      <c r="H712" s="1" t="str">
        <f t="shared" si="14"/>
        <v>Normal Time</v>
      </c>
      <c r="I712" s="1"/>
      <c r="J712" s="15">
        <v>3.75</v>
      </c>
      <c r="K712" s="15"/>
      <c r="L712" s="15"/>
      <c r="M712" s="15"/>
      <c r="N712" s="15"/>
      <c r="O712" s="15" t="str">
        <f>INDEX(projects[job number],MATCH(TimeEntry[[#This Row],[Project_ID]], projects[Project_ID],0))</f>
        <v>266122-21</v>
      </c>
      <c r="P712" s="15" t="str">
        <f>INDEX(projects[Project_Name],MATCH(TimeEntry[[#This Row],[Project_ID]], projects[Project_ID],0))</f>
        <v>A465</v>
      </c>
      <c r="Q712" s="6">
        <f>IF(TimeEntry[[#This Row],[Date]]=0,"",WEEKDAY(C712,2))</f>
        <v>5</v>
      </c>
      <c r="R712" s="9">
        <f>YEAR(TimeEntry[[#This Row],[WkEnd]])</f>
        <v>2019</v>
      </c>
      <c r="S712" s="9">
        <f>WEEKNUM(TimeEntry[[#This Row],[WkEnd]])</f>
        <v>7</v>
      </c>
      <c r="T712" s="9" t="str">
        <f>TimeEntry[[#This Row],[Year]]&amp;"-"&amp;TimeEntry[[#This Row],[WkNo]]</f>
        <v>2019-7</v>
      </c>
    </row>
    <row r="713" spans="1:20" x14ac:dyDescent="0.25">
      <c r="A713" s="6">
        <f>MOD(IF(ROW()=2,0.1,IF(INDEX(TimeEntry[WkEnd],ROW()-1)  =  INDEX(TimeEntry[WkEnd],ROW()-2),    INDEX(TimeEntry[format],ROW()-2),    INDEX(TimeEntry[format],ROW()-2)    +1)),2)</f>
        <v>1.1000000000000001</v>
      </c>
      <c r="B713" s="7"/>
      <c r="C713" s="8">
        <v>43504</v>
      </c>
      <c r="D713" s="8"/>
      <c r="E713" s="1" t="s">
        <v>479</v>
      </c>
      <c r="F713" s="8">
        <f>IF(TimeEntry[[#This Row],[Date]]=0,F712,C713+(7-Q713))</f>
        <v>43506</v>
      </c>
      <c r="G713" s="35" t="str">
        <f>INDEX(projects[Charge_Code],MATCH(TimeEntry[[#This Row],[Project_ID]],projects[Project_ID],0))</f>
        <v>260258-41 Galecopper - joints and bearings</v>
      </c>
      <c r="H713" s="1" t="str">
        <f t="shared" si="14"/>
        <v>Normal Time</v>
      </c>
      <c r="I713" s="1"/>
      <c r="J713" s="15">
        <v>1</v>
      </c>
      <c r="K713" s="15"/>
      <c r="L713" s="15"/>
      <c r="M713" s="15"/>
      <c r="N713" s="15"/>
      <c r="O713" s="15" t="str">
        <f>INDEX(projects[job number],MATCH(TimeEntry[[#This Row],[Project_ID]], projects[Project_ID],0))</f>
        <v>260258-41</v>
      </c>
      <c r="P713" s="15" t="str">
        <f>INDEX(projects[Project_Name],MATCH(TimeEntry[[#This Row],[Project_ID]], projects[Project_ID],0))</f>
        <v>Galecopper - joints and bearings</v>
      </c>
      <c r="Q713" s="6">
        <f>IF(TimeEntry[[#This Row],[Date]]=0,"",WEEKDAY(C713,2))</f>
        <v>5</v>
      </c>
      <c r="R713" s="9">
        <f>YEAR(TimeEntry[[#This Row],[WkEnd]])</f>
        <v>2019</v>
      </c>
      <c r="S713" s="9">
        <f>WEEKNUM(TimeEntry[[#This Row],[WkEnd]])</f>
        <v>7</v>
      </c>
      <c r="T713" s="9" t="str">
        <f>TimeEntry[[#This Row],[Year]]&amp;"-"&amp;TimeEntry[[#This Row],[WkNo]]</f>
        <v>2019-7</v>
      </c>
    </row>
    <row r="714" spans="1:20" x14ac:dyDescent="0.25">
      <c r="A714" s="6">
        <f>MOD(IF(ROW()=2,0.1,IF(INDEX(TimeEntry[WkEnd],ROW()-1)  =  INDEX(TimeEntry[WkEnd],ROW()-2),    INDEX(TimeEntry[format],ROW()-2),    INDEX(TimeEntry[format],ROW()-2)    +1)),2)</f>
        <v>1.1000000000000001</v>
      </c>
      <c r="B714" s="7"/>
      <c r="C714" s="8">
        <v>43504</v>
      </c>
      <c r="D714" s="8"/>
      <c r="E714" s="1" t="s">
        <v>452</v>
      </c>
      <c r="F714" s="8">
        <f>IF(TimeEntry[[#This Row],[Date]]=0,F713,C714+(7-Q714))</f>
        <v>43506</v>
      </c>
      <c r="G714" s="35" t="str">
        <f>INDEX(projects[Charge_Code],MATCH(TimeEntry[[#This Row],[Project_ID]],projects[Project_ID],0))</f>
        <v>254304-96 HCC - Paul Cully (01-382)</v>
      </c>
      <c r="H714" s="1" t="str">
        <f t="shared" si="14"/>
        <v>Normal Time</v>
      </c>
      <c r="I714" s="1"/>
      <c r="J714" s="15">
        <v>1.5</v>
      </c>
      <c r="K714" s="15"/>
      <c r="L714" s="15"/>
      <c r="M714" s="15"/>
      <c r="N714" s="15"/>
      <c r="O714" s="15" t="str">
        <f>INDEX(projects[job number],MATCH(TimeEntry[[#This Row],[Project_ID]], projects[Project_ID],0))</f>
        <v>254304-96</v>
      </c>
      <c r="P714" s="15" t="str">
        <f>INDEX(projects[Project_Name],MATCH(TimeEntry[[#This Row],[Project_ID]], projects[Project_ID],0))</f>
        <v>HCC - Paul Cully</v>
      </c>
      <c r="Q714" s="6">
        <f>IF(TimeEntry[[#This Row],[Date]]=0,"",WEEKDAY(C714,2))</f>
        <v>5</v>
      </c>
      <c r="R714" s="9">
        <f>YEAR(TimeEntry[[#This Row],[WkEnd]])</f>
        <v>2019</v>
      </c>
      <c r="S714" s="9">
        <f>WEEKNUM(TimeEntry[[#This Row],[WkEnd]])</f>
        <v>7</v>
      </c>
      <c r="T714" s="9" t="str">
        <f>TimeEntry[[#This Row],[Year]]&amp;"-"&amp;TimeEntry[[#This Row],[WkNo]]</f>
        <v>2019-7</v>
      </c>
    </row>
    <row r="715" spans="1:20" x14ac:dyDescent="0.25">
      <c r="A715" s="6">
        <f>MOD(IF(ROW()=2,0.1,IF(INDEX(TimeEntry[WkEnd],ROW()-1)  =  INDEX(TimeEntry[WkEnd],ROW()-2),    INDEX(TimeEntry[format],ROW()-2),    INDEX(TimeEntry[format],ROW()-2)    +1)),2)</f>
        <v>1.1000000000000001</v>
      </c>
      <c r="B715" s="7"/>
      <c r="C715" s="8">
        <v>43504</v>
      </c>
      <c r="D715" s="8"/>
      <c r="E715" s="1" t="s">
        <v>452</v>
      </c>
      <c r="F715" s="8">
        <f>IF(TimeEntry[[#This Row],[Date]]=0,F714,C715+(7-Q715))</f>
        <v>43506</v>
      </c>
      <c r="G715" s="35" t="str">
        <f>INDEX(projects[Charge_Code],MATCH(TimeEntry[[#This Row],[Project_ID]],projects[Project_ID],0))</f>
        <v>254304-96 HCC - Paul Cully (01-382)</v>
      </c>
      <c r="H715" s="1" t="str">
        <f t="shared" si="14"/>
        <v>Normal Time</v>
      </c>
      <c r="I715" s="1"/>
      <c r="J715" s="15">
        <v>1.25</v>
      </c>
      <c r="K715" s="15"/>
      <c r="L715" s="15"/>
      <c r="M715" s="15"/>
      <c r="N715" s="15"/>
      <c r="O715" s="15" t="str">
        <f>INDEX(projects[job number],MATCH(TimeEntry[[#This Row],[Project_ID]], projects[Project_ID],0))</f>
        <v>254304-96</v>
      </c>
      <c r="P715" s="15" t="str">
        <f>INDEX(projects[Project_Name],MATCH(TimeEntry[[#This Row],[Project_ID]], projects[Project_ID],0))</f>
        <v>HCC - Paul Cully</v>
      </c>
      <c r="Q715" s="6">
        <f>IF(TimeEntry[[#This Row],[Date]]=0,"",WEEKDAY(C715,2))</f>
        <v>5</v>
      </c>
      <c r="R715" s="9">
        <f>YEAR(TimeEntry[[#This Row],[WkEnd]])</f>
        <v>2019</v>
      </c>
      <c r="S715" s="9">
        <f>WEEKNUM(TimeEntry[[#This Row],[WkEnd]])</f>
        <v>7</v>
      </c>
      <c r="T715" s="9" t="str">
        <f>TimeEntry[[#This Row],[Year]]&amp;"-"&amp;TimeEntry[[#This Row],[WkNo]]</f>
        <v>2019-7</v>
      </c>
    </row>
    <row r="716" spans="1:20" x14ac:dyDescent="0.25">
      <c r="A716" s="6">
        <f>MOD(IF(ROW()=2,0.1,IF(INDEX(TimeEntry[WkEnd],ROW()-1)  =  INDEX(TimeEntry[WkEnd],ROW()-2),    INDEX(TimeEntry[format],ROW()-2),    INDEX(TimeEntry[format],ROW()-2)    +1)),2)</f>
        <v>0.10000000000000009</v>
      </c>
      <c r="B716" s="7"/>
      <c r="C716" s="8">
        <v>43493</v>
      </c>
      <c r="D716" s="8"/>
      <c r="E716" s="1" t="s">
        <v>452</v>
      </c>
      <c r="F716" s="8">
        <f>IF(TimeEntry[[#This Row],[Date]]=0,F715,C716+(7-Q716))</f>
        <v>43499</v>
      </c>
      <c r="G716" s="35" t="str">
        <f>INDEX(projects[Charge_Code],MATCH(TimeEntry[[#This Row],[Project_ID]],projects[Project_ID],0))</f>
        <v>254304-96 HCC - Paul Cully (01-382)</v>
      </c>
      <c r="H716" s="1" t="str">
        <f t="shared" si="14"/>
        <v>Normal Time</v>
      </c>
      <c r="I716" s="1"/>
      <c r="J716" s="15">
        <v>2.5</v>
      </c>
      <c r="K716" s="15"/>
      <c r="L716" s="15"/>
      <c r="M716" s="15"/>
      <c r="N716" s="15"/>
      <c r="O716" s="15" t="str">
        <f>INDEX(projects[job number],MATCH(TimeEntry[[#This Row],[Project_ID]], projects[Project_ID],0))</f>
        <v>254304-96</v>
      </c>
      <c r="P716" s="15" t="str">
        <f>INDEX(projects[Project_Name],MATCH(TimeEntry[[#This Row],[Project_ID]], projects[Project_ID],0))</f>
        <v>HCC - Paul Cully</v>
      </c>
      <c r="Q716" s="6">
        <f>IF(TimeEntry[[#This Row],[Date]]=0,"",WEEKDAY(C716,2))</f>
        <v>1</v>
      </c>
      <c r="R716" s="9">
        <f>YEAR(TimeEntry[[#This Row],[WkEnd]])</f>
        <v>2019</v>
      </c>
      <c r="S716" s="9">
        <f>WEEKNUM(TimeEntry[[#This Row],[WkEnd]])</f>
        <v>6</v>
      </c>
      <c r="T716" s="9" t="str">
        <f>TimeEntry[[#This Row],[Year]]&amp;"-"&amp;TimeEntry[[#This Row],[WkNo]]</f>
        <v>2019-6</v>
      </c>
    </row>
    <row r="717" spans="1:20" x14ac:dyDescent="0.25">
      <c r="A717" s="6">
        <f>MOD(IF(ROW()=2,0.1,IF(INDEX(TimeEntry[WkEnd],ROW()-1)  =  INDEX(TimeEntry[WkEnd],ROW()-2),    INDEX(TimeEntry[format],ROW()-2),    INDEX(TimeEntry[format],ROW()-2)    +1)),2)</f>
        <v>0.10000000000000009</v>
      </c>
      <c r="B717" s="7"/>
      <c r="C717" s="8">
        <v>43493</v>
      </c>
      <c r="D717" s="8"/>
      <c r="E717" s="1" t="s">
        <v>472</v>
      </c>
      <c r="F717" s="8">
        <f>IF(TimeEntry[[#This Row],[Date]]=0,F716,C717+(7-Q717))</f>
        <v>43499</v>
      </c>
      <c r="G717" s="35" t="str">
        <f>INDEX(projects[Charge_Code],MATCH(TimeEntry[[#This Row],[Project_ID]],projects[Project_ID],0))</f>
        <v>266122-21 A465</v>
      </c>
      <c r="H717" s="1" t="str">
        <f t="shared" si="14"/>
        <v>Normal Time</v>
      </c>
      <c r="I717" s="1"/>
      <c r="J717" s="15">
        <v>2</v>
      </c>
      <c r="K717" s="15"/>
      <c r="L717" s="15"/>
      <c r="M717" s="15"/>
      <c r="N717" s="15"/>
      <c r="O717" s="15" t="str">
        <f>INDEX(projects[job number],MATCH(TimeEntry[[#This Row],[Project_ID]], projects[Project_ID],0))</f>
        <v>266122-21</v>
      </c>
      <c r="P717" s="15" t="str">
        <f>INDEX(projects[Project_Name],MATCH(TimeEntry[[#This Row],[Project_ID]], projects[Project_ID],0))</f>
        <v>A465</v>
      </c>
      <c r="Q717" s="6">
        <f>IF(TimeEntry[[#This Row],[Date]]=0,"",WEEKDAY(C717,2))</f>
        <v>1</v>
      </c>
      <c r="R717" s="9">
        <f>YEAR(TimeEntry[[#This Row],[WkEnd]])</f>
        <v>2019</v>
      </c>
      <c r="S717" s="9">
        <f>WEEKNUM(TimeEntry[[#This Row],[WkEnd]])</f>
        <v>6</v>
      </c>
      <c r="T717" s="9" t="str">
        <f>TimeEntry[[#This Row],[Year]]&amp;"-"&amp;TimeEntry[[#This Row],[WkNo]]</f>
        <v>2019-6</v>
      </c>
    </row>
    <row r="718" spans="1:20" x14ac:dyDescent="0.25">
      <c r="A718" s="6">
        <f>MOD(IF(ROW()=2,0.1,IF(INDEX(TimeEntry[WkEnd],ROW()-1)  =  INDEX(TimeEntry[WkEnd],ROW()-2),    INDEX(TimeEntry[format],ROW()-2),    INDEX(TimeEntry[format],ROW()-2)    +1)),2)</f>
        <v>0.10000000000000009</v>
      </c>
      <c r="B718" s="7"/>
      <c r="C718" s="8">
        <v>43493</v>
      </c>
      <c r="D718" s="8"/>
      <c r="E718" s="1" t="s">
        <v>472</v>
      </c>
      <c r="F718" s="8">
        <f>IF(TimeEntry[[#This Row],[Date]]=0,F717,C718+(7-Q718))</f>
        <v>43499</v>
      </c>
      <c r="G718" s="35" t="str">
        <f>INDEX(projects[Charge_Code],MATCH(TimeEntry[[#This Row],[Project_ID]],projects[Project_ID],0))</f>
        <v>266122-21 A465</v>
      </c>
      <c r="H718" s="1" t="str">
        <f t="shared" si="14"/>
        <v>Normal Time</v>
      </c>
      <c r="I718" s="1"/>
      <c r="J718" s="15">
        <v>3</v>
      </c>
      <c r="K718" s="15"/>
      <c r="L718" s="15"/>
      <c r="M718" s="15"/>
      <c r="N718" s="15"/>
      <c r="O718" s="15" t="str">
        <f>INDEX(projects[job number],MATCH(TimeEntry[[#This Row],[Project_ID]], projects[Project_ID],0))</f>
        <v>266122-21</v>
      </c>
      <c r="P718" s="15" t="str">
        <f>INDEX(projects[Project_Name],MATCH(TimeEntry[[#This Row],[Project_ID]], projects[Project_ID],0))</f>
        <v>A465</v>
      </c>
      <c r="Q718" s="6">
        <f>IF(TimeEntry[[#This Row],[Date]]=0,"",WEEKDAY(C718,2))</f>
        <v>1</v>
      </c>
      <c r="R718" s="9">
        <f>YEAR(TimeEntry[[#This Row],[WkEnd]])</f>
        <v>2019</v>
      </c>
      <c r="S718" s="9">
        <f>WEEKNUM(TimeEntry[[#This Row],[WkEnd]])</f>
        <v>6</v>
      </c>
      <c r="T718" s="9" t="str">
        <f>TimeEntry[[#This Row],[Year]]&amp;"-"&amp;TimeEntry[[#This Row],[WkNo]]</f>
        <v>2019-6</v>
      </c>
    </row>
    <row r="719" spans="1:20" x14ac:dyDescent="0.25">
      <c r="A719" s="6">
        <f>MOD(IF(ROW()=2,0.1,IF(INDEX(TimeEntry[WkEnd],ROW()-1)  =  INDEX(TimeEntry[WkEnd],ROW()-2),    INDEX(TimeEntry[format],ROW()-2),    INDEX(TimeEntry[format],ROW()-2)    +1)),2)</f>
        <v>0.10000000000000009</v>
      </c>
      <c r="B719" s="7"/>
      <c r="C719" s="8">
        <v>43494</v>
      </c>
      <c r="D719" s="8"/>
      <c r="E719" s="1" t="s">
        <v>472</v>
      </c>
      <c r="F719" s="8">
        <f>IF(TimeEntry[[#This Row],[Date]]=0,F718,C719+(7-Q719))</f>
        <v>43499</v>
      </c>
      <c r="G719" s="35" t="str">
        <f>INDEX(projects[Charge_Code],MATCH(TimeEntry[[#This Row],[Project_ID]],projects[Project_ID],0))</f>
        <v>266122-21 A465</v>
      </c>
      <c r="H719" s="1" t="str">
        <f t="shared" si="14"/>
        <v>Normal Time</v>
      </c>
      <c r="I719" s="1"/>
      <c r="J719" s="15">
        <v>7.5</v>
      </c>
      <c r="K719" s="15"/>
      <c r="L719" s="15"/>
      <c r="M719" s="15"/>
      <c r="N719" s="15"/>
      <c r="O719" s="15" t="str">
        <f>INDEX(projects[job number],MATCH(TimeEntry[[#This Row],[Project_ID]], projects[Project_ID],0))</f>
        <v>266122-21</v>
      </c>
      <c r="P719" s="15" t="str">
        <f>INDEX(projects[Project_Name],MATCH(TimeEntry[[#This Row],[Project_ID]], projects[Project_ID],0))</f>
        <v>A465</v>
      </c>
      <c r="Q719" s="6">
        <f>IF(TimeEntry[[#This Row],[Date]]=0,"",WEEKDAY(C719,2))</f>
        <v>2</v>
      </c>
      <c r="R719" s="9">
        <f>YEAR(TimeEntry[[#This Row],[WkEnd]])</f>
        <v>2019</v>
      </c>
      <c r="S719" s="9">
        <f>WEEKNUM(TimeEntry[[#This Row],[WkEnd]])</f>
        <v>6</v>
      </c>
      <c r="T719" s="9" t="str">
        <f>TimeEntry[[#This Row],[Year]]&amp;"-"&amp;TimeEntry[[#This Row],[WkNo]]</f>
        <v>2019-6</v>
      </c>
    </row>
    <row r="720" spans="1:20" x14ac:dyDescent="0.25">
      <c r="A720" s="6">
        <f>MOD(IF(ROW()=2,0.1,IF(INDEX(TimeEntry[WkEnd],ROW()-1)  =  INDEX(TimeEntry[WkEnd],ROW()-2),    INDEX(TimeEntry[format],ROW()-2),    INDEX(TimeEntry[format],ROW()-2)    +1)),2)</f>
        <v>0.10000000000000009</v>
      </c>
      <c r="B720" s="7"/>
      <c r="C720" s="8">
        <v>43495</v>
      </c>
      <c r="D720" s="8"/>
      <c r="E720" s="1" t="s">
        <v>457</v>
      </c>
      <c r="F720" s="8">
        <f>IF(TimeEntry[[#This Row],[Date]]=0,F719,C720+(7-Q720))</f>
        <v>43499</v>
      </c>
      <c r="G720" s="35" t="str">
        <f>INDEX(projects[Charge_Code],MATCH(TimeEntry[[#This Row],[Project_ID]],projects[Project_ID],0))</f>
        <v>255375-00 M25 West MSA</v>
      </c>
      <c r="H720" s="1" t="str">
        <f t="shared" si="14"/>
        <v>Normal Time</v>
      </c>
      <c r="I720" s="1"/>
      <c r="J720" s="15">
        <v>7.5</v>
      </c>
      <c r="K720" s="15"/>
      <c r="L720" s="15"/>
      <c r="M720" s="15"/>
      <c r="N720" s="15"/>
      <c r="O720" s="15" t="str">
        <f>INDEX(projects[job number],MATCH(TimeEntry[[#This Row],[Project_ID]], projects[Project_ID],0))</f>
        <v>255375-00</v>
      </c>
      <c r="P720" s="15" t="str">
        <f>INDEX(projects[Project_Name],MATCH(TimeEntry[[#This Row],[Project_ID]], projects[Project_ID],0))</f>
        <v>M25 West MSA</v>
      </c>
      <c r="Q720" s="6">
        <f>IF(TimeEntry[[#This Row],[Date]]=0,"",WEEKDAY(C720,2))</f>
        <v>3</v>
      </c>
      <c r="R720" s="9">
        <f>YEAR(TimeEntry[[#This Row],[WkEnd]])</f>
        <v>2019</v>
      </c>
      <c r="S720" s="9">
        <f>WEEKNUM(TimeEntry[[#This Row],[WkEnd]])</f>
        <v>6</v>
      </c>
      <c r="T720" s="9" t="str">
        <f>TimeEntry[[#This Row],[Year]]&amp;"-"&amp;TimeEntry[[#This Row],[WkNo]]</f>
        <v>2019-6</v>
      </c>
    </row>
    <row r="721" spans="1:20" x14ac:dyDescent="0.25">
      <c r="A721" s="6">
        <f>MOD(IF(ROW()=2,0.1,IF(INDEX(TimeEntry[WkEnd],ROW()-1)  =  INDEX(TimeEntry[WkEnd],ROW()-2),    INDEX(TimeEntry[format],ROW()-2),    INDEX(TimeEntry[format],ROW()-2)    +1)),2)</f>
        <v>0.10000000000000009</v>
      </c>
      <c r="B721" s="7"/>
      <c r="C721" s="8">
        <v>43496</v>
      </c>
      <c r="D721" s="8"/>
      <c r="E721" s="1" t="s">
        <v>465</v>
      </c>
      <c r="F721" s="8">
        <f>IF(TimeEntry[[#This Row],[Date]]=0,F720,C721+(7-Q721))</f>
        <v>43499</v>
      </c>
      <c r="G721" s="35" t="str">
        <f>INDEX(projects[Charge_Code],MATCH(TimeEntry[[#This Row],[Project_ID]],projects[Project_ID],0))</f>
        <v>215526-27 CP - Assessment (01-124)</v>
      </c>
      <c r="H721" s="1" t="str">
        <f t="shared" si="14"/>
        <v>Normal Time</v>
      </c>
      <c r="I721" s="1"/>
      <c r="J721" s="15">
        <v>3.75</v>
      </c>
      <c r="K721" s="15"/>
      <c r="L721" s="15"/>
      <c r="M721" s="15"/>
      <c r="N721" s="15"/>
      <c r="O721" s="15" t="str">
        <f>INDEX(projects[job number],MATCH(TimeEntry[[#This Row],[Project_ID]], projects[Project_ID],0))</f>
        <v>215526-27</v>
      </c>
      <c r="P721" s="15" t="str">
        <f>INDEX(projects[Project_Name],MATCH(TimeEntry[[#This Row],[Project_ID]], projects[Project_ID],0))</f>
        <v>CP - Assessment</v>
      </c>
      <c r="Q721" s="6">
        <f>IF(TimeEntry[[#This Row],[Date]]=0,"",WEEKDAY(C721,2))</f>
        <v>4</v>
      </c>
      <c r="R721" s="9">
        <f>YEAR(TimeEntry[[#This Row],[WkEnd]])</f>
        <v>2019</v>
      </c>
      <c r="S721" s="9">
        <f>WEEKNUM(TimeEntry[[#This Row],[WkEnd]])</f>
        <v>6</v>
      </c>
      <c r="T721" s="9" t="str">
        <f>TimeEntry[[#This Row],[Year]]&amp;"-"&amp;TimeEntry[[#This Row],[WkNo]]</f>
        <v>2019-6</v>
      </c>
    </row>
    <row r="722" spans="1:20" x14ac:dyDescent="0.25">
      <c r="A722" s="6">
        <f>MOD(IF(ROW()=2,0.1,IF(INDEX(TimeEntry[WkEnd],ROW()-1)  =  INDEX(TimeEntry[WkEnd],ROW()-2),    INDEX(TimeEntry[format],ROW()-2),    INDEX(TimeEntry[format],ROW()-2)    +1)),2)</f>
        <v>0.10000000000000009</v>
      </c>
      <c r="B722" s="7"/>
      <c r="C722" s="8">
        <v>43496</v>
      </c>
      <c r="D722" s="8"/>
      <c r="E722" s="1" t="s">
        <v>472</v>
      </c>
      <c r="F722" s="8">
        <f>IF(TimeEntry[[#This Row],[Date]]=0,F721,C722+(7-Q722))</f>
        <v>43499</v>
      </c>
      <c r="G722" s="35" t="str">
        <f>INDEX(projects[Charge_Code],MATCH(TimeEntry[[#This Row],[Project_ID]],projects[Project_ID],0))</f>
        <v>266122-21 A465</v>
      </c>
      <c r="H722" s="1" t="str">
        <f t="shared" si="14"/>
        <v>Normal Time</v>
      </c>
      <c r="I722" s="1"/>
      <c r="J722" s="15">
        <v>3.75</v>
      </c>
      <c r="K722" s="15"/>
      <c r="L722" s="15"/>
      <c r="M722" s="15"/>
      <c r="N722" s="15"/>
      <c r="O722" s="15" t="str">
        <f>INDEX(projects[job number],MATCH(TimeEntry[[#This Row],[Project_ID]], projects[Project_ID],0))</f>
        <v>266122-21</v>
      </c>
      <c r="P722" s="15" t="str">
        <f>INDEX(projects[Project_Name],MATCH(TimeEntry[[#This Row],[Project_ID]], projects[Project_ID],0))</f>
        <v>A465</v>
      </c>
      <c r="Q722" s="6">
        <f>IF(TimeEntry[[#This Row],[Date]]=0,"",WEEKDAY(C722,2))</f>
        <v>4</v>
      </c>
      <c r="R722" s="9">
        <f>YEAR(TimeEntry[[#This Row],[WkEnd]])</f>
        <v>2019</v>
      </c>
      <c r="S722" s="9">
        <f>WEEKNUM(TimeEntry[[#This Row],[WkEnd]])</f>
        <v>6</v>
      </c>
      <c r="T722" s="9" t="str">
        <f>TimeEntry[[#This Row],[Year]]&amp;"-"&amp;TimeEntry[[#This Row],[WkNo]]</f>
        <v>2019-6</v>
      </c>
    </row>
    <row r="723" spans="1:20" x14ac:dyDescent="0.25">
      <c r="A723" s="6">
        <f>MOD(IF(ROW()=2,0.1,IF(INDEX(TimeEntry[WkEnd],ROW()-1)  =  INDEX(TimeEntry[WkEnd],ROW()-2),    INDEX(TimeEntry[format],ROW()-2),    INDEX(TimeEntry[format],ROW()-2)    +1)),2)</f>
        <v>0.10000000000000009</v>
      </c>
      <c r="B723" s="7"/>
      <c r="C723" s="8">
        <v>43497</v>
      </c>
      <c r="D723" s="8"/>
      <c r="E723" s="1" t="s">
        <v>472</v>
      </c>
      <c r="F723" s="8">
        <f>IF(TimeEntry[[#This Row],[Date]]=0,F722,C723+(7-Q723))</f>
        <v>43499</v>
      </c>
      <c r="G723" s="35" t="str">
        <f>INDEX(projects[Charge_Code],MATCH(TimeEntry[[#This Row],[Project_ID]],projects[Project_ID],0))</f>
        <v>266122-21 A465</v>
      </c>
      <c r="H723" s="1" t="str">
        <f t="shared" si="14"/>
        <v>Normal Time</v>
      </c>
      <c r="I723" s="1"/>
      <c r="J723" s="15">
        <v>3.75</v>
      </c>
      <c r="K723" s="15"/>
      <c r="L723" s="15"/>
      <c r="M723" s="15"/>
      <c r="N723" s="15"/>
      <c r="O723" s="15" t="str">
        <f>INDEX(projects[job number],MATCH(TimeEntry[[#This Row],[Project_ID]], projects[Project_ID],0))</f>
        <v>266122-21</v>
      </c>
      <c r="P723" s="15" t="str">
        <f>INDEX(projects[Project_Name],MATCH(TimeEntry[[#This Row],[Project_ID]], projects[Project_ID],0))</f>
        <v>A465</v>
      </c>
      <c r="Q723" s="6">
        <f>IF(TimeEntry[[#This Row],[Date]]=0,"",WEEKDAY(C723,2))</f>
        <v>5</v>
      </c>
      <c r="R723" s="9">
        <f>YEAR(TimeEntry[[#This Row],[WkEnd]])</f>
        <v>2019</v>
      </c>
      <c r="S723" s="9">
        <f>WEEKNUM(TimeEntry[[#This Row],[WkEnd]])</f>
        <v>6</v>
      </c>
      <c r="T723" s="9" t="str">
        <f>TimeEntry[[#This Row],[Year]]&amp;"-"&amp;TimeEntry[[#This Row],[WkNo]]</f>
        <v>2019-6</v>
      </c>
    </row>
    <row r="724" spans="1:20" x14ac:dyDescent="0.25">
      <c r="A724" s="6">
        <f>MOD(IF(ROW()=2,0.1,IF(INDEX(TimeEntry[WkEnd],ROW()-1)  =  INDEX(TimeEntry[WkEnd],ROW()-2),    INDEX(TimeEntry[format],ROW()-2),    INDEX(TimeEntry[format],ROW()-2)    +1)),2)</f>
        <v>0.10000000000000009</v>
      </c>
      <c r="B724" s="7"/>
      <c r="C724" s="8">
        <v>43497</v>
      </c>
      <c r="D724" s="8"/>
      <c r="E724" s="1" t="s">
        <v>472</v>
      </c>
      <c r="F724" s="8">
        <f>IF(TimeEntry[[#This Row],[Date]]=0,F723,C724+(7-Q724))</f>
        <v>43499</v>
      </c>
      <c r="G724" s="35" t="str">
        <f>INDEX(projects[Charge_Code],MATCH(TimeEntry[[#This Row],[Project_ID]],projects[Project_ID],0))</f>
        <v>266122-21 A465</v>
      </c>
      <c r="H724" s="1" t="str">
        <f t="shared" si="14"/>
        <v>Normal Time</v>
      </c>
      <c r="I724" s="1"/>
      <c r="J724" s="15">
        <v>3.75</v>
      </c>
      <c r="K724" s="15"/>
      <c r="L724" s="15"/>
      <c r="M724" s="15"/>
      <c r="N724" s="15"/>
      <c r="O724" s="15" t="str">
        <f>INDEX(projects[job number],MATCH(TimeEntry[[#This Row],[Project_ID]], projects[Project_ID],0))</f>
        <v>266122-21</v>
      </c>
      <c r="P724" s="15" t="str">
        <f>INDEX(projects[Project_Name],MATCH(TimeEntry[[#This Row],[Project_ID]], projects[Project_ID],0))</f>
        <v>A465</v>
      </c>
      <c r="Q724" s="6">
        <f>IF(TimeEntry[[#This Row],[Date]]=0,"",WEEKDAY(C724,2))</f>
        <v>5</v>
      </c>
      <c r="R724" s="9">
        <f>YEAR(TimeEntry[[#This Row],[WkEnd]])</f>
        <v>2019</v>
      </c>
      <c r="S724" s="9">
        <f>WEEKNUM(TimeEntry[[#This Row],[WkEnd]])</f>
        <v>6</v>
      </c>
      <c r="T724" s="9" t="str">
        <f>TimeEntry[[#This Row],[Year]]&amp;"-"&amp;TimeEntry[[#This Row],[WkNo]]</f>
        <v>2019-6</v>
      </c>
    </row>
    <row r="725" spans="1:20" x14ac:dyDescent="0.25">
      <c r="A725" s="6">
        <f>MOD(IF(ROW()=2,0.1,IF(INDEX(TimeEntry[WkEnd],ROW()-1)  =  INDEX(TimeEntry[WkEnd],ROW()-2),    INDEX(TimeEntry[format],ROW()-2),    INDEX(TimeEntry[format],ROW()-2)    +1)),2)</f>
        <v>1.1000000000000001</v>
      </c>
      <c r="B725" s="7"/>
      <c r="C725" s="8">
        <v>43486</v>
      </c>
      <c r="D725" s="8"/>
      <c r="E725" s="1" t="s">
        <v>472</v>
      </c>
      <c r="F725" s="8">
        <f>IF(TimeEntry[[#This Row],[Date]]=0,F724,C725+(7-Q725))</f>
        <v>43492</v>
      </c>
      <c r="G725" s="35" t="str">
        <f>INDEX(projects[Charge_Code],MATCH(TimeEntry[[#This Row],[Project_ID]],projects[Project_ID],0))</f>
        <v>266122-21 A465</v>
      </c>
      <c r="H725" s="1" t="str">
        <f t="shared" si="14"/>
        <v>Normal Time</v>
      </c>
      <c r="I725" s="1"/>
      <c r="J725" s="15">
        <v>7.5</v>
      </c>
      <c r="K725" s="15"/>
      <c r="L725" s="15"/>
      <c r="M725" s="15"/>
      <c r="N725" s="15"/>
      <c r="O725" s="15" t="str">
        <f>INDEX(projects[job number],MATCH(TimeEntry[[#This Row],[Project_ID]], projects[Project_ID],0))</f>
        <v>266122-21</v>
      </c>
      <c r="P725" s="15" t="str">
        <f>INDEX(projects[Project_Name],MATCH(TimeEntry[[#This Row],[Project_ID]], projects[Project_ID],0))</f>
        <v>A465</v>
      </c>
      <c r="Q725" s="6">
        <f>IF(TimeEntry[[#This Row],[Date]]=0,"",WEEKDAY(C725,2))</f>
        <v>1</v>
      </c>
      <c r="R725" s="9">
        <f>YEAR(TimeEntry[[#This Row],[WkEnd]])</f>
        <v>2019</v>
      </c>
      <c r="S725" s="9">
        <f>WEEKNUM(TimeEntry[[#This Row],[WkEnd]])</f>
        <v>5</v>
      </c>
      <c r="T725" s="9" t="str">
        <f>TimeEntry[[#This Row],[Year]]&amp;"-"&amp;TimeEntry[[#This Row],[WkNo]]</f>
        <v>2019-5</v>
      </c>
    </row>
    <row r="726" spans="1:20" x14ac:dyDescent="0.25">
      <c r="A726" s="6">
        <f>MOD(IF(ROW()=2,0.1,IF(INDEX(TimeEntry[WkEnd],ROW()-1)  =  INDEX(TimeEntry[WkEnd],ROW()-2),    INDEX(TimeEntry[format],ROW()-2),    INDEX(TimeEntry[format],ROW()-2)    +1)),2)</f>
        <v>1.1000000000000001</v>
      </c>
      <c r="B726" s="7"/>
      <c r="C726" s="8">
        <v>43487</v>
      </c>
      <c r="D726" s="8"/>
      <c r="E726" s="1" t="s">
        <v>476</v>
      </c>
      <c r="F726" s="8">
        <f>IF(TimeEntry[[#This Row],[Date]]=0,F725,C726+(7-Q726))</f>
        <v>43492</v>
      </c>
      <c r="G726" s="35" t="str">
        <f>INDEX(projects[Charge_Code],MATCH(TimeEntry[[#This Row],[Project_ID]],projects[Project_ID],0))</f>
        <v>000000-00 AMS Support</v>
      </c>
      <c r="H726" s="1" t="str">
        <f t="shared" si="14"/>
        <v>Normal Time</v>
      </c>
      <c r="I726" s="1"/>
      <c r="J726" s="15">
        <v>7.5</v>
      </c>
      <c r="K726" s="15"/>
      <c r="L726" s="15"/>
      <c r="M726" s="15"/>
      <c r="N726" s="15"/>
      <c r="O726" s="15" t="str">
        <f>INDEX(projects[job number],MATCH(TimeEntry[[#This Row],[Project_ID]], projects[Project_ID],0))</f>
        <v>000000-00</v>
      </c>
      <c r="P726" s="15" t="str">
        <f>INDEX(projects[Project_Name],MATCH(TimeEntry[[#This Row],[Project_ID]], projects[Project_ID],0))</f>
        <v>AMS Support</v>
      </c>
      <c r="Q726" s="6">
        <f>IF(TimeEntry[[#This Row],[Date]]=0,"",WEEKDAY(C726,2))</f>
        <v>2</v>
      </c>
      <c r="R726" s="9">
        <f>YEAR(TimeEntry[[#This Row],[WkEnd]])</f>
        <v>2019</v>
      </c>
      <c r="S726" s="9">
        <f>WEEKNUM(TimeEntry[[#This Row],[WkEnd]])</f>
        <v>5</v>
      </c>
      <c r="T726" s="9" t="str">
        <f>TimeEntry[[#This Row],[Year]]&amp;"-"&amp;TimeEntry[[#This Row],[WkNo]]</f>
        <v>2019-5</v>
      </c>
    </row>
    <row r="727" spans="1:20" x14ac:dyDescent="0.25">
      <c r="A727" s="6">
        <f>MOD(IF(ROW()=2,0.1,IF(INDEX(TimeEntry[WkEnd],ROW()-1)  =  INDEX(TimeEntry[WkEnd],ROW()-2),    INDEX(TimeEntry[format],ROW()-2),    INDEX(TimeEntry[format],ROW()-2)    +1)),2)</f>
        <v>1.1000000000000001</v>
      </c>
      <c r="B727" s="7"/>
      <c r="C727" s="8">
        <v>43488</v>
      </c>
      <c r="D727" s="8"/>
      <c r="E727" s="1" t="s">
        <v>481</v>
      </c>
      <c r="F727" s="8">
        <f>IF(TimeEntry[[#This Row],[Date]]=0,F726,C727+(7-Q727))</f>
        <v>43492</v>
      </c>
      <c r="G727" s="35" t="str">
        <f>INDEX(projects[Charge_Code],MATCH(TimeEntry[[#This Row],[Project_ID]],projects[Project_ID],0))</f>
        <v>265675-00 de Locht</v>
      </c>
      <c r="H727" s="1" t="str">
        <f t="shared" si="14"/>
        <v>Normal Time</v>
      </c>
      <c r="I727" s="1"/>
      <c r="J727" s="15">
        <v>2</v>
      </c>
      <c r="K727" s="15"/>
      <c r="L727" s="15"/>
      <c r="M727" s="15"/>
      <c r="N727" s="15"/>
      <c r="O727" s="15" t="str">
        <f>INDEX(projects[job number],MATCH(TimeEntry[[#This Row],[Project_ID]], projects[Project_ID],0))</f>
        <v>265675-00</v>
      </c>
      <c r="P727" s="15" t="str">
        <f>INDEX(projects[Project_Name],MATCH(TimeEntry[[#This Row],[Project_ID]], projects[Project_ID],0))</f>
        <v>de Locht</v>
      </c>
      <c r="Q727" s="6">
        <f>IF(TimeEntry[[#This Row],[Date]]=0,"",WEEKDAY(C727,2))</f>
        <v>3</v>
      </c>
      <c r="R727" s="9">
        <f>YEAR(TimeEntry[[#This Row],[WkEnd]])</f>
        <v>2019</v>
      </c>
      <c r="S727" s="9">
        <f>WEEKNUM(TimeEntry[[#This Row],[WkEnd]])</f>
        <v>5</v>
      </c>
      <c r="T727" s="9" t="str">
        <f>TimeEntry[[#This Row],[Year]]&amp;"-"&amp;TimeEntry[[#This Row],[WkNo]]</f>
        <v>2019-5</v>
      </c>
    </row>
    <row r="728" spans="1:20" x14ac:dyDescent="0.25">
      <c r="A728" s="6">
        <f>MOD(IF(ROW()=2,0.1,IF(INDEX(TimeEntry[WkEnd],ROW()-1)  =  INDEX(TimeEntry[WkEnd],ROW()-2),    INDEX(TimeEntry[format],ROW()-2),    INDEX(TimeEntry[format],ROW()-2)    +1)),2)</f>
        <v>1.1000000000000001</v>
      </c>
      <c r="B728" s="7"/>
      <c r="C728" s="8">
        <v>43488</v>
      </c>
      <c r="D728" s="8"/>
      <c r="E728" s="1" t="s">
        <v>476</v>
      </c>
      <c r="F728" s="8">
        <f>IF(TimeEntry[[#This Row],[Date]]=0,F727,C728+(7-Q728))</f>
        <v>43492</v>
      </c>
      <c r="G728" s="35" t="str">
        <f>INDEX(projects[Charge_Code],MATCH(TimeEntry[[#This Row],[Project_ID]],projects[Project_ID],0))</f>
        <v>000000-00 AMS Support</v>
      </c>
      <c r="H728" s="1" t="str">
        <f t="shared" si="14"/>
        <v>Normal Time</v>
      </c>
      <c r="I728" s="1"/>
      <c r="J728" s="15">
        <v>5.5</v>
      </c>
      <c r="K728" s="15"/>
      <c r="L728" s="15"/>
      <c r="M728" s="15"/>
      <c r="N728" s="15"/>
      <c r="O728" s="15" t="str">
        <f>INDEX(projects[job number],MATCH(TimeEntry[[#This Row],[Project_ID]], projects[Project_ID],0))</f>
        <v>000000-00</v>
      </c>
      <c r="P728" s="15" t="str">
        <f>INDEX(projects[Project_Name],MATCH(TimeEntry[[#This Row],[Project_ID]], projects[Project_ID],0))</f>
        <v>AMS Support</v>
      </c>
      <c r="Q728" s="6">
        <f>IF(TimeEntry[[#This Row],[Date]]=0,"",WEEKDAY(C728,2))</f>
        <v>3</v>
      </c>
      <c r="R728" s="9">
        <f>YEAR(TimeEntry[[#This Row],[WkEnd]])</f>
        <v>2019</v>
      </c>
      <c r="S728" s="9">
        <f>WEEKNUM(TimeEntry[[#This Row],[WkEnd]])</f>
        <v>5</v>
      </c>
      <c r="T728" s="9" t="str">
        <f>TimeEntry[[#This Row],[Year]]&amp;"-"&amp;TimeEntry[[#This Row],[WkNo]]</f>
        <v>2019-5</v>
      </c>
    </row>
    <row r="729" spans="1:20" x14ac:dyDescent="0.25">
      <c r="A729" s="6">
        <f>MOD(IF(ROW()=2,0.1,IF(INDEX(TimeEntry[WkEnd],ROW()-1)  =  INDEX(TimeEntry[WkEnd],ROW()-2),    INDEX(TimeEntry[format],ROW()-2),    INDEX(TimeEntry[format],ROW()-2)    +1)),2)</f>
        <v>1.1000000000000001</v>
      </c>
      <c r="B729" s="7"/>
      <c r="C729" s="8">
        <v>43489</v>
      </c>
      <c r="D729" s="8"/>
      <c r="E729" s="1" t="s">
        <v>477</v>
      </c>
      <c r="F729" s="8">
        <f>IF(TimeEntry[[#This Row],[Date]]=0,F728,C729+(7-Q729))</f>
        <v>43492</v>
      </c>
      <c r="G729" s="35" t="str">
        <f>INDEX(projects[Charge_Code],MATCH(TimeEntry[[#This Row],[Project_ID]],projects[Project_ID],0))</f>
        <v>259933-00 Waalbrug</v>
      </c>
      <c r="H729" s="1" t="str">
        <f t="shared" si="14"/>
        <v>Normal Time</v>
      </c>
      <c r="I729" s="1"/>
      <c r="J729" s="15">
        <v>7.5</v>
      </c>
      <c r="K729" s="15"/>
      <c r="L729" s="15"/>
      <c r="M729" s="15"/>
      <c r="N729" s="15"/>
      <c r="O729" s="15" t="str">
        <f>INDEX(projects[job number],MATCH(TimeEntry[[#This Row],[Project_ID]], projects[Project_ID],0))</f>
        <v>259933-00</v>
      </c>
      <c r="P729" s="15" t="str">
        <f>INDEX(projects[Project_Name],MATCH(TimeEntry[[#This Row],[Project_ID]], projects[Project_ID],0))</f>
        <v>Waalbrug</v>
      </c>
      <c r="Q729" s="6">
        <f>IF(TimeEntry[[#This Row],[Date]]=0,"",WEEKDAY(C729,2))</f>
        <v>4</v>
      </c>
      <c r="R729" s="9">
        <f>YEAR(TimeEntry[[#This Row],[WkEnd]])</f>
        <v>2019</v>
      </c>
      <c r="S729" s="9">
        <f>WEEKNUM(TimeEntry[[#This Row],[WkEnd]])</f>
        <v>5</v>
      </c>
      <c r="T729" s="9" t="str">
        <f>TimeEntry[[#This Row],[Year]]&amp;"-"&amp;TimeEntry[[#This Row],[WkNo]]</f>
        <v>2019-5</v>
      </c>
    </row>
    <row r="730" spans="1:20" x14ac:dyDescent="0.25">
      <c r="A730" s="6">
        <f>MOD(IF(ROW()=2,0.1,IF(INDEX(TimeEntry[WkEnd],ROW()-1)  =  INDEX(TimeEntry[WkEnd],ROW()-2),    INDEX(TimeEntry[format],ROW()-2),    INDEX(TimeEntry[format],ROW()-2)    +1)),2)</f>
        <v>1.1000000000000001</v>
      </c>
      <c r="B730" s="7"/>
      <c r="C730" s="8">
        <v>43490</v>
      </c>
      <c r="D730" s="8"/>
      <c r="E730" s="1" t="s">
        <v>452</v>
      </c>
      <c r="F730" s="8">
        <f>IF(TimeEntry[[#This Row],[Date]]=0,F729,C730+(7-Q730))</f>
        <v>43492</v>
      </c>
      <c r="G730" s="35" t="str">
        <f>INDEX(projects[Charge_Code],MATCH(TimeEntry[[#This Row],[Project_ID]],projects[Project_ID],0))</f>
        <v>254304-96 HCC - Paul Cully (01-382)</v>
      </c>
      <c r="H730" s="1" t="str">
        <f t="shared" si="14"/>
        <v>Normal Time</v>
      </c>
      <c r="I730" s="1"/>
      <c r="J730" s="15">
        <v>3.75</v>
      </c>
      <c r="K730" s="15"/>
      <c r="L730" s="15"/>
      <c r="M730" s="15"/>
      <c r="N730" s="15"/>
      <c r="O730" s="15" t="str">
        <f>INDEX(projects[job number],MATCH(TimeEntry[[#This Row],[Project_ID]], projects[Project_ID],0))</f>
        <v>254304-96</v>
      </c>
      <c r="P730" s="15" t="str">
        <f>INDEX(projects[Project_Name],MATCH(TimeEntry[[#This Row],[Project_ID]], projects[Project_ID],0))</f>
        <v>HCC - Paul Cully</v>
      </c>
      <c r="Q730" s="6">
        <f>IF(TimeEntry[[#This Row],[Date]]=0,"",WEEKDAY(C730,2))</f>
        <v>5</v>
      </c>
      <c r="R730" s="9">
        <f>YEAR(TimeEntry[[#This Row],[WkEnd]])</f>
        <v>2019</v>
      </c>
      <c r="S730" s="9">
        <f>WEEKNUM(TimeEntry[[#This Row],[WkEnd]])</f>
        <v>5</v>
      </c>
      <c r="T730" s="9" t="str">
        <f>TimeEntry[[#This Row],[Year]]&amp;"-"&amp;TimeEntry[[#This Row],[WkNo]]</f>
        <v>2019-5</v>
      </c>
    </row>
    <row r="731" spans="1:20" x14ac:dyDescent="0.25">
      <c r="A731" s="6">
        <f>MOD(IF(ROW()=2,0.1,IF(INDEX(TimeEntry[WkEnd],ROW()-1)  =  INDEX(TimeEntry[WkEnd],ROW()-2),    INDEX(TimeEntry[format],ROW()-2),    INDEX(TimeEntry[format],ROW()-2)    +1)),2)</f>
        <v>1.1000000000000001</v>
      </c>
      <c r="B731" s="7"/>
      <c r="C731" s="8">
        <v>43490</v>
      </c>
      <c r="D731" s="8"/>
      <c r="E731" s="1" t="s">
        <v>472</v>
      </c>
      <c r="F731" s="8">
        <f>IF(TimeEntry[[#This Row],[Date]]=0,F730,C731+(7-Q731))</f>
        <v>43492</v>
      </c>
      <c r="G731" s="35" t="str">
        <f>INDEX(projects[Charge_Code],MATCH(TimeEntry[[#This Row],[Project_ID]],projects[Project_ID],0))</f>
        <v>266122-21 A465</v>
      </c>
      <c r="H731" s="1" t="str">
        <f t="shared" si="14"/>
        <v>Normal Time</v>
      </c>
      <c r="I731" s="1"/>
      <c r="J731" s="15">
        <v>3.75</v>
      </c>
      <c r="K731" s="15"/>
      <c r="L731" s="15"/>
      <c r="M731" s="15"/>
      <c r="N731" s="15"/>
      <c r="O731" s="15" t="str">
        <f>INDEX(projects[job number],MATCH(TimeEntry[[#This Row],[Project_ID]], projects[Project_ID],0))</f>
        <v>266122-21</v>
      </c>
      <c r="P731" s="15" t="str">
        <f>INDEX(projects[Project_Name],MATCH(TimeEntry[[#This Row],[Project_ID]], projects[Project_ID],0))</f>
        <v>A465</v>
      </c>
      <c r="Q731" s="6">
        <f>IF(TimeEntry[[#This Row],[Date]]=0,"",WEEKDAY(C731,2))</f>
        <v>5</v>
      </c>
      <c r="R731" s="9">
        <f>YEAR(TimeEntry[[#This Row],[WkEnd]])</f>
        <v>2019</v>
      </c>
      <c r="S731" s="9">
        <f>WEEKNUM(TimeEntry[[#This Row],[WkEnd]])</f>
        <v>5</v>
      </c>
      <c r="T731" s="9" t="str">
        <f>TimeEntry[[#This Row],[Year]]&amp;"-"&amp;TimeEntry[[#This Row],[WkNo]]</f>
        <v>2019-5</v>
      </c>
    </row>
    <row r="732" spans="1:20" x14ac:dyDescent="0.25">
      <c r="A732" s="6">
        <f>MOD(IF(ROW()=2,0.1,IF(INDEX(TimeEntry[WkEnd],ROW()-1)  =  INDEX(TimeEntry[WkEnd],ROW()-2),    INDEX(TimeEntry[format],ROW()-2),    INDEX(TimeEntry[format],ROW()-2)    +1)),2)</f>
        <v>0.10000000000000009</v>
      </c>
      <c r="B732" s="7"/>
      <c r="C732" s="8">
        <v>43479</v>
      </c>
      <c r="D732" s="8"/>
      <c r="E732" s="1" t="s">
        <v>477</v>
      </c>
      <c r="F732" s="8">
        <f>IF(TimeEntry[[#This Row],[Date]]=0,F731,C732+(7-Q732))</f>
        <v>43485</v>
      </c>
      <c r="G732" s="35" t="str">
        <f>INDEX(projects[Charge_Code],MATCH(TimeEntry[[#This Row],[Project_ID]],projects[Project_ID],0))</f>
        <v>259933-00 Waalbrug</v>
      </c>
      <c r="H732" s="1" t="str">
        <f t="shared" si="14"/>
        <v>Normal Time</v>
      </c>
      <c r="I732" s="1"/>
      <c r="J732" s="15">
        <v>7.5</v>
      </c>
      <c r="K732" s="15"/>
      <c r="L732" s="15"/>
      <c r="M732" s="15"/>
      <c r="N732" s="15"/>
      <c r="O732" s="15" t="str">
        <f>INDEX(projects[job number],MATCH(TimeEntry[[#This Row],[Project_ID]], projects[Project_ID],0))</f>
        <v>259933-00</v>
      </c>
      <c r="P732" s="15" t="str">
        <f>INDEX(projects[Project_Name],MATCH(TimeEntry[[#This Row],[Project_ID]], projects[Project_ID],0))</f>
        <v>Waalbrug</v>
      </c>
      <c r="Q732" s="6">
        <f>IF(TimeEntry[[#This Row],[Date]]=0,"",WEEKDAY(C732,2))</f>
        <v>1</v>
      </c>
      <c r="R732" s="9">
        <f>YEAR(TimeEntry[[#This Row],[WkEnd]])</f>
        <v>2019</v>
      </c>
      <c r="S732" s="9">
        <f>WEEKNUM(TimeEntry[[#This Row],[WkEnd]])</f>
        <v>4</v>
      </c>
      <c r="T732" s="9" t="str">
        <f>TimeEntry[[#This Row],[Year]]&amp;"-"&amp;TimeEntry[[#This Row],[WkNo]]</f>
        <v>2019-4</v>
      </c>
    </row>
    <row r="733" spans="1:20" x14ac:dyDescent="0.25">
      <c r="A733" s="6">
        <f>MOD(IF(ROW()=2,0.1,IF(INDEX(TimeEntry[WkEnd],ROW()-1)  =  INDEX(TimeEntry[WkEnd],ROW()-2),    INDEX(TimeEntry[format],ROW()-2),    INDEX(TimeEntry[format],ROW()-2)    +1)),2)</f>
        <v>0.10000000000000009</v>
      </c>
      <c r="B733" s="7"/>
      <c r="C733" s="8">
        <v>43480</v>
      </c>
      <c r="D733" s="8"/>
      <c r="E733" s="1" t="s">
        <v>477</v>
      </c>
      <c r="F733" s="8">
        <f>IF(TimeEntry[[#This Row],[Date]]=0,F732,C733+(7-Q733))</f>
        <v>43485</v>
      </c>
      <c r="G733" s="35" t="str">
        <f>INDEX(projects[Charge_Code],MATCH(TimeEntry[[#This Row],[Project_ID]],projects[Project_ID],0))</f>
        <v>259933-00 Waalbrug</v>
      </c>
      <c r="H733" s="1" t="str">
        <f t="shared" ref="H733:H796" si="15">"Normal Time"</f>
        <v>Normal Time</v>
      </c>
      <c r="I733" s="1"/>
      <c r="J733" s="15">
        <v>7.5</v>
      </c>
      <c r="K733" s="15"/>
      <c r="L733" s="15"/>
      <c r="M733" s="15"/>
      <c r="N733" s="15"/>
      <c r="O733" s="15" t="str">
        <f>INDEX(projects[job number],MATCH(TimeEntry[[#This Row],[Project_ID]], projects[Project_ID],0))</f>
        <v>259933-00</v>
      </c>
      <c r="P733" s="15" t="str">
        <f>INDEX(projects[Project_Name],MATCH(TimeEntry[[#This Row],[Project_ID]], projects[Project_ID],0))</f>
        <v>Waalbrug</v>
      </c>
      <c r="Q733" s="6">
        <f>IF(TimeEntry[[#This Row],[Date]]=0,"",WEEKDAY(C733,2))</f>
        <v>2</v>
      </c>
      <c r="R733" s="9">
        <f>YEAR(TimeEntry[[#This Row],[WkEnd]])</f>
        <v>2019</v>
      </c>
      <c r="S733" s="9">
        <f>WEEKNUM(TimeEntry[[#This Row],[WkEnd]])</f>
        <v>4</v>
      </c>
      <c r="T733" s="9" t="str">
        <f>TimeEntry[[#This Row],[Year]]&amp;"-"&amp;TimeEntry[[#This Row],[WkNo]]</f>
        <v>2019-4</v>
      </c>
    </row>
    <row r="734" spans="1:20" x14ac:dyDescent="0.25">
      <c r="A734" s="6">
        <f>MOD(IF(ROW()=2,0.1,IF(INDEX(TimeEntry[WkEnd],ROW()-1)  =  INDEX(TimeEntry[WkEnd],ROW()-2),    INDEX(TimeEntry[format],ROW()-2),    INDEX(TimeEntry[format],ROW()-2)    +1)),2)</f>
        <v>0.10000000000000009</v>
      </c>
      <c r="B734" s="7"/>
      <c r="C734" s="8">
        <v>43481</v>
      </c>
      <c r="D734" s="8"/>
      <c r="E734" s="1" t="s">
        <v>480</v>
      </c>
      <c r="F734" s="8">
        <f>IF(TimeEntry[[#This Row],[Date]]=0,F733,C734+(7-Q734))</f>
        <v>43485</v>
      </c>
      <c r="G734" s="35" t="str">
        <f>INDEX(projects[Charge_Code],MATCH(TimeEntry[[#This Row],[Project_ID]],projects[Project_ID],0))</f>
        <v>077616-63 Infra BIM</v>
      </c>
      <c r="H734" s="1" t="str">
        <f t="shared" si="15"/>
        <v>Normal Time</v>
      </c>
      <c r="I734" s="1"/>
      <c r="J734" s="15">
        <v>7.5</v>
      </c>
      <c r="K734" s="15"/>
      <c r="L734" s="15"/>
      <c r="M734" s="15"/>
      <c r="N734" s="15"/>
      <c r="O734" s="15" t="str">
        <f>INDEX(projects[job number],MATCH(TimeEntry[[#This Row],[Project_ID]], projects[Project_ID],0))</f>
        <v>077616-63</v>
      </c>
      <c r="P734" s="15" t="str">
        <f>INDEX(projects[Project_Name],MATCH(TimeEntry[[#This Row],[Project_ID]], projects[Project_ID],0))</f>
        <v>Infra BIM</v>
      </c>
      <c r="Q734" s="6">
        <f>IF(TimeEntry[[#This Row],[Date]]=0,"",WEEKDAY(C734,2))</f>
        <v>3</v>
      </c>
      <c r="R734" s="9">
        <f>YEAR(TimeEntry[[#This Row],[WkEnd]])</f>
        <v>2019</v>
      </c>
      <c r="S734" s="9">
        <f>WEEKNUM(TimeEntry[[#This Row],[WkEnd]])</f>
        <v>4</v>
      </c>
      <c r="T734" s="9" t="str">
        <f>TimeEntry[[#This Row],[Year]]&amp;"-"&amp;TimeEntry[[#This Row],[WkNo]]</f>
        <v>2019-4</v>
      </c>
    </row>
    <row r="735" spans="1:20" x14ac:dyDescent="0.25">
      <c r="A735" s="6">
        <f>MOD(IF(ROW()=2,0.1,IF(INDEX(TimeEntry[WkEnd],ROW()-1)  =  INDEX(TimeEntry[WkEnd],ROW()-2),    INDEX(TimeEntry[format],ROW()-2),    INDEX(TimeEntry[format],ROW()-2)    +1)),2)</f>
        <v>0.10000000000000009</v>
      </c>
      <c r="B735" s="7"/>
      <c r="C735" s="8">
        <v>43482</v>
      </c>
      <c r="D735" s="8"/>
      <c r="E735" s="1" t="s">
        <v>480</v>
      </c>
      <c r="F735" s="8">
        <f>IF(TimeEntry[[#This Row],[Date]]=0,F734,C735+(7-Q735))</f>
        <v>43485</v>
      </c>
      <c r="G735" s="35" t="str">
        <f>INDEX(projects[Charge_Code],MATCH(TimeEntry[[#This Row],[Project_ID]],projects[Project_ID],0))</f>
        <v>077616-63 Infra BIM</v>
      </c>
      <c r="H735" s="1" t="str">
        <f t="shared" si="15"/>
        <v>Normal Time</v>
      </c>
      <c r="I735" s="1"/>
      <c r="J735" s="15">
        <v>7.5</v>
      </c>
      <c r="K735" s="15"/>
      <c r="L735" s="15"/>
      <c r="M735" s="15"/>
      <c r="N735" s="15"/>
      <c r="O735" s="15" t="str">
        <f>INDEX(projects[job number],MATCH(TimeEntry[[#This Row],[Project_ID]], projects[Project_ID],0))</f>
        <v>077616-63</v>
      </c>
      <c r="P735" s="15" t="str">
        <f>INDEX(projects[Project_Name],MATCH(TimeEntry[[#This Row],[Project_ID]], projects[Project_ID],0))</f>
        <v>Infra BIM</v>
      </c>
      <c r="Q735" s="6">
        <f>IF(TimeEntry[[#This Row],[Date]]=0,"",WEEKDAY(C735,2))</f>
        <v>4</v>
      </c>
      <c r="R735" s="9">
        <f>YEAR(TimeEntry[[#This Row],[WkEnd]])</f>
        <v>2019</v>
      </c>
      <c r="S735" s="9">
        <f>WEEKNUM(TimeEntry[[#This Row],[WkEnd]])</f>
        <v>4</v>
      </c>
      <c r="T735" s="9" t="str">
        <f>TimeEntry[[#This Row],[Year]]&amp;"-"&amp;TimeEntry[[#This Row],[WkNo]]</f>
        <v>2019-4</v>
      </c>
    </row>
    <row r="736" spans="1:20" x14ac:dyDescent="0.25">
      <c r="A736" s="6">
        <f>MOD(IF(ROW()=2,0.1,IF(INDEX(TimeEntry[WkEnd],ROW()-1)  =  INDEX(TimeEntry[WkEnd],ROW()-2),    INDEX(TimeEntry[format],ROW()-2),    INDEX(TimeEntry[format],ROW()-2)    +1)),2)</f>
        <v>0.10000000000000009</v>
      </c>
      <c r="B736" s="7"/>
      <c r="C736" s="8">
        <v>43483</v>
      </c>
      <c r="D736" s="8"/>
      <c r="E736" s="1" t="s">
        <v>480</v>
      </c>
      <c r="F736" s="8">
        <f>IF(TimeEntry[[#This Row],[Date]]=0,F735,C736+(7-Q736))</f>
        <v>43485</v>
      </c>
      <c r="G736" s="35" t="str">
        <f>INDEX(projects[Charge_Code],MATCH(TimeEntry[[#This Row],[Project_ID]],projects[Project_ID],0))</f>
        <v>077616-63 Infra BIM</v>
      </c>
      <c r="H736" s="1" t="str">
        <f t="shared" si="15"/>
        <v>Normal Time</v>
      </c>
      <c r="I736" s="1"/>
      <c r="J736" s="15">
        <v>7.5</v>
      </c>
      <c r="K736" s="15"/>
      <c r="L736" s="15"/>
      <c r="M736" s="15"/>
      <c r="N736" s="15"/>
      <c r="O736" s="15" t="str">
        <f>INDEX(projects[job number],MATCH(TimeEntry[[#This Row],[Project_ID]], projects[Project_ID],0))</f>
        <v>077616-63</v>
      </c>
      <c r="P736" s="15" t="str">
        <f>INDEX(projects[Project_Name],MATCH(TimeEntry[[#This Row],[Project_ID]], projects[Project_ID],0))</f>
        <v>Infra BIM</v>
      </c>
      <c r="Q736" s="6">
        <f>IF(TimeEntry[[#This Row],[Date]]=0,"",WEEKDAY(C736,2))</f>
        <v>5</v>
      </c>
      <c r="R736" s="9">
        <f>YEAR(TimeEntry[[#This Row],[WkEnd]])</f>
        <v>2019</v>
      </c>
      <c r="S736" s="9">
        <f>WEEKNUM(TimeEntry[[#This Row],[WkEnd]])</f>
        <v>4</v>
      </c>
      <c r="T736" s="9" t="str">
        <f>TimeEntry[[#This Row],[Year]]&amp;"-"&amp;TimeEntry[[#This Row],[WkNo]]</f>
        <v>2019-4</v>
      </c>
    </row>
    <row r="737" spans="1:20" x14ac:dyDescent="0.25">
      <c r="A737" s="6">
        <f>MOD(IF(ROW()=2,0.1,IF(INDEX(TimeEntry[WkEnd],ROW()-1)  =  INDEX(TimeEntry[WkEnd],ROW()-2),    INDEX(TimeEntry[format],ROW()-2),    INDEX(TimeEntry[format],ROW()-2)    +1)),2)</f>
        <v>1.1000000000000001</v>
      </c>
      <c r="B737" s="7"/>
      <c r="C737" s="8">
        <v>43472</v>
      </c>
      <c r="D737" s="8"/>
      <c r="E737" s="1" t="s">
        <v>457</v>
      </c>
      <c r="F737" s="8">
        <f>IF(TimeEntry[[#This Row],[Date]]=0,F736,C737+(7-Q737))</f>
        <v>43478</v>
      </c>
      <c r="G737" s="35" t="str">
        <f>INDEX(projects[Charge_Code],MATCH(TimeEntry[[#This Row],[Project_ID]],projects[Project_ID],0))</f>
        <v>255375-00 M25 West MSA</v>
      </c>
      <c r="H737" s="1" t="str">
        <f t="shared" si="15"/>
        <v>Normal Time</v>
      </c>
      <c r="I737" s="1"/>
      <c r="J737" s="15">
        <v>7.5</v>
      </c>
      <c r="K737" s="15"/>
      <c r="L737" s="15"/>
      <c r="M737" s="15"/>
      <c r="N737" s="15"/>
      <c r="O737" s="15" t="str">
        <f>INDEX(projects[job number],MATCH(TimeEntry[[#This Row],[Project_ID]], projects[Project_ID],0))</f>
        <v>255375-00</v>
      </c>
      <c r="P737" s="15" t="str">
        <f>INDEX(projects[Project_Name],MATCH(TimeEntry[[#This Row],[Project_ID]], projects[Project_ID],0))</f>
        <v>M25 West MSA</v>
      </c>
      <c r="Q737" s="6">
        <f>IF(TimeEntry[[#This Row],[Date]]=0,"",WEEKDAY(C737,2))</f>
        <v>1</v>
      </c>
      <c r="R737" s="9">
        <f>YEAR(TimeEntry[[#This Row],[WkEnd]])</f>
        <v>2019</v>
      </c>
      <c r="S737" s="9">
        <f>WEEKNUM(TimeEntry[[#This Row],[WkEnd]])</f>
        <v>3</v>
      </c>
      <c r="T737" s="9" t="str">
        <f>TimeEntry[[#This Row],[Year]]&amp;"-"&amp;TimeEntry[[#This Row],[WkNo]]</f>
        <v>2019-3</v>
      </c>
    </row>
    <row r="738" spans="1:20" x14ac:dyDescent="0.25">
      <c r="A738" s="6">
        <f>MOD(IF(ROW()=2,0.1,IF(INDEX(TimeEntry[WkEnd],ROW()-1)  =  INDEX(TimeEntry[WkEnd],ROW()-2),    INDEX(TimeEntry[format],ROW()-2),    INDEX(TimeEntry[format],ROW()-2)    +1)),2)</f>
        <v>1.1000000000000001</v>
      </c>
      <c r="B738" s="7"/>
      <c r="C738" s="8">
        <v>43473</v>
      </c>
      <c r="D738" s="8"/>
      <c r="E738" s="1" t="s">
        <v>482</v>
      </c>
      <c r="F738" s="8">
        <f>IF(TimeEntry[[#This Row],[Date]]=0,F737,C738+(7-Q738))</f>
        <v>43478</v>
      </c>
      <c r="G738" s="35" t="str">
        <f>INDEX(projects[Charge_Code],MATCH(TimeEntry[[#This Row],[Project_ID]],projects[Project_ID],0))</f>
        <v>260258-47 Galecopper</v>
      </c>
      <c r="H738" s="1" t="str">
        <f t="shared" si="15"/>
        <v>Normal Time</v>
      </c>
      <c r="I738" s="1"/>
      <c r="J738" s="15">
        <v>3</v>
      </c>
      <c r="K738" s="15"/>
      <c r="L738" s="15"/>
      <c r="M738" s="15"/>
      <c r="N738" s="15"/>
      <c r="O738" s="15" t="str">
        <f>INDEX(projects[job number],MATCH(TimeEntry[[#This Row],[Project_ID]], projects[Project_ID],0))</f>
        <v>260258-47</v>
      </c>
      <c r="P738" s="15" t="str">
        <f>INDEX(projects[Project_Name],MATCH(TimeEntry[[#This Row],[Project_ID]], projects[Project_ID],0))</f>
        <v>Galecopper</v>
      </c>
      <c r="Q738" s="6">
        <f>IF(TimeEntry[[#This Row],[Date]]=0,"",WEEKDAY(C738,2))</f>
        <v>2</v>
      </c>
      <c r="R738" s="9">
        <f>YEAR(TimeEntry[[#This Row],[WkEnd]])</f>
        <v>2019</v>
      </c>
      <c r="S738" s="9">
        <f>WEEKNUM(TimeEntry[[#This Row],[WkEnd]])</f>
        <v>3</v>
      </c>
      <c r="T738" s="9" t="str">
        <f>TimeEntry[[#This Row],[Year]]&amp;"-"&amp;TimeEntry[[#This Row],[WkNo]]</f>
        <v>2019-3</v>
      </c>
    </row>
    <row r="739" spans="1:20" x14ac:dyDescent="0.25">
      <c r="A739" s="6">
        <f>MOD(IF(ROW()=2,0.1,IF(INDEX(TimeEntry[WkEnd],ROW()-1)  =  INDEX(TimeEntry[WkEnd],ROW()-2),    INDEX(TimeEntry[format],ROW()-2),    INDEX(TimeEntry[format],ROW()-2)    +1)),2)</f>
        <v>1.1000000000000001</v>
      </c>
      <c r="B739" s="7"/>
      <c r="C739" s="8">
        <v>43473</v>
      </c>
      <c r="D739" s="8"/>
      <c r="E739" s="1" t="s">
        <v>476</v>
      </c>
      <c r="F739" s="8">
        <f>IF(TimeEntry[[#This Row],[Date]]=0,F738,C739+(7-Q739))</f>
        <v>43478</v>
      </c>
      <c r="G739" s="35" t="str">
        <f>INDEX(projects[Charge_Code],MATCH(TimeEntry[[#This Row],[Project_ID]],projects[Project_ID],0))</f>
        <v>000000-00 AMS Support</v>
      </c>
      <c r="H739" s="1" t="str">
        <f t="shared" si="15"/>
        <v>Normal Time</v>
      </c>
      <c r="I739" s="1"/>
      <c r="J739" s="15">
        <v>4.5</v>
      </c>
      <c r="K739" s="15"/>
      <c r="L739" s="15"/>
      <c r="M739" s="15"/>
      <c r="N739" s="15"/>
      <c r="O739" s="15" t="str">
        <f>INDEX(projects[job number],MATCH(TimeEntry[[#This Row],[Project_ID]], projects[Project_ID],0))</f>
        <v>000000-00</v>
      </c>
      <c r="P739" s="15" t="str">
        <f>INDEX(projects[Project_Name],MATCH(TimeEntry[[#This Row],[Project_ID]], projects[Project_ID],0))</f>
        <v>AMS Support</v>
      </c>
      <c r="Q739" s="6">
        <f>IF(TimeEntry[[#This Row],[Date]]=0,"",WEEKDAY(C739,2))</f>
        <v>2</v>
      </c>
      <c r="R739" s="9">
        <f>YEAR(TimeEntry[[#This Row],[WkEnd]])</f>
        <v>2019</v>
      </c>
      <c r="S739" s="9">
        <f>WEEKNUM(TimeEntry[[#This Row],[WkEnd]])</f>
        <v>3</v>
      </c>
      <c r="T739" s="9" t="str">
        <f>TimeEntry[[#This Row],[Year]]&amp;"-"&amp;TimeEntry[[#This Row],[WkNo]]</f>
        <v>2019-3</v>
      </c>
    </row>
    <row r="740" spans="1:20" x14ac:dyDescent="0.25">
      <c r="A740" s="6">
        <f>MOD(IF(ROW()=2,0.1,IF(INDEX(TimeEntry[WkEnd],ROW()-1)  =  INDEX(TimeEntry[WkEnd],ROW()-2),    INDEX(TimeEntry[format],ROW()-2),    INDEX(TimeEntry[format],ROW()-2)    +1)),2)</f>
        <v>1.1000000000000001</v>
      </c>
      <c r="B740" s="7"/>
      <c r="C740" s="8">
        <v>43474</v>
      </c>
      <c r="D740" s="8"/>
      <c r="E740" s="1" t="s">
        <v>476</v>
      </c>
      <c r="F740" s="8">
        <f>IF(TimeEntry[[#This Row],[Date]]=0,F739,C740+(7-Q740))</f>
        <v>43478</v>
      </c>
      <c r="G740" s="35" t="str">
        <f>INDEX(projects[Charge_Code],MATCH(TimeEntry[[#This Row],[Project_ID]],projects[Project_ID],0))</f>
        <v>000000-00 AMS Support</v>
      </c>
      <c r="H740" s="1" t="str">
        <f t="shared" si="15"/>
        <v>Normal Time</v>
      </c>
      <c r="I740" s="1"/>
      <c r="J740" s="15">
        <v>7.5</v>
      </c>
      <c r="K740" s="15"/>
      <c r="L740" s="15"/>
      <c r="M740" s="15"/>
      <c r="N740" s="15"/>
      <c r="O740" s="15" t="str">
        <f>INDEX(projects[job number],MATCH(TimeEntry[[#This Row],[Project_ID]], projects[Project_ID],0))</f>
        <v>000000-00</v>
      </c>
      <c r="P740" s="15" t="str">
        <f>INDEX(projects[Project_Name],MATCH(TimeEntry[[#This Row],[Project_ID]], projects[Project_ID],0))</f>
        <v>AMS Support</v>
      </c>
      <c r="Q740" s="6">
        <f>IF(TimeEntry[[#This Row],[Date]]=0,"",WEEKDAY(C740,2))</f>
        <v>3</v>
      </c>
      <c r="R740" s="9">
        <f>YEAR(TimeEntry[[#This Row],[WkEnd]])</f>
        <v>2019</v>
      </c>
      <c r="S740" s="9">
        <f>WEEKNUM(TimeEntry[[#This Row],[WkEnd]])</f>
        <v>3</v>
      </c>
      <c r="T740" s="9" t="str">
        <f>TimeEntry[[#This Row],[Year]]&amp;"-"&amp;TimeEntry[[#This Row],[WkNo]]</f>
        <v>2019-3</v>
      </c>
    </row>
    <row r="741" spans="1:20" x14ac:dyDescent="0.25">
      <c r="A741" s="6">
        <f>MOD(IF(ROW()=2,0.1,IF(INDEX(TimeEntry[WkEnd],ROW()-1)  =  INDEX(TimeEntry[WkEnd],ROW()-2),    INDEX(TimeEntry[format],ROW()-2),    INDEX(TimeEntry[format],ROW()-2)    +1)),2)</f>
        <v>1.1000000000000001</v>
      </c>
      <c r="B741" s="7"/>
      <c r="C741" s="8">
        <v>43475</v>
      </c>
      <c r="D741" s="8"/>
      <c r="E741" s="1" t="s">
        <v>449</v>
      </c>
      <c r="F741" s="8">
        <f>IF(TimeEntry[[#This Row],[Date]]=0,F740,C741+(7-Q741))</f>
        <v>43478</v>
      </c>
      <c r="G741" s="35" t="str">
        <f>INDEX(projects[Charge_Code],MATCH(TimeEntry[[#This Row],[Project_ID]],projects[Project_ID],0))</f>
        <v>255670-17 LOWER KINGS ROAD ASSESSMENT (01-382)</v>
      </c>
      <c r="H741" s="1" t="str">
        <f t="shared" si="15"/>
        <v>Normal Time</v>
      </c>
      <c r="I741" s="1"/>
      <c r="J741" s="15">
        <v>2</v>
      </c>
      <c r="K741" s="15"/>
      <c r="L741" s="15"/>
      <c r="M741" s="15"/>
      <c r="N741" s="15"/>
      <c r="O741" s="15" t="str">
        <f>INDEX(projects[job number],MATCH(TimeEntry[[#This Row],[Project_ID]], projects[Project_ID],0))</f>
        <v>255670-17</v>
      </c>
      <c r="P741" s="15" t="str">
        <f>INDEX(projects[Project_Name],MATCH(TimeEntry[[#This Row],[Project_ID]], projects[Project_ID],0))</f>
        <v>LOWER KINGS ROAD ASSESSMENT</v>
      </c>
      <c r="Q741" s="6">
        <f>IF(TimeEntry[[#This Row],[Date]]=0,"",WEEKDAY(C741,2))</f>
        <v>4</v>
      </c>
      <c r="R741" s="9">
        <f>YEAR(TimeEntry[[#This Row],[WkEnd]])</f>
        <v>2019</v>
      </c>
      <c r="S741" s="9">
        <f>WEEKNUM(TimeEntry[[#This Row],[WkEnd]])</f>
        <v>3</v>
      </c>
      <c r="T741" s="9" t="str">
        <f>TimeEntry[[#This Row],[Year]]&amp;"-"&amp;TimeEntry[[#This Row],[WkNo]]</f>
        <v>2019-3</v>
      </c>
    </row>
    <row r="742" spans="1:20" x14ac:dyDescent="0.25">
      <c r="A742" s="6">
        <f>MOD(IF(ROW()=2,0.1,IF(INDEX(TimeEntry[WkEnd],ROW()-1)  =  INDEX(TimeEntry[WkEnd],ROW()-2),    INDEX(TimeEntry[format],ROW()-2),    INDEX(TimeEntry[format],ROW()-2)    +1)),2)</f>
        <v>1.1000000000000001</v>
      </c>
      <c r="B742" s="7"/>
      <c r="C742" s="8">
        <v>43475</v>
      </c>
      <c r="D742" s="8"/>
      <c r="E742" s="1" t="s">
        <v>452</v>
      </c>
      <c r="F742" s="8">
        <f>IF(TimeEntry[[#This Row],[Date]]=0,F741,C742+(7-Q742))</f>
        <v>43478</v>
      </c>
      <c r="G742" s="35" t="str">
        <f>INDEX(projects[Charge_Code],MATCH(TimeEntry[[#This Row],[Project_ID]],projects[Project_ID],0))</f>
        <v>254304-96 HCC - Paul Cully (01-382)</v>
      </c>
      <c r="H742" s="1" t="str">
        <f t="shared" si="15"/>
        <v>Normal Time</v>
      </c>
      <c r="I742" s="1"/>
      <c r="J742" s="15">
        <v>5.5</v>
      </c>
      <c r="K742" s="15"/>
      <c r="L742" s="15"/>
      <c r="M742" s="15"/>
      <c r="N742" s="15"/>
      <c r="O742" s="15" t="str">
        <f>INDEX(projects[job number],MATCH(TimeEntry[[#This Row],[Project_ID]], projects[Project_ID],0))</f>
        <v>254304-96</v>
      </c>
      <c r="P742" s="15" t="str">
        <f>INDEX(projects[Project_Name],MATCH(TimeEntry[[#This Row],[Project_ID]], projects[Project_ID],0))</f>
        <v>HCC - Paul Cully</v>
      </c>
      <c r="Q742" s="6">
        <f>IF(TimeEntry[[#This Row],[Date]]=0,"",WEEKDAY(C742,2))</f>
        <v>4</v>
      </c>
      <c r="R742" s="9">
        <f>YEAR(TimeEntry[[#This Row],[WkEnd]])</f>
        <v>2019</v>
      </c>
      <c r="S742" s="9">
        <f>WEEKNUM(TimeEntry[[#This Row],[WkEnd]])</f>
        <v>3</v>
      </c>
      <c r="T742" s="9" t="str">
        <f>TimeEntry[[#This Row],[Year]]&amp;"-"&amp;TimeEntry[[#This Row],[WkNo]]</f>
        <v>2019-3</v>
      </c>
    </row>
    <row r="743" spans="1:20" x14ac:dyDescent="0.25">
      <c r="A743" s="6">
        <f>MOD(IF(ROW()=2,0.1,IF(INDEX(TimeEntry[WkEnd],ROW()-1)  =  INDEX(TimeEntry[WkEnd],ROW()-2),    INDEX(TimeEntry[format],ROW()-2),    INDEX(TimeEntry[format],ROW()-2)    +1)),2)</f>
        <v>1.1000000000000001</v>
      </c>
      <c r="B743" s="7"/>
      <c r="C743" s="8">
        <v>43476</v>
      </c>
      <c r="D743" s="8"/>
      <c r="E743" s="1" t="s">
        <v>450</v>
      </c>
      <c r="F743" s="8">
        <f>IF(TimeEntry[[#This Row],[Date]]=0,F742,C743+(7-Q743))</f>
        <v>43478</v>
      </c>
      <c r="G743" s="35" t="str">
        <f>INDEX(projects[Charge_Code],MATCH(TimeEntry[[#This Row],[Project_ID]],projects[Project_ID],0))</f>
        <v>246233-56 HCC - Weston Hills Tunnel (01-382)</v>
      </c>
      <c r="H743" s="1" t="str">
        <f t="shared" si="15"/>
        <v>Normal Time</v>
      </c>
      <c r="I743" s="1"/>
      <c r="J743" s="15">
        <v>2.5</v>
      </c>
      <c r="K743" s="15"/>
      <c r="L743" s="15"/>
      <c r="M743" s="15"/>
      <c r="N743" s="15"/>
      <c r="O743" s="15" t="str">
        <f>INDEX(projects[job number],MATCH(TimeEntry[[#This Row],[Project_ID]], projects[Project_ID],0))</f>
        <v>246233-56</v>
      </c>
      <c r="P743" s="15" t="str">
        <f>INDEX(projects[Project_Name],MATCH(TimeEntry[[#This Row],[Project_ID]], projects[Project_ID],0))</f>
        <v>HCC - Weston Hills Tunnel</v>
      </c>
      <c r="Q743" s="6">
        <f>IF(TimeEntry[[#This Row],[Date]]=0,"",WEEKDAY(C743,2))</f>
        <v>5</v>
      </c>
      <c r="R743" s="9">
        <f>YEAR(TimeEntry[[#This Row],[WkEnd]])</f>
        <v>2019</v>
      </c>
      <c r="S743" s="9">
        <f>WEEKNUM(TimeEntry[[#This Row],[WkEnd]])</f>
        <v>3</v>
      </c>
      <c r="T743" s="9" t="str">
        <f>TimeEntry[[#This Row],[Year]]&amp;"-"&amp;TimeEntry[[#This Row],[WkNo]]</f>
        <v>2019-3</v>
      </c>
    </row>
    <row r="744" spans="1:20" x14ac:dyDescent="0.25">
      <c r="A744" s="6">
        <f>MOD(IF(ROW()=2,0.1,IF(INDEX(TimeEntry[WkEnd],ROW()-1)  =  INDEX(TimeEntry[WkEnd],ROW()-2),    INDEX(TimeEntry[format],ROW()-2),    INDEX(TimeEntry[format],ROW()-2)    +1)),2)</f>
        <v>1.1000000000000001</v>
      </c>
      <c r="B744" s="7"/>
      <c r="C744" s="8">
        <v>43476</v>
      </c>
      <c r="D744" s="8"/>
      <c r="E744" s="1" t="s">
        <v>477</v>
      </c>
      <c r="F744" s="8">
        <f>IF(TimeEntry[[#This Row],[Date]]=0,F743,C744+(7-Q744))</f>
        <v>43478</v>
      </c>
      <c r="G744" s="35" t="str">
        <f>INDEX(projects[Charge_Code],MATCH(TimeEntry[[#This Row],[Project_ID]],projects[Project_ID],0))</f>
        <v>259933-00 Waalbrug</v>
      </c>
      <c r="H744" s="1" t="str">
        <f t="shared" si="15"/>
        <v>Normal Time</v>
      </c>
      <c r="I744" s="1"/>
      <c r="J744" s="15">
        <v>2.5</v>
      </c>
      <c r="K744" s="15"/>
      <c r="L744" s="15"/>
      <c r="M744" s="15"/>
      <c r="N744" s="15"/>
      <c r="O744" s="15" t="str">
        <f>INDEX(projects[job number],MATCH(TimeEntry[[#This Row],[Project_ID]], projects[Project_ID],0))</f>
        <v>259933-00</v>
      </c>
      <c r="P744" s="15" t="str">
        <f>INDEX(projects[Project_Name],MATCH(TimeEntry[[#This Row],[Project_ID]], projects[Project_ID],0))</f>
        <v>Waalbrug</v>
      </c>
      <c r="Q744" s="6">
        <f>IF(TimeEntry[[#This Row],[Date]]=0,"",WEEKDAY(C744,2))</f>
        <v>5</v>
      </c>
      <c r="R744" s="9">
        <f>YEAR(TimeEntry[[#This Row],[WkEnd]])</f>
        <v>2019</v>
      </c>
      <c r="S744" s="9">
        <f>WEEKNUM(TimeEntry[[#This Row],[WkEnd]])</f>
        <v>3</v>
      </c>
      <c r="T744" s="9" t="str">
        <f>TimeEntry[[#This Row],[Year]]&amp;"-"&amp;TimeEntry[[#This Row],[WkNo]]</f>
        <v>2019-3</v>
      </c>
    </row>
    <row r="745" spans="1:20" x14ac:dyDescent="0.25">
      <c r="A745" s="6">
        <f>MOD(IF(ROW()=2,0.1,IF(INDEX(TimeEntry[WkEnd],ROW()-1)  =  INDEX(TimeEntry[WkEnd],ROW()-2),    INDEX(TimeEntry[format],ROW()-2),    INDEX(TimeEntry[format],ROW()-2)    +1)),2)</f>
        <v>1.1000000000000001</v>
      </c>
      <c r="B745" s="7"/>
      <c r="C745" s="8">
        <v>43476</v>
      </c>
      <c r="D745" s="8"/>
      <c r="E745" s="1" t="s">
        <v>452</v>
      </c>
      <c r="F745" s="8">
        <f>IF(TimeEntry[[#This Row],[Date]]=0,F744,C745+(7-Q745))</f>
        <v>43478</v>
      </c>
      <c r="G745" s="35" t="str">
        <f>INDEX(projects[Charge_Code],MATCH(TimeEntry[[#This Row],[Project_ID]],projects[Project_ID],0))</f>
        <v>254304-96 HCC - Paul Cully (01-382)</v>
      </c>
      <c r="H745" s="1" t="str">
        <f t="shared" si="15"/>
        <v>Normal Time</v>
      </c>
      <c r="I745" s="1"/>
      <c r="J745" s="15">
        <v>2.5</v>
      </c>
      <c r="K745" s="15"/>
      <c r="L745" s="15"/>
      <c r="M745" s="15"/>
      <c r="N745" s="15"/>
      <c r="O745" s="15" t="str">
        <f>INDEX(projects[job number],MATCH(TimeEntry[[#This Row],[Project_ID]], projects[Project_ID],0))</f>
        <v>254304-96</v>
      </c>
      <c r="P745" s="15" t="str">
        <f>INDEX(projects[Project_Name],MATCH(TimeEntry[[#This Row],[Project_ID]], projects[Project_ID],0))</f>
        <v>HCC - Paul Cully</v>
      </c>
      <c r="Q745" s="6">
        <f>IF(TimeEntry[[#This Row],[Date]]=0,"",WEEKDAY(C745,2))</f>
        <v>5</v>
      </c>
      <c r="R745" s="9">
        <f>YEAR(TimeEntry[[#This Row],[WkEnd]])</f>
        <v>2019</v>
      </c>
      <c r="S745" s="9">
        <f>WEEKNUM(TimeEntry[[#This Row],[WkEnd]])</f>
        <v>3</v>
      </c>
      <c r="T745" s="9" t="str">
        <f>TimeEntry[[#This Row],[Year]]&amp;"-"&amp;TimeEntry[[#This Row],[WkNo]]</f>
        <v>2019-3</v>
      </c>
    </row>
    <row r="746" spans="1:20" x14ac:dyDescent="0.25">
      <c r="A746" s="6">
        <f>MOD(IF(ROW()=2,0.1,IF(INDEX(TimeEntry[WkEnd],ROW()-1)  =  INDEX(TimeEntry[WkEnd],ROW()-2),    INDEX(TimeEntry[format],ROW()-2),    INDEX(TimeEntry[format],ROW()-2)    +1)),2)</f>
        <v>0.10000000000000009</v>
      </c>
      <c r="B746" s="7"/>
      <c r="C746" s="8">
        <v>43465</v>
      </c>
      <c r="D746" s="8"/>
      <c r="E746" s="1" t="s">
        <v>445</v>
      </c>
      <c r="F746" s="8">
        <f>IF(TimeEntry[[#This Row],[Date]]=0,F745,C746+(7-Q746))</f>
        <v>43471</v>
      </c>
      <c r="G746" s="35" t="str">
        <f>INDEX(projects[Charge_Code],MATCH(TimeEntry[[#This Row],[Project_ID]],projects[Project_ID],0))</f>
        <v>LEAVE</v>
      </c>
      <c r="H746" s="1" t="str">
        <f t="shared" si="15"/>
        <v>Normal Time</v>
      </c>
      <c r="I746" s="1"/>
      <c r="J746" s="15">
        <v>7.5</v>
      </c>
      <c r="K746" s="15"/>
      <c r="L746" s="15"/>
      <c r="M746" s="15"/>
      <c r="N746" s="15"/>
      <c r="O746" s="15" t="str">
        <f>INDEX(projects[job number],MATCH(TimeEntry[[#This Row],[Project_ID]], projects[Project_ID],0))</f>
        <v>LEAVE</v>
      </c>
      <c r="P746" s="15">
        <f>INDEX(projects[Project_Name],MATCH(TimeEntry[[#This Row],[Project_ID]], projects[Project_ID],0))</f>
        <v>0</v>
      </c>
      <c r="Q746" s="6">
        <f>IF(TimeEntry[[#This Row],[Date]]=0,"",WEEKDAY(C746,2))</f>
        <v>1</v>
      </c>
      <c r="R746" s="9">
        <f>YEAR(TimeEntry[[#This Row],[WkEnd]])</f>
        <v>2019</v>
      </c>
      <c r="S746" s="9">
        <f>WEEKNUM(TimeEntry[[#This Row],[WkEnd]])</f>
        <v>2</v>
      </c>
      <c r="T746" s="9" t="str">
        <f>TimeEntry[[#This Row],[Year]]&amp;"-"&amp;TimeEntry[[#This Row],[WkNo]]</f>
        <v>2019-2</v>
      </c>
    </row>
    <row r="747" spans="1:20" x14ac:dyDescent="0.25">
      <c r="A747" s="6">
        <f>MOD(IF(ROW()=2,0.1,IF(INDEX(TimeEntry[WkEnd],ROW()-1)  =  INDEX(TimeEntry[WkEnd],ROW()-2),    INDEX(TimeEntry[format],ROW()-2),    INDEX(TimeEntry[format],ROW()-2)    +1)),2)</f>
        <v>0.10000000000000009</v>
      </c>
      <c r="B747" s="7"/>
      <c r="C747" s="8">
        <v>43466</v>
      </c>
      <c r="D747" s="8"/>
      <c r="E747" s="1" t="s">
        <v>451</v>
      </c>
      <c r="F747" s="8">
        <f>IF(TimeEntry[[#This Row],[Date]]=0,F746,C747+(7-Q747))</f>
        <v>43471</v>
      </c>
      <c r="G747" s="35" t="str">
        <f>INDEX(projects[Charge_Code],MATCH(TimeEntry[[#This Row],[Project_ID]],projects[Project_ID],0))</f>
        <v>BANK HOLIDAY Bank Holiday</v>
      </c>
      <c r="H747" s="1" t="str">
        <f t="shared" si="15"/>
        <v>Normal Time</v>
      </c>
      <c r="I747" s="1"/>
      <c r="J747" s="15">
        <v>7.5</v>
      </c>
      <c r="K747" s="15"/>
      <c r="L747" s="15"/>
      <c r="M747" s="15"/>
      <c r="N747" s="15"/>
      <c r="O747" s="15" t="str">
        <f>INDEX(projects[job number],MATCH(TimeEntry[[#This Row],[Project_ID]], projects[Project_ID],0))</f>
        <v>BANK HOLIDAY</v>
      </c>
      <c r="P747" s="15" t="str">
        <f>INDEX(projects[Project_Name],MATCH(TimeEntry[[#This Row],[Project_ID]], projects[Project_ID],0))</f>
        <v>Bank Holiday</v>
      </c>
      <c r="Q747" s="6">
        <f>IF(TimeEntry[[#This Row],[Date]]=0,"",WEEKDAY(C747,2))</f>
        <v>2</v>
      </c>
      <c r="R747" s="9">
        <f>YEAR(TimeEntry[[#This Row],[WkEnd]])</f>
        <v>2019</v>
      </c>
      <c r="S747" s="9">
        <f>WEEKNUM(TimeEntry[[#This Row],[WkEnd]])</f>
        <v>2</v>
      </c>
      <c r="T747" s="9" t="str">
        <f>TimeEntry[[#This Row],[Year]]&amp;"-"&amp;TimeEntry[[#This Row],[WkNo]]</f>
        <v>2019-2</v>
      </c>
    </row>
    <row r="748" spans="1:20" x14ac:dyDescent="0.25">
      <c r="A748" s="6">
        <f>MOD(IF(ROW()=2,0.1,IF(INDEX(TimeEntry[WkEnd],ROW()-1)  =  INDEX(TimeEntry[WkEnd],ROW()-2),    INDEX(TimeEntry[format],ROW()-2),    INDEX(TimeEntry[format],ROW()-2)    +1)),2)</f>
        <v>0.10000000000000009</v>
      </c>
      <c r="B748" s="7"/>
      <c r="C748" s="8">
        <v>43467</v>
      </c>
      <c r="D748" s="8"/>
      <c r="E748" s="1" t="s">
        <v>465</v>
      </c>
      <c r="F748" s="8">
        <f>IF(TimeEntry[[#This Row],[Date]]=0,F747,C748+(7-Q748))</f>
        <v>43471</v>
      </c>
      <c r="G748" s="35" t="str">
        <f>INDEX(projects[Charge_Code],MATCH(TimeEntry[[#This Row],[Project_ID]],projects[Project_ID],0))</f>
        <v>215526-27 CP - Assessment (01-124)</v>
      </c>
      <c r="H748" s="1" t="str">
        <f t="shared" si="15"/>
        <v>Normal Time</v>
      </c>
      <c r="I748" s="1"/>
      <c r="J748" s="15">
        <v>7.5</v>
      </c>
      <c r="K748" s="15"/>
      <c r="L748" s="15"/>
      <c r="M748" s="15"/>
      <c r="N748" s="15"/>
      <c r="O748" s="15" t="str">
        <f>INDEX(projects[job number],MATCH(TimeEntry[[#This Row],[Project_ID]], projects[Project_ID],0))</f>
        <v>215526-27</v>
      </c>
      <c r="P748" s="15" t="str">
        <f>INDEX(projects[Project_Name],MATCH(TimeEntry[[#This Row],[Project_ID]], projects[Project_ID],0))</f>
        <v>CP - Assessment</v>
      </c>
      <c r="Q748" s="6">
        <f>IF(TimeEntry[[#This Row],[Date]]=0,"",WEEKDAY(C748,2))</f>
        <v>3</v>
      </c>
      <c r="R748" s="9">
        <f>YEAR(TimeEntry[[#This Row],[WkEnd]])</f>
        <v>2019</v>
      </c>
      <c r="S748" s="9">
        <f>WEEKNUM(TimeEntry[[#This Row],[WkEnd]])</f>
        <v>2</v>
      </c>
      <c r="T748" s="9" t="str">
        <f>TimeEntry[[#This Row],[Year]]&amp;"-"&amp;TimeEntry[[#This Row],[WkNo]]</f>
        <v>2019-2</v>
      </c>
    </row>
    <row r="749" spans="1:20" x14ac:dyDescent="0.25">
      <c r="A749" s="6">
        <f>MOD(IF(ROW()=2,0.1,IF(INDEX(TimeEntry[WkEnd],ROW()-1)  =  INDEX(TimeEntry[WkEnd],ROW()-2),    INDEX(TimeEntry[format],ROW()-2),    INDEX(TimeEntry[format],ROW()-2)    +1)),2)</f>
        <v>0.10000000000000009</v>
      </c>
      <c r="B749" s="7"/>
      <c r="C749" s="8">
        <v>43468</v>
      </c>
      <c r="D749" s="8"/>
      <c r="E749" s="1" t="s">
        <v>482</v>
      </c>
      <c r="F749" s="8">
        <f>IF(TimeEntry[[#This Row],[Date]]=0,F748,C749+(7-Q749))</f>
        <v>43471</v>
      </c>
      <c r="G749" s="35" t="str">
        <f>INDEX(projects[Charge_Code],MATCH(TimeEntry[[#This Row],[Project_ID]],projects[Project_ID],0))</f>
        <v>260258-47 Galecopper</v>
      </c>
      <c r="H749" s="1" t="str">
        <f t="shared" si="15"/>
        <v>Normal Time</v>
      </c>
      <c r="I749" s="1"/>
      <c r="J749" s="15">
        <v>7.5</v>
      </c>
      <c r="K749" s="15"/>
      <c r="L749" s="15"/>
      <c r="M749" s="15"/>
      <c r="N749" s="15"/>
      <c r="O749" s="15" t="str">
        <f>INDEX(projects[job number],MATCH(TimeEntry[[#This Row],[Project_ID]], projects[Project_ID],0))</f>
        <v>260258-47</v>
      </c>
      <c r="P749" s="15" t="str">
        <f>INDEX(projects[Project_Name],MATCH(TimeEntry[[#This Row],[Project_ID]], projects[Project_ID],0))</f>
        <v>Galecopper</v>
      </c>
      <c r="Q749" s="6">
        <f>IF(TimeEntry[[#This Row],[Date]]=0,"",WEEKDAY(C749,2))</f>
        <v>4</v>
      </c>
      <c r="R749" s="9">
        <f>YEAR(TimeEntry[[#This Row],[WkEnd]])</f>
        <v>2019</v>
      </c>
      <c r="S749" s="9">
        <f>WEEKNUM(TimeEntry[[#This Row],[WkEnd]])</f>
        <v>2</v>
      </c>
      <c r="T749" s="9" t="str">
        <f>TimeEntry[[#This Row],[Year]]&amp;"-"&amp;TimeEntry[[#This Row],[WkNo]]</f>
        <v>2019-2</v>
      </c>
    </row>
    <row r="750" spans="1:20" x14ac:dyDescent="0.25">
      <c r="A750" s="6">
        <f>MOD(IF(ROW()=2,0.1,IF(INDEX(TimeEntry[WkEnd],ROW()-1)  =  INDEX(TimeEntry[WkEnd],ROW()-2),    INDEX(TimeEntry[format],ROW()-2),    INDEX(TimeEntry[format],ROW()-2)    +1)),2)</f>
        <v>0.10000000000000009</v>
      </c>
      <c r="B750" s="7"/>
      <c r="C750" s="8">
        <v>43469</v>
      </c>
      <c r="D750" s="8"/>
      <c r="E750" s="1" t="s">
        <v>482</v>
      </c>
      <c r="F750" s="8">
        <f>IF(TimeEntry[[#This Row],[Date]]=0,F749,C750+(7-Q750))</f>
        <v>43471</v>
      </c>
      <c r="G750" s="35" t="str">
        <f>INDEX(projects[Charge_Code],MATCH(TimeEntry[[#This Row],[Project_ID]],projects[Project_ID],0))</f>
        <v>260258-47 Galecopper</v>
      </c>
      <c r="H750" s="1" t="str">
        <f t="shared" si="15"/>
        <v>Normal Time</v>
      </c>
      <c r="I750" s="1"/>
      <c r="J750" s="15">
        <v>2.5</v>
      </c>
      <c r="K750" s="15"/>
      <c r="L750" s="15"/>
      <c r="M750" s="15"/>
      <c r="N750" s="15"/>
      <c r="O750" s="15" t="str">
        <f>INDEX(projects[job number],MATCH(TimeEntry[[#This Row],[Project_ID]], projects[Project_ID],0))</f>
        <v>260258-47</v>
      </c>
      <c r="P750" s="15" t="str">
        <f>INDEX(projects[Project_Name],MATCH(TimeEntry[[#This Row],[Project_ID]], projects[Project_ID],0))</f>
        <v>Galecopper</v>
      </c>
      <c r="Q750" s="6">
        <f>IF(TimeEntry[[#This Row],[Date]]=0,"",WEEKDAY(C750,2))</f>
        <v>5</v>
      </c>
      <c r="R750" s="9">
        <f>YEAR(TimeEntry[[#This Row],[WkEnd]])</f>
        <v>2019</v>
      </c>
      <c r="S750" s="9">
        <f>WEEKNUM(TimeEntry[[#This Row],[WkEnd]])</f>
        <v>2</v>
      </c>
      <c r="T750" s="9" t="str">
        <f>TimeEntry[[#This Row],[Year]]&amp;"-"&amp;TimeEntry[[#This Row],[WkNo]]</f>
        <v>2019-2</v>
      </c>
    </row>
    <row r="751" spans="1:20" x14ac:dyDescent="0.25">
      <c r="A751" s="6">
        <f>MOD(IF(ROW()=2,0.1,IF(INDEX(TimeEntry[WkEnd],ROW()-1)  =  INDEX(TimeEntry[WkEnd],ROW()-2),    INDEX(TimeEntry[format],ROW()-2),    INDEX(TimeEntry[format],ROW()-2)    +1)),2)</f>
        <v>0.10000000000000009</v>
      </c>
      <c r="B751" s="7"/>
      <c r="C751" s="8">
        <v>43469</v>
      </c>
      <c r="D751" s="8"/>
      <c r="E751" s="1" t="s">
        <v>457</v>
      </c>
      <c r="F751" s="8">
        <f>IF(TimeEntry[[#This Row],[Date]]=0,F750,C751+(7-Q751))</f>
        <v>43471</v>
      </c>
      <c r="G751" s="35" t="str">
        <f>INDEX(projects[Charge_Code],MATCH(TimeEntry[[#This Row],[Project_ID]],projects[Project_ID],0))</f>
        <v>255375-00 M25 West MSA</v>
      </c>
      <c r="H751" s="1" t="str">
        <f t="shared" si="15"/>
        <v>Normal Time</v>
      </c>
      <c r="I751" s="1"/>
      <c r="J751" s="15">
        <v>3</v>
      </c>
      <c r="K751" s="15"/>
      <c r="L751" s="15"/>
      <c r="M751" s="15"/>
      <c r="N751" s="15"/>
      <c r="O751" s="15" t="str">
        <f>INDEX(projects[job number],MATCH(TimeEntry[[#This Row],[Project_ID]], projects[Project_ID],0))</f>
        <v>255375-00</v>
      </c>
      <c r="P751" s="15" t="str">
        <f>INDEX(projects[Project_Name],MATCH(TimeEntry[[#This Row],[Project_ID]], projects[Project_ID],0))</f>
        <v>M25 West MSA</v>
      </c>
      <c r="Q751" s="6">
        <f>IF(TimeEntry[[#This Row],[Date]]=0,"",WEEKDAY(C751,2))</f>
        <v>5</v>
      </c>
      <c r="R751" s="9">
        <f>YEAR(TimeEntry[[#This Row],[WkEnd]])</f>
        <v>2019</v>
      </c>
      <c r="S751" s="9">
        <f>WEEKNUM(TimeEntry[[#This Row],[WkEnd]])</f>
        <v>2</v>
      </c>
      <c r="T751" s="9" t="str">
        <f>TimeEntry[[#This Row],[Year]]&amp;"-"&amp;TimeEntry[[#This Row],[WkNo]]</f>
        <v>2019-2</v>
      </c>
    </row>
    <row r="752" spans="1:20" x14ac:dyDescent="0.25">
      <c r="A752" s="6">
        <f>MOD(IF(ROW()=2,0.1,IF(INDEX(TimeEntry[WkEnd],ROW()-1)  =  INDEX(TimeEntry[WkEnd],ROW()-2),    INDEX(TimeEntry[format],ROW()-2),    INDEX(TimeEntry[format],ROW()-2)    +1)),2)</f>
        <v>0.10000000000000009</v>
      </c>
      <c r="B752" s="7"/>
      <c r="C752" s="8">
        <v>43469</v>
      </c>
      <c r="D752" s="8"/>
      <c r="E752" s="1" t="s">
        <v>450</v>
      </c>
      <c r="F752" s="8">
        <f>IF(TimeEntry[[#This Row],[Date]]=0,F751,C752+(7-Q752))</f>
        <v>43471</v>
      </c>
      <c r="G752" s="35" t="str">
        <f>INDEX(projects[Charge_Code],MATCH(TimeEntry[[#This Row],[Project_ID]],projects[Project_ID],0))</f>
        <v>246233-56 HCC - Weston Hills Tunnel (01-382)</v>
      </c>
      <c r="H752" s="1" t="str">
        <f t="shared" si="15"/>
        <v>Normal Time</v>
      </c>
      <c r="I752" s="1"/>
      <c r="J752" s="15">
        <v>2</v>
      </c>
      <c r="K752" s="15"/>
      <c r="L752" s="15"/>
      <c r="M752" s="15"/>
      <c r="N752" s="15"/>
      <c r="O752" s="15" t="str">
        <f>INDEX(projects[job number],MATCH(TimeEntry[[#This Row],[Project_ID]], projects[Project_ID],0))</f>
        <v>246233-56</v>
      </c>
      <c r="P752" s="15" t="str">
        <f>INDEX(projects[Project_Name],MATCH(TimeEntry[[#This Row],[Project_ID]], projects[Project_ID],0))</f>
        <v>HCC - Weston Hills Tunnel</v>
      </c>
      <c r="Q752" s="6">
        <f>IF(TimeEntry[[#This Row],[Date]]=0,"",WEEKDAY(C752,2))</f>
        <v>5</v>
      </c>
      <c r="R752" s="9">
        <f>YEAR(TimeEntry[[#This Row],[WkEnd]])</f>
        <v>2019</v>
      </c>
      <c r="S752" s="9">
        <f>WEEKNUM(TimeEntry[[#This Row],[WkEnd]])</f>
        <v>2</v>
      </c>
      <c r="T752" s="9" t="str">
        <f>TimeEntry[[#This Row],[Year]]&amp;"-"&amp;TimeEntry[[#This Row],[WkNo]]</f>
        <v>2019-2</v>
      </c>
    </row>
    <row r="753" spans="1:20" x14ac:dyDescent="0.25">
      <c r="A753" s="6">
        <f>MOD(IF(ROW()=2,0.1,IF(INDEX(TimeEntry[WkEnd],ROW()-1)  =  INDEX(TimeEntry[WkEnd],ROW()-2),    INDEX(TimeEntry[format],ROW()-2),    INDEX(TimeEntry[format],ROW()-2)    +1)),2)</f>
        <v>1.1000000000000001</v>
      </c>
      <c r="B753" s="7"/>
      <c r="C753" s="8">
        <v>43458</v>
      </c>
      <c r="D753" s="8"/>
      <c r="E753" s="1" t="s">
        <v>445</v>
      </c>
      <c r="F753" s="8">
        <f>IF(TimeEntry[[#This Row],[Date]]=0,F752,C753+(7-Q753))</f>
        <v>43464</v>
      </c>
      <c r="G753" s="35" t="str">
        <f>INDEX(projects[Charge_Code],MATCH(TimeEntry[[#This Row],[Project_ID]],projects[Project_ID],0))</f>
        <v>LEAVE</v>
      </c>
      <c r="H753" s="1" t="str">
        <f t="shared" si="15"/>
        <v>Normal Time</v>
      </c>
      <c r="I753" s="1"/>
      <c r="J753" s="15">
        <v>7.5</v>
      </c>
      <c r="K753" s="15"/>
      <c r="L753" s="15"/>
      <c r="M753" s="15"/>
      <c r="N753" s="15"/>
      <c r="O753" s="15" t="str">
        <f>INDEX(projects[job number],MATCH(TimeEntry[[#This Row],[Project_ID]], projects[Project_ID],0))</f>
        <v>LEAVE</v>
      </c>
      <c r="P753" s="15">
        <f>INDEX(projects[Project_Name],MATCH(TimeEntry[[#This Row],[Project_ID]], projects[Project_ID],0))</f>
        <v>0</v>
      </c>
      <c r="Q753" s="6">
        <f>IF(TimeEntry[[#This Row],[Date]]=0,"",WEEKDAY(C753,2))</f>
        <v>1</v>
      </c>
      <c r="R753" s="9">
        <f>YEAR(TimeEntry[[#This Row],[WkEnd]])</f>
        <v>2018</v>
      </c>
      <c r="S753" s="9">
        <f>WEEKNUM(TimeEntry[[#This Row],[WkEnd]])</f>
        <v>53</v>
      </c>
      <c r="T753" s="9" t="str">
        <f>TimeEntry[[#This Row],[Year]]&amp;"-"&amp;TimeEntry[[#This Row],[WkNo]]</f>
        <v>2018-53</v>
      </c>
    </row>
    <row r="754" spans="1:20" x14ac:dyDescent="0.25">
      <c r="A754" s="6">
        <f>MOD(IF(ROW()=2,0.1,IF(INDEX(TimeEntry[WkEnd],ROW()-1)  =  INDEX(TimeEntry[WkEnd],ROW()-2),    INDEX(TimeEntry[format],ROW()-2),    INDEX(TimeEntry[format],ROW()-2)    +1)),2)</f>
        <v>1.1000000000000001</v>
      </c>
      <c r="B754" s="7"/>
      <c r="C754" s="8">
        <v>43459</v>
      </c>
      <c r="D754" s="8"/>
      <c r="E754" s="1" t="s">
        <v>451</v>
      </c>
      <c r="F754" s="8">
        <f>IF(TimeEntry[[#This Row],[Date]]=0,F753,C754+(7-Q754))</f>
        <v>43464</v>
      </c>
      <c r="G754" s="35" t="str">
        <f>INDEX(projects[Charge_Code],MATCH(TimeEntry[[#This Row],[Project_ID]],projects[Project_ID],0))</f>
        <v>BANK HOLIDAY Bank Holiday</v>
      </c>
      <c r="H754" s="1" t="str">
        <f t="shared" si="15"/>
        <v>Normal Time</v>
      </c>
      <c r="I754" s="1"/>
      <c r="J754" s="15">
        <v>7.5</v>
      </c>
      <c r="K754" s="15"/>
      <c r="L754" s="15"/>
      <c r="M754" s="15"/>
      <c r="N754" s="15"/>
      <c r="O754" s="15" t="str">
        <f>INDEX(projects[job number],MATCH(TimeEntry[[#This Row],[Project_ID]], projects[Project_ID],0))</f>
        <v>BANK HOLIDAY</v>
      </c>
      <c r="P754" s="15" t="str">
        <f>INDEX(projects[Project_Name],MATCH(TimeEntry[[#This Row],[Project_ID]], projects[Project_ID],0))</f>
        <v>Bank Holiday</v>
      </c>
      <c r="Q754" s="6">
        <f>IF(TimeEntry[[#This Row],[Date]]=0,"",WEEKDAY(C754,2))</f>
        <v>2</v>
      </c>
      <c r="R754" s="9">
        <f>YEAR(TimeEntry[[#This Row],[WkEnd]])</f>
        <v>2018</v>
      </c>
      <c r="S754" s="9">
        <f>WEEKNUM(TimeEntry[[#This Row],[WkEnd]])</f>
        <v>53</v>
      </c>
      <c r="T754" s="9" t="str">
        <f>TimeEntry[[#This Row],[Year]]&amp;"-"&amp;TimeEntry[[#This Row],[WkNo]]</f>
        <v>2018-53</v>
      </c>
    </row>
    <row r="755" spans="1:20" x14ac:dyDescent="0.25">
      <c r="A755" s="6">
        <f>MOD(IF(ROW()=2,0.1,IF(INDEX(TimeEntry[WkEnd],ROW()-1)  =  INDEX(TimeEntry[WkEnd],ROW()-2),    INDEX(TimeEntry[format],ROW()-2),    INDEX(TimeEntry[format],ROW()-2)    +1)),2)</f>
        <v>1.1000000000000001</v>
      </c>
      <c r="B755" s="7"/>
      <c r="C755" s="8">
        <v>43460</v>
      </c>
      <c r="D755" s="8"/>
      <c r="E755" s="1" t="s">
        <v>451</v>
      </c>
      <c r="F755" s="8">
        <f>IF(TimeEntry[[#This Row],[Date]]=0,F754,C755+(7-Q755))</f>
        <v>43464</v>
      </c>
      <c r="G755" s="35" t="str">
        <f>INDEX(projects[Charge_Code],MATCH(TimeEntry[[#This Row],[Project_ID]],projects[Project_ID],0))</f>
        <v>BANK HOLIDAY Bank Holiday</v>
      </c>
      <c r="H755" s="1" t="str">
        <f t="shared" si="15"/>
        <v>Normal Time</v>
      </c>
      <c r="I755" s="1"/>
      <c r="J755" s="15">
        <v>7.5</v>
      </c>
      <c r="K755" s="15"/>
      <c r="L755" s="15"/>
      <c r="M755" s="15"/>
      <c r="N755" s="15"/>
      <c r="O755" s="15" t="str">
        <f>INDEX(projects[job number],MATCH(TimeEntry[[#This Row],[Project_ID]], projects[Project_ID],0))</f>
        <v>BANK HOLIDAY</v>
      </c>
      <c r="P755" s="15" t="str">
        <f>INDEX(projects[Project_Name],MATCH(TimeEntry[[#This Row],[Project_ID]], projects[Project_ID],0))</f>
        <v>Bank Holiday</v>
      </c>
      <c r="Q755" s="6">
        <f>IF(TimeEntry[[#This Row],[Date]]=0,"",WEEKDAY(C755,2))</f>
        <v>3</v>
      </c>
      <c r="R755" s="9">
        <f>YEAR(TimeEntry[[#This Row],[WkEnd]])</f>
        <v>2018</v>
      </c>
      <c r="S755" s="9">
        <f>WEEKNUM(TimeEntry[[#This Row],[WkEnd]])</f>
        <v>53</v>
      </c>
      <c r="T755" s="9" t="str">
        <f>TimeEntry[[#This Row],[Year]]&amp;"-"&amp;TimeEntry[[#This Row],[WkNo]]</f>
        <v>2018-53</v>
      </c>
    </row>
    <row r="756" spans="1:20" x14ac:dyDescent="0.25">
      <c r="A756" s="6">
        <f>MOD(IF(ROW()=2,0.1,IF(INDEX(TimeEntry[WkEnd],ROW()-1)  =  INDEX(TimeEntry[WkEnd],ROW()-2),    INDEX(TimeEntry[format],ROW()-2),    INDEX(TimeEntry[format],ROW()-2)    +1)),2)</f>
        <v>1.1000000000000001</v>
      </c>
      <c r="B756" s="7"/>
      <c r="C756" s="8">
        <v>43461</v>
      </c>
      <c r="D756" s="8"/>
      <c r="E756" s="1" t="s">
        <v>445</v>
      </c>
      <c r="F756" s="8">
        <f>IF(TimeEntry[[#This Row],[Date]]=0,F755,C756+(7-Q756))</f>
        <v>43464</v>
      </c>
      <c r="G756" s="35" t="str">
        <f>INDEX(projects[Charge_Code],MATCH(TimeEntry[[#This Row],[Project_ID]],projects[Project_ID],0))</f>
        <v>LEAVE</v>
      </c>
      <c r="H756" s="1" t="str">
        <f t="shared" si="15"/>
        <v>Normal Time</v>
      </c>
      <c r="I756" s="1"/>
      <c r="J756" s="15">
        <v>7.5</v>
      </c>
      <c r="K756" s="15"/>
      <c r="L756" s="15"/>
      <c r="M756" s="15"/>
      <c r="N756" s="15"/>
      <c r="O756" s="15" t="str">
        <f>INDEX(projects[job number],MATCH(TimeEntry[[#This Row],[Project_ID]], projects[Project_ID],0))</f>
        <v>LEAVE</v>
      </c>
      <c r="P756" s="15">
        <f>INDEX(projects[Project_Name],MATCH(TimeEntry[[#This Row],[Project_ID]], projects[Project_ID],0))</f>
        <v>0</v>
      </c>
      <c r="Q756" s="6">
        <f>IF(TimeEntry[[#This Row],[Date]]=0,"",WEEKDAY(C756,2))</f>
        <v>4</v>
      </c>
      <c r="R756" s="9">
        <f>YEAR(TimeEntry[[#This Row],[WkEnd]])</f>
        <v>2018</v>
      </c>
      <c r="S756" s="9">
        <f>WEEKNUM(TimeEntry[[#This Row],[WkEnd]])</f>
        <v>53</v>
      </c>
      <c r="T756" s="9" t="str">
        <f>TimeEntry[[#This Row],[Year]]&amp;"-"&amp;TimeEntry[[#This Row],[WkNo]]</f>
        <v>2018-53</v>
      </c>
    </row>
    <row r="757" spans="1:20" x14ac:dyDescent="0.25">
      <c r="A757" s="6">
        <f>MOD(IF(ROW()=2,0.1,IF(INDEX(TimeEntry[WkEnd],ROW()-1)  =  INDEX(TimeEntry[WkEnd],ROW()-2),    INDEX(TimeEntry[format],ROW()-2),    INDEX(TimeEntry[format],ROW()-2)    +1)),2)</f>
        <v>1.1000000000000001</v>
      </c>
      <c r="B757" s="7"/>
      <c r="C757" s="8">
        <v>43462</v>
      </c>
      <c r="D757" s="8"/>
      <c r="E757" s="1" t="s">
        <v>445</v>
      </c>
      <c r="F757" s="8">
        <f>IF(TimeEntry[[#This Row],[Date]]=0,F756,C757+(7-Q757))</f>
        <v>43464</v>
      </c>
      <c r="G757" s="35" t="str">
        <f>INDEX(projects[Charge_Code],MATCH(TimeEntry[[#This Row],[Project_ID]],projects[Project_ID],0))</f>
        <v>LEAVE</v>
      </c>
      <c r="H757" s="1" t="str">
        <f t="shared" si="15"/>
        <v>Normal Time</v>
      </c>
      <c r="I757" s="1"/>
      <c r="J757" s="15">
        <v>7.5</v>
      </c>
      <c r="K757" s="15"/>
      <c r="L757" s="15"/>
      <c r="M757" s="15"/>
      <c r="N757" s="15"/>
      <c r="O757" s="15" t="str">
        <f>INDEX(projects[job number],MATCH(TimeEntry[[#This Row],[Project_ID]], projects[Project_ID],0))</f>
        <v>LEAVE</v>
      </c>
      <c r="P757" s="15">
        <f>INDEX(projects[Project_Name],MATCH(TimeEntry[[#This Row],[Project_ID]], projects[Project_ID],0))</f>
        <v>0</v>
      </c>
      <c r="Q757" s="6">
        <f>IF(TimeEntry[[#This Row],[Date]]=0,"",WEEKDAY(C757,2))</f>
        <v>5</v>
      </c>
      <c r="R757" s="9">
        <f>YEAR(TimeEntry[[#This Row],[WkEnd]])</f>
        <v>2018</v>
      </c>
      <c r="S757" s="9">
        <f>WEEKNUM(TimeEntry[[#This Row],[WkEnd]])</f>
        <v>53</v>
      </c>
      <c r="T757" s="9" t="str">
        <f>TimeEntry[[#This Row],[Year]]&amp;"-"&amp;TimeEntry[[#This Row],[WkNo]]</f>
        <v>2018-53</v>
      </c>
    </row>
    <row r="758" spans="1:20" x14ac:dyDescent="0.25">
      <c r="A758" s="6">
        <f>MOD(IF(ROW()=2,0.1,IF(INDEX(TimeEntry[WkEnd],ROW()-1)  =  INDEX(TimeEntry[WkEnd],ROW()-2),    INDEX(TimeEntry[format],ROW()-2),    INDEX(TimeEntry[format],ROW()-2)    +1)),2)</f>
        <v>0.10000000000000009</v>
      </c>
      <c r="B758" s="7"/>
      <c r="C758" s="8">
        <v>43451</v>
      </c>
      <c r="D758" s="8"/>
      <c r="E758" s="1" t="s">
        <v>476</v>
      </c>
      <c r="F758" s="8">
        <f>IF(TimeEntry[[#This Row],[Date]]=0,F757,C758+(7-Q758))</f>
        <v>43457</v>
      </c>
      <c r="G758" s="35" t="str">
        <f>INDEX(projects[Charge_Code],MATCH(TimeEntry[[#This Row],[Project_ID]],projects[Project_ID],0))</f>
        <v>000000-00 AMS Support</v>
      </c>
      <c r="H758" s="1" t="str">
        <f t="shared" si="15"/>
        <v>Normal Time</v>
      </c>
      <c r="I758" s="1"/>
      <c r="J758" s="15">
        <v>3.75</v>
      </c>
      <c r="K758" s="15"/>
      <c r="L758" s="15"/>
      <c r="M758" s="15"/>
      <c r="N758" s="15"/>
      <c r="O758" s="15" t="str">
        <f>INDEX(projects[job number],MATCH(TimeEntry[[#This Row],[Project_ID]], projects[Project_ID],0))</f>
        <v>000000-00</v>
      </c>
      <c r="P758" s="15" t="str">
        <f>INDEX(projects[Project_Name],MATCH(TimeEntry[[#This Row],[Project_ID]], projects[Project_ID],0))</f>
        <v>AMS Support</v>
      </c>
      <c r="Q758" s="1">
        <f>IF(TimeEntry[[#This Row],[Date]]=0,"",WEEKDAY(C758,2))</f>
        <v>1</v>
      </c>
      <c r="R758" s="9">
        <f>YEAR(TimeEntry[[#This Row],[WkEnd]])</f>
        <v>2018</v>
      </c>
      <c r="S758" s="9">
        <f>WEEKNUM(TimeEntry[[#This Row],[WkEnd]])</f>
        <v>52</v>
      </c>
      <c r="T758" s="9" t="str">
        <f>TimeEntry[[#This Row],[Year]]&amp;"-"&amp;TimeEntry[[#This Row],[WkNo]]</f>
        <v>2018-52</v>
      </c>
    </row>
    <row r="759" spans="1:20" x14ac:dyDescent="0.25">
      <c r="A759" s="6">
        <f>MOD(IF(ROW()=2,0.1,IF(INDEX(TimeEntry[WkEnd],ROW()-1)  =  INDEX(TimeEntry[WkEnd],ROW()-2),    INDEX(TimeEntry[format],ROW()-2),    INDEX(TimeEntry[format],ROW()-2)    +1)),2)</f>
        <v>0.10000000000000009</v>
      </c>
      <c r="B759" s="7"/>
      <c r="C759" s="8">
        <v>43451</v>
      </c>
      <c r="D759" s="8"/>
      <c r="E759" s="1" t="s">
        <v>477</v>
      </c>
      <c r="F759" s="8">
        <f>IF(TimeEntry[[#This Row],[Date]]=0,F758,C759+(7-Q759))</f>
        <v>43457</v>
      </c>
      <c r="G759" s="35" t="str">
        <f>INDEX(projects[Charge_Code],MATCH(TimeEntry[[#This Row],[Project_ID]],projects[Project_ID],0))</f>
        <v>259933-00 Waalbrug</v>
      </c>
      <c r="H759" s="1" t="str">
        <f t="shared" si="15"/>
        <v>Normal Time</v>
      </c>
      <c r="I759" s="1"/>
      <c r="J759" s="15">
        <v>3.75</v>
      </c>
      <c r="K759" s="15"/>
      <c r="L759" s="15"/>
      <c r="M759" s="15"/>
      <c r="N759" s="15"/>
      <c r="O759" s="15" t="str">
        <f>INDEX(projects[job number],MATCH(TimeEntry[[#This Row],[Project_ID]], projects[Project_ID],0))</f>
        <v>259933-00</v>
      </c>
      <c r="P759" s="15" t="str">
        <f>INDEX(projects[Project_Name],MATCH(TimeEntry[[#This Row],[Project_ID]], projects[Project_ID],0))</f>
        <v>Waalbrug</v>
      </c>
      <c r="Q759" s="6">
        <f>IF(TimeEntry[[#This Row],[Date]]=0,"",WEEKDAY(C759,2))</f>
        <v>1</v>
      </c>
      <c r="R759" s="9">
        <f>YEAR(TimeEntry[[#This Row],[WkEnd]])</f>
        <v>2018</v>
      </c>
      <c r="S759" s="9">
        <f>WEEKNUM(TimeEntry[[#This Row],[WkEnd]])</f>
        <v>52</v>
      </c>
      <c r="T759" s="9" t="str">
        <f>TimeEntry[[#This Row],[Year]]&amp;"-"&amp;TimeEntry[[#This Row],[WkNo]]</f>
        <v>2018-52</v>
      </c>
    </row>
    <row r="760" spans="1:20" x14ac:dyDescent="0.25">
      <c r="A760" s="6">
        <f>MOD(IF(ROW()=2,0.1,IF(INDEX(TimeEntry[WkEnd],ROW()-1)  =  INDEX(TimeEntry[WkEnd],ROW()-2),    INDEX(TimeEntry[format],ROW()-2),    INDEX(TimeEntry[format],ROW()-2)    +1)),2)</f>
        <v>0.10000000000000009</v>
      </c>
      <c r="B760" s="7"/>
      <c r="C760" s="8">
        <v>43452</v>
      </c>
      <c r="D760" s="8"/>
      <c r="E760" s="1" t="s">
        <v>476</v>
      </c>
      <c r="F760" s="8">
        <f>IF(TimeEntry[[#This Row],[Date]]=0,F759,C760+(7-Q760))</f>
        <v>43457</v>
      </c>
      <c r="G760" s="35" t="str">
        <f>INDEX(projects[Charge_Code],MATCH(TimeEntry[[#This Row],[Project_ID]],projects[Project_ID],0))</f>
        <v>000000-00 AMS Support</v>
      </c>
      <c r="H760" s="1" t="str">
        <f t="shared" si="15"/>
        <v>Normal Time</v>
      </c>
      <c r="I760" s="1"/>
      <c r="J760" s="15">
        <v>7.5</v>
      </c>
      <c r="K760" s="15"/>
      <c r="L760" s="15"/>
      <c r="M760" s="15"/>
      <c r="N760" s="15"/>
      <c r="O760" s="15" t="str">
        <f>INDEX(projects[job number],MATCH(TimeEntry[[#This Row],[Project_ID]], projects[Project_ID],0))</f>
        <v>000000-00</v>
      </c>
      <c r="P760" s="15" t="str">
        <f>INDEX(projects[Project_Name],MATCH(TimeEntry[[#This Row],[Project_ID]], projects[Project_ID],0))</f>
        <v>AMS Support</v>
      </c>
      <c r="Q760" s="1">
        <f>IF(TimeEntry[[#This Row],[Date]]=0,"",WEEKDAY(C760,2))</f>
        <v>2</v>
      </c>
      <c r="R760" s="9">
        <f>YEAR(TimeEntry[[#This Row],[WkEnd]])</f>
        <v>2018</v>
      </c>
      <c r="S760" s="9">
        <f>WEEKNUM(TimeEntry[[#This Row],[WkEnd]])</f>
        <v>52</v>
      </c>
      <c r="T760" s="9" t="str">
        <f>TimeEntry[[#This Row],[Year]]&amp;"-"&amp;TimeEntry[[#This Row],[WkNo]]</f>
        <v>2018-52</v>
      </c>
    </row>
    <row r="761" spans="1:20" x14ac:dyDescent="0.25">
      <c r="A761" s="6">
        <f>MOD(IF(ROW()=2,0.1,IF(INDEX(TimeEntry[WkEnd],ROW()-1)  =  INDEX(TimeEntry[WkEnd],ROW()-2),    INDEX(TimeEntry[format],ROW()-2),    INDEX(TimeEntry[format],ROW()-2)    +1)),2)</f>
        <v>0.10000000000000009</v>
      </c>
      <c r="B761" s="7"/>
      <c r="C761" s="8">
        <v>43453</v>
      </c>
      <c r="D761" s="8"/>
      <c r="E761" s="1" t="e">
        <v>#N/A</v>
      </c>
      <c r="F761" s="8">
        <f>IF(TimeEntry[[#This Row],[Date]]=0,F760,C761+(7-Q761))</f>
        <v>43457</v>
      </c>
      <c r="G761" s="35" t="e">
        <f>INDEX(projects[Charge_Code],MATCH(TimeEntry[[#This Row],[Project_ID]],projects[Project_ID],0))</f>
        <v>#N/A</v>
      </c>
      <c r="H761" s="1" t="str">
        <f t="shared" si="15"/>
        <v>Normal Time</v>
      </c>
      <c r="I761" s="1"/>
      <c r="J761" s="15">
        <v>1</v>
      </c>
      <c r="K761" s="15"/>
      <c r="L761" s="15"/>
      <c r="M761" s="15"/>
      <c r="N761" s="15"/>
      <c r="O761" s="15" t="e">
        <f>INDEX(projects[job number],MATCH(TimeEntry[[#This Row],[Project_ID]], projects[Project_ID],0))</f>
        <v>#N/A</v>
      </c>
      <c r="P761" s="15" t="e">
        <f>INDEX(projects[Project_Name],MATCH(TimeEntry[[#This Row],[Project_ID]], projects[Project_ID],0))</f>
        <v>#N/A</v>
      </c>
      <c r="Q761" s="1">
        <f>IF(TimeEntry[[#This Row],[Date]]=0,"",WEEKDAY(C761,2))</f>
        <v>3</v>
      </c>
      <c r="R761" s="9">
        <f>YEAR(TimeEntry[[#This Row],[WkEnd]])</f>
        <v>2018</v>
      </c>
      <c r="S761" s="9">
        <f>WEEKNUM(TimeEntry[[#This Row],[WkEnd]])</f>
        <v>52</v>
      </c>
      <c r="T761" s="9" t="str">
        <f>TimeEntry[[#This Row],[Year]]&amp;"-"&amp;TimeEntry[[#This Row],[WkNo]]</f>
        <v>2018-52</v>
      </c>
    </row>
    <row r="762" spans="1:20" x14ac:dyDescent="0.25">
      <c r="A762" s="6">
        <f>MOD(IF(ROW()=2,0.1,IF(INDEX(TimeEntry[WkEnd],ROW()-1)  =  INDEX(TimeEntry[WkEnd],ROW()-2),    INDEX(TimeEntry[format],ROW()-2),    INDEX(TimeEntry[format],ROW()-2)    +1)),2)</f>
        <v>0.10000000000000009</v>
      </c>
      <c r="B762" s="7"/>
      <c r="C762" s="8">
        <v>43453</v>
      </c>
      <c r="D762" s="8"/>
      <c r="E762" s="1" t="s">
        <v>483</v>
      </c>
      <c r="F762" s="8">
        <f>IF(TimeEntry[[#This Row],[Date]]=0,F761,C762+(7-Q762))</f>
        <v>43457</v>
      </c>
      <c r="G762" s="35" t="str">
        <f>INDEX(projects[Charge_Code],MATCH(TimeEntry[[#This Row],[Project_ID]],projects[Project_ID],0))</f>
        <v>254304-79 HCC - Nursery Ln (01-382)</v>
      </c>
      <c r="H762" s="1" t="str">
        <f t="shared" si="15"/>
        <v>Normal Time</v>
      </c>
      <c r="I762" s="1"/>
      <c r="J762" s="15">
        <v>2</v>
      </c>
      <c r="K762" s="15"/>
      <c r="L762" s="15"/>
      <c r="M762" s="15"/>
      <c r="N762" s="15"/>
      <c r="O762" s="15" t="str">
        <f>INDEX(projects[job number],MATCH(TimeEntry[[#This Row],[Project_ID]], projects[Project_ID],0))</f>
        <v>254304-79</v>
      </c>
      <c r="P762" s="15" t="str">
        <f>INDEX(projects[Project_Name],MATCH(TimeEntry[[#This Row],[Project_ID]], projects[Project_ID],0))</f>
        <v>HCC - Nursery Ln</v>
      </c>
      <c r="Q762" s="6">
        <f>IF(TimeEntry[[#This Row],[Date]]=0,"",WEEKDAY(C762,2))</f>
        <v>3</v>
      </c>
      <c r="R762" s="9">
        <f>YEAR(TimeEntry[[#This Row],[WkEnd]])</f>
        <v>2018</v>
      </c>
      <c r="S762" s="9">
        <f>WEEKNUM(TimeEntry[[#This Row],[WkEnd]])</f>
        <v>52</v>
      </c>
      <c r="T762" s="9" t="str">
        <f>TimeEntry[[#This Row],[Year]]&amp;"-"&amp;TimeEntry[[#This Row],[WkNo]]</f>
        <v>2018-52</v>
      </c>
    </row>
    <row r="763" spans="1:20" x14ac:dyDescent="0.25">
      <c r="A763" s="6">
        <f>MOD(IF(ROW()=2,0.1,IF(INDEX(TimeEntry[WkEnd],ROW()-1)  =  INDEX(TimeEntry[WkEnd],ROW()-2),    INDEX(TimeEntry[format],ROW()-2),    INDEX(TimeEntry[format],ROW()-2)    +1)),2)</f>
        <v>0.10000000000000009</v>
      </c>
      <c r="B763" s="7"/>
      <c r="C763" s="8">
        <v>43453</v>
      </c>
      <c r="D763" s="8"/>
      <c r="E763" s="1" t="s">
        <v>452</v>
      </c>
      <c r="F763" s="8">
        <f>IF(TimeEntry[[#This Row],[Date]]=0,F762,C763+(7-Q763))</f>
        <v>43457</v>
      </c>
      <c r="G763" s="35" t="str">
        <f>INDEX(projects[Charge_Code],MATCH(TimeEntry[[#This Row],[Project_ID]],projects[Project_ID],0))</f>
        <v>254304-96 HCC - Paul Cully (01-382)</v>
      </c>
      <c r="H763" s="1" t="str">
        <f t="shared" si="15"/>
        <v>Normal Time</v>
      </c>
      <c r="I763" s="1"/>
      <c r="J763" s="15">
        <v>4.5</v>
      </c>
      <c r="K763" s="15"/>
      <c r="L763" s="15"/>
      <c r="M763" s="15"/>
      <c r="N763" s="15"/>
      <c r="O763" s="15" t="str">
        <f>INDEX(projects[job number],MATCH(TimeEntry[[#This Row],[Project_ID]], projects[Project_ID],0))</f>
        <v>254304-96</v>
      </c>
      <c r="P763" s="15" t="str">
        <f>INDEX(projects[Project_Name],MATCH(TimeEntry[[#This Row],[Project_ID]], projects[Project_ID],0))</f>
        <v>HCC - Paul Cully</v>
      </c>
      <c r="Q763" s="6">
        <f>IF(TimeEntry[[#This Row],[Date]]=0,"",WEEKDAY(C763,2))</f>
        <v>3</v>
      </c>
      <c r="R763" s="9">
        <f>YEAR(TimeEntry[[#This Row],[WkEnd]])</f>
        <v>2018</v>
      </c>
      <c r="S763" s="9">
        <f>WEEKNUM(TimeEntry[[#This Row],[WkEnd]])</f>
        <v>52</v>
      </c>
      <c r="T763" s="9" t="str">
        <f>TimeEntry[[#This Row],[Year]]&amp;"-"&amp;TimeEntry[[#This Row],[WkNo]]</f>
        <v>2018-52</v>
      </c>
    </row>
    <row r="764" spans="1:20" x14ac:dyDescent="0.25">
      <c r="A764" s="6">
        <f>MOD(IF(ROW()=2,0.1,IF(INDEX(TimeEntry[WkEnd],ROW()-1)  =  INDEX(TimeEntry[WkEnd],ROW()-2),    INDEX(TimeEntry[format],ROW()-2),    INDEX(TimeEntry[format],ROW()-2)    +1)),2)</f>
        <v>0.10000000000000009</v>
      </c>
      <c r="B764" s="7"/>
      <c r="C764" s="8">
        <v>43454</v>
      </c>
      <c r="D764" s="8"/>
      <c r="E764" s="1" t="s">
        <v>465</v>
      </c>
      <c r="F764" s="8">
        <f>IF(TimeEntry[[#This Row],[Date]]=0,F763,C764+(7-Q764))</f>
        <v>43457</v>
      </c>
      <c r="G764" s="35" t="str">
        <f>INDEX(projects[Charge_Code],MATCH(TimeEntry[[#This Row],[Project_ID]],projects[Project_ID],0))</f>
        <v>215526-27 CP - Assessment (01-124)</v>
      </c>
      <c r="H764" s="1" t="str">
        <f t="shared" si="15"/>
        <v>Normal Time</v>
      </c>
      <c r="I764" s="1"/>
      <c r="J764" s="15">
        <v>7.5</v>
      </c>
      <c r="K764" s="15"/>
      <c r="L764" s="15"/>
      <c r="M764" s="15"/>
      <c r="N764" s="15"/>
      <c r="O764" s="15" t="str">
        <f>INDEX(projects[job number],MATCH(TimeEntry[[#This Row],[Project_ID]], projects[Project_ID],0))</f>
        <v>215526-27</v>
      </c>
      <c r="P764" s="15" t="str">
        <f>INDEX(projects[Project_Name],MATCH(TimeEntry[[#This Row],[Project_ID]], projects[Project_ID],0))</f>
        <v>CP - Assessment</v>
      </c>
      <c r="Q764" s="1">
        <f>IF(TimeEntry[[#This Row],[Date]]=0,"",WEEKDAY(C764,2))</f>
        <v>4</v>
      </c>
      <c r="R764" s="9">
        <f>YEAR(TimeEntry[[#This Row],[WkEnd]])</f>
        <v>2018</v>
      </c>
      <c r="S764" s="9">
        <f>WEEKNUM(TimeEntry[[#This Row],[WkEnd]])</f>
        <v>52</v>
      </c>
      <c r="T764" s="9" t="str">
        <f>TimeEntry[[#This Row],[Year]]&amp;"-"&amp;TimeEntry[[#This Row],[WkNo]]</f>
        <v>2018-52</v>
      </c>
    </row>
    <row r="765" spans="1:20" x14ac:dyDescent="0.25">
      <c r="A765" s="6">
        <f>MOD(IF(ROW()=2,0.1,IF(INDEX(TimeEntry[WkEnd],ROW()-1)  =  INDEX(TimeEntry[WkEnd],ROW()-2),    INDEX(TimeEntry[format],ROW()-2),    INDEX(TimeEntry[format],ROW()-2)    +1)),2)</f>
        <v>0.10000000000000009</v>
      </c>
      <c r="B765" s="7"/>
      <c r="C765" s="8">
        <v>43455</v>
      </c>
      <c r="D765" s="8"/>
      <c r="E765" s="1" t="s">
        <v>465</v>
      </c>
      <c r="F765" s="8">
        <f>IF(TimeEntry[[#This Row],[Date]]=0,F764,C765+(7-Q765))</f>
        <v>43457</v>
      </c>
      <c r="G765" s="35" t="str">
        <f>INDEX(projects[Charge_Code],MATCH(TimeEntry[[#This Row],[Project_ID]],projects[Project_ID],0))</f>
        <v>215526-27 CP - Assessment (01-124)</v>
      </c>
      <c r="H765" s="1" t="str">
        <f t="shared" si="15"/>
        <v>Normal Time</v>
      </c>
      <c r="I765" s="1"/>
      <c r="J765" s="15">
        <v>3.75</v>
      </c>
      <c r="K765" s="15"/>
      <c r="L765" s="15"/>
      <c r="M765" s="15"/>
      <c r="N765" s="15"/>
      <c r="O765" s="15" t="str">
        <f>INDEX(projects[job number],MATCH(TimeEntry[[#This Row],[Project_ID]], projects[Project_ID],0))</f>
        <v>215526-27</v>
      </c>
      <c r="P765" s="15" t="str">
        <f>INDEX(projects[Project_Name],MATCH(TimeEntry[[#This Row],[Project_ID]], projects[Project_ID],0))</f>
        <v>CP - Assessment</v>
      </c>
      <c r="Q765" s="6">
        <f>IF(TimeEntry[[#This Row],[Date]]=0,"",WEEKDAY(C765,2))</f>
        <v>5</v>
      </c>
      <c r="R765" s="9">
        <f>YEAR(TimeEntry[[#This Row],[WkEnd]])</f>
        <v>2018</v>
      </c>
      <c r="S765" s="9">
        <f>WEEKNUM(TimeEntry[[#This Row],[WkEnd]])</f>
        <v>52</v>
      </c>
      <c r="T765" s="9" t="str">
        <f>TimeEntry[[#This Row],[Year]]&amp;"-"&amp;TimeEntry[[#This Row],[WkNo]]</f>
        <v>2018-52</v>
      </c>
    </row>
    <row r="766" spans="1:20" x14ac:dyDescent="0.25">
      <c r="A766" s="6">
        <f>MOD(IF(ROW()=2,0.1,IF(INDEX(TimeEntry[WkEnd],ROW()-1)  =  INDEX(TimeEntry[WkEnd],ROW()-2),    INDEX(TimeEntry[format],ROW()-2),    INDEX(TimeEntry[format],ROW()-2)    +1)),2)</f>
        <v>0.10000000000000009</v>
      </c>
      <c r="B766" s="7"/>
      <c r="C766" s="8">
        <v>43455</v>
      </c>
      <c r="D766" s="8"/>
      <c r="E766" s="1" t="s">
        <v>477</v>
      </c>
      <c r="F766" s="8">
        <f>IF(TimeEntry[[#This Row],[Date]]=0,F765,C766+(7-Q766))</f>
        <v>43457</v>
      </c>
      <c r="G766" s="35" t="str">
        <f>INDEX(projects[Charge_Code],MATCH(TimeEntry[[#This Row],[Project_ID]],projects[Project_ID],0))</f>
        <v>259933-00 Waalbrug</v>
      </c>
      <c r="H766" s="1" t="str">
        <f t="shared" si="15"/>
        <v>Normal Time</v>
      </c>
      <c r="I766" s="1"/>
      <c r="J766" s="15">
        <v>3.75</v>
      </c>
      <c r="K766" s="15"/>
      <c r="L766" s="15"/>
      <c r="M766" s="15"/>
      <c r="N766" s="15"/>
      <c r="O766" s="15" t="str">
        <f>INDEX(projects[job number],MATCH(TimeEntry[[#This Row],[Project_ID]], projects[Project_ID],0))</f>
        <v>259933-00</v>
      </c>
      <c r="P766" s="15" t="str">
        <f>INDEX(projects[Project_Name],MATCH(TimeEntry[[#This Row],[Project_ID]], projects[Project_ID],0))</f>
        <v>Waalbrug</v>
      </c>
      <c r="Q766" s="1">
        <f>IF(TimeEntry[[#This Row],[Date]]=0,"",WEEKDAY(C766,2))</f>
        <v>5</v>
      </c>
      <c r="R766" s="9">
        <f>YEAR(TimeEntry[[#This Row],[WkEnd]])</f>
        <v>2018</v>
      </c>
      <c r="S766" s="9">
        <f>WEEKNUM(TimeEntry[[#This Row],[WkEnd]])</f>
        <v>52</v>
      </c>
      <c r="T766" s="9" t="str">
        <f>TimeEntry[[#This Row],[Year]]&amp;"-"&amp;TimeEntry[[#This Row],[WkNo]]</f>
        <v>2018-52</v>
      </c>
    </row>
    <row r="767" spans="1:20" x14ac:dyDescent="0.25">
      <c r="A767" s="6">
        <f>MOD(IF(ROW()=2,0.1,IF(INDEX(TimeEntry[WkEnd],ROW()-1)  =  INDEX(TimeEntry[WkEnd],ROW()-2),    INDEX(TimeEntry[format],ROW()-2),    INDEX(TimeEntry[format],ROW()-2)    +1)),2)</f>
        <v>1.1000000000000001</v>
      </c>
      <c r="B767" s="7"/>
      <c r="C767" s="8">
        <v>43444</v>
      </c>
      <c r="D767" s="8"/>
      <c r="E767" s="1" t="s">
        <v>75</v>
      </c>
      <c r="F767" s="8">
        <f>IF(TimeEntry[[#This Row],[Date]]=0,F766,C767+(7-Q767))</f>
        <v>43450</v>
      </c>
      <c r="G767" s="35" t="str">
        <f>INDEX(projects[Charge_Code],MATCH(TimeEntry[[#This Row],[Project_ID]],projects[Project_ID],0))</f>
        <v>601701-23 swindon d&amp;b</v>
      </c>
      <c r="H767" s="1" t="str">
        <f t="shared" si="15"/>
        <v>Normal Time</v>
      </c>
      <c r="I767" s="1"/>
      <c r="J767" s="15">
        <v>7.5</v>
      </c>
      <c r="K767" s="15"/>
      <c r="L767" s="15"/>
      <c r="M767" s="15"/>
      <c r="N767" s="15"/>
      <c r="O767" s="15" t="str">
        <f>INDEX(projects[job number],MATCH(TimeEntry[[#This Row],[Project_ID]], projects[Project_ID],0))</f>
        <v>601701-23</v>
      </c>
      <c r="P767" s="15" t="str">
        <f>INDEX(projects[Project_Name],MATCH(TimeEntry[[#This Row],[Project_ID]], projects[Project_ID],0))</f>
        <v>swindon d&amp;b</v>
      </c>
      <c r="Q767" s="1">
        <f>IF(TimeEntry[[#This Row],[Date]]=0,"",WEEKDAY(C767,2))</f>
        <v>1</v>
      </c>
      <c r="R767" s="9">
        <f>YEAR(TimeEntry[[#This Row],[WkEnd]])</f>
        <v>2018</v>
      </c>
      <c r="S767" s="9">
        <f>WEEKNUM(TimeEntry[[#This Row],[WkEnd]])</f>
        <v>51</v>
      </c>
      <c r="T767" s="9" t="str">
        <f>TimeEntry[[#This Row],[Year]]&amp;"-"&amp;TimeEntry[[#This Row],[WkNo]]</f>
        <v>2018-51</v>
      </c>
    </row>
    <row r="768" spans="1:20" x14ac:dyDescent="0.25">
      <c r="A768" s="6">
        <f>MOD(IF(ROW()=2,0.1,IF(INDEX(TimeEntry[WkEnd],ROW()-1)  =  INDEX(TimeEntry[WkEnd],ROW()-2),    INDEX(TimeEntry[format],ROW()-2),    INDEX(TimeEntry[format],ROW()-2)    +1)),2)</f>
        <v>1.1000000000000001</v>
      </c>
      <c r="B768" s="7"/>
      <c r="C768" s="8">
        <v>43445</v>
      </c>
      <c r="D768" s="8"/>
      <c r="E768" s="1" t="s">
        <v>476</v>
      </c>
      <c r="F768" s="8">
        <f>IF(TimeEntry[[#This Row],[Date]]=0,F767,C768+(7-Q768))</f>
        <v>43450</v>
      </c>
      <c r="G768" s="35" t="str">
        <f>INDEX(projects[Charge_Code],MATCH(TimeEntry[[#This Row],[Project_ID]],projects[Project_ID],0))</f>
        <v>000000-00 AMS Support</v>
      </c>
      <c r="H768" s="1" t="str">
        <f t="shared" si="15"/>
        <v>Normal Time</v>
      </c>
      <c r="I768" s="1"/>
      <c r="J768" s="15">
        <v>7.5</v>
      </c>
      <c r="K768" s="15"/>
      <c r="L768" s="15"/>
      <c r="M768" s="15"/>
      <c r="N768" s="15"/>
      <c r="O768" s="15" t="str">
        <f>INDEX(projects[job number],MATCH(TimeEntry[[#This Row],[Project_ID]], projects[Project_ID],0))</f>
        <v>000000-00</v>
      </c>
      <c r="P768" s="15" t="str">
        <f>INDEX(projects[Project_Name],MATCH(TimeEntry[[#This Row],[Project_ID]], projects[Project_ID],0))</f>
        <v>AMS Support</v>
      </c>
      <c r="Q768" s="1">
        <f>IF(TimeEntry[[#This Row],[Date]]=0,"",WEEKDAY(C768,2))</f>
        <v>2</v>
      </c>
      <c r="R768" s="9">
        <f>YEAR(TimeEntry[[#This Row],[WkEnd]])</f>
        <v>2018</v>
      </c>
      <c r="S768" s="9">
        <f>WEEKNUM(TimeEntry[[#This Row],[WkEnd]])</f>
        <v>51</v>
      </c>
      <c r="T768" s="9" t="str">
        <f>TimeEntry[[#This Row],[Year]]&amp;"-"&amp;TimeEntry[[#This Row],[WkNo]]</f>
        <v>2018-51</v>
      </c>
    </row>
    <row r="769" spans="1:20" x14ac:dyDescent="0.25">
      <c r="A769" s="6">
        <f>MOD(IF(ROW()=2,0.1,IF(INDEX(TimeEntry[WkEnd],ROW()-1)  =  INDEX(TimeEntry[WkEnd],ROW()-2),    INDEX(TimeEntry[format],ROW()-2),    INDEX(TimeEntry[format],ROW()-2)    +1)),2)</f>
        <v>1.1000000000000001</v>
      </c>
      <c r="B769" s="7"/>
      <c r="C769" s="8">
        <v>43446</v>
      </c>
      <c r="D769" s="8"/>
      <c r="E769" s="1" t="s">
        <v>476</v>
      </c>
      <c r="F769" s="8">
        <f>IF(TimeEntry[[#This Row],[Date]]=0,F768,C769+(7-Q769))</f>
        <v>43450</v>
      </c>
      <c r="G769" s="35" t="str">
        <f>INDEX(projects[Charge_Code],MATCH(TimeEntry[[#This Row],[Project_ID]],projects[Project_ID],0))</f>
        <v>000000-00 AMS Support</v>
      </c>
      <c r="H769" s="1" t="str">
        <f t="shared" si="15"/>
        <v>Normal Time</v>
      </c>
      <c r="I769" s="1"/>
      <c r="J769" s="15">
        <v>7.5</v>
      </c>
      <c r="K769" s="15"/>
      <c r="L769" s="15"/>
      <c r="M769" s="15"/>
      <c r="N769" s="15"/>
      <c r="O769" s="15" t="str">
        <f>INDEX(projects[job number],MATCH(TimeEntry[[#This Row],[Project_ID]], projects[Project_ID],0))</f>
        <v>000000-00</v>
      </c>
      <c r="P769" s="15" t="str">
        <f>INDEX(projects[Project_Name],MATCH(TimeEntry[[#This Row],[Project_ID]], projects[Project_ID],0))</f>
        <v>AMS Support</v>
      </c>
      <c r="Q769" s="1">
        <f>IF(TimeEntry[[#This Row],[Date]]=0,"",WEEKDAY(C769,2))</f>
        <v>3</v>
      </c>
      <c r="R769" s="9">
        <f>YEAR(TimeEntry[[#This Row],[WkEnd]])</f>
        <v>2018</v>
      </c>
      <c r="S769" s="9">
        <f>WEEKNUM(TimeEntry[[#This Row],[WkEnd]])</f>
        <v>51</v>
      </c>
      <c r="T769" s="9" t="str">
        <f>TimeEntry[[#This Row],[Year]]&amp;"-"&amp;TimeEntry[[#This Row],[WkNo]]</f>
        <v>2018-51</v>
      </c>
    </row>
    <row r="770" spans="1:20" x14ac:dyDescent="0.25">
      <c r="A770" s="6">
        <f>MOD(IF(ROW()=2,0.1,IF(INDEX(TimeEntry[WkEnd],ROW()-1)  =  INDEX(TimeEntry[WkEnd],ROW()-2),    INDEX(TimeEntry[format],ROW()-2),    INDEX(TimeEntry[format],ROW()-2)    +1)),2)</f>
        <v>1.1000000000000001</v>
      </c>
      <c r="B770" s="7"/>
      <c r="C770" s="8">
        <v>43447</v>
      </c>
      <c r="D770" s="8"/>
      <c r="E770" s="1" t="s">
        <v>75</v>
      </c>
      <c r="F770" s="8">
        <f>IF(TimeEntry[[#This Row],[Date]]=0,F769,C770+(7-Q770))</f>
        <v>43450</v>
      </c>
      <c r="G770" s="35" t="str">
        <f>INDEX(projects[Charge_Code],MATCH(TimeEntry[[#This Row],[Project_ID]],projects[Project_ID],0))</f>
        <v>601701-23 swindon d&amp;b</v>
      </c>
      <c r="H770" s="1" t="str">
        <f t="shared" si="15"/>
        <v>Normal Time</v>
      </c>
      <c r="I770" s="1"/>
      <c r="J770" s="15">
        <v>7.5</v>
      </c>
      <c r="K770" s="15"/>
      <c r="L770" s="15"/>
      <c r="M770" s="15"/>
      <c r="N770" s="15"/>
      <c r="O770" s="15" t="str">
        <f>INDEX(projects[job number],MATCH(TimeEntry[[#This Row],[Project_ID]], projects[Project_ID],0))</f>
        <v>601701-23</v>
      </c>
      <c r="P770" s="15" t="str">
        <f>INDEX(projects[Project_Name],MATCH(TimeEntry[[#This Row],[Project_ID]], projects[Project_ID],0))</f>
        <v>swindon d&amp;b</v>
      </c>
      <c r="Q770" s="1">
        <f>IF(TimeEntry[[#This Row],[Date]]=0,"",WEEKDAY(C770,2))</f>
        <v>4</v>
      </c>
      <c r="R770" s="9">
        <f>YEAR(TimeEntry[[#This Row],[WkEnd]])</f>
        <v>2018</v>
      </c>
      <c r="S770" s="9">
        <f>WEEKNUM(TimeEntry[[#This Row],[WkEnd]])</f>
        <v>51</v>
      </c>
      <c r="T770" s="9" t="str">
        <f>TimeEntry[[#This Row],[Year]]&amp;"-"&amp;TimeEntry[[#This Row],[WkNo]]</f>
        <v>2018-51</v>
      </c>
    </row>
    <row r="771" spans="1:20" x14ac:dyDescent="0.25">
      <c r="A771" s="6">
        <f>MOD(IF(ROW()=2,0.1,IF(INDEX(TimeEntry[WkEnd],ROW()-1)  =  INDEX(TimeEntry[WkEnd],ROW()-2),    INDEX(TimeEntry[format],ROW()-2),    INDEX(TimeEntry[format],ROW()-2)    +1)),2)</f>
        <v>1.1000000000000001</v>
      </c>
      <c r="B771" s="7"/>
      <c r="C771" s="8">
        <v>43448</v>
      </c>
      <c r="D771" s="8"/>
      <c r="E771" s="1" t="s">
        <v>477</v>
      </c>
      <c r="F771" s="8">
        <f>IF(TimeEntry[[#This Row],[Date]]=0,F770,C771+(7-Q771))</f>
        <v>43450</v>
      </c>
      <c r="G771" s="35" t="str">
        <f>INDEX(projects[Charge_Code],MATCH(TimeEntry[[#This Row],[Project_ID]],projects[Project_ID],0))</f>
        <v>259933-00 Waalbrug</v>
      </c>
      <c r="H771" s="1" t="str">
        <f t="shared" si="15"/>
        <v>Normal Time</v>
      </c>
      <c r="I771" s="1"/>
      <c r="J771" s="15">
        <v>4</v>
      </c>
      <c r="K771" s="15"/>
      <c r="L771" s="15"/>
      <c r="M771" s="15"/>
      <c r="N771" s="15"/>
      <c r="O771" s="15" t="str">
        <f>INDEX(projects[job number],MATCH(TimeEntry[[#This Row],[Project_ID]], projects[Project_ID],0))</f>
        <v>259933-00</v>
      </c>
      <c r="P771" s="15" t="str">
        <f>INDEX(projects[Project_Name],MATCH(TimeEntry[[#This Row],[Project_ID]], projects[Project_ID],0))</f>
        <v>Waalbrug</v>
      </c>
      <c r="Q771" s="1">
        <f>IF(TimeEntry[[#This Row],[Date]]=0,"",WEEKDAY(C771,2))</f>
        <v>5</v>
      </c>
      <c r="R771" s="9">
        <f>YEAR(TimeEntry[[#This Row],[WkEnd]])</f>
        <v>2018</v>
      </c>
      <c r="S771" s="9">
        <f>WEEKNUM(TimeEntry[[#This Row],[WkEnd]])</f>
        <v>51</v>
      </c>
      <c r="T771" s="9" t="str">
        <f>TimeEntry[[#This Row],[Year]]&amp;"-"&amp;TimeEntry[[#This Row],[WkNo]]</f>
        <v>2018-51</v>
      </c>
    </row>
    <row r="772" spans="1:20" x14ac:dyDescent="0.25">
      <c r="A772" s="6">
        <f>MOD(IF(ROW()=2,0.1,IF(INDEX(TimeEntry[WkEnd],ROW()-1)  =  INDEX(TimeEntry[WkEnd],ROW()-2),    INDEX(TimeEntry[format],ROW()-2),    INDEX(TimeEntry[format],ROW()-2)    +1)),2)</f>
        <v>1.1000000000000001</v>
      </c>
      <c r="B772" s="7"/>
      <c r="C772" s="8">
        <v>43448</v>
      </c>
      <c r="D772" s="8"/>
      <c r="E772" s="1" t="s">
        <v>484</v>
      </c>
      <c r="F772" s="8">
        <f>IF(TimeEntry[[#This Row],[Date]]=0,F771,C772+(7-Q772))</f>
        <v>43450</v>
      </c>
      <c r="G772" s="35" t="str">
        <f>INDEX(projects[Charge_Code],MATCH(TimeEntry[[#This Row],[Project_ID]],projects[Project_ID],0))</f>
        <v>77616-41 Hatta</v>
      </c>
      <c r="H772" s="1" t="str">
        <f t="shared" si="15"/>
        <v>Normal Time</v>
      </c>
      <c r="I772" s="1"/>
      <c r="J772" s="15">
        <v>2</v>
      </c>
      <c r="K772" s="15"/>
      <c r="L772" s="15"/>
      <c r="M772" s="15"/>
      <c r="N772" s="15"/>
      <c r="O772" s="15" t="str">
        <f>INDEX(projects[job number],MATCH(TimeEntry[[#This Row],[Project_ID]], projects[Project_ID],0))</f>
        <v>77616-41</v>
      </c>
      <c r="P772" s="15" t="str">
        <f>INDEX(projects[Project_Name],MATCH(TimeEntry[[#This Row],[Project_ID]], projects[Project_ID],0))</f>
        <v>Hatta</v>
      </c>
      <c r="Q772" s="1">
        <f>IF(TimeEntry[[#This Row],[Date]]=0,"",WEEKDAY(C772,2))</f>
        <v>5</v>
      </c>
      <c r="R772" s="9">
        <f>YEAR(TimeEntry[[#This Row],[WkEnd]])</f>
        <v>2018</v>
      </c>
      <c r="S772" s="9">
        <f>WEEKNUM(TimeEntry[[#This Row],[WkEnd]])</f>
        <v>51</v>
      </c>
      <c r="T772" s="9" t="str">
        <f>TimeEntry[[#This Row],[Year]]&amp;"-"&amp;TimeEntry[[#This Row],[WkNo]]</f>
        <v>2018-51</v>
      </c>
    </row>
    <row r="773" spans="1:20" x14ac:dyDescent="0.25">
      <c r="A773" s="6">
        <f>MOD(IF(ROW()=2,0.1,IF(INDEX(TimeEntry[WkEnd],ROW()-1)  =  INDEX(TimeEntry[WkEnd],ROW()-2),    INDEX(TimeEntry[format],ROW()-2),    INDEX(TimeEntry[format],ROW()-2)    +1)),2)</f>
        <v>1.1000000000000001</v>
      </c>
      <c r="B773" s="7"/>
      <c r="C773" s="8">
        <v>43448</v>
      </c>
      <c r="D773" s="8"/>
      <c r="E773" s="1" t="s">
        <v>75</v>
      </c>
      <c r="F773" s="8">
        <f>IF(TimeEntry[[#This Row],[Date]]=0,F772,C773+(7-Q773))</f>
        <v>43450</v>
      </c>
      <c r="G773" s="35" t="str">
        <f>INDEX(projects[Charge_Code],MATCH(TimeEntry[[#This Row],[Project_ID]],projects[Project_ID],0))</f>
        <v>601701-23 swindon d&amp;b</v>
      </c>
      <c r="H773" s="1" t="str">
        <f t="shared" si="15"/>
        <v>Normal Time</v>
      </c>
      <c r="I773" s="1"/>
      <c r="J773" s="15">
        <v>1.5</v>
      </c>
      <c r="K773" s="15"/>
      <c r="L773" s="15"/>
      <c r="M773" s="15"/>
      <c r="N773" s="15"/>
      <c r="O773" s="15" t="str">
        <f>INDEX(projects[job number],MATCH(TimeEntry[[#This Row],[Project_ID]], projects[Project_ID],0))</f>
        <v>601701-23</v>
      </c>
      <c r="P773" s="15" t="str">
        <f>INDEX(projects[Project_Name],MATCH(TimeEntry[[#This Row],[Project_ID]], projects[Project_ID],0))</f>
        <v>swindon d&amp;b</v>
      </c>
      <c r="Q773" s="1">
        <f>IF(TimeEntry[[#This Row],[Date]]=0,"",WEEKDAY(C773,2))</f>
        <v>5</v>
      </c>
      <c r="R773" s="9">
        <f>YEAR(TimeEntry[[#This Row],[WkEnd]])</f>
        <v>2018</v>
      </c>
      <c r="S773" s="9">
        <f>WEEKNUM(TimeEntry[[#This Row],[WkEnd]])</f>
        <v>51</v>
      </c>
      <c r="T773" s="9" t="str">
        <f>TimeEntry[[#This Row],[Year]]&amp;"-"&amp;TimeEntry[[#This Row],[WkNo]]</f>
        <v>2018-51</v>
      </c>
    </row>
    <row r="774" spans="1:20" x14ac:dyDescent="0.25">
      <c r="A774" s="6">
        <f>MOD(IF(ROW()=2,0.1,IF(INDEX(TimeEntry[WkEnd],ROW()-1)  =  INDEX(TimeEntry[WkEnd],ROW()-2),    INDEX(TimeEntry[format],ROW()-2),    INDEX(TimeEntry[format],ROW()-2)    +1)),2)</f>
        <v>0.10000000000000009</v>
      </c>
      <c r="B774" s="7"/>
      <c r="C774" s="8">
        <v>43437</v>
      </c>
      <c r="D774" s="8"/>
      <c r="E774" s="1" t="s">
        <v>446</v>
      </c>
      <c r="F774" s="8">
        <f>IF(TimeEntry[[#This Row],[Date]]=0,F773,C774+(7-Q774))</f>
        <v>43443</v>
      </c>
      <c r="G774" s="35" t="str">
        <f>INDEX(projects[Charge_Code],MATCH(TimeEntry[[#This Row],[Project_ID]],projects[Project_ID],0))</f>
        <v>074097-29 BCST Appraisal</v>
      </c>
      <c r="H774" s="1" t="str">
        <f t="shared" si="15"/>
        <v>Normal Time</v>
      </c>
      <c r="I774" s="1"/>
      <c r="J774" s="15">
        <v>2</v>
      </c>
      <c r="K774" s="15"/>
      <c r="L774" s="15"/>
      <c r="M774" s="15"/>
      <c r="N774" s="15"/>
      <c r="O774" s="15" t="str">
        <f>INDEX(projects[job number],MATCH(TimeEntry[[#This Row],[Project_ID]], projects[Project_ID],0))</f>
        <v>074097-29</v>
      </c>
      <c r="P774" s="15" t="str">
        <f>INDEX(projects[Project_Name],MATCH(TimeEntry[[#This Row],[Project_ID]], projects[Project_ID],0))</f>
        <v>BCST Appraisal</v>
      </c>
      <c r="Q774" s="1">
        <f>IF(TimeEntry[[#This Row],[Date]]=0,"",WEEKDAY(C774,2))</f>
        <v>1</v>
      </c>
      <c r="R774" s="9">
        <f>YEAR(TimeEntry[[#This Row],[WkEnd]])</f>
        <v>2018</v>
      </c>
      <c r="S774" s="9">
        <f>WEEKNUM(TimeEntry[[#This Row],[WkEnd]])</f>
        <v>50</v>
      </c>
      <c r="T774" s="9" t="str">
        <f>TimeEntry[[#This Row],[Year]]&amp;"-"&amp;TimeEntry[[#This Row],[WkNo]]</f>
        <v>2018-50</v>
      </c>
    </row>
    <row r="775" spans="1:20" x14ac:dyDescent="0.25">
      <c r="A775" s="6">
        <f>MOD(IF(ROW()=2,0.1,IF(INDEX(TimeEntry[WkEnd],ROW()-1)  =  INDEX(TimeEntry[WkEnd],ROW()-2),    INDEX(TimeEntry[format],ROW()-2),    INDEX(TimeEntry[format],ROW()-2)    +1)),2)</f>
        <v>0.10000000000000009</v>
      </c>
      <c r="B775" s="7"/>
      <c r="C775" s="8">
        <v>43437</v>
      </c>
      <c r="D775" s="8"/>
      <c r="E775" s="1" t="s">
        <v>452</v>
      </c>
      <c r="F775" s="8">
        <f>IF(TimeEntry[[#This Row],[Date]]=0,F774,C775+(7-Q775))</f>
        <v>43443</v>
      </c>
      <c r="G775" s="35" t="str">
        <f>INDEX(projects[Charge_Code],MATCH(TimeEntry[[#This Row],[Project_ID]],projects[Project_ID],0))</f>
        <v>254304-96 HCC - Paul Cully (01-382)</v>
      </c>
      <c r="H775" s="1" t="str">
        <f t="shared" si="15"/>
        <v>Normal Time</v>
      </c>
      <c r="I775" s="1"/>
      <c r="J775" s="15">
        <v>5.5</v>
      </c>
      <c r="K775" s="15"/>
      <c r="L775" s="15"/>
      <c r="M775" s="15"/>
      <c r="N775" s="15"/>
      <c r="O775" s="15" t="str">
        <f>INDEX(projects[job number],MATCH(TimeEntry[[#This Row],[Project_ID]], projects[Project_ID],0))</f>
        <v>254304-96</v>
      </c>
      <c r="P775" s="15" t="str">
        <f>INDEX(projects[Project_Name],MATCH(TimeEntry[[#This Row],[Project_ID]], projects[Project_ID],0))</f>
        <v>HCC - Paul Cully</v>
      </c>
      <c r="Q775" s="1">
        <f>IF(TimeEntry[[#This Row],[Date]]=0,"",WEEKDAY(C775,2))</f>
        <v>1</v>
      </c>
      <c r="R775" s="9">
        <f>YEAR(TimeEntry[[#This Row],[WkEnd]])</f>
        <v>2018</v>
      </c>
      <c r="S775" s="9">
        <f>WEEKNUM(TimeEntry[[#This Row],[WkEnd]])</f>
        <v>50</v>
      </c>
      <c r="T775" s="9" t="str">
        <f>TimeEntry[[#This Row],[Year]]&amp;"-"&amp;TimeEntry[[#This Row],[WkNo]]</f>
        <v>2018-50</v>
      </c>
    </row>
    <row r="776" spans="1:20" x14ac:dyDescent="0.25">
      <c r="A776" s="6">
        <f>MOD(IF(ROW()=2,0.1,IF(INDEX(TimeEntry[WkEnd],ROW()-1)  =  INDEX(TimeEntry[WkEnd],ROW()-2),    INDEX(TimeEntry[format],ROW()-2),    INDEX(TimeEntry[format],ROW()-2)    +1)),2)</f>
        <v>0.10000000000000009</v>
      </c>
      <c r="B776" s="7"/>
      <c r="C776" s="8">
        <v>43438</v>
      </c>
      <c r="D776" s="8"/>
      <c r="E776" s="1" t="s">
        <v>485</v>
      </c>
      <c r="F776" s="8">
        <f>IF(TimeEntry[[#This Row],[Date]]=0,F775,C776+(7-Q776))</f>
        <v>43443</v>
      </c>
      <c r="G776" s="35" t="str">
        <f>INDEX(projects[Charge_Code],MATCH(TimeEntry[[#This Row],[Project_ID]],projects[Project_ID],0))</f>
        <v>239230-40 Suurhoffbrug</v>
      </c>
      <c r="H776" s="1" t="str">
        <f t="shared" si="15"/>
        <v>Normal Time</v>
      </c>
      <c r="I776" s="1"/>
      <c r="J776" s="15">
        <v>7.5</v>
      </c>
      <c r="K776" s="15"/>
      <c r="L776" s="15"/>
      <c r="M776" s="15"/>
      <c r="N776" s="15"/>
      <c r="O776" s="15" t="str">
        <f>INDEX(projects[job number],MATCH(TimeEntry[[#This Row],[Project_ID]], projects[Project_ID],0))</f>
        <v>239230-40</v>
      </c>
      <c r="P776" s="15" t="str">
        <f>INDEX(projects[Project_Name],MATCH(TimeEntry[[#This Row],[Project_ID]], projects[Project_ID],0))</f>
        <v>Suurhoffbrug</v>
      </c>
      <c r="Q776" s="1">
        <f>IF(TimeEntry[[#This Row],[Date]]=0,"",WEEKDAY(C776,2))</f>
        <v>2</v>
      </c>
      <c r="R776" s="9">
        <f>YEAR(TimeEntry[[#This Row],[WkEnd]])</f>
        <v>2018</v>
      </c>
      <c r="S776" s="9">
        <f>WEEKNUM(TimeEntry[[#This Row],[WkEnd]])</f>
        <v>50</v>
      </c>
      <c r="T776" s="9" t="str">
        <f>TimeEntry[[#This Row],[Year]]&amp;"-"&amp;TimeEntry[[#This Row],[WkNo]]</f>
        <v>2018-50</v>
      </c>
    </row>
    <row r="777" spans="1:20" x14ac:dyDescent="0.25">
      <c r="A777" s="6">
        <f>MOD(IF(ROW()=2,0.1,IF(INDEX(TimeEntry[WkEnd],ROW()-1)  =  INDEX(TimeEntry[WkEnd],ROW()-2),    INDEX(TimeEntry[format],ROW()-2),    INDEX(TimeEntry[format],ROW()-2)    +1)),2)</f>
        <v>0.10000000000000009</v>
      </c>
      <c r="B777" s="7"/>
      <c r="C777" s="8">
        <v>43439</v>
      </c>
      <c r="D777" s="8"/>
      <c r="E777" s="1" t="s">
        <v>476</v>
      </c>
      <c r="F777" s="8">
        <f>IF(TimeEntry[[#This Row],[Date]]=0,F776,C777+(7-Q777))</f>
        <v>43443</v>
      </c>
      <c r="G777" s="35" t="str">
        <f>INDEX(projects[Charge_Code],MATCH(TimeEntry[[#This Row],[Project_ID]],projects[Project_ID],0))</f>
        <v>000000-00 AMS Support</v>
      </c>
      <c r="H777" s="1" t="str">
        <f t="shared" si="15"/>
        <v>Normal Time</v>
      </c>
      <c r="I777" s="1"/>
      <c r="J777" s="15">
        <v>7.5</v>
      </c>
      <c r="K777" s="15"/>
      <c r="L777" s="15"/>
      <c r="M777" s="15"/>
      <c r="N777" s="15"/>
      <c r="O777" s="15" t="str">
        <f>INDEX(projects[job number],MATCH(TimeEntry[[#This Row],[Project_ID]], projects[Project_ID],0))</f>
        <v>000000-00</v>
      </c>
      <c r="P777" s="15" t="str">
        <f>INDEX(projects[Project_Name],MATCH(TimeEntry[[#This Row],[Project_ID]], projects[Project_ID],0))</f>
        <v>AMS Support</v>
      </c>
      <c r="Q777" s="1">
        <f>IF(TimeEntry[[#This Row],[Date]]=0,"",WEEKDAY(C777,2))</f>
        <v>3</v>
      </c>
      <c r="R777" s="9">
        <f>YEAR(TimeEntry[[#This Row],[WkEnd]])</f>
        <v>2018</v>
      </c>
      <c r="S777" s="9">
        <f>WEEKNUM(TimeEntry[[#This Row],[WkEnd]])</f>
        <v>50</v>
      </c>
      <c r="T777" s="9" t="str">
        <f>TimeEntry[[#This Row],[Year]]&amp;"-"&amp;TimeEntry[[#This Row],[WkNo]]</f>
        <v>2018-50</v>
      </c>
    </row>
    <row r="778" spans="1:20" x14ac:dyDescent="0.25">
      <c r="A778" s="6">
        <f>MOD(IF(ROW()=2,0.1,IF(INDEX(TimeEntry[WkEnd],ROW()-1)  =  INDEX(TimeEntry[WkEnd],ROW()-2),    INDEX(TimeEntry[format],ROW()-2),    INDEX(TimeEntry[format],ROW()-2)    +1)),2)</f>
        <v>0.10000000000000009</v>
      </c>
      <c r="B778" s="7"/>
      <c r="C778" s="8">
        <v>43440</v>
      </c>
      <c r="D778" s="8"/>
      <c r="E778" s="1" t="s">
        <v>476</v>
      </c>
      <c r="F778" s="8">
        <f>IF(TimeEntry[[#This Row],[Date]]=0,F777,C778+(7-Q778))</f>
        <v>43443</v>
      </c>
      <c r="G778" s="35" t="str">
        <f>INDEX(projects[Charge_Code],MATCH(TimeEntry[[#This Row],[Project_ID]],projects[Project_ID],0))</f>
        <v>000000-00 AMS Support</v>
      </c>
      <c r="H778" s="1" t="str">
        <f t="shared" si="15"/>
        <v>Normal Time</v>
      </c>
      <c r="I778" s="1"/>
      <c r="J778" s="15">
        <v>7.5</v>
      </c>
      <c r="K778" s="15"/>
      <c r="L778" s="15"/>
      <c r="M778" s="15"/>
      <c r="N778" s="15"/>
      <c r="O778" s="15" t="str">
        <f>INDEX(projects[job number],MATCH(TimeEntry[[#This Row],[Project_ID]], projects[Project_ID],0))</f>
        <v>000000-00</v>
      </c>
      <c r="P778" s="15" t="str">
        <f>INDEX(projects[Project_Name],MATCH(TimeEntry[[#This Row],[Project_ID]], projects[Project_ID],0))</f>
        <v>AMS Support</v>
      </c>
      <c r="Q778" s="1">
        <f>IF(TimeEntry[[#This Row],[Date]]=0,"",WEEKDAY(C778,2))</f>
        <v>4</v>
      </c>
      <c r="R778" s="9">
        <f>YEAR(TimeEntry[[#This Row],[WkEnd]])</f>
        <v>2018</v>
      </c>
      <c r="S778" s="9">
        <f>WEEKNUM(TimeEntry[[#This Row],[WkEnd]])</f>
        <v>50</v>
      </c>
      <c r="T778" s="9" t="str">
        <f>TimeEntry[[#This Row],[Year]]&amp;"-"&amp;TimeEntry[[#This Row],[WkNo]]</f>
        <v>2018-50</v>
      </c>
    </row>
    <row r="779" spans="1:20" x14ac:dyDescent="0.25">
      <c r="A779" s="6">
        <f>MOD(IF(ROW()=2,0.1,IF(INDEX(TimeEntry[WkEnd],ROW()-1)  =  INDEX(TimeEntry[WkEnd],ROW()-2),    INDEX(TimeEntry[format],ROW()-2),    INDEX(TimeEntry[format],ROW()-2)    +1)),2)</f>
        <v>0.10000000000000009</v>
      </c>
      <c r="B779" s="7"/>
      <c r="C779" s="8">
        <v>43441</v>
      </c>
      <c r="D779" s="8"/>
      <c r="E779" s="1" t="s">
        <v>446</v>
      </c>
      <c r="F779" s="8">
        <f>IF(TimeEntry[[#This Row],[Date]]=0,F778,C779+(7-Q779))</f>
        <v>43443</v>
      </c>
      <c r="G779" s="35" t="str">
        <f>INDEX(projects[Charge_Code],MATCH(TimeEntry[[#This Row],[Project_ID]],projects[Project_ID],0))</f>
        <v>074097-29 BCST Appraisal</v>
      </c>
      <c r="H779" s="1" t="str">
        <f t="shared" si="15"/>
        <v>Normal Time</v>
      </c>
      <c r="I779" s="1"/>
      <c r="J779" s="15">
        <v>2</v>
      </c>
      <c r="K779" s="15"/>
      <c r="L779" s="15"/>
      <c r="M779" s="15"/>
      <c r="N779" s="15"/>
      <c r="O779" s="15" t="str">
        <f>INDEX(projects[job number],MATCH(TimeEntry[[#This Row],[Project_ID]], projects[Project_ID],0))</f>
        <v>074097-29</v>
      </c>
      <c r="P779" s="15" t="str">
        <f>INDEX(projects[Project_Name],MATCH(TimeEntry[[#This Row],[Project_ID]], projects[Project_ID],0))</f>
        <v>BCST Appraisal</v>
      </c>
      <c r="Q779" s="1">
        <f>IF(TimeEntry[[#This Row],[Date]]=0,"",WEEKDAY(C779,2))</f>
        <v>5</v>
      </c>
      <c r="R779" s="9">
        <f>YEAR(TimeEntry[[#This Row],[WkEnd]])</f>
        <v>2018</v>
      </c>
      <c r="S779" s="9">
        <f>WEEKNUM(TimeEntry[[#This Row],[WkEnd]])</f>
        <v>50</v>
      </c>
      <c r="T779" s="9" t="str">
        <f>TimeEntry[[#This Row],[Year]]&amp;"-"&amp;TimeEntry[[#This Row],[WkNo]]</f>
        <v>2018-50</v>
      </c>
    </row>
    <row r="780" spans="1:20" x14ac:dyDescent="0.25">
      <c r="A780" s="6">
        <f>MOD(IF(ROW()=2,0.1,IF(INDEX(TimeEntry[WkEnd],ROW()-1)  =  INDEX(TimeEntry[WkEnd],ROW()-2),    INDEX(TimeEntry[format],ROW()-2),    INDEX(TimeEntry[format],ROW()-2)    +1)),2)</f>
        <v>0.10000000000000009</v>
      </c>
      <c r="B780" s="7"/>
      <c r="C780" s="8">
        <v>43441</v>
      </c>
      <c r="D780" s="8"/>
      <c r="E780" s="1" t="s">
        <v>464</v>
      </c>
      <c r="F780" s="8">
        <f>IF(TimeEntry[[#This Row],[Date]]=0,F779,C780+(7-Q780))</f>
        <v>43443</v>
      </c>
      <c r="G780" s="35" t="str">
        <f>INDEX(projects[Charge_Code],MATCH(TimeEntry[[#This Row],[Project_ID]],projects[Project_ID],0))</f>
        <v>071945-07 BCS - promotional</v>
      </c>
      <c r="H780" s="1" t="str">
        <f t="shared" si="15"/>
        <v>Normal Time</v>
      </c>
      <c r="I780" s="1"/>
      <c r="J780" s="15">
        <v>2</v>
      </c>
      <c r="K780" s="15"/>
      <c r="L780" s="15"/>
      <c r="M780" s="15"/>
      <c r="N780" s="15"/>
      <c r="O780" s="15" t="str">
        <f>INDEX(projects[job number],MATCH(TimeEntry[[#This Row],[Project_ID]], projects[Project_ID],0))</f>
        <v>071945-07</v>
      </c>
      <c r="P780" s="15" t="str">
        <f>INDEX(projects[Project_Name],MATCH(TimeEntry[[#This Row],[Project_ID]], projects[Project_ID],0))</f>
        <v>BCS - promotional</v>
      </c>
      <c r="Q780" s="1">
        <f>IF(TimeEntry[[#This Row],[Date]]=0,"",WEEKDAY(C780,2))</f>
        <v>5</v>
      </c>
      <c r="R780" s="9">
        <f>YEAR(TimeEntry[[#This Row],[WkEnd]])</f>
        <v>2018</v>
      </c>
      <c r="S780" s="9">
        <f>WEEKNUM(TimeEntry[[#This Row],[WkEnd]])</f>
        <v>50</v>
      </c>
      <c r="T780" s="9" t="str">
        <f>TimeEntry[[#This Row],[Year]]&amp;"-"&amp;TimeEntry[[#This Row],[WkNo]]</f>
        <v>2018-50</v>
      </c>
    </row>
    <row r="781" spans="1:20" x14ac:dyDescent="0.25">
      <c r="A781" s="6">
        <f>MOD(IF(ROW()=2,0.1,IF(INDEX(TimeEntry[WkEnd],ROW()-1)  =  INDEX(TimeEntry[WkEnd],ROW()-2),    INDEX(TimeEntry[format],ROW()-2),    INDEX(TimeEntry[format],ROW()-2)    +1)),2)</f>
        <v>0.10000000000000009</v>
      </c>
      <c r="B781" s="7"/>
      <c r="C781" s="8">
        <v>43441</v>
      </c>
      <c r="D781" s="8"/>
      <c r="E781" s="1" t="s">
        <v>482</v>
      </c>
      <c r="F781" s="8">
        <f>IF(TimeEntry[[#This Row],[Date]]=0,F780,C781+(7-Q781))</f>
        <v>43443</v>
      </c>
      <c r="G781" s="35" t="str">
        <f>INDEX(projects[Charge_Code],MATCH(TimeEntry[[#This Row],[Project_ID]],projects[Project_ID],0))</f>
        <v>260258-47 Galecopper</v>
      </c>
      <c r="H781" s="1" t="str">
        <f t="shared" si="15"/>
        <v>Normal Time</v>
      </c>
      <c r="I781" s="1"/>
      <c r="J781" s="15">
        <v>3.5</v>
      </c>
      <c r="K781" s="15"/>
      <c r="L781" s="15"/>
      <c r="M781" s="15"/>
      <c r="N781" s="15"/>
      <c r="O781" s="15" t="str">
        <f>INDEX(projects[job number],MATCH(TimeEntry[[#This Row],[Project_ID]], projects[Project_ID],0))</f>
        <v>260258-47</v>
      </c>
      <c r="P781" s="15" t="str">
        <f>INDEX(projects[Project_Name],MATCH(TimeEntry[[#This Row],[Project_ID]], projects[Project_ID],0))</f>
        <v>Galecopper</v>
      </c>
      <c r="Q781" s="1">
        <f>IF(TimeEntry[[#This Row],[Date]]=0,"",WEEKDAY(C781,2))</f>
        <v>5</v>
      </c>
      <c r="R781" s="9">
        <f>YEAR(TimeEntry[[#This Row],[WkEnd]])</f>
        <v>2018</v>
      </c>
      <c r="S781" s="9">
        <f>WEEKNUM(TimeEntry[[#This Row],[WkEnd]])</f>
        <v>50</v>
      </c>
      <c r="T781" s="9" t="str">
        <f>TimeEntry[[#This Row],[Year]]&amp;"-"&amp;TimeEntry[[#This Row],[WkNo]]</f>
        <v>2018-50</v>
      </c>
    </row>
    <row r="782" spans="1:20" x14ac:dyDescent="0.25">
      <c r="A782" s="6">
        <f>MOD(IF(ROW()=2,0.1,IF(INDEX(TimeEntry[WkEnd],ROW()-1)  =  INDEX(TimeEntry[WkEnd],ROW()-2),    INDEX(TimeEntry[format],ROW()-2),    INDEX(TimeEntry[format],ROW()-2)    +1)),2)</f>
        <v>1.1000000000000001</v>
      </c>
      <c r="B782" s="7"/>
      <c r="C782" s="8">
        <v>43430</v>
      </c>
      <c r="D782" s="8"/>
      <c r="E782" s="1" t="s">
        <v>486</v>
      </c>
      <c r="F782" s="8">
        <f>IF(TimeEntry[[#This Row],[Date]]=0,F781,C782+(7-Q782))</f>
        <v>43436</v>
      </c>
      <c r="G782" s="35" t="str">
        <f>INDEX(projects[Charge_Code],MATCH(TimeEntry[[#This Row],[Project_ID]],projects[Project_ID],0))</f>
        <v>074103-30 Engagement cohort</v>
      </c>
      <c r="H782" s="1" t="str">
        <f t="shared" si="15"/>
        <v>Normal Time</v>
      </c>
      <c r="I782" s="1"/>
      <c r="J782" s="15">
        <v>3.75</v>
      </c>
      <c r="K782" s="15"/>
      <c r="L782" s="15"/>
      <c r="M782" s="15"/>
      <c r="N782" s="15"/>
      <c r="O782" s="15" t="str">
        <f>INDEX(projects[job number],MATCH(TimeEntry[[#This Row],[Project_ID]], projects[Project_ID],0))</f>
        <v>074103-30</v>
      </c>
      <c r="P782" s="15" t="str">
        <f>INDEX(projects[Project_Name],MATCH(TimeEntry[[#This Row],[Project_ID]], projects[Project_ID],0))</f>
        <v>Engagement cohort</v>
      </c>
      <c r="Q782" s="1">
        <f>IF(TimeEntry[[#This Row],[Date]]=0,"",WEEKDAY(C782,2))</f>
        <v>1</v>
      </c>
      <c r="R782" s="9">
        <f>YEAR(TimeEntry[[#This Row],[WkEnd]])</f>
        <v>2018</v>
      </c>
      <c r="S782" s="9">
        <f>WEEKNUM(TimeEntry[[#This Row],[WkEnd]])</f>
        <v>49</v>
      </c>
      <c r="T782" s="9" t="str">
        <f>TimeEntry[[#This Row],[Year]]&amp;"-"&amp;TimeEntry[[#This Row],[WkNo]]</f>
        <v>2018-49</v>
      </c>
    </row>
    <row r="783" spans="1:20" x14ac:dyDescent="0.25">
      <c r="A783" s="6">
        <f>MOD(IF(ROW()=2,0.1,IF(INDEX(TimeEntry[WkEnd],ROW()-1)  =  INDEX(TimeEntry[WkEnd],ROW()-2),    INDEX(TimeEntry[format],ROW()-2),    INDEX(TimeEntry[format],ROW()-2)    +1)),2)</f>
        <v>1.1000000000000001</v>
      </c>
      <c r="B783" s="7"/>
      <c r="C783" s="8">
        <v>43430</v>
      </c>
      <c r="D783" s="8"/>
      <c r="E783" s="1" t="s">
        <v>465</v>
      </c>
      <c r="F783" s="8">
        <f>IF(TimeEntry[[#This Row],[Date]]=0,F782,C783+(7-Q783))</f>
        <v>43436</v>
      </c>
      <c r="G783" s="35" t="str">
        <f>INDEX(projects[Charge_Code],MATCH(TimeEntry[[#This Row],[Project_ID]],projects[Project_ID],0))</f>
        <v>215526-27 CP - Assessment (01-124)</v>
      </c>
      <c r="H783" s="1" t="str">
        <f t="shared" si="15"/>
        <v>Normal Time</v>
      </c>
      <c r="I783" s="1"/>
      <c r="J783" s="15">
        <v>3.75</v>
      </c>
      <c r="K783" s="15"/>
      <c r="L783" s="15"/>
      <c r="M783" s="15"/>
      <c r="N783" s="15"/>
      <c r="O783" s="15" t="str">
        <f>INDEX(projects[job number],MATCH(TimeEntry[[#This Row],[Project_ID]], projects[Project_ID],0))</f>
        <v>215526-27</v>
      </c>
      <c r="P783" s="15" t="str">
        <f>INDEX(projects[Project_Name],MATCH(TimeEntry[[#This Row],[Project_ID]], projects[Project_ID],0))</f>
        <v>CP - Assessment</v>
      </c>
      <c r="Q783" s="1">
        <f>IF(TimeEntry[[#This Row],[Date]]=0,"",WEEKDAY(C783,2))</f>
        <v>1</v>
      </c>
      <c r="R783" s="9">
        <f>YEAR(TimeEntry[[#This Row],[WkEnd]])</f>
        <v>2018</v>
      </c>
      <c r="S783" s="9">
        <f>WEEKNUM(TimeEntry[[#This Row],[WkEnd]])</f>
        <v>49</v>
      </c>
      <c r="T783" s="9" t="str">
        <f>TimeEntry[[#This Row],[Year]]&amp;"-"&amp;TimeEntry[[#This Row],[WkNo]]</f>
        <v>2018-49</v>
      </c>
    </row>
    <row r="784" spans="1:20" x14ac:dyDescent="0.25">
      <c r="A784" s="6">
        <f>MOD(IF(ROW()=2,0.1,IF(INDEX(TimeEntry[WkEnd],ROW()-1)  =  INDEX(TimeEntry[WkEnd],ROW()-2),    INDEX(TimeEntry[format],ROW()-2),    INDEX(TimeEntry[format],ROW()-2)    +1)),2)</f>
        <v>1.1000000000000001</v>
      </c>
      <c r="B784" s="7"/>
      <c r="C784" s="8">
        <v>43431</v>
      </c>
      <c r="D784" s="8"/>
      <c r="E784" s="1" t="s">
        <v>483</v>
      </c>
      <c r="F784" s="8">
        <f>IF(TimeEntry[[#This Row],[Date]]=0,F783,C784+(7-Q784))</f>
        <v>43436</v>
      </c>
      <c r="G784" s="35" t="str">
        <f>INDEX(projects[Charge_Code],MATCH(TimeEntry[[#This Row],[Project_ID]],projects[Project_ID],0))</f>
        <v>254304-79 HCC - Nursery Ln (01-382)</v>
      </c>
      <c r="H784" s="1" t="str">
        <f t="shared" si="15"/>
        <v>Normal Time</v>
      </c>
      <c r="I784" s="1"/>
      <c r="J784" s="15">
        <v>2.5</v>
      </c>
      <c r="K784" s="15"/>
      <c r="L784" s="15"/>
      <c r="M784" s="15"/>
      <c r="N784" s="15"/>
      <c r="O784" s="15" t="str">
        <f>INDEX(projects[job number],MATCH(TimeEntry[[#This Row],[Project_ID]], projects[Project_ID],0))</f>
        <v>254304-79</v>
      </c>
      <c r="P784" s="15" t="str">
        <f>INDEX(projects[Project_Name],MATCH(TimeEntry[[#This Row],[Project_ID]], projects[Project_ID],0))</f>
        <v>HCC - Nursery Ln</v>
      </c>
      <c r="Q784" s="1">
        <f>IF(TimeEntry[[#This Row],[Date]]=0,"",WEEKDAY(C784,2))</f>
        <v>2</v>
      </c>
      <c r="R784" s="9">
        <f>YEAR(TimeEntry[[#This Row],[WkEnd]])</f>
        <v>2018</v>
      </c>
      <c r="S784" s="9">
        <f>WEEKNUM(TimeEntry[[#This Row],[WkEnd]])</f>
        <v>49</v>
      </c>
      <c r="T784" s="9" t="str">
        <f>TimeEntry[[#This Row],[Year]]&amp;"-"&amp;TimeEntry[[#This Row],[WkNo]]</f>
        <v>2018-49</v>
      </c>
    </row>
    <row r="785" spans="1:20" x14ac:dyDescent="0.25">
      <c r="A785" s="6">
        <f>MOD(IF(ROW()=2,0.1,IF(INDEX(TimeEntry[WkEnd],ROW()-1)  =  INDEX(TimeEntry[WkEnd],ROW()-2),    INDEX(TimeEntry[format],ROW()-2),    INDEX(TimeEntry[format],ROW()-2)    +1)),2)</f>
        <v>1.1000000000000001</v>
      </c>
      <c r="B785" s="7"/>
      <c r="C785" s="8">
        <v>43431</v>
      </c>
      <c r="D785" s="8"/>
      <c r="E785" s="1" t="s">
        <v>487</v>
      </c>
      <c r="F785" s="8">
        <f>IF(TimeEntry[[#This Row],[Date]]=0,F784,C785+(7-Q785))</f>
        <v>43436</v>
      </c>
      <c r="G785" s="35" t="str">
        <f>INDEX(projects[Charge_Code],MATCH(TimeEntry[[#This Row],[Project_ID]],projects[Project_ID],0))</f>
        <v>254304-44 HCC - Asset management (01-382)</v>
      </c>
      <c r="H785" s="1" t="str">
        <f t="shared" si="15"/>
        <v>Normal Time</v>
      </c>
      <c r="I785" s="1"/>
      <c r="J785" s="15">
        <v>3</v>
      </c>
      <c r="K785" s="15"/>
      <c r="L785" s="15"/>
      <c r="M785" s="15"/>
      <c r="N785" s="15"/>
      <c r="O785" s="15" t="str">
        <f>INDEX(projects[job number],MATCH(TimeEntry[[#This Row],[Project_ID]], projects[Project_ID],0))</f>
        <v>254304-44</v>
      </c>
      <c r="P785" s="15" t="str">
        <f>INDEX(projects[Project_Name],MATCH(TimeEntry[[#This Row],[Project_ID]], projects[Project_ID],0))</f>
        <v>HCC - Asset management</v>
      </c>
      <c r="Q785" s="1">
        <f>IF(TimeEntry[[#This Row],[Date]]=0,"",WEEKDAY(C785,2))</f>
        <v>2</v>
      </c>
      <c r="R785" s="9">
        <f>YEAR(TimeEntry[[#This Row],[WkEnd]])</f>
        <v>2018</v>
      </c>
      <c r="S785" s="9">
        <f>WEEKNUM(TimeEntry[[#This Row],[WkEnd]])</f>
        <v>49</v>
      </c>
      <c r="T785" s="9" t="str">
        <f>TimeEntry[[#This Row],[Year]]&amp;"-"&amp;TimeEntry[[#This Row],[WkNo]]</f>
        <v>2018-49</v>
      </c>
    </row>
    <row r="786" spans="1:20" x14ac:dyDescent="0.25">
      <c r="A786" s="6">
        <f>MOD(IF(ROW()=2,0.1,IF(INDEX(TimeEntry[WkEnd],ROW()-1)  =  INDEX(TimeEntry[WkEnd],ROW()-2),    INDEX(TimeEntry[format],ROW()-2),    INDEX(TimeEntry[format],ROW()-2)    +1)),2)</f>
        <v>1.1000000000000001</v>
      </c>
      <c r="B786" s="7"/>
      <c r="C786" s="8">
        <v>43431</v>
      </c>
      <c r="D786" s="8"/>
      <c r="E786" s="1" t="s">
        <v>452</v>
      </c>
      <c r="F786" s="8">
        <f>IF(TimeEntry[[#This Row],[Date]]=0,F785,C786+(7-Q786))</f>
        <v>43436</v>
      </c>
      <c r="G786" s="35" t="str">
        <f>INDEX(projects[Charge_Code],MATCH(TimeEntry[[#This Row],[Project_ID]],projects[Project_ID],0))</f>
        <v>254304-96 HCC - Paul Cully (01-382)</v>
      </c>
      <c r="H786" s="1" t="str">
        <f t="shared" si="15"/>
        <v>Normal Time</v>
      </c>
      <c r="I786" s="1"/>
      <c r="J786" s="15">
        <v>1</v>
      </c>
      <c r="K786" s="15"/>
      <c r="L786" s="15"/>
      <c r="M786" s="15"/>
      <c r="N786" s="15"/>
      <c r="O786" s="15" t="str">
        <f>INDEX(projects[job number],MATCH(TimeEntry[[#This Row],[Project_ID]], projects[Project_ID],0))</f>
        <v>254304-96</v>
      </c>
      <c r="P786" s="15" t="str">
        <f>INDEX(projects[Project_Name],MATCH(TimeEntry[[#This Row],[Project_ID]], projects[Project_ID],0))</f>
        <v>HCC - Paul Cully</v>
      </c>
      <c r="Q786" s="1">
        <f>IF(TimeEntry[[#This Row],[Date]]=0,"",WEEKDAY(C786,2))</f>
        <v>2</v>
      </c>
      <c r="R786" s="9">
        <f>YEAR(TimeEntry[[#This Row],[WkEnd]])</f>
        <v>2018</v>
      </c>
      <c r="S786" s="9">
        <f>WEEKNUM(TimeEntry[[#This Row],[WkEnd]])</f>
        <v>49</v>
      </c>
      <c r="T786" s="9" t="str">
        <f>TimeEntry[[#This Row],[Year]]&amp;"-"&amp;TimeEntry[[#This Row],[WkNo]]</f>
        <v>2018-49</v>
      </c>
    </row>
    <row r="787" spans="1:20" x14ac:dyDescent="0.25">
      <c r="A787" s="6">
        <f>MOD(IF(ROW()=2,0.1,IF(INDEX(TimeEntry[WkEnd],ROW()-1)  =  INDEX(TimeEntry[WkEnd],ROW()-2),    INDEX(TimeEntry[format],ROW()-2),    INDEX(TimeEntry[format],ROW()-2)    +1)),2)</f>
        <v>1.1000000000000001</v>
      </c>
      <c r="B787" s="7"/>
      <c r="C787" s="8">
        <v>43431</v>
      </c>
      <c r="D787" s="8"/>
      <c r="E787" s="1" t="s">
        <v>450</v>
      </c>
      <c r="F787" s="8">
        <f>IF(TimeEntry[[#This Row],[Date]]=0,F786,C787+(7-Q787))</f>
        <v>43436</v>
      </c>
      <c r="G787" s="35" t="str">
        <f>INDEX(projects[Charge_Code],MATCH(TimeEntry[[#This Row],[Project_ID]],projects[Project_ID],0))</f>
        <v>246233-56 HCC - Weston Hills Tunnel (01-382)</v>
      </c>
      <c r="H787" s="1" t="str">
        <f t="shared" si="15"/>
        <v>Normal Time</v>
      </c>
      <c r="I787" s="1"/>
      <c r="J787" s="15">
        <v>1</v>
      </c>
      <c r="K787" s="15"/>
      <c r="L787" s="15"/>
      <c r="M787" s="15"/>
      <c r="N787" s="15"/>
      <c r="O787" s="15" t="str">
        <f>INDEX(projects[job number],MATCH(TimeEntry[[#This Row],[Project_ID]], projects[Project_ID],0))</f>
        <v>246233-56</v>
      </c>
      <c r="P787" s="15" t="str">
        <f>INDEX(projects[Project_Name],MATCH(TimeEntry[[#This Row],[Project_ID]], projects[Project_ID],0))</f>
        <v>HCC - Weston Hills Tunnel</v>
      </c>
      <c r="Q787" s="1">
        <f>IF(TimeEntry[[#This Row],[Date]]=0,"",WEEKDAY(C787,2))</f>
        <v>2</v>
      </c>
      <c r="R787" s="9">
        <f>YEAR(TimeEntry[[#This Row],[WkEnd]])</f>
        <v>2018</v>
      </c>
      <c r="S787" s="9">
        <f>WEEKNUM(TimeEntry[[#This Row],[WkEnd]])</f>
        <v>49</v>
      </c>
      <c r="T787" s="9" t="str">
        <f>TimeEntry[[#This Row],[Year]]&amp;"-"&amp;TimeEntry[[#This Row],[WkNo]]</f>
        <v>2018-49</v>
      </c>
    </row>
    <row r="788" spans="1:20" x14ac:dyDescent="0.25">
      <c r="A788" s="6">
        <f>MOD(IF(ROW()=2,0.1,IF(INDEX(TimeEntry[WkEnd],ROW()-1)  =  INDEX(TimeEntry[WkEnd],ROW()-2),    INDEX(TimeEntry[format],ROW()-2),    INDEX(TimeEntry[format],ROW()-2)    +1)),2)</f>
        <v>1.1000000000000001</v>
      </c>
      <c r="B788" s="7"/>
      <c r="C788" s="8">
        <v>43432</v>
      </c>
      <c r="D788" s="8"/>
      <c r="E788" s="1" t="s">
        <v>483</v>
      </c>
      <c r="F788" s="8">
        <f>IF(TimeEntry[[#This Row],[Date]]=0,F787,C788+(7-Q788))</f>
        <v>43436</v>
      </c>
      <c r="G788" s="35" t="str">
        <f>INDEX(projects[Charge_Code],MATCH(TimeEntry[[#This Row],[Project_ID]],projects[Project_ID],0))</f>
        <v>254304-79 HCC - Nursery Ln (01-382)</v>
      </c>
      <c r="H788" s="1" t="str">
        <f t="shared" si="15"/>
        <v>Normal Time</v>
      </c>
      <c r="I788" s="1"/>
      <c r="J788" s="15">
        <v>7.5</v>
      </c>
      <c r="K788" s="15"/>
      <c r="L788" s="15"/>
      <c r="M788" s="15"/>
      <c r="N788" s="15"/>
      <c r="O788" s="15" t="str">
        <f>INDEX(projects[job number],MATCH(TimeEntry[[#This Row],[Project_ID]], projects[Project_ID],0))</f>
        <v>254304-79</v>
      </c>
      <c r="P788" s="15" t="str">
        <f>INDEX(projects[Project_Name],MATCH(TimeEntry[[#This Row],[Project_ID]], projects[Project_ID],0))</f>
        <v>HCC - Nursery Ln</v>
      </c>
      <c r="Q788" s="1">
        <f>IF(TimeEntry[[#This Row],[Date]]=0,"",WEEKDAY(C788,2))</f>
        <v>3</v>
      </c>
      <c r="R788" s="9">
        <f>YEAR(TimeEntry[[#This Row],[WkEnd]])</f>
        <v>2018</v>
      </c>
      <c r="S788" s="9">
        <f>WEEKNUM(TimeEntry[[#This Row],[WkEnd]])</f>
        <v>49</v>
      </c>
      <c r="T788" s="9" t="str">
        <f>TimeEntry[[#This Row],[Year]]&amp;"-"&amp;TimeEntry[[#This Row],[WkNo]]</f>
        <v>2018-49</v>
      </c>
    </row>
    <row r="789" spans="1:20" x14ac:dyDescent="0.25">
      <c r="A789" s="6">
        <f>MOD(IF(ROW()=2,0.1,IF(INDEX(TimeEntry[WkEnd],ROW()-1)  =  INDEX(TimeEntry[WkEnd],ROW()-2),    INDEX(TimeEntry[format],ROW()-2),    INDEX(TimeEntry[format],ROW()-2)    +1)),2)</f>
        <v>1.1000000000000001</v>
      </c>
      <c r="B789" s="7"/>
      <c r="C789" s="8">
        <v>43433</v>
      </c>
      <c r="D789" s="8"/>
      <c r="E789" s="1" t="s">
        <v>471</v>
      </c>
      <c r="F789" s="8">
        <f>IF(TimeEntry[[#This Row],[Date]]=0,F788,C789+(7-Q789))</f>
        <v>43436</v>
      </c>
      <c r="G789" s="35" t="str">
        <f>INDEX(projects[Charge_Code],MATCH(TimeEntry[[#This Row],[Project_ID]],projects[Project_ID],0))</f>
        <v>261723-02 SMP</v>
      </c>
      <c r="H789" s="1" t="str">
        <f t="shared" si="15"/>
        <v>Normal Time</v>
      </c>
      <c r="I789" s="1"/>
      <c r="J789" s="15">
        <v>5</v>
      </c>
      <c r="K789" s="15"/>
      <c r="L789" s="15"/>
      <c r="M789" s="15"/>
      <c r="N789" s="15"/>
      <c r="O789" s="15" t="str">
        <f>INDEX(projects[job number],MATCH(TimeEntry[[#This Row],[Project_ID]], projects[Project_ID],0))</f>
        <v>261723-02</v>
      </c>
      <c r="P789" s="15" t="str">
        <f>INDEX(projects[Project_Name],MATCH(TimeEntry[[#This Row],[Project_ID]], projects[Project_ID],0))</f>
        <v>SMP</v>
      </c>
      <c r="Q789" s="1">
        <f>IF(TimeEntry[[#This Row],[Date]]=0,"",WEEKDAY(C789,2))</f>
        <v>4</v>
      </c>
      <c r="R789" s="9">
        <f>YEAR(TimeEntry[[#This Row],[WkEnd]])</f>
        <v>2018</v>
      </c>
      <c r="S789" s="9">
        <f>WEEKNUM(TimeEntry[[#This Row],[WkEnd]])</f>
        <v>49</v>
      </c>
      <c r="T789" s="9" t="str">
        <f>TimeEntry[[#This Row],[Year]]&amp;"-"&amp;TimeEntry[[#This Row],[WkNo]]</f>
        <v>2018-49</v>
      </c>
    </row>
    <row r="790" spans="1:20" x14ac:dyDescent="0.25">
      <c r="A790" s="6">
        <f>MOD(IF(ROW()=2,0.1,IF(INDEX(TimeEntry[WkEnd],ROW()-1)  =  INDEX(TimeEntry[WkEnd],ROW()-2),    INDEX(TimeEntry[format],ROW()-2),    INDEX(TimeEntry[format],ROW()-2)    +1)),2)</f>
        <v>1.1000000000000001</v>
      </c>
      <c r="B790" s="7"/>
      <c r="C790" s="8">
        <v>43433</v>
      </c>
      <c r="D790" s="8"/>
      <c r="E790" s="1" t="s">
        <v>465</v>
      </c>
      <c r="F790" s="8">
        <f>IF(TimeEntry[[#This Row],[Date]]=0,F789,C790+(7-Q790))</f>
        <v>43436</v>
      </c>
      <c r="G790" s="35" t="str">
        <f>INDEX(projects[Charge_Code],MATCH(TimeEntry[[#This Row],[Project_ID]],projects[Project_ID],0))</f>
        <v>215526-27 CP - Assessment (01-124)</v>
      </c>
      <c r="H790" s="1" t="str">
        <f t="shared" si="15"/>
        <v>Normal Time</v>
      </c>
      <c r="I790" s="1"/>
      <c r="J790" s="15">
        <v>2.5</v>
      </c>
      <c r="K790" s="15"/>
      <c r="L790" s="15"/>
      <c r="M790" s="15"/>
      <c r="N790" s="15"/>
      <c r="O790" s="15" t="str">
        <f>INDEX(projects[job number],MATCH(TimeEntry[[#This Row],[Project_ID]], projects[Project_ID],0))</f>
        <v>215526-27</v>
      </c>
      <c r="P790" s="15" t="str">
        <f>INDEX(projects[Project_Name],MATCH(TimeEntry[[#This Row],[Project_ID]], projects[Project_ID],0))</f>
        <v>CP - Assessment</v>
      </c>
      <c r="Q790" s="1">
        <f>IF(TimeEntry[[#This Row],[Date]]=0,"",WEEKDAY(C790,2))</f>
        <v>4</v>
      </c>
      <c r="R790" s="9">
        <f>YEAR(TimeEntry[[#This Row],[WkEnd]])</f>
        <v>2018</v>
      </c>
      <c r="S790" s="9">
        <f>WEEKNUM(TimeEntry[[#This Row],[WkEnd]])</f>
        <v>49</v>
      </c>
      <c r="T790" s="9" t="str">
        <f>TimeEntry[[#This Row],[Year]]&amp;"-"&amp;TimeEntry[[#This Row],[WkNo]]</f>
        <v>2018-49</v>
      </c>
    </row>
    <row r="791" spans="1:20" x14ac:dyDescent="0.25">
      <c r="A791" s="6">
        <f>MOD(IF(ROW()=2,0.1,IF(INDEX(TimeEntry[WkEnd],ROW()-1)  =  INDEX(TimeEntry[WkEnd],ROW()-2),    INDEX(TimeEntry[format],ROW()-2),    INDEX(TimeEntry[format],ROW()-2)    +1)),2)</f>
        <v>1.1000000000000001</v>
      </c>
      <c r="B791" s="7"/>
      <c r="C791" s="8">
        <v>43434</v>
      </c>
      <c r="D791" s="8"/>
      <c r="E791" s="1" t="s">
        <v>446</v>
      </c>
      <c r="F791" s="8">
        <f>IF(TimeEntry[[#This Row],[Date]]=0,F790,C791+(7-Q791))</f>
        <v>43436</v>
      </c>
      <c r="G791" s="35" t="str">
        <f>INDEX(projects[Charge_Code],MATCH(TimeEntry[[#This Row],[Project_ID]],projects[Project_ID],0))</f>
        <v>074097-29 BCST Appraisal</v>
      </c>
      <c r="H791" s="1" t="str">
        <f t="shared" si="15"/>
        <v>Normal Time</v>
      </c>
      <c r="I791" s="1"/>
      <c r="J791" s="15">
        <v>2</v>
      </c>
      <c r="K791" s="15"/>
      <c r="L791" s="15"/>
      <c r="M791" s="15"/>
      <c r="N791" s="15"/>
      <c r="O791" s="15" t="str">
        <f>INDEX(projects[job number],MATCH(TimeEntry[[#This Row],[Project_ID]], projects[Project_ID],0))</f>
        <v>074097-29</v>
      </c>
      <c r="P791" s="15" t="str">
        <f>INDEX(projects[Project_Name],MATCH(TimeEntry[[#This Row],[Project_ID]], projects[Project_ID],0))</f>
        <v>BCST Appraisal</v>
      </c>
      <c r="Q791" s="1">
        <f>IF(TimeEntry[[#This Row],[Date]]=0,"",WEEKDAY(C791,2))</f>
        <v>5</v>
      </c>
      <c r="R791" s="9">
        <f>YEAR(TimeEntry[[#This Row],[WkEnd]])</f>
        <v>2018</v>
      </c>
      <c r="S791" s="9">
        <f>WEEKNUM(TimeEntry[[#This Row],[WkEnd]])</f>
        <v>49</v>
      </c>
      <c r="T791" s="9" t="str">
        <f>TimeEntry[[#This Row],[Year]]&amp;"-"&amp;TimeEntry[[#This Row],[WkNo]]</f>
        <v>2018-49</v>
      </c>
    </row>
    <row r="792" spans="1:20" x14ac:dyDescent="0.25">
      <c r="A792" s="6">
        <f>MOD(IF(ROW()=2,0.1,IF(INDEX(TimeEntry[WkEnd],ROW()-1)  =  INDEX(TimeEntry[WkEnd],ROW()-2),    INDEX(TimeEntry[format],ROW()-2),    INDEX(TimeEntry[format],ROW()-2)    +1)),2)</f>
        <v>1.1000000000000001</v>
      </c>
      <c r="B792" s="7"/>
      <c r="C792" s="8">
        <v>43434</v>
      </c>
      <c r="D792" s="8"/>
      <c r="E792" s="1" t="s">
        <v>452</v>
      </c>
      <c r="F792" s="8">
        <f>IF(TimeEntry[[#This Row],[Date]]=0,F791,C792+(7-Q792))</f>
        <v>43436</v>
      </c>
      <c r="G792" s="35" t="str">
        <f>INDEX(projects[Charge_Code],MATCH(TimeEntry[[#This Row],[Project_ID]],projects[Project_ID],0))</f>
        <v>254304-96 HCC - Paul Cully (01-382)</v>
      </c>
      <c r="H792" s="1" t="str">
        <f t="shared" si="15"/>
        <v>Normal Time</v>
      </c>
      <c r="I792" s="1"/>
      <c r="J792" s="15">
        <v>3</v>
      </c>
      <c r="K792" s="15"/>
      <c r="L792" s="15"/>
      <c r="M792" s="15"/>
      <c r="N792" s="15"/>
      <c r="O792" s="15" t="str">
        <f>INDEX(projects[job number],MATCH(TimeEntry[[#This Row],[Project_ID]], projects[Project_ID],0))</f>
        <v>254304-96</v>
      </c>
      <c r="P792" s="15" t="str">
        <f>INDEX(projects[Project_Name],MATCH(TimeEntry[[#This Row],[Project_ID]], projects[Project_ID],0))</f>
        <v>HCC - Paul Cully</v>
      </c>
      <c r="Q792" s="1">
        <f>IF(TimeEntry[[#This Row],[Date]]=0,"",WEEKDAY(C792,2))</f>
        <v>5</v>
      </c>
      <c r="R792" s="9">
        <f>YEAR(TimeEntry[[#This Row],[WkEnd]])</f>
        <v>2018</v>
      </c>
      <c r="S792" s="9">
        <f>WEEKNUM(TimeEntry[[#This Row],[WkEnd]])</f>
        <v>49</v>
      </c>
      <c r="T792" s="9" t="str">
        <f>TimeEntry[[#This Row],[Year]]&amp;"-"&amp;TimeEntry[[#This Row],[WkNo]]</f>
        <v>2018-49</v>
      </c>
    </row>
    <row r="793" spans="1:20" x14ac:dyDescent="0.25">
      <c r="A793" s="6">
        <f>MOD(IF(ROW()=2,0.1,IF(INDEX(TimeEntry[WkEnd],ROW()-1)  =  INDEX(TimeEntry[WkEnd],ROW()-2),    INDEX(TimeEntry[format],ROW()-2),    INDEX(TimeEntry[format],ROW()-2)    +1)),2)</f>
        <v>1.1000000000000001</v>
      </c>
      <c r="B793" s="7"/>
      <c r="C793" s="8">
        <v>43434</v>
      </c>
      <c r="D793" s="8"/>
      <c r="E793" s="1" t="s">
        <v>450</v>
      </c>
      <c r="F793" s="8">
        <f>IF(TimeEntry[[#This Row],[Date]]=0,F792,C793+(7-Q793))</f>
        <v>43436</v>
      </c>
      <c r="G793" s="35" t="str">
        <f>INDEX(projects[Charge_Code],MATCH(TimeEntry[[#This Row],[Project_ID]],projects[Project_ID],0))</f>
        <v>246233-56 HCC - Weston Hills Tunnel (01-382)</v>
      </c>
      <c r="H793" s="1" t="str">
        <f t="shared" si="15"/>
        <v>Normal Time</v>
      </c>
      <c r="I793" s="1"/>
      <c r="J793" s="15">
        <v>2.5</v>
      </c>
      <c r="K793" s="15"/>
      <c r="L793" s="15"/>
      <c r="M793" s="15"/>
      <c r="N793" s="15"/>
      <c r="O793" s="15" t="str">
        <f>INDEX(projects[job number],MATCH(TimeEntry[[#This Row],[Project_ID]], projects[Project_ID],0))</f>
        <v>246233-56</v>
      </c>
      <c r="P793" s="15" t="str">
        <f>INDEX(projects[Project_Name],MATCH(TimeEntry[[#This Row],[Project_ID]], projects[Project_ID],0))</f>
        <v>HCC - Weston Hills Tunnel</v>
      </c>
      <c r="Q793" s="1">
        <f>IF(TimeEntry[[#This Row],[Date]]=0,"",WEEKDAY(C793,2))</f>
        <v>5</v>
      </c>
      <c r="R793" s="9">
        <f>YEAR(TimeEntry[[#This Row],[WkEnd]])</f>
        <v>2018</v>
      </c>
      <c r="S793" s="9">
        <f>WEEKNUM(TimeEntry[[#This Row],[WkEnd]])</f>
        <v>49</v>
      </c>
      <c r="T793" s="9" t="str">
        <f>TimeEntry[[#This Row],[Year]]&amp;"-"&amp;TimeEntry[[#This Row],[WkNo]]</f>
        <v>2018-49</v>
      </c>
    </row>
    <row r="794" spans="1:20" x14ac:dyDescent="0.25">
      <c r="A794" s="6">
        <f>MOD(IF(ROW()=2,0.1,IF(INDEX(TimeEntry[WkEnd],ROW()-1)  =  INDEX(TimeEntry[WkEnd],ROW()-2),    INDEX(TimeEntry[format],ROW()-2),    INDEX(TimeEntry[format],ROW()-2)    +1)),2)</f>
        <v>0.10000000000000009</v>
      </c>
      <c r="B794" s="7"/>
      <c r="C794" s="8">
        <v>43423</v>
      </c>
      <c r="D794" s="8"/>
      <c r="E794" s="1" t="s">
        <v>471</v>
      </c>
      <c r="F794" s="8">
        <f>IF(TimeEntry[[#This Row],[Date]]=0,F793,C794+(7-Q794))</f>
        <v>43429</v>
      </c>
      <c r="G794" s="35" t="str">
        <f>INDEX(projects[Charge_Code],MATCH(TimeEntry[[#This Row],[Project_ID]],projects[Project_ID],0))</f>
        <v>261723-02 SMP</v>
      </c>
      <c r="H794" s="1" t="str">
        <f t="shared" si="15"/>
        <v>Normal Time</v>
      </c>
      <c r="I794" s="1"/>
      <c r="J794" s="15">
        <v>3.75</v>
      </c>
      <c r="K794" s="15"/>
      <c r="L794" s="15"/>
      <c r="M794" s="15"/>
      <c r="N794" s="15"/>
      <c r="O794" s="15" t="str">
        <f>INDEX(projects[job number],MATCH(TimeEntry[[#This Row],[Project_ID]], projects[Project_ID],0))</f>
        <v>261723-02</v>
      </c>
      <c r="P794" s="15" t="str">
        <f>INDEX(projects[Project_Name],MATCH(TimeEntry[[#This Row],[Project_ID]], projects[Project_ID],0))</f>
        <v>SMP</v>
      </c>
      <c r="Q794" s="1">
        <f>IF(TimeEntry[[#This Row],[Date]]=0,"",WEEKDAY(C794,2))</f>
        <v>1</v>
      </c>
      <c r="R794" s="9">
        <f>YEAR(TimeEntry[[#This Row],[WkEnd]])</f>
        <v>2018</v>
      </c>
      <c r="S794" s="9">
        <f>WEEKNUM(TimeEntry[[#This Row],[WkEnd]])</f>
        <v>48</v>
      </c>
      <c r="T794" s="9" t="str">
        <f>TimeEntry[[#This Row],[Year]]&amp;"-"&amp;TimeEntry[[#This Row],[WkNo]]</f>
        <v>2018-48</v>
      </c>
    </row>
    <row r="795" spans="1:20" x14ac:dyDescent="0.25">
      <c r="A795" s="6">
        <f>MOD(IF(ROW()=2,0.1,IF(INDEX(TimeEntry[WkEnd],ROW()-1)  =  INDEX(TimeEntry[WkEnd],ROW()-2),    INDEX(TimeEntry[format],ROW()-2),    INDEX(TimeEntry[format],ROW()-2)    +1)),2)</f>
        <v>0.10000000000000009</v>
      </c>
      <c r="B795" s="7"/>
      <c r="C795" s="8">
        <v>43423</v>
      </c>
      <c r="D795" s="8"/>
      <c r="E795" s="1" t="s">
        <v>488</v>
      </c>
      <c r="F795" s="8">
        <f>IF(TimeEntry[[#This Row],[Date]]=0,F794,C795+(7-Q795))</f>
        <v>43429</v>
      </c>
      <c r="G795" s="35" t="str">
        <f>INDEX(projects[Charge_Code],MATCH(TimeEntry[[#This Row],[Project_ID]],projects[Project_ID],0))</f>
        <v>254841-07 HS2 Ph2b</v>
      </c>
      <c r="H795" s="1" t="str">
        <f t="shared" si="15"/>
        <v>Normal Time</v>
      </c>
      <c r="I795" s="1"/>
      <c r="J795" s="15">
        <v>3.75</v>
      </c>
      <c r="K795" s="15"/>
      <c r="L795" s="15"/>
      <c r="M795" s="15"/>
      <c r="N795" s="15"/>
      <c r="O795" s="15" t="str">
        <f>INDEX(projects[job number],MATCH(TimeEntry[[#This Row],[Project_ID]], projects[Project_ID],0))</f>
        <v>254841-07</v>
      </c>
      <c r="P795" s="15" t="str">
        <f>INDEX(projects[Project_Name],MATCH(TimeEntry[[#This Row],[Project_ID]], projects[Project_ID],0))</f>
        <v>HS2 Ph2b</v>
      </c>
      <c r="Q795" s="1">
        <f>IF(TimeEntry[[#This Row],[Date]]=0,"",WEEKDAY(C795,2))</f>
        <v>1</v>
      </c>
      <c r="R795" s="9">
        <f>YEAR(TimeEntry[[#This Row],[WkEnd]])</f>
        <v>2018</v>
      </c>
      <c r="S795" s="9">
        <f>WEEKNUM(TimeEntry[[#This Row],[WkEnd]])</f>
        <v>48</v>
      </c>
      <c r="T795" s="9" t="str">
        <f>TimeEntry[[#This Row],[Year]]&amp;"-"&amp;TimeEntry[[#This Row],[WkNo]]</f>
        <v>2018-48</v>
      </c>
    </row>
    <row r="796" spans="1:20" x14ac:dyDescent="0.25">
      <c r="A796" s="6">
        <f>MOD(IF(ROW()=2,0.1,IF(INDEX(TimeEntry[WkEnd],ROW()-1)  =  INDEX(TimeEntry[WkEnd],ROW()-2),    INDEX(TimeEntry[format],ROW()-2),    INDEX(TimeEntry[format],ROW()-2)    +1)),2)</f>
        <v>0.10000000000000009</v>
      </c>
      <c r="B796" s="7"/>
      <c r="C796" s="8">
        <v>43424</v>
      </c>
      <c r="D796" s="8"/>
      <c r="E796" s="1" t="s">
        <v>488</v>
      </c>
      <c r="F796" s="8">
        <f>IF(TimeEntry[[#This Row],[Date]]=0,F795,C796+(7-Q796))</f>
        <v>43429</v>
      </c>
      <c r="G796" s="35" t="str">
        <f>INDEX(projects[Charge_Code],MATCH(TimeEntry[[#This Row],[Project_ID]],projects[Project_ID],0))</f>
        <v>254841-07 HS2 Ph2b</v>
      </c>
      <c r="H796" s="1" t="str">
        <f t="shared" si="15"/>
        <v>Normal Time</v>
      </c>
      <c r="I796" s="1"/>
      <c r="J796" s="15">
        <v>7.5</v>
      </c>
      <c r="K796" s="15"/>
      <c r="L796" s="15"/>
      <c r="M796" s="15"/>
      <c r="N796" s="15"/>
      <c r="O796" s="15" t="str">
        <f>INDEX(projects[job number],MATCH(TimeEntry[[#This Row],[Project_ID]], projects[Project_ID],0))</f>
        <v>254841-07</v>
      </c>
      <c r="P796" s="15" t="str">
        <f>INDEX(projects[Project_Name],MATCH(TimeEntry[[#This Row],[Project_ID]], projects[Project_ID],0))</f>
        <v>HS2 Ph2b</v>
      </c>
      <c r="Q796" s="1">
        <f>IF(TimeEntry[[#This Row],[Date]]=0,"",WEEKDAY(C796,2))</f>
        <v>2</v>
      </c>
      <c r="R796" s="9">
        <f>YEAR(TimeEntry[[#This Row],[WkEnd]])</f>
        <v>2018</v>
      </c>
      <c r="S796" s="9">
        <f>WEEKNUM(TimeEntry[[#This Row],[WkEnd]])</f>
        <v>48</v>
      </c>
      <c r="T796" s="9" t="str">
        <f>TimeEntry[[#This Row],[Year]]&amp;"-"&amp;TimeEntry[[#This Row],[WkNo]]</f>
        <v>2018-48</v>
      </c>
    </row>
    <row r="797" spans="1:20" x14ac:dyDescent="0.25">
      <c r="A797" s="6">
        <f>MOD(IF(ROW()=2,0.1,IF(INDEX(TimeEntry[WkEnd],ROW()-1)  =  INDEX(TimeEntry[WkEnd],ROW()-2),    INDEX(TimeEntry[format],ROW()-2),    INDEX(TimeEntry[format],ROW()-2)    +1)),2)</f>
        <v>0.10000000000000009</v>
      </c>
      <c r="B797" s="7"/>
      <c r="C797" s="8">
        <v>43424</v>
      </c>
      <c r="D797" s="8"/>
      <c r="E797" s="1" t="s">
        <v>486</v>
      </c>
      <c r="F797" s="8">
        <f>IF(TimeEntry[[#This Row],[Date]]=0,F796,C797+(7-Q797))</f>
        <v>43429</v>
      </c>
      <c r="G797" s="35" t="str">
        <f>INDEX(projects[Charge_Code],MATCH(TimeEntry[[#This Row],[Project_ID]],projects[Project_ID],0))</f>
        <v>074103-30 Engagement cohort</v>
      </c>
      <c r="H797" s="1" t="str">
        <f t="shared" ref="H797:H836" si="16">"Normal Time"</f>
        <v>Normal Time</v>
      </c>
      <c r="I797" s="1"/>
      <c r="J797" s="15">
        <v>0</v>
      </c>
      <c r="K797" s="15"/>
      <c r="L797" s="15"/>
      <c r="M797" s="15"/>
      <c r="N797" s="15"/>
      <c r="O797" s="15" t="str">
        <f>INDEX(projects[job number],MATCH(TimeEntry[[#This Row],[Project_ID]], projects[Project_ID],0))</f>
        <v>074103-30</v>
      </c>
      <c r="P797" s="15" t="str">
        <f>INDEX(projects[Project_Name],MATCH(TimeEntry[[#This Row],[Project_ID]], projects[Project_ID],0))</f>
        <v>Engagement cohort</v>
      </c>
      <c r="Q797" s="1">
        <f>IF(TimeEntry[[#This Row],[Date]]=0,"",WEEKDAY(C797,2))</f>
        <v>2</v>
      </c>
      <c r="R797" s="9">
        <f>YEAR(TimeEntry[[#This Row],[WkEnd]])</f>
        <v>2018</v>
      </c>
      <c r="S797" s="9">
        <f>WEEKNUM(TimeEntry[[#This Row],[WkEnd]])</f>
        <v>48</v>
      </c>
      <c r="T797" s="9" t="str">
        <f>TimeEntry[[#This Row],[Year]]&amp;"-"&amp;TimeEntry[[#This Row],[WkNo]]</f>
        <v>2018-48</v>
      </c>
    </row>
    <row r="798" spans="1:20" x14ac:dyDescent="0.25">
      <c r="A798" s="6">
        <f>MOD(IF(ROW()=2,0.1,IF(INDEX(TimeEntry[WkEnd],ROW()-1)  =  INDEX(TimeEntry[WkEnd],ROW()-2),    INDEX(TimeEntry[format],ROW()-2),    INDEX(TimeEntry[format],ROW()-2)    +1)),2)</f>
        <v>0.10000000000000009</v>
      </c>
      <c r="B798" s="7"/>
      <c r="C798" s="8">
        <v>43424</v>
      </c>
      <c r="D798" s="8"/>
      <c r="E798" s="1" t="e">
        <v>#N/A</v>
      </c>
      <c r="F798" s="8">
        <f>IF(TimeEntry[[#This Row],[Date]]=0,F797,C798+(7-Q798))</f>
        <v>43429</v>
      </c>
      <c r="G798" s="35" t="e">
        <f>INDEX(projects[Charge_Code],MATCH(TimeEntry[[#This Row],[Project_ID]],projects[Project_ID],0))</f>
        <v>#N/A</v>
      </c>
      <c r="H798" s="1" t="str">
        <f t="shared" si="16"/>
        <v>Normal Time</v>
      </c>
      <c r="I798" s="1"/>
      <c r="J798" s="15">
        <v>0</v>
      </c>
      <c r="K798" s="15"/>
      <c r="L798" s="15"/>
      <c r="M798" s="15"/>
      <c r="N798" s="15"/>
      <c r="O798" s="15" t="e">
        <f>INDEX(projects[job number],MATCH(TimeEntry[[#This Row],[Project_ID]], projects[Project_ID],0))</f>
        <v>#N/A</v>
      </c>
      <c r="P798" s="15" t="e">
        <f>INDEX(projects[Project_Name],MATCH(TimeEntry[[#This Row],[Project_ID]], projects[Project_ID],0))</f>
        <v>#N/A</v>
      </c>
      <c r="Q798" s="1">
        <f>IF(TimeEntry[[#This Row],[Date]]=0,"",WEEKDAY(C798,2))</f>
        <v>2</v>
      </c>
      <c r="R798" s="9">
        <f>YEAR(TimeEntry[[#This Row],[WkEnd]])</f>
        <v>2018</v>
      </c>
      <c r="S798" s="9">
        <f>WEEKNUM(TimeEntry[[#This Row],[WkEnd]])</f>
        <v>48</v>
      </c>
      <c r="T798" s="9" t="str">
        <f>TimeEntry[[#This Row],[Year]]&amp;"-"&amp;TimeEntry[[#This Row],[WkNo]]</f>
        <v>2018-48</v>
      </c>
    </row>
    <row r="799" spans="1:20" x14ac:dyDescent="0.25">
      <c r="A799" s="6">
        <f>MOD(IF(ROW()=2,0.1,IF(INDEX(TimeEntry[WkEnd],ROW()-1)  =  INDEX(TimeEntry[WkEnd],ROW()-2),    INDEX(TimeEntry[format],ROW()-2),    INDEX(TimeEntry[format],ROW()-2)    +1)),2)</f>
        <v>0.10000000000000009</v>
      </c>
      <c r="B799" s="7"/>
      <c r="C799" s="8">
        <v>43425</v>
      </c>
      <c r="D799" s="8"/>
      <c r="E799" s="1" t="s">
        <v>483</v>
      </c>
      <c r="F799" s="8">
        <f>IF(TimeEntry[[#This Row],[Date]]=0,F798,C799+(7-Q799))</f>
        <v>43429</v>
      </c>
      <c r="G799" s="35" t="str">
        <f>INDEX(projects[Charge_Code],MATCH(TimeEntry[[#This Row],[Project_ID]],projects[Project_ID],0))</f>
        <v>254304-79 HCC - Nursery Ln (01-382)</v>
      </c>
      <c r="H799" s="1" t="str">
        <f t="shared" si="16"/>
        <v>Normal Time</v>
      </c>
      <c r="I799" s="1"/>
      <c r="J799" s="15">
        <v>7.5</v>
      </c>
      <c r="K799" s="15"/>
      <c r="L799" s="15"/>
      <c r="M799" s="15"/>
      <c r="N799" s="15"/>
      <c r="O799" s="15" t="str">
        <f>INDEX(projects[job number],MATCH(TimeEntry[[#This Row],[Project_ID]], projects[Project_ID],0))</f>
        <v>254304-79</v>
      </c>
      <c r="P799" s="15" t="str">
        <f>INDEX(projects[Project_Name],MATCH(TimeEntry[[#This Row],[Project_ID]], projects[Project_ID],0))</f>
        <v>HCC - Nursery Ln</v>
      </c>
      <c r="Q799" s="1">
        <f>IF(TimeEntry[[#This Row],[Date]]=0,"",WEEKDAY(C799,2))</f>
        <v>3</v>
      </c>
      <c r="R799" s="9">
        <f>YEAR(TimeEntry[[#This Row],[WkEnd]])</f>
        <v>2018</v>
      </c>
      <c r="S799" s="9">
        <f>WEEKNUM(TimeEntry[[#This Row],[WkEnd]])</f>
        <v>48</v>
      </c>
      <c r="T799" s="9" t="str">
        <f>TimeEntry[[#This Row],[Year]]&amp;"-"&amp;TimeEntry[[#This Row],[WkNo]]</f>
        <v>2018-48</v>
      </c>
    </row>
    <row r="800" spans="1:20" x14ac:dyDescent="0.25">
      <c r="A800" s="6">
        <f>MOD(IF(ROW()=2,0.1,IF(INDEX(TimeEntry[WkEnd],ROW()-1)  =  INDEX(TimeEntry[WkEnd],ROW()-2),    INDEX(TimeEntry[format],ROW()-2),    INDEX(TimeEntry[format],ROW()-2)    +1)),2)</f>
        <v>0.10000000000000009</v>
      </c>
      <c r="B800" s="7"/>
      <c r="C800" s="8">
        <v>43426</v>
      </c>
      <c r="D800" s="8"/>
      <c r="E800" s="1" t="s">
        <v>446</v>
      </c>
      <c r="F800" s="8">
        <f>IF(TimeEntry[[#This Row],[Date]]=0,F799,C800+(7-Q800))</f>
        <v>43429</v>
      </c>
      <c r="G800" s="35" t="str">
        <f>INDEX(projects[Charge_Code],MATCH(TimeEntry[[#This Row],[Project_ID]],projects[Project_ID],0))</f>
        <v>074097-29 BCST Appraisal</v>
      </c>
      <c r="H800" s="1" t="str">
        <f t="shared" si="16"/>
        <v>Normal Time</v>
      </c>
      <c r="I800" s="1"/>
      <c r="J800" s="15">
        <v>2</v>
      </c>
      <c r="K800" s="15"/>
      <c r="L800" s="15"/>
      <c r="M800" s="15"/>
      <c r="N800" s="15"/>
      <c r="O800" s="15" t="str">
        <f>INDEX(projects[job number],MATCH(TimeEntry[[#This Row],[Project_ID]], projects[Project_ID],0))</f>
        <v>074097-29</v>
      </c>
      <c r="P800" s="15" t="str">
        <f>INDEX(projects[Project_Name],MATCH(TimeEntry[[#This Row],[Project_ID]], projects[Project_ID],0))</f>
        <v>BCST Appraisal</v>
      </c>
      <c r="Q800" s="1">
        <f>IF(TimeEntry[[#This Row],[Date]]=0,"",WEEKDAY(C800,2))</f>
        <v>4</v>
      </c>
      <c r="R800" s="9">
        <f>YEAR(TimeEntry[[#This Row],[WkEnd]])</f>
        <v>2018</v>
      </c>
      <c r="S800" s="9">
        <f>WEEKNUM(TimeEntry[[#This Row],[WkEnd]])</f>
        <v>48</v>
      </c>
      <c r="T800" s="9" t="str">
        <f>TimeEntry[[#This Row],[Year]]&amp;"-"&amp;TimeEntry[[#This Row],[WkNo]]</f>
        <v>2018-48</v>
      </c>
    </row>
    <row r="801" spans="1:20" x14ac:dyDescent="0.25">
      <c r="A801" s="6">
        <f>MOD(IF(ROW()=2,0.1,IF(INDEX(TimeEntry[WkEnd],ROW()-1)  =  INDEX(TimeEntry[WkEnd],ROW()-2),    INDEX(TimeEntry[format],ROW()-2),    INDEX(TimeEntry[format],ROW()-2)    +1)),2)</f>
        <v>0.10000000000000009</v>
      </c>
      <c r="B801" s="7"/>
      <c r="C801" s="8">
        <v>43426</v>
      </c>
      <c r="D801" s="8"/>
      <c r="E801" s="1" t="s">
        <v>486</v>
      </c>
      <c r="F801" s="8">
        <f>IF(TimeEntry[[#This Row],[Date]]=0,F800,C801+(7-Q801))</f>
        <v>43429</v>
      </c>
      <c r="G801" s="35" t="str">
        <f>INDEX(projects[Charge_Code],MATCH(TimeEntry[[#This Row],[Project_ID]],projects[Project_ID],0))</f>
        <v>074103-30 Engagement cohort</v>
      </c>
      <c r="H801" s="1" t="str">
        <f t="shared" si="16"/>
        <v>Normal Time</v>
      </c>
      <c r="I801" s="1"/>
      <c r="J801" s="15">
        <v>3</v>
      </c>
      <c r="K801" s="15"/>
      <c r="L801" s="15"/>
      <c r="M801" s="15"/>
      <c r="N801" s="15"/>
      <c r="O801" s="15" t="str">
        <f>INDEX(projects[job number],MATCH(TimeEntry[[#This Row],[Project_ID]], projects[Project_ID],0))</f>
        <v>074103-30</v>
      </c>
      <c r="P801" s="15" t="str">
        <f>INDEX(projects[Project_Name],MATCH(TimeEntry[[#This Row],[Project_ID]], projects[Project_ID],0))</f>
        <v>Engagement cohort</v>
      </c>
      <c r="Q801" s="1">
        <f>IF(TimeEntry[[#This Row],[Date]]=0,"",WEEKDAY(C801,2))</f>
        <v>4</v>
      </c>
      <c r="R801" s="9">
        <f>YEAR(TimeEntry[[#This Row],[WkEnd]])</f>
        <v>2018</v>
      </c>
      <c r="S801" s="9">
        <f>WEEKNUM(TimeEntry[[#This Row],[WkEnd]])</f>
        <v>48</v>
      </c>
      <c r="T801" s="9" t="str">
        <f>TimeEntry[[#This Row],[Year]]&amp;"-"&amp;TimeEntry[[#This Row],[WkNo]]</f>
        <v>2018-48</v>
      </c>
    </row>
    <row r="802" spans="1:20" x14ac:dyDescent="0.25">
      <c r="A802" s="6">
        <f>MOD(IF(ROW()=2,0.1,IF(INDEX(TimeEntry[WkEnd],ROW()-1)  =  INDEX(TimeEntry[WkEnd],ROW()-2),    INDEX(TimeEntry[format],ROW()-2),    INDEX(TimeEntry[format],ROW()-2)    +1)),2)</f>
        <v>0.10000000000000009</v>
      </c>
      <c r="B802" s="7"/>
      <c r="C802" s="8">
        <v>43426</v>
      </c>
      <c r="D802" s="8"/>
      <c r="E802" s="1" t="s">
        <v>483</v>
      </c>
      <c r="F802" s="8">
        <f>IF(TimeEntry[[#This Row],[Date]]=0,F801,C802+(7-Q802))</f>
        <v>43429</v>
      </c>
      <c r="G802" s="35" t="str">
        <f>INDEX(projects[Charge_Code],MATCH(TimeEntry[[#This Row],[Project_ID]],projects[Project_ID],0))</f>
        <v>254304-79 HCC - Nursery Ln (01-382)</v>
      </c>
      <c r="H802" s="1" t="str">
        <f t="shared" si="16"/>
        <v>Normal Time</v>
      </c>
      <c r="I802" s="1"/>
      <c r="J802" s="15">
        <v>2.5</v>
      </c>
      <c r="K802" s="15"/>
      <c r="L802" s="15"/>
      <c r="M802" s="15"/>
      <c r="N802" s="15"/>
      <c r="O802" s="15" t="str">
        <f>INDEX(projects[job number],MATCH(TimeEntry[[#This Row],[Project_ID]], projects[Project_ID],0))</f>
        <v>254304-79</v>
      </c>
      <c r="P802" s="15" t="str">
        <f>INDEX(projects[Project_Name],MATCH(TimeEntry[[#This Row],[Project_ID]], projects[Project_ID],0))</f>
        <v>HCC - Nursery Ln</v>
      </c>
      <c r="Q802" s="1">
        <f>IF(TimeEntry[[#This Row],[Date]]=0,"",WEEKDAY(C802,2))</f>
        <v>4</v>
      </c>
      <c r="R802" s="9">
        <f>YEAR(TimeEntry[[#This Row],[WkEnd]])</f>
        <v>2018</v>
      </c>
      <c r="S802" s="9">
        <f>WEEKNUM(TimeEntry[[#This Row],[WkEnd]])</f>
        <v>48</v>
      </c>
      <c r="T802" s="9" t="str">
        <f>TimeEntry[[#This Row],[Year]]&amp;"-"&amp;TimeEntry[[#This Row],[WkNo]]</f>
        <v>2018-48</v>
      </c>
    </row>
    <row r="803" spans="1:20" x14ac:dyDescent="0.25">
      <c r="A803" s="6">
        <f>MOD(IF(ROW()=2,0.1,IF(INDEX(TimeEntry[WkEnd],ROW()-1)  =  INDEX(TimeEntry[WkEnd],ROW()-2),    INDEX(TimeEntry[format],ROW()-2),    INDEX(TimeEntry[format],ROW()-2)    +1)),2)</f>
        <v>0.10000000000000009</v>
      </c>
      <c r="B803" s="7"/>
      <c r="C803" s="8">
        <v>43427</v>
      </c>
      <c r="D803" s="8"/>
      <c r="E803" s="1" t="s">
        <v>464</v>
      </c>
      <c r="F803" s="8">
        <f>IF(TimeEntry[[#This Row],[Date]]=0,F802,C803+(7-Q803))</f>
        <v>43429</v>
      </c>
      <c r="G803" s="35" t="str">
        <f>INDEX(projects[Charge_Code],MATCH(TimeEntry[[#This Row],[Project_ID]],projects[Project_ID],0))</f>
        <v>071945-07 BCS - promotional</v>
      </c>
      <c r="H803" s="1" t="str">
        <f t="shared" si="16"/>
        <v>Normal Time</v>
      </c>
      <c r="I803" s="1"/>
      <c r="J803" s="15">
        <v>2</v>
      </c>
      <c r="K803" s="15"/>
      <c r="L803" s="15"/>
      <c r="M803" s="15"/>
      <c r="N803" s="15"/>
      <c r="O803" s="15" t="str">
        <f>INDEX(projects[job number],MATCH(TimeEntry[[#This Row],[Project_ID]], projects[Project_ID],0))</f>
        <v>071945-07</v>
      </c>
      <c r="P803" s="15" t="str">
        <f>INDEX(projects[Project_Name],MATCH(TimeEntry[[#This Row],[Project_ID]], projects[Project_ID],0))</f>
        <v>BCS - promotional</v>
      </c>
      <c r="Q803" s="1">
        <f>IF(TimeEntry[[#This Row],[Date]]=0,"",WEEKDAY(C803,2))</f>
        <v>5</v>
      </c>
      <c r="R803" s="9">
        <f>YEAR(TimeEntry[[#This Row],[WkEnd]])</f>
        <v>2018</v>
      </c>
      <c r="S803" s="9">
        <f>WEEKNUM(TimeEntry[[#This Row],[WkEnd]])</f>
        <v>48</v>
      </c>
      <c r="T803" s="9" t="str">
        <f>TimeEntry[[#This Row],[Year]]&amp;"-"&amp;TimeEntry[[#This Row],[WkNo]]</f>
        <v>2018-48</v>
      </c>
    </row>
    <row r="804" spans="1:20" x14ac:dyDescent="0.25">
      <c r="A804" s="6">
        <f>MOD(IF(ROW()=2,0.1,IF(INDEX(TimeEntry[WkEnd],ROW()-1)  =  INDEX(TimeEntry[WkEnd],ROW()-2),    INDEX(TimeEntry[format],ROW()-2),    INDEX(TimeEntry[format],ROW()-2)    +1)),2)</f>
        <v>0.10000000000000009</v>
      </c>
      <c r="B804" s="7"/>
      <c r="C804" s="8">
        <v>43427</v>
      </c>
      <c r="D804" s="8"/>
      <c r="E804" s="1" t="s">
        <v>464</v>
      </c>
      <c r="F804" s="8">
        <f>IF(TimeEntry[[#This Row],[Date]]=0,F803,C804+(7-Q804))</f>
        <v>43429</v>
      </c>
      <c r="G804" s="35" t="str">
        <f>INDEX(projects[Charge_Code],MATCH(TimeEntry[[#This Row],[Project_ID]],projects[Project_ID],0))</f>
        <v>071945-07 BCS - promotional</v>
      </c>
      <c r="H804" s="1" t="str">
        <f t="shared" si="16"/>
        <v>Normal Time</v>
      </c>
      <c r="I804" s="1"/>
      <c r="J804" s="15">
        <v>1</v>
      </c>
      <c r="K804" s="15"/>
      <c r="L804" s="15"/>
      <c r="M804" s="15"/>
      <c r="N804" s="15"/>
      <c r="O804" s="15" t="str">
        <f>INDEX(projects[job number],MATCH(TimeEntry[[#This Row],[Project_ID]], projects[Project_ID],0))</f>
        <v>071945-07</v>
      </c>
      <c r="P804" s="15" t="str">
        <f>INDEX(projects[Project_Name],MATCH(TimeEntry[[#This Row],[Project_ID]], projects[Project_ID],0))</f>
        <v>BCS - promotional</v>
      </c>
      <c r="Q804" s="1">
        <f>IF(TimeEntry[[#This Row],[Date]]=0,"",WEEKDAY(C804,2))</f>
        <v>5</v>
      </c>
      <c r="R804" s="9">
        <f>YEAR(TimeEntry[[#This Row],[WkEnd]])</f>
        <v>2018</v>
      </c>
      <c r="S804" s="9">
        <f>WEEKNUM(TimeEntry[[#This Row],[WkEnd]])</f>
        <v>48</v>
      </c>
      <c r="T804" s="9" t="str">
        <f>TimeEntry[[#This Row],[Year]]&amp;"-"&amp;TimeEntry[[#This Row],[WkNo]]</f>
        <v>2018-48</v>
      </c>
    </row>
    <row r="805" spans="1:20" x14ac:dyDescent="0.25">
      <c r="A805" s="6">
        <f>MOD(IF(ROW()=2,0.1,IF(INDEX(TimeEntry[WkEnd],ROW()-1)  =  INDEX(TimeEntry[WkEnd],ROW()-2),    INDEX(TimeEntry[format],ROW()-2),    INDEX(TimeEntry[format],ROW()-2)    +1)),2)</f>
        <v>0.10000000000000009</v>
      </c>
      <c r="B805" s="7"/>
      <c r="C805" s="8">
        <v>43427</v>
      </c>
      <c r="D805" s="8"/>
      <c r="E805" s="1" t="s">
        <v>486</v>
      </c>
      <c r="F805" s="8">
        <f>IF(TimeEntry[[#This Row],[Date]]=0,F804,C805+(7-Q805))</f>
        <v>43429</v>
      </c>
      <c r="G805" s="35" t="str">
        <f>INDEX(projects[Charge_Code],MATCH(TimeEntry[[#This Row],[Project_ID]],projects[Project_ID],0))</f>
        <v>074103-30 Engagement cohort</v>
      </c>
      <c r="H805" s="1" t="str">
        <f t="shared" si="16"/>
        <v>Normal Time</v>
      </c>
      <c r="I805" s="1"/>
      <c r="J805" s="15">
        <v>1</v>
      </c>
      <c r="K805" s="15"/>
      <c r="L805" s="15"/>
      <c r="M805" s="15"/>
      <c r="N805" s="15"/>
      <c r="O805" s="15" t="str">
        <f>INDEX(projects[job number],MATCH(TimeEntry[[#This Row],[Project_ID]], projects[Project_ID],0))</f>
        <v>074103-30</v>
      </c>
      <c r="P805" s="15" t="str">
        <f>INDEX(projects[Project_Name],MATCH(TimeEntry[[#This Row],[Project_ID]], projects[Project_ID],0))</f>
        <v>Engagement cohort</v>
      </c>
      <c r="Q805" s="1">
        <f>IF(TimeEntry[[#This Row],[Date]]=0,"",WEEKDAY(C805,2))</f>
        <v>5</v>
      </c>
      <c r="R805" s="9">
        <f>YEAR(TimeEntry[[#This Row],[WkEnd]])</f>
        <v>2018</v>
      </c>
      <c r="S805" s="9">
        <f>WEEKNUM(TimeEntry[[#This Row],[WkEnd]])</f>
        <v>48</v>
      </c>
      <c r="T805" s="9" t="str">
        <f>TimeEntry[[#This Row],[Year]]&amp;"-"&amp;TimeEntry[[#This Row],[WkNo]]</f>
        <v>2018-48</v>
      </c>
    </row>
    <row r="806" spans="1:20" x14ac:dyDescent="0.25">
      <c r="A806" s="6">
        <f>MOD(IF(ROW()=2,0.1,IF(INDEX(TimeEntry[WkEnd],ROW()-1)  =  INDEX(TimeEntry[WkEnd],ROW()-2),    INDEX(TimeEntry[format],ROW()-2),    INDEX(TimeEntry[format],ROW()-2)    +1)),2)</f>
        <v>0.10000000000000009</v>
      </c>
      <c r="B806" s="7"/>
      <c r="C806" s="8">
        <v>43427</v>
      </c>
      <c r="D806" s="8"/>
      <c r="E806" s="1" t="s">
        <v>483</v>
      </c>
      <c r="F806" s="8">
        <f>IF(TimeEntry[[#This Row],[Date]]=0,F805,C806+(7-Q806))</f>
        <v>43429</v>
      </c>
      <c r="G806" s="35" t="str">
        <f>INDEX(projects[Charge_Code],MATCH(TimeEntry[[#This Row],[Project_ID]],projects[Project_ID],0))</f>
        <v>254304-79 HCC - Nursery Ln (01-382)</v>
      </c>
      <c r="H806" s="1" t="str">
        <f t="shared" si="16"/>
        <v>Normal Time</v>
      </c>
      <c r="I806" s="1"/>
      <c r="J806" s="15">
        <v>3.5</v>
      </c>
      <c r="K806" s="15"/>
      <c r="L806" s="15"/>
      <c r="M806" s="15"/>
      <c r="N806" s="15"/>
      <c r="O806" s="15" t="str">
        <f>INDEX(projects[job number],MATCH(TimeEntry[[#This Row],[Project_ID]], projects[Project_ID],0))</f>
        <v>254304-79</v>
      </c>
      <c r="P806" s="15" t="str">
        <f>INDEX(projects[Project_Name],MATCH(TimeEntry[[#This Row],[Project_ID]], projects[Project_ID],0))</f>
        <v>HCC - Nursery Ln</v>
      </c>
      <c r="Q806" s="1">
        <f>IF(TimeEntry[[#This Row],[Date]]=0,"",WEEKDAY(C806,2))</f>
        <v>5</v>
      </c>
      <c r="R806" s="9">
        <f>YEAR(TimeEntry[[#This Row],[WkEnd]])</f>
        <v>2018</v>
      </c>
      <c r="S806" s="9">
        <f>WEEKNUM(TimeEntry[[#This Row],[WkEnd]])</f>
        <v>48</v>
      </c>
      <c r="T806" s="9" t="str">
        <f>TimeEntry[[#This Row],[Year]]&amp;"-"&amp;TimeEntry[[#This Row],[WkNo]]</f>
        <v>2018-48</v>
      </c>
    </row>
    <row r="807" spans="1:20" x14ac:dyDescent="0.25">
      <c r="A807" s="6">
        <f>MOD(IF(ROW()=2,0.1,IF(INDEX(TimeEntry[WkEnd],ROW()-1)  =  INDEX(TimeEntry[WkEnd],ROW()-2),    INDEX(TimeEntry[format],ROW()-2),    INDEX(TimeEntry[format],ROW()-2)    +1)),2)</f>
        <v>1.1000000000000001</v>
      </c>
      <c r="B807" s="7"/>
      <c r="C807" s="8">
        <v>43416</v>
      </c>
      <c r="D807" s="8"/>
      <c r="E807" s="1" t="s">
        <v>464</v>
      </c>
      <c r="F807" s="8">
        <f>IF(TimeEntry[[#This Row],[Date]]=0,F806,C807+(7-Q807))</f>
        <v>43422</v>
      </c>
      <c r="G807" s="35" t="str">
        <f>INDEX(projects[Charge_Code],MATCH(TimeEntry[[#This Row],[Project_ID]],projects[Project_ID],0))</f>
        <v>071945-07 BCS - promotional</v>
      </c>
      <c r="H807" s="1" t="str">
        <f t="shared" si="16"/>
        <v>Normal Time</v>
      </c>
      <c r="I807" s="1"/>
      <c r="J807" s="15">
        <v>1</v>
      </c>
      <c r="K807" s="15"/>
      <c r="L807" s="15"/>
      <c r="M807" s="15"/>
      <c r="N807" s="15"/>
      <c r="O807" s="15" t="str">
        <f>INDEX(projects[job number],MATCH(TimeEntry[[#This Row],[Project_ID]], projects[Project_ID],0))</f>
        <v>071945-07</v>
      </c>
      <c r="P807" s="15" t="str">
        <f>INDEX(projects[Project_Name],MATCH(TimeEntry[[#This Row],[Project_ID]], projects[Project_ID],0))</f>
        <v>BCS - promotional</v>
      </c>
      <c r="Q807" s="1">
        <f>IF(TimeEntry[[#This Row],[Date]]=0,"",WEEKDAY(C807,2))</f>
        <v>1</v>
      </c>
      <c r="R807" s="9">
        <f>YEAR(TimeEntry[[#This Row],[WkEnd]])</f>
        <v>2018</v>
      </c>
      <c r="S807" s="9">
        <f>WEEKNUM(TimeEntry[[#This Row],[WkEnd]])</f>
        <v>47</v>
      </c>
      <c r="T807" s="9" t="str">
        <f>TimeEntry[[#This Row],[Year]]&amp;"-"&amp;TimeEntry[[#This Row],[WkNo]]</f>
        <v>2018-47</v>
      </c>
    </row>
    <row r="808" spans="1:20" x14ac:dyDescent="0.25">
      <c r="A808" s="6">
        <f>MOD(IF(ROW()=2,0.1,IF(INDEX(TimeEntry[WkEnd],ROW()-1)  =  INDEX(TimeEntry[WkEnd],ROW()-2),    INDEX(TimeEntry[format],ROW()-2),    INDEX(TimeEntry[format],ROW()-2)    +1)),2)</f>
        <v>1.1000000000000001</v>
      </c>
      <c r="B808" s="7"/>
      <c r="C808" s="8">
        <v>43416</v>
      </c>
      <c r="D808" s="8"/>
      <c r="E808" s="1" t="s">
        <v>465</v>
      </c>
      <c r="F808" s="8">
        <f>IF(TimeEntry[[#This Row],[Date]]=0,F807,C808+(7-Q808))</f>
        <v>43422</v>
      </c>
      <c r="G808" s="35" t="str">
        <f>INDEX(projects[Charge_Code],MATCH(TimeEntry[[#This Row],[Project_ID]],projects[Project_ID],0))</f>
        <v>215526-27 CP - Assessment (01-124)</v>
      </c>
      <c r="H808" s="1" t="str">
        <f t="shared" si="16"/>
        <v>Normal Time</v>
      </c>
      <c r="I808" s="1"/>
      <c r="J808" s="15">
        <v>2</v>
      </c>
      <c r="K808" s="15"/>
      <c r="L808" s="15"/>
      <c r="M808" s="15"/>
      <c r="N808" s="15"/>
      <c r="O808" s="15" t="str">
        <f>INDEX(projects[job number],MATCH(TimeEntry[[#This Row],[Project_ID]], projects[Project_ID],0))</f>
        <v>215526-27</v>
      </c>
      <c r="P808" s="15" t="str">
        <f>INDEX(projects[Project_Name],MATCH(TimeEntry[[#This Row],[Project_ID]], projects[Project_ID],0))</f>
        <v>CP - Assessment</v>
      </c>
      <c r="Q808" s="1">
        <f>IF(TimeEntry[[#This Row],[Date]]=0,"",WEEKDAY(C808,2))</f>
        <v>1</v>
      </c>
      <c r="R808" s="9">
        <f>YEAR(TimeEntry[[#This Row],[WkEnd]])</f>
        <v>2018</v>
      </c>
      <c r="S808" s="9">
        <f>WEEKNUM(TimeEntry[[#This Row],[WkEnd]])</f>
        <v>47</v>
      </c>
      <c r="T808" s="9" t="str">
        <f>TimeEntry[[#This Row],[Year]]&amp;"-"&amp;TimeEntry[[#This Row],[WkNo]]</f>
        <v>2018-47</v>
      </c>
    </row>
    <row r="809" spans="1:20" x14ac:dyDescent="0.25">
      <c r="A809" s="6">
        <f>MOD(IF(ROW()=2,0.1,IF(INDEX(TimeEntry[WkEnd],ROW()-1)  =  INDEX(TimeEntry[WkEnd],ROW()-2),    INDEX(TimeEntry[format],ROW()-2),    INDEX(TimeEntry[format],ROW()-2)    +1)),2)</f>
        <v>1.1000000000000001</v>
      </c>
      <c r="B809" s="7"/>
      <c r="C809" s="8">
        <v>43416</v>
      </c>
      <c r="D809" s="8"/>
      <c r="E809" s="1" t="s">
        <v>486</v>
      </c>
      <c r="F809" s="8">
        <f>IF(TimeEntry[[#This Row],[Date]]=0,F808,C809+(7-Q809))</f>
        <v>43422</v>
      </c>
      <c r="G809" s="35" t="str">
        <f>INDEX(projects[Charge_Code],MATCH(TimeEntry[[#This Row],[Project_ID]],projects[Project_ID],0))</f>
        <v>074103-30 Engagement cohort</v>
      </c>
      <c r="H809" s="1" t="str">
        <f t="shared" si="16"/>
        <v>Normal Time</v>
      </c>
      <c r="I809" s="1"/>
      <c r="J809" s="15">
        <v>1</v>
      </c>
      <c r="K809" s="15"/>
      <c r="L809" s="15"/>
      <c r="M809" s="15"/>
      <c r="N809" s="15"/>
      <c r="O809" s="15" t="str">
        <f>INDEX(projects[job number],MATCH(TimeEntry[[#This Row],[Project_ID]], projects[Project_ID],0))</f>
        <v>074103-30</v>
      </c>
      <c r="P809" s="15" t="str">
        <f>INDEX(projects[Project_Name],MATCH(TimeEntry[[#This Row],[Project_ID]], projects[Project_ID],0))</f>
        <v>Engagement cohort</v>
      </c>
      <c r="Q809" s="1">
        <f>IF(TimeEntry[[#This Row],[Date]]=0,"",WEEKDAY(C809,2))</f>
        <v>1</v>
      </c>
      <c r="R809" s="9">
        <f>YEAR(TimeEntry[[#This Row],[WkEnd]])</f>
        <v>2018</v>
      </c>
      <c r="S809" s="9">
        <f>WEEKNUM(TimeEntry[[#This Row],[WkEnd]])</f>
        <v>47</v>
      </c>
      <c r="T809" s="9" t="str">
        <f>TimeEntry[[#This Row],[Year]]&amp;"-"&amp;TimeEntry[[#This Row],[WkNo]]</f>
        <v>2018-47</v>
      </c>
    </row>
    <row r="810" spans="1:20" x14ac:dyDescent="0.25">
      <c r="A810" s="6">
        <f>MOD(IF(ROW()=2,0.1,IF(INDEX(TimeEntry[WkEnd],ROW()-1)  =  INDEX(TimeEntry[WkEnd],ROW()-2),    INDEX(TimeEntry[format],ROW()-2),    INDEX(TimeEntry[format],ROW()-2)    +1)),2)</f>
        <v>1.1000000000000001</v>
      </c>
      <c r="B810" s="7"/>
      <c r="C810" s="8">
        <v>43416</v>
      </c>
      <c r="D810" s="8"/>
      <c r="E810" s="1" t="s">
        <v>475</v>
      </c>
      <c r="F810" s="8">
        <f>IF(TimeEntry[[#This Row],[Date]]=0,F809,C810+(7-Q810))</f>
        <v>43422</v>
      </c>
      <c r="G810" s="35" t="str">
        <f>INDEX(projects[Charge_Code],MATCH(TimeEntry[[#This Row],[Project_ID]],projects[Project_ID],0))</f>
        <v>264744-00 WLW</v>
      </c>
      <c r="H810" s="1" t="str">
        <f t="shared" si="16"/>
        <v>Normal Time</v>
      </c>
      <c r="I810" s="1"/>
      <c r="J810" s="15">
        <v>3.5</v>
      </c>
      <c r="K810" s="15"/>
      <c r="L810" s="15"/>
      <c r="M810" s="15"/>
      <c r="N810" s="15"/>
      <c r="O810" s="15" t="str">
        <f>INDEX(projects[job number],MATCH(TimeEntry[[#This Row],[Project_ID]], projects[Project_ID],0))</f>
        <v>264744-00</v>
      </c>
      <c r="P810" s="15" t="str">
        <f>INDEX(projects[Project_Name],MATCH(TimeEntry[[#This Row],[Project_ID]], projects[Project_ID],0))</f>
        <v>WLW</v>
      </c>
      <c r="Q810" s="1">
        <f>IF(TimeEntry[[#This Row],[Date]]=0,"",WEEKDAY(C810,2))</f>
        <v>1</v>
      </c>
      <c r="R810" s="9">
        <f>YEAR(TimeEntry[[#This Row],[WkEnd]])</f>
        <v>2018</v>
      </c>
      <c r="S810" s="9">
        <f>WEEKNUM(TimeEntry[[#This Row],[WkEnd]])</f>
        <v>47</v>
      </c>
      <c r="T810" s="9" t="str">
        <f>TimeEntry[[#This Row],[Year]]&amp;"-"&amp;TimeEntry[[#This Row],[WkNo]]</f>
        <v>2018-47</v>
      </c>
    </row>
    <row r="811" spans="1:20" x14ac:dyDescent="0.25">
      <c r="A811" s="6">
        <f>MOD(IF(ROW()=2,0.1,IF(INDEX(TimeEntry[WkEnd],ROW()-1)  =  INDEX(TimeEntry[WkEnd],ROW()-2),    INDEX(TimeEntry[format],ROW()-2),    INDEX(TimeEntry[format],ROW()-2)    +1)),2)</f>
        <v>1.1000000000000001</v>
      </c>
      <c r="B811" s="7"/>
      <c r="C811" s="8">
        <v>43417</v>
      </c>
      <c r="D811" s="8"/>
      <c r="E811" s="1" t="s">
        <v>471</v>
      </c>
      <c r="F811" s="8">
        <f>IF(TimeEntry[[#This Row],[Date]]=0,F810,C811+(7-Q811))</f>
        <v>43422</v>
      </c>
      <c r="G811" s="35" t="str">
        <f>INDEX(projects[Charge_Code],MATCH(TimeEntry[[#This Row],[Project_ID]],projects[Project_ID],0))</f>
        <v>261723-02 SMP</v>
      </c>
      <c r="H811" s="1" t="str">
        <f t="shared" si="16"/>
        <v>Normal Time</v>
      </c>
      <c r="I811" s="1"/>
      <c r="J811" s="15">
        <v>3.75</v>
      </c>
      <c r="K811" s="15"/>
      <c r="L811" s="15"/>
      <c r="M811" s="15"/>
      <c r="N811" s="15"/>
      <c r="O811" s="15" t="str">
        <f>INDEX(projects[job number],MATCH(TimeEntry[[#This Row],[Project_ID]], projects[Project_ID],0))</f>
        <v>261723-02</v>
      </c>
      <c r="P811" s="15" t="str">
        <f>INDEX(projects[Project_Name],MATCH(TimeEntry[[#This Row],[Project_ID]], projects[Project_ID],0))</f>
        <v>SMP</v>
      </c>
      <c r="Q811" s="1">
        <f>IF(TimeEntry[[#This Row],[Date]]=0,"",WEEKDAY(C811,2))</f>
        <v>2</v>
      </c>
      <c r="R811" s="9">
        <f>YEAR(TimeEntry[[#This Row],[WkEnd]])</f>
        <v>2018</v>
      </c>
      <c r="S811" s="9">
        <f>WEEKNUM(TimeEntry[[#This Row],[WkEnd]])</f>
        <v>47</v>
      </c>
      <c r="T811" s="9" t="str">
        <f>TimeEntry[[#This Row],[Year]]&amp;"-"&amp;TimeEntry[[#This Row],[WkNo]]</f>
        <v>2018-47</v>
      </c>
    </row>
    <row r="812" spans="1:20" x14ac:dyDescent="0.25">
      <c r="A812" s="6">
        <f>MOD(IF(ROW()=2,0.1,IF(INDEX(TimeEntry[WkEnd],ROW()-1)  =  INDEX(TimeEntry[WkEnd],ROW()-2),    INDEX(TimeEntry[format],ROW()-2),    INDEX(TimeEntry[format],ROW()-2)    +1)),2)</f>
        <v>1.1000000000000001</v>
      </c>
      <c r="B812" s="7"/>
      <c r="C812" s="8">
        <v>43417</v>
      </c>
      <c r="D812" s="8"/>
      <c r="E812" s="1" t="e">
        <v>#N/A</v>
      </c>
      <c r="F812" s="8">
        <f>IF(TimeEntry[[#This Row],[Date]]=0,F811,C812+(7-Q812))</f>
        <v>43422</v>
      </c>
      <c r="G812" s="35" t="e">
        <f>INDEX(projects[Charge_Code],MATCH(TimeEntry[[#This Row],[Project_ID]],projects[Project_ID],0))</f>
        <v>#N/A</v>
      </c>
      <c r="H812" s="1" t="str">
        <f t="shared" si="16"/>
        <v>Normal Time</v>
      </c>
      <c r="I812" s="1"/>
      <c r="J812" s="15">
        <v>3.75</v>
      </c>
      <c r="K812" s="15"/>
      <c r="L812" s="15"/>
      <c r="M812" s="15"/>
      <c r="N812" s="15"/>
      <c r="O812" s="15" t="e">
        <f>INDEX(projects[job number],MATCH(TimeEntry[[#This Row],[Project_ID]], projects[Project_ID],0))</f>
        <v>#N/A</v>
      </c>
      <c r="P812" s="15" t="e">
        <f>INDEX(projects[Project_Name],MATCH(TimeEntry[[#This Row],[Project_ID]], projects[Project_ID],0))</f>
        <v>#N/A</v>
      </c>
      <c r="Q812" s="1">
        <f>IF(TimeEntry[[#This Row],[Date]]=0,"",WEEKDAY(C812,2))</f>
        <v>2</v>
      </c>
      <c r="R812" s="9">
        <f>YEAR(TimeEntry[[#This Row],[WkEnd]])</f>
        <v>2018</v>
      </c>
      <c r="S812" s="9">
        <f>WEEKNUM(TimeEntry[[#This Row],[WkEnd]])</f>
        <v>47</v>
      </c>
      <c r="T812" s="9" t="str">
        <f>TimeEntry[[#This Row],[Year]]&amp;"-"&amp;TimeEntry[[#This Row],[WkNo]]</f>
        <v>2018-47</v>
      </c>
    </row>
    <row r="813" spans="1:20" x14ac:dyDescent="0.25">
      <c r="A813" s="6">
        <f>MOD(IF(ROW()=2,0.1,IF(INDEX(TimeEntry[WkEnd],ROW()-1)  =  INDEX(TimeEntry[WkEnd],ROW()-2),    INDEX(TimeEntry[format],ROW()-2),    INDEX(TimeEntry[format],ROW()-2)    +1)),2)</f>
        <v>1.1000000000000001</v>
      </c>
      <c r="B813" s="7"/>
      <c r="C813" s="8">
        <v>43418</v>
      </c>
      <c r="D813" s="8"/>
      <c r="E813" s="1" t="s">
        <v>475</v>
      </c>
      <c r="F813" s="8">
        <f>IF(TimeEntry[[#This Row],[Date]]=0,F812,C813+(7-Q813))</f>
        <v>43422</v>
      </c>
      <c r="G813" s="35" t="str">
        <f>INDEX(projects[Charge_Code],MATCH(TimeEntry[[#This Row],[Project_ID]],projects[Project_ID],0))</f>
        <v>264744-00 WLW</v>
      </c>
      <c r="H813" s="1" t="str">
        <f t="shared" si="16"/>
        <v>Normal Time</v>
      </c>
      <c r="I813" s="1"/>
      <c r="J813" s="15">
        <v>7.5</v>
      </c>
      <c r="K813" s="15"/>
      <c r="L813" s="15"/>
      <c r="M813" s="15"/>
      <c r="N813" s="15"/>
      <c r="O813" s="15" t="str">
        <f>INDEX(projects[job number],MATCH(TimeEntry[[#This Row],[Project_ID]], projects[Project_ID],0))</f>
        <v>264744-00</v>
      </c>
      <c r="P813" s="15" t="str">
        <f>INDEX(projects[Project_Name],MATCH(TimeEntry[[#This Row],[Project_ID]], projects[Project_ID],0))</f>
        <v>WLW</v>
      </c>
      <c r="Q813" s="1">
        <f>IF(TimeEntry[[#This Row],[Date]]=0,"",WEEKDAY(C813,2))</f>
        <v>3</v>
      </c>
      <c r="R813" s="9">
        <f>YEAR(TimeEntry[[#This Row],[WkEnd]])</f>
        <v>2018</v>
      </c>
      <c r="S813" s="9">
        <f>WEEKNUM(TimeEntry[[#This Row],[WkEnd]])</f>
        <v>47</v>
      </c>
      <c r="T813" s="9" t="str">
        <f>TimeEntry[[#This Row],[Year]]&amp;"-"&amp;TimeEntry[[#This Row],[WkNo]]</f>
        <v>2018-47</v>
      </c>
    </row>
    <row r="814" spans="1:20" x14ac:dyDescent="0.25">
      <c r="A814" s="6">
        <f>MOD(IF(ROW()=2,0.1,IF(INDEX(TimeEntry[WkEnd],ROW()-1)  =  INDEX(TimeEntry[WkEnd],ROW()-2),    INDEX(TimeEntry[format],ROW()-2),    INDEX(TimeEntry[format],ROW()-2)    +1)),2)</f>
        <v>1.1000000000000001</v>
      </c>
      <c r="B814" s="7"/>
      <c r="C814" s="8">
        <v>43419</v>
      </c>
      <c r="D814" s="8"/>
      <c r="E814" s="1" t="s">
        <v>475</v>
      </c>
      <c r="F814" s="8">
        <f>IF(TimeEntry[[#This Row],[Date]]=0,F813,C814+(7-Q814))</f>
        <v>43422</v>
      </c>
      <c r="G814" s="35" t="str">
        <f>INDEX(projects[Charge_Code],MATCH(TimeEntry[[#This Row],[Project_ID]],projects[Project_ID],0))</f>
        <v>264744-00 WLW</v>
      </c>
      <c r="H814" s="1" t="str">
        <f t="shared" si="16"/>
        <v>Normal Time</v>
      </c>
      <c r="I814" s="1"/>
      <c r="J814" s="15">
        <v>7.5</v>
      </c>
      <c r="K814" s="15"/>
      <c r="L814" s="15"/>
      <c r="M814" s="15"/>
      <c r="N814" s="15"/>
      <c r="O814" s="15" t="str">
        <f>INDEX(projects[job number],MATCH(TimeEntry[[#This Row],[Project_ID]], projects[Project_ID],0))</f>
        <v>264744-00</v>
      </c>
      <c r="P814" s="15" t="str">
        <f>INDEX(projects[Project_Name],MATCH(TimeEntry[[#This Row],[Project_ID]], projects[Project_ID],0))</f>
        <v>WLW</v>
      </c>
      <c r="Q814" s="1">
        <f>IF(TimeEntry[[#This Row],[Date]]=0,"",WEEKDAY(C814,2))</f>
        <v>4</v>
      </c>
      <c r="R814" s="9">
        <f>YEAR(TimeEntry[[#This Row],[WkEnd]])</f>
        <v>2018</v>
      </c>
      <c r="S814" s="9">
        <f>WEEKNUM(TimeEntry[[#This Row],[WkEnd]])</f>
        <v>47</v>
      </c>
      <c r="T814" s="9" t="str">
        <f>TimeEntry[[#This Row],[Year]]&amp;"-"&amp;TimeEntry[[#This Row],[WkNo]]</f>
        <v>2018-47</v>
      </c>
    </row>
    <row r="815" spans="1:20" x14ac:dyDescent="0.25">
      <c r="A815" s="6">
        <f>MOD(IF(ROW()=2,0.1,IF(INDEX(TimeEntry[WkEnd],ROW()-1)  =  INDEX(TimeEntry[WkEnd],ROW()-2),    INDEX(TimeEntry[format],ROW()-2),    INDEX(TimeEntry[format],ROW()-2)    +1)),2)</f>
        <v>1.1000000000000001</v>
      </c>
      <c r="B815" s="7"/>
      <c r="C815" s="8">
        <v>43420</v>
      </c>
      <c r="D815" s="8"/>
      <c r="E815" s="1" t="s">
        <v>464</v>
      </c>
      <c r="F815" s="8">
        <f>IF(TimeEntry[[#This Row],[Date]]=0,F814,C815+(7-Q815))</f>
        <v>43422</v>
      </c>
      <c r="G815" s="35" t="str">
        <f>INDEX(projects[Charge_Code],MATCH(TimeEntry[[#This Row],[Project_ID]],projects[Project_ID],0))</f>
        <v>071945-07 BCS - promotional</v>
      </c>
      <c r="H815" s="1" t="str">
        <f t="shared" si="16"/>
        <v>Normal Time</v>
      </c>
      <c r="I815" s="1"/>
      <c r="J815" s="15">
        <v>2</v>
      </c>
      <c r="K815" s="15"/>
      <c r="L815" s="15"/>
      <c r="M815" s="15"/>
      <c r="N815" s="15"/>
      <c r="O815" s="15" t="str">
        <f>INDEX(projects[job number],MATCH(TimeEntry[[#This Row],[Project_ID]], projects[Project_ID],0))</f>
        <v>071945-07</v>
      </c>
      <c r="P815" s="15" t="str">
        <f>INDEX(projects[Project_Name],MATCH(TimeEntry[[#This Row],[Project_ID]], projects[Project_ID],0))</f>
        <v>BCS - promotional</v>
      </c>
      <c r="Q815" s="1">
        <f>IF(TimeEntry[[#This Row],[Date]]=0,"",WEEKDAY(C815,2))</f>
        <v>5</v>
      </c>
      <c r="R815" s="9">
        <f>YEAR(TimeEntry[[#This Row],[WkEnd]])</f>
        <v>2018</v>
      </c>
      <c r="S815" s="9">
        <f>WEEKNUM(TimeEntry[[#This Row],[WkEnd]])</f>
        <v>47</v>
      </c>
      <c r="T815" s="9" t="str">
        <f>TimeEntry[[#This Row],[Year]]&amp;"-"&amp;TimeEntry[[#This Row],[WkNo]]</f>
        <v>2018-47</v>
      </c>
    </row>
    <row r="816" spans="1:20" x14ac:dyDescent="0.25">
      <c r="A816" s="6">
        <f>MOD(IF(ROW()=2,0.1,IF(INDEX(TimeEntry[WkEnd],ROW()-1)  =  INDEX(TimeEntry[WkEnd],ROW()-2),    INDEX(TimeEntry[format],ROW()-2),    INDEX(TimeEntry[format],ROW()-2)    +1)),2)</f>
        <v>1.1000000000000001</v>
      </c>
      <c r="B816" s="7"/>
      <c r="C816" s="8">
        <v>43420</v>
      </c>
      <c r="D816" s="8"/>
      <c r="E816" s="1" t="s">
        <v>465</v>
      </c>
      <c r="F816" s="8">
        <f>IF(TimeEntry[[#This Row],[Date]]=0,F815,C816+(7-Q816))</f>
        <v>43422</v>
      </c>
      <c r="G816" s="35" t="str">
        <f>INDEX(projects[Charge_Code],MATCH(TimeEntry[[#This Row],[Project_ID]],projects[Project_ID],0))</f>
        <v>215526-27 CP - Assessment (01-124)</v>
      </c>
      <c r="H816" s="1" t="str">
        <f t="shared" si="16"/>
        <v>Normal Time</v>
      </c>
      <c r="I816" s="1"/>
      <c r="J816" s="15">
        <v>5.5</v>
      </c>
      <c r="K816" s="15"/>
      <c r="L816" s="15"/>
      <c r="M816" s="15"/>
      <c r="N816" s="15"/>
      <c r="O816" s="15" t="str">
        <f>INDEX(projects[job number],MATCH(TimeEntry[[#This Row],[Project_ID]], projects[Project_ID],0))</f>
        <v>215526-27</v>
      </c>
      <c r="P816" s="15" t="str">
        <f>INDEX(projects[Project_Name],MATCH(TimeEntry[[#This Row],[Project_ID]], projects[Project_ID],0))</f>
        <v>CP - Assessment</v>
      </c>
      <c r="Q816" s="1">
        <f>IF(TimeEntry[[#This Row],[Date]]=0,"",WEEKDAY(C816,2))</f>
        <v>5</v>
      </c>
      <c r="R816" s="9">
        <f>YEAR(TimeEntry[[#This Row],[WkEnd]])</f>
        <v>2018</v>
      </c>
      <c r="S816" s="9">
        <f>WEEKNUM(TimeEntry[[#This Row],[WkEnd]])</f>
        <v>47</v>
      </c>
      <c r="T816" s="9" t="str">
        <f>TimeEntry[[#This Row],[Year]]&amp;"-"&amp;TimeEntry[[#This Row],[WkNo]]</f>
        <v>2018-47</v>
      </c>
    </row>
    <row r="817" spans="1:20" x14ac:dyDescent="0.25">
      <c r="A817" s="6">
        <f>MOD(IF(ROW()=2,0.1,IF(INDEX(TimeEntry[WkEnd],ROW()-1)  =  INDEX(TimeEntry[WkEnd],ROW()-2),    INDEX(TimeEntry[format],ROW()-2),    INDEX(TimeEntry[format],ROW()-2)    +1)),2)</f>
        <v>0.10000000000000009</v>
      </c>
      <c r="B817" s="7"/>
      <c r="C817" s="8">
        <v>43409</v>
      </c>
      <c r="D817" s="8"/>
      <c r="E817" s="1" t="s">
        <v>471</v>
      </c>
      <c r="F817" s="8">
        <f>IF(TimeEntry[[#This Row],[Date]]=0,F816,C817+(7-Q817))</f>
        <v>43415</v>
      </c>
      <c r="G817" s="35" t="str">
        <f>INDEX(projects[Charge_Code],MATCH(TimeEntry[[#This Row],[Project_ID]],projects[Project_ID],0))</f>
        <v>261723-02 SMP</v>
      </c>
      <c r="H817" s="1" t="str">
        <f t="shared" si="16"/>
        <v>Normal Time</v>
      </c>
      <c r="I817" s="1"/>
      <c r="J817" s="15">
        <v>1.25</v>
      </c>
      <c r="K817" s="15"/>
      <c r="L817" s="15"/>
      <c r="M817" s="15"/>
      <c r="N817" s="15"/>
      <c r="O817" s="15" t="str">
        <f>INDEX(projects[job number],MATCH(TimeEntry[[#This Row],[Project_ID]], projects[Project_ID],0))</f>
        <v>261723-02</v>
      </c>
      <c r="P817" s="15" t="str">
        <f>INDEX(projects[Project_Name],MATCH(TimeEntry[[#This Row],[Project_ID]], projects[Project_ID],0))</f>
        <v>SMP</v>
      </c>
      <c r="Q817" s="1">
        <f>IF(TimeEntry[[#This Row],[Date]]=0,"",WEEKDAY(C817,2))</f>
        <v>1</v>
      </c>
      <c r="R817" s="9">
        <f>YEAR(TimeEntry[[#This Row],[WkEnd]])</f>
        <v>2018</v>
      </c>
      <c r="S817" s="9">
        <f>WEEKNUM(TimeEntry[[#This Row],[WkEnd]])</f>
        <v>46</v>
      </c>
      <c r="T817" s="9" t="str">
        <f>TimeEntry[[#This Row],[Year]]&amp;"-"&amp;TimeEntry[[#This Row],[WkNo]]</f>
        <v>2018-46</v>
      </c>
    </row>
    <row r="818" spans="1:20" x14ac:dyDescent="0.25">
      <c r="A818" s="6">
        <f>MOD(IF(ROW()=2,0.1,IF(INDEX(TimeEntry[WkEnd],ROW()-1)  =  INDEX(TimeEntry[WkEnd],ROW()-2),    INDEX(TimeEntry[format],ROW()-2),    INDEX(TimeEntry[format],ROW()-2)    +1)),2)</f>
        <v>0.10000000000000009</v>
      </c>
      <c r="B818" s="7"/>
      <c r="C818" s="8">
        <v>43409</v>
      </c>
      <c r="D818" s="8"/>
      <c r="E818" s="1" t="s">
        <v>471</v>
      </c>
      <c r="F818" s="8">
        <f>IF(TimeEntry[[#This Row],[Date]]=0,F817,C818+(7-Q818))</f>
        <v>43415</v>
      </c>
      <c r="G818" s="35" t="str">
        <f>INDEX(projects[Charge_Code],MATCH(TimeEntry[[#This Row],[Project_ID]],projects[Project_ID],0))</f>
        <v>261723-02 SMP</v>
      </c>
      <c r="H818" s="1" t="str">
        <f t="shared" si="16"/>
        <v>Normal Time</v>
      </c>
      <c r="I818" s="1"/>
      <c r="J818" s="15">
        <v>2.5</v>
      </c>
      <c r="K818" s="15"/>
      <c r="L818" s="15"/>
      <c r="M818" s="15"/>
      <c r="N818" s="15"/>
      <c r="O818" s="15" t="str">
        <f>INDEX(projects[job number],MATCH(TimeEntry[[#This Row],[Project_ID]], projects[Project_ID],0))</f>
        <v>261723-02</v>
      </c>
      <c r="P818" s="15" t="str">
        <f>INDEX(projects[Project_Name],MATCH(TimeEntry[[#This Row],[Project_ID]], projects[Project_ID],0))</f>
        <v>SMP</v>
      </c>
      <c r="Q818" s="1">
        <f>IF(TimeEntry[[#This Row],[Date]]=0,"",WEEKDAY(C818,2))</f>
        <v>1</v>
      </c>
      <c r="R818" s="9">
        <f>YEAR(TimeEntry[[#This Row],[WkEnd]])</f>
        <v>2018</v>
      </c>
      <c r="S818" s="9">
        <f>WEEKNUM(TimeEntry[[#This Row],[WkEnd]])</f>
        <v>46</v>
      </c>
      <c r="T818" s="9" t="str">
        <f>TimeEntry[[#This Row],[Year]]&amp;"-"&amp;TimeEntry[[#This Row],[WkNo]]</f>
        <v>2018-46</v>
      </c>
    </row>
    <row r="819" spans="1:20" x14ac:dyDescent="0.25">
      <c r="A819" s="6">
        <f>MOD(IF(ROW()=2,0.1,IF(INDEX(TimeEntry[WkEnd],ROW()-1)  =  INDEX(TimeEntry[WkEnd],ROW()-2),    INDEX(TimeEntry[format],ROW()-2),    INDEX(TimeEntry[format],ROW()-2)    +1)),2)</f>
        <v>0.10000000000000009</v>
      </c>
      <c r="B819" s="7"/>
      <c r="C819" s="8">
        <v>43409</v>
      </c>
      <c r="D819" s="8"/>
      <c r="E819" s="1" t="s">
        <v>445</v>
      </c>
      <c r="F819" s="8">
        <f>IF(TimeEntry[[#This Row],[Date]]=0,F818,C819+(7-Q819))</f>
        <v>43415</v>
      </c>
      <c r="G819" s="35" t="str">
        <f>INDEX(projects[Charge_Code],MATCH(TimeEntry[[#This Row],[Project_ID]],projects[Project_ID],0))</f>
        <v>LEAVE</v>
      </c>
      <c r="H819" s="1" t="str">
        <f t="shared" si="16"/>
        <v>Normal Time</v>
      </c>
      <c r="I819" s="1"/>
      <c r="J819" s="15">
        <v>3.75</v>
      </c>
      <c r="K819" s="15"/>
      <c r="L819" s="15"/>
      <c r="M819" s="15"/>
      <c r="N819" s="15"/>
      <c r="O819" s="15" t="str">
        <f>INDEX(projects[job number],MATCH(TimeEntry[[#This Row],[Project_ID]], projects[Project_ID],0))</f>
        <v>LEAVE</v>
      </c>
      <c r="P819" s="15">
        <f>INDEX(projects[Project_Name],MATCH(TimeEntry[[#This Row],[Project_ID]], projects[Project_ID],0))</f>
        <v>0</v>
      </c>
      <c r="Q819" s="1">
        <f>IF(TimeEntry[[#This Row],[Date]]=0,"",WEEKDAY(C819,2))</f>
        <v>1</v>
      </c>
      <c r="R819" s="9">
        <f>YEAR(TimeEntry[[#This Row],[WkEnd]])</f>
        <v>2018</v>
      </c>
      <c r="S819" s="9">
        <f>WEEKNUM(TimeEntry[[#This Row],[WkEnd]])</f>
        <v>46</v>
      </c>
      <c r="T819" s="9" t="str">
        <f>TimeEntry[[#This Row],[Year]]&amp;"-"&amp;TimeEntry[[#This Row],[WkNo]]</f>
        <v>2018-46</v>
      </c>
    </row>
    <row r="820" spans="1:20" x14ac:dyDescent="0.25">
      <c r="A820" s="6">
        <f>MOD(IF(ROW()=2,0.1,IF(INDEX(TimeEntry[WkEnd],ROW()-1)  =  INDEX(TimeEntry[WkEnd],ROW()-2),    INDEX(TimeEntry[format],ROW()-2),    INDEX(TimeEntry[format],ROW()-2)    +1)),2)</f>
        <v>0.10000000000000009</v>
      </c>
      <c r="B820" s="7"/>
      <c r="C820" s="8">
        <v>43410</v>
      </c>
      <c r="D820" s="8"/>
      <c r="E820" s="1" t="s">
        <v>471</v>
      </c>
      <c r="F820" s="8">
        <f>IF(TimeEntry[[#This Row],[Date]]=0,F819,C820+(7-Q820))</f>
        <v>43415</v>
      </c>
      <c r="G820" s="35" t="str">
        <f>INDEX(projects[Charge_Code],MATCH(TimeEntry[[#This Row],[Project_ID]],projects[Project_ID],0))</f>
        <v>261723-02 SMP</v>
      </c>
      <c r="H820" s="1" t="str">
        <f t="shared" si="16"/>
        <v>Normal Time</v>
      </c>
      <c r="I820" s="1"/>
      <c r="J820" s="15">
        <v>7.5</v>
      </c>
      <c r="K820" s="15"/>
      <c r="L820" s="15"/>
      <c r="M820" s="15"/>
      <c r="N820" s="15"/>
      <c r="O820" s="15" t="str">
        <f>INDEX(projects[job number],MATCH(TimeEntry[[#This Row],[Project_ID]], projects[Project_ID],0))</f>
        <v>261723-02</v>
      </c>
      <c r="P820" s="15" t="str">
        <f>INDEX(projects[Project_Name],MATCH(TimeEntry[[#This Row],[Project_ID]], projects[Project_ID],0))</f>
        <v>SMP</v>
      </c>
      <c r="Q820" s="1">
        <f>IF(TimeEntry[[#This Row],[Date]]=0,"",WEEKDAY(C820,2))</f>
        <v>2</v>
      </c>
      <c r="R820" s="9">
        <f>YEAR(TimeEntry[[#This Row],[WkEnd]])</f>
        <v>2018</v>
      </c>
      <c r="S820" s="9">
        <f>WEEKNUM(TimeEntry[[#This Row],[WkEnd]])</f>
        <v>46</v>
      </c>
      <c r="T820" s="9" t="str">
        <f>TimeEntry[[#This Row],[Year]]&amp;"-"&amp;TimeEntry[[#This Row],[WkNo]]</f>
        <v>2018-46</v>
      </c>
    </row>
    <row r="821" spans="1:20" x14ac:dyDescent="0.25">
      <c r="A821" s="6">
        <f>MOD(IF(ROW()=2,0.1,IF(INDEX(TimeEntry[WkEnd],ROW()-1)  =  INDEX(TimeEntry[WkEnd],ROW()-2),    INDEX(TimeEntry[format],ROW()-2),    INDEX(TimeEntry[format],ROW()-2)    +1)),2)</f>
        <v>0.10000000000000009</v>
      </c>
      <c r="B821" s="7"/>
      <c r="C821" s="8">
        <v>43411</v>
      </c>
      <c r="D821" s="8"/>
      <c r="E821" s="1" t="s">
        <v>475</v>
      </c>
      <c r="F821" s="8">
        <f>IF(TimeEntry[[#This Row],[Date]]=0,F820,C821+(7-Q821))</f>
        <v>43415</v>
      </c>
      <c r="G821" s="35" t="str">
        <f>INDEX(projects[Charge_Code],MATCH(TimeEntry[[#This Row],[Project_ID]],projects[Project_ID],0))</f>
        <v>264744-00 WLW</v>
      </c>
      <c r="H821" s="1" t="str">
        <f t="shared" si="16"/>
        <v>Normal Time</v>
      </c>
      <c r="I821" s="1"/>
      <c r="J821" s="15">
        <v>3</v>
      </c>
      <c r="K821" s="15"/>
      <c r="L821" s="15"/>
      <c r="M821" s="15"/>
      <c r="N821" s="15"/>
      <c r="O821" s="15" t="str">
        <f>INDEX(projects[job number],MATCH(TimeEntry[[#This Row],[Project_ID]], projects[Project_ID],0))</f>
        <v>264744-00</v>
      </c>
      <c r="P821" s="15" t="str">
        <f>INDEX(projects[Project_Name],MATCH(TimeEntry[[#This Row],[Project_ID]], projects[Project_ID],0))</f>
        <v>WLW</v>
      </c>
      <c r="Q821" s="1">
        <f>IF(TimeEntry[[#This Row],[Date]]=0,"",WEEKDAY(C821,2))</f>
        <v>3</v>
      </c>
      <c r="R821" s="9">
        <f>YEAR(TimeEntry[[#This Row],[WkEnd]])</f>
        <v>2018</v>
      </c>
      <c r="S821" s="9">
        <f>WEEKNUM(TimeEntry[[#This Row],[WkEnd]])</f>
        <v>46</v>
      </c>
      <c r="T821" s="9" t="str">
        <f>TimeEntry[[#This Row],[Year]]&amp;"-"&amp;TimeEntry[[#This Row],[WkNo]]</f>
        <v>2018-46</v>
      </c>
    </row>
    <row r="822" spans="1:20" x14ac:dyDescent="0.25">
      <c r="A822" s="6">
        <f>MOD(IF(ROW()=2,0.1,IF(INDEX(TimeEntry[WkEnd],ROW()-1)  =  INDEX(TimeEntry[WkEnd],ROW()-2),    INDEX(TimeEntry[format],ROW()-2),    INDEX(TimeEntry[format],ROW()-2)    +1)),2)</f>
        <v>0.10000000000000009</v>
      </c>
      <c r="B822" s="7"/>
      <c r="C822" s="8">
        <v>43411</v>
      </c>
      <c r="D822" s="8"/>
      <c r="E822" s="1" t="s">
        <v>467</v>
      </c>
      <c r="F822" s="8">
        <f>IF(TimeEntry[[#This Row],[Date]]=0,F821,C822+(7-Q822))</f>
        <v>43415</v>
      </c>
      <c r="G822" s="35" t="str">
        <f>INDEX(projects[Charge_Code],MATCH(TimeEntry[[#This Row],[Project_ID]],projects[Project_ID],0))</f>
        <v>262218-08 CAFA</v>
      </c>
      <c r="H822" s="1" t="str">
        <f t="shared" si="16"/>
        <v>Normal Time</v>
      </c>
      <c r="I822" s="1"/>
      <c r="J822" s="15">
        <v>1</v>
      </c>
      <c r="K822" s="15"/>
      <c r="L822" s="15"/>
      <c r="M822" s="15"/>
      <c r="N822" s="15"/>
      <c r="O822" s="15" t="str">
        <f>INDEX(projects[job number],MATCH(TimeEntry[[#This Row],[Project_ID]], projects[Project_ID],0))</f>
        <v>262218-08</v>
      </c>
      <c r="P822" s="15" t="str">
        <f>INDEX(projects[Project_Name],MATCH(TimeEntry[[#This Row],[Project_ID]], projects[Project_ID],0))</f>
        <v>CAFA</v>
      </c>
      <c r="Q822" s="1">
        <f>IF(TimeEntry[[#This Row],[Date]]=0,"",WEEKDAY(C822,2))</f>
        <v>3</v>
      </c>
      <c r="R822" s="9">
        <f>YEAR(TimeEntry[[#This Row],[WkEnd]])</f>
        <v>2018</v>
      </c>
      <c r="S822" s="9">
        <f>WEEKNUM(TimeEntry[[#This Row],[WkEnd]])</f>
        <v>46</v>
      </c>
      <c r="T822" s="9" t="str">
        <f>TimeEntry[[#This Row],[Year]]&amp;"-"&amp;TimeEntry[[#This Row],[WkNo]]</f>
        <v>2018-46</v>
      </c>
    </row>
    <row r="823" spans="1:20" x14ac:dyDescent="0.25">
      <c r="A823" s="6">
        <f>MOD(IF(ROW()=2,0.1,IF(INDEX(TimeEntry[WkEnd],ROW()-1)  =  INDEX(TimeEntry[WkEnd],ROW()-2),    INDEX(TimeEntry[format],ROW()-2),    INDEX(TimeEntry[format],ROW()-2)    +1)),2)</f>
        <v>0.10000000000000009</v>
      </c>
      <c r="B823" s="7"/>
      <c r="C823" s="8">
        <v>43411</v>
      </c>
      <c r="D823" s="8"/>
      <c r="E823" s="1" t="s">
        <v>467</v>
      </c>
      <c r="F823" s="8">
        <f>IF(TimeEntry[[#This Row],[Date]]=0,F822,C823+(7-Q823))</f>
        <v>43415</v>
      </c>
      <c r="G823" s="35" t="str">
        <f>INDEX(projects[Charge_Code],MATCH(TimeEntry[[#This Row],[Project_ID]],projects[Project_ID],0))</f>
        <v>262218-08 CAFA</v>
      </c>
      <c r="H823" s="1" t="str">
        <f t="shared" si="16"/>
        <v>Normal Time</v>
      </c>
      <c r="I823" s="1"/>
      <c r="J823" s="15">
        <v>3.5</v>
      </c>
      <c r="K823" s="15"/>
      <c r="L823" s="15"/>
      <c r="M823" s="15"/>
      <c r="N823" s="15"/>
      <c r="O823" s="15" t="str">
        <f>INDEX(projects[job number],MATCH(TimeEntry[[#This Row],[Project_ID]], projects[Project_ID],0))</f>
        <v>262218-08</v>
      </c>
      <c r="P823" s="15" t="str">
        <f>INDEX(projects[Project_Name],MATCH(TimeEntry[[#This Row],[Project_ID]], projects[Project_ID],0))</f>
        <v>CAFA</v>
      </c>
      <c r="Q823" s="1">
        <f>IF(TimeEntry[[#This Row],[Date]]=0,"",WEEKDAY(C823,2))</f>
        <v>3</v>
      </c>
      <c r="R823" s="9">
        <f>YEAR(TimeEntry[[#This Row],[WkEnd]])</f>
        <v>2018</v>
      </c>
      <c r="S823" s="9">
        <f>WEEKNUM(TimeEntry[[#This Row],[WkEnd]])</f>
        <v>46</v>
      </c>
      <c r="T823" s="9" t="str">
        <f>TimeEntry[[#This Row],[Year]]&amp;"-"&amp;TimeEntry[[#This Row],[WkNo]]</f>
        <v>2018-46</v>
      </c>
    </row>
    <row r="824" spans="1:20" x14ac:dyDescent="0.25">
      <c r="A824" s="6">
        <f>MOD(IF(ROW()=2,0.1,IF(INDEX(TimeEntry[WkEnd],ROW()-1)  =  INDEX(TimeEntry[WkEnd],ROW()-2),    INDEX(TimeEntry[format],ROW()-2),    INDEX(TimeEntry[format],ROW()-2)    +1)),2)</f>
        <v>0.10000000000000009</v>
      </c>
      <c r="B824" s="10"/>
      <c r="C824" s="11">
        <v>43412</v>
      </c>
      <c r="D824" s="11"/>
      <c r="E824" s="1" t="s">
        <v>475</v>
      </c>
      <c r="F824" s="8">
        <f>IF(TimeEntry[[#This Row],[Date]]=0,F823,C824+(7-Q824))</f>
        <v>43415</v>
      </c>
      <c r="G824" s="35" t="str">
        <f>INDEX(projects[Charge_Code],MATCH(TimeEntry[[#This Row],[Project_ID]],projects[Project_ID],0))</f>
        <v>264744-00 WLW</v>
      </c>
      <c r="H824" s="1" t="str">
        <f t="shared" si="16"/>
        <v>Normal Time</v>
      </c>
      <c r="I824" s="1"/>
      <c r="J824" s="15">
        <v>2</v>
      </c>
      <c r="K824" s="15"/>
      <c r="L824" s="15"/>
      <c r="M824" s="15"/>
      <c r="N824" s="15"/>
      <c r="O824" s="15" t="str">
        <f>INDEX(projects[job number],MATCH(TimeEntry[[#This Row],[Project_ID]], projects[Project_ID],0))</f>
        <v>264744-00</v>
      </c>
      <c r="P824" s="15" t="str">
        <f>INDEX(projects[Project_Name],MATCH(TimeEntry[[#This Row],[Project_ID]], projects[Project_ID],0))</f>
        <v>WLW</v>
      </c>
      <c r="Q824" s="1">
        <f>IF(TimeEntry[[#This Row],[Date]]=0,"",WEEKDAY(C824,2))</f>
        <v>4</v>
      </c>
      <c r="R824" s="9">
        <f>YEAR(TimeEntry[[#This Row],[WkEnd]])</f>
        <v>2018</v>
      </c>
      <c r="S824" s="9">
        <f>WEEKNUM(TimeEntry[[#This Row],[WkEnd]])</f>
        <v>46</v>
      </c>
      <c r="T824" s="9" t="str">
        <f>TimeEntry[[#This Row],[Year]]&amp;"-"&amp;TimeEntry[[#This Row],[WkNo]]</f>
        <v>2018-46</v>
      </c>
    </row>
    <row r="825" spans="1:20" x14ac:dyDescent="0.25">
      <c r="A825" s="6">
        <f>MOD(IF(ROW()=2,0.1,IF(INDEX(TimeEntry[WkEnd],ROW()-1)  =  INDEX(TimeEntry[WkEnd],ROW()-2),    INDEX(TimeEntry[format],ROW()-2),    INDEX(TimeEntry[format],ROW()-2)    +1)),2)</f>
        <v>0.10000000000000009</v>
      </c>
      <c r="B825" s="12"/>
      <c r="C825" s="13">
        <v>43412</v>
      </c>
      <c r="D825" s="13"/>
      <c r="E825" s="1" t="s">
        <v>464</v>
      </c>
      <c r="F825" s="8">
        <f>IF(TimeEntry[[#This Row],[Date]]=0,F824,C825+(7-Q825))</f>
        <v>43415</v>
      </c>
      <c r="G825" s="35" t="str">
        <f>INDEX(projects[Charge_Code],MATCH(TimeEntry[[#This Row],[Project_ID]],projects[Project_ID],0))</f>
        <v>071945-07 BCS - promotional</v>
      </c>
      <c r="H825" s="1" t="str">
        <f t="shared" si="16"/>
        <v>Normal Time</v>
      </c>
      <c r="I825" s="1"/>
      <c r="J825" s="15">
        <v>2</v>
      </c>
      <c r="K825" s="15"/>
      <c r="L825" s="15"/>
      <c r="M825" s="15"/>
      <c r="N825" s="15"/>
      <c r="O825" s="15" t="str">
        <f>INDEX(projects[job number],MATCH(TimeEntry[[#This Row],[Project_ID]], projects[Project_ID],0))</f>
        <v>071945-07</v>
      </c>
      <c r="P825" s="15" t="str">
        <f>INDEX(projects[Project_Name],MATCH(TimeEntry[[#This Row],[Project_ID]], projects[Project_ID],0))</f>
        <v>BCS - promotional</v>
      </c>
      <c r="Q825" s="1">
        <f>IF(TimeEntry[[#This Row],[Date]]=0,"",WEEKDAY(C825,2))</f>
        <v>4</v>
      </c>
      <c r="R825" s="9">
        <f>YEAR(TimeEntry[[#This Row],[WkEnd]])</f>
        <v>2018</v>
      </c>
      <c r="S825" s="9">
        <f>WEEKNUM(TimeEntry[[#This Row],[WkEnd]])</f>
        <v>46</v>
      </c>
      <c r="T825" s="9" t="str">
        <f>TimeEntry[[#This Row],[Year]]&amp;"-"&amp;TimeEntry[[#This Row],[WkNo]]</f>
        <v>2018-46</v>
      </c>
    </row>
    <row r="826" spans="1:20" x14ac:dyDescent="0.25">
      <c r="A826" s="6">
        <f>MOD(IF(ROW()=2,0.1,IF(INDEX(TimeEntry[WkEnd],ROW()-1)  =  INDEX(TimeEntry[WkEnd],ROW()-2),    INDEX(TimeEntry[format],ROW()-2),    INDEX(TimeEntry[format],ROW()-2)    +1)),2)</f>
        <v>0.10000000000000009</v>
      </c>
      <c r="B826" s="7"/>
      <c r="C826" s="8">
        <v>43412</v>
      </c>
      <c r="D826" s="8"/>
      <c r="E826" s="1" t="s">
        <v>464</v>
      </c>
      <c r="F826" s="8">
        <f>IF(TimeEntry[[#This Row],[Date]]=0,F825,C826+(7-Q826))</f>
        <v>43415</v>
      </c>
      <c r="G826" s="35" t="str">
        <f>INDEX(projects[Charge_Code],MATCH(TimeEntry[[#This Row],[Project_ID]],projects[Project_ID],0))</f>
        <v>071945-07 BCS - promotional</v>
      </c>
      <c r="H826" s="1" t="str">
        <f t="shared" si="16"/>
        <v>Normal Time</v>
      </c>
      <c r="I826" s="1"/>
      <c r="J826" s="15">
        <v>3.5</v>
      </c>
      <c r="K826" s="15"/>
      <c r="L826" s="15"/>
      <c r="M826" s="15"/>
      <c r="N826" s="15"/>
      <c r="O826" s="15" t="str">
        <f>INDEX(projects[job number],MATCH(TimeEntry[[#This Row],[Project_ID]], projects[Project_ID],0))</f>
        <v>071945-07</v>
      </c>
      <c r="P826" s="15" t="str">
        <f>INDEX(projects[Project_Name],MATCH(TimeEntry[[#This Row],[Project_ID]], projects[Project_ID],0))</f>
        <v>BCS - promotional</v>
      </c>
      <c r="Q826" s="1">
        <f>IF(TimeEntry[[#This Row],[Date]]=0,"",WEEKDAY(C826,2))</f>
        <v>4</v>
      </c>
      <c r="R826" s="9">
        <f>YEAR(TimeEntry[[#This Row],[WkEnd]])</f>
        <v>2018</v>
      </c>
      <c r="S826" s="9">
        <f>WEEKNUM(TimeEntry[[#This Row],[WkEnd]])</f>
        <v>46</v>
      </c>
      <c r="T826" s="9" t="str">
        <f>TimeEntry[[#This Row],[Year]]&amp;"-"&amp;TimeEntry[[#This Row],[WkNo]]</f>
        <v>2018-46</v>
      </c>
    </row>
    <row r="827" spans="1:20" x14ac:dyDescent="0.25">
      <c r="A827" s="6">
        <f>MOD(IF(ROW()=2,0.1,IF(INDEX(TimeEntry[WkEnd],ROW()-1)  =  INDEX(TimeEntry[WkEnd],ROW()-2),    INDEX(TimeEntry[format],ROW()-2),    INDEX(TimeEntry[format],ROW()-2)    +1)),2)</f>
        <v>0.10000000000000009</v>
      </c>
      <c r="B827" s="7"/>
      <c r="C827" s="8">
        <v>43413</v>
      </c>
      <c r="D827" s="8"/>
      <c r="E827" s="1" t="s">
        <v>464</v>
      </c>
      <c r="F827" s="8">
        <f>IF(TimeEntry[[#This Row],[Date]]=0,F826,C827+(7-Q827))</f>
        <v>43415</v>
      </c>
      <c r="G827" s="35" t="str">
        <f>INDEX(projects[Charge_Code],MATCH(TimeEntry[[#This Row],[Project_ID]],projects[Project_ID],0))</f>
        <v>071945-07 BCS - promotional</v>
      </c>
      <c r="H827" s="1" t="str">
        <f t="shared" si="16"/>
        <v>Normal Time</v>
      </c>
      <c r="I827" s="1"/>
      <c r="J827" s="15">
        <v>2</v>
      </c>
      <c r="K827" s="15"/>
      <c r="L827" s="15"/>
      <c r="M827" s="15"/>
      <c r="N827" s="15"/>
      <c r="O827" s="15" t="str">
        <f>INDEX(projects[job number],MATCH(TimeEntry[[#This Row],[Project_ID]], projects[Project_ID],0))</f>
        <v>071945-07</v>
      </c>
      <c r="P827" s="15" t="str">
        <f>INDEX(projects[Project_Name],MATCH(TimeEntry[[#This Row],[Project_ID]], projects[Project_ID],0))</f>
        <v>BCS - promotional</v>
      </c>
      <c r="Q827" s="1">
        <f>IF(TimeEntry[[#This Row],[Date]]=0,"",WEEKDAY(C827,2))</f>
        <v>5</v>
      </c>
      <c r="R827" s="9">
        <f>YEAR(TimeEntry[[#This Row],[WkEnd]])</f>
        <v>2018</v>
      </c>
      <c r="S827" s="9">
        <f>WEEKNUM(TimeEntry[[#This Row],[WkEnd]])</f>
        <v>46</v>
      </c>
      <c r="T827" s="9" t="str">
        <f>TimeEntry[[#This Row],[Year]]&amp;"-"&amp;TimeEntry[[#This Row],[WkNo]]</f>
        <v>2018-46</v>
      </c>
    </row>
    <row r="828" spans="1:20" x14ac:dyDescent="0.25">
      <c r="A828" s="6">
        <f>MOD(IF(ROW()=2,0.1,IF(INDEX(TimeEntry[WkEnd],ROW()-1)  =  INDEX(TimeEntry[WkEnd],ROW()-2),    INDEX(TimeEntry[format],ROW()-2),    INDEX(TimeEntry[format],ROW()-2)    +1)),2)</f>
        <v>0.10000000000000009</v>
      </c>
      <c r="B828" s="7"/>
      <c r="C828" s="8">
        <v>43413</v>
      </c>
      <c r="D828" s="8"/>
      <c r="E828" s="1" t="s">
        <v>454</v>
      </c>
      <c r="F828" s="8">
        <f>IF(TimeEntry[[#This Row],[Date]]=0,F827,C828+(7-Q828))</f>
        <v>43415</v>
      </c>
      <c r="G828" s="35" t="str">
        <f>INDEX(projects[Charge_Code],MATCH(TimeEntry[[#This Row],[Project_ID]],projects[Project_ID],0))</f>
        <v>252076-05 Intro to bridges</v>
      </c>
      <c r="H828" s="1" t="str">
        <f t="shared" si="16"/>
        <v>Normal Time</v>
      </c>
      <c r="I828" s="1"/>
      <c r="J828" s="15">
        <v>2.5</v>
      </c>
      <c r="K828" s="15"/>
      <c r="L828" s="15"/>
      <c r="M828" s="15"/>
      <c r="N828" s="15"/>
      <c r="O828" s="15" t="str">
        <f>INDEX(projects[job number],MATCH(TimeEntry[[#This Row],[Project_ID]], projects[Project_ID],0))</f>
        <v>252076-05</v>
      </c>
      <c r="P828" s="15" t="str">
        <f>INDEX(projects[Project_Name],MATCH(TimeEntry[[#This Row],[Project_ID]], projects[Project_ID],0))</f>
        <v>Intro to bridges</v>
      </c>
      <c r="Q828" s="1">
        <f>IF(TimeEntry[[#This Row],[Date]]=0,"",WEEKDAY(C828,2))</f>
        <v>5</v>
      </c>
      <c r="R828" s="9">
        <f>YEAR(TimeEntry[[#This Row],[WkEnd]])</f>
        <v>2018</v>
      </c>
      <c r="S828" s="9">
        <f>WEEKNUM(TimeEntry[[#This Row],[WkEnd]])</f>
        <v>46</v>
      </c>
      <c r="T828" s="9" t="str">
        <f>TimeEntry[[#This Row],[Year]]&amp;"-"&amp;TimeEntry[[#This Row],[WkNo]]</f>
        <v>2018-46</v>
      </c>
    </row>
    <row r="829" spans="1:20" x14ac:dyDescent="0.25">
      <c r="A829" s="6">
        <f>MOD(IF(ROW()=2,0.1,IF(INDEX(TimeEntry[WkEnd],ROW()-1)  =  INDEX(TimeEntry[WkEnd],ROW()-2),    INDEX(TimeEntry[format],ROW()-2),    INDEX(TimeEntry[format],ROW()-2)    +1)),2)</f>
        <v>0.10000000000000009</v>
      </c>
      <c r="B829" s="7"/>
      <c r="C829" s="8">
        <v>43413</v>
      </c>
      <c r="D829" s="8"/>
      <c r="E829" s="1" t="s">
        <v>475</v>
      </c>
      <c r="F829" s="8">
        <f>IF(TimeEntry[[#This Row],[Date]]=0,F828,C829+(7-Q829))</f>
        <v>43415</v>
      </c>
      <c r="G829" s="35" t="str">
        <f>INDEX(projects[Charge_Code],MATCH(TimeEntry[[#This Row],[Project_ID]],projects[Project_ID],0))</f>
        <v>264744-00 WLW</v>
      </c>
      <c r="H829" s="1" t="str">
        <f t="shared" si="16"/>
        <v>Normal Time</v>
      </c>
      <c r="I829" s="1"/>
      <c r="J829" s="15">
        <v>3</v>
      </c>
      <c r="K829" s="15"/>
      <c r="L829" s="15"/>
      <c r="M829" s="15"/>
      <c r="N829" s="15"/>
      <c r="O829" s="15" t="str">
        <f>INDEX(projects[job number],MATCH(TimeEntry[[#This Row],[Project_ID]], projects[Project_ID],0))</f>
        <v>264744-00</v>
      </c>
      <c r="P829" s="15" t="str">
        <f>INDEX(projects[Project_Name],MATCH(TimeEntry[[#This Row],[Project_ID]], projects[Project_ID],0))</f>
        <v>WLW</v>
      </c>
      <c r="Q829" s="1">
        <f>IF(TimeEntry[[#This Row],[Date]]=0,"",WEEKDAY(C829,2))</f>
        <v>5</v>
      </c>
      <c r="R829" s="9">
        <f>YEAR(TimeEntry[[#This Row],[WkEnd]])</f>
        <v>2018</v>
      </c>
      <c r="S829" s="9">
        <f>WEEKNUM(TimeEntry[[#This Row],[WkEnd]])</f>
        <v>46</v>
      </c>
      <c r="T829" s="9" t="str">
        <f>TimeEntry[[#This Row],[Year]]&amp;"-"&amp;TimeEntry[[#This Row],[WkNo]]</f>
        <v>2018-46</v>
      </c>
    </row>
    <row r="830" spans="1:20" x14ac:dyDescent="0.25">
      <c r="A830" s="6">
        <f>MOD(IF(ROW()=2,0.1,IF(INDEX(TimeEntry[WkEnd],ROW()-1)  =  INDEX(TimeEntry[WkEnd],ROW()-2),    INDEX(TimeEntry[format],ROW()-2),    INDEX(TimeEntry[format],ROW()-2)    +1)),2)</f>
        <v>1.1000000000000001</v>
      </c>
      <c r="B830" s="7"/>
      <c r="C830" s="8">
        <v>43402</v>
      </c>
      <c r="D830" s="8"/>
      <c r="E830" s="1" t="s">
        <v>475</v>
      </c>
      <c r="F830" s="8">
        <f>IF(TimeEntry[[#This Row],[Date]]=0,F829,C830+(7-Q830))</f>
        <v>43408</v>
      </c>
      <c r="G830" s="35" t="str">
        <f>INDEX(projects[Charge_Code],MATCH(TimeEntry[[#This Row],[Project_ID]],projects[Project_ID],0))</f>
        <v>264744-00 WLW</v>
      </c>
      <c r="H830" s="1" t="str">
        <f t="shared" si="16"/>
        <v>Normal Time</v>
      </c>
      <c r="I830" s="1"/>
      <c r="J830" s="15">
        <v>3.5</v>
      </c>
      <c r="K830" s="15"/>
      <c r="L830" s="15"/>
      <c r="M830" s="15"/>
      <c r="N830" s="15"/>
      <c r="O830" s="15" t="str">
        <f>INDEX(projects[job number],MATCH(TimeEntry[[#This Row],[Project_ID]], projects[Project_ID],0))</f>
        <v>264744-00</v>
      </c>
      <c r="P830" s="15" t="str">
        <f>INDEX(projects[Project_Name],MATCH(TimeEntry[[#This Row],[Project_ID]], projects[Project_ID],0))</f>
        <v>WLW</v>
      </c>
      <c r="Q830" s="1">
        <f>IF(TimeEntry[[#This Row],[Date]]=0,"",WEEKDAY(C830,2))</f>
        <v>1</v>
      </c>
      <c r="R830" s="9">
        <f>YEAR(TimeEntry[[#This Row],[WkEnd]])</f>
        <v>2018</v>
      </c>
      <c r="S830" s="9">
        <f>WEEKNUM(TimeEntry[[#This Row],[WkEnd]])</f>
        <v>45</v>
      </c>
      <c r="T830" s="9" t="str">
        <f>TimeEntry[[#This Row],[Year]]&amp;"-"&amp;TimeEntry[[#This Row],[WkNo]]</f>
        <v>2018-45</v>
      </c>
    </row>
    <row r="831" spans="1:20" x14ac:dyDescent="0.25">
      <c r="A831" s="6">
        <f>MOD(IF(ROW()=2,0.1,IF(INDEX(TimeEntry[WkEnd],ROW()-1)  =  INDEX(TimeEntry[WkEnd],ROW()-2),    INDEX(TimeEntry[format],ROW()-2),    INDEX(TimeEntry[format],ROW()-2)    +1)),2)</f>
        <v>1.1000000000000001</v>
      </c>
      <c r="B831" s="7"/>
      <c r="C831" s="8">
        <v>43402</v>
      </c>
      <c r="D831" s="8"/>
      <c r="E831" s="1" t="s">
        <v>467</v>
      </c>
      <c r="F831" s="8">
        <f>IF(TimeEntry[[#This Row],[Date]]=0,F830,C831+(7-Q831))</f>
        <v>43408</v>
      </c>
      <c r="G831" s="35" t="str">
        <f>INDEX(projects[Charge_Code],MATCH(TimeEntry[[#This Row],[Project_ID]],projects[Project_ID],0))</f>
        <v>262218-08 CAFA</v>
      </c>
      <c r="H831" s="1" t="str">
        <f t="shared" si="16"/>
        <v>Normal Time</v>
      </c>
      <c r="I831" s="1"/>
      <c r="J831" s="15">
        <v>4</v>
      </c>
      <c r="K831" s="15"/>
      <c r="L831" s="15"/>
      <c r="M831" s="15"/>
      <c r="N831" s="15"/>
      <c r="O831" s="15" t="str">
        <f>INDEX(projects[job number],MATCH(TimeEntry[[#This Row],[Project_ID]], projects[Project_ID],0))</f>
        <v>262218-08</v>
      </c>
      <c r="P831" s="15" t="str">
        <f>INDEX(projects[Project_Name],MATCH(TimeEntry[[#This Row],[Project_ID]], projects[Project_ID],0))</f>
        <v>CAFA</v>
      </c>
      <c r="Q831" s="1">
        <f>IF(TimeEntry[[#This Row],[Date]]=0,"",WEEKDAY(C831,2))</f>
        <v>1</v>
      </c>
      <c r="R831" s="9">
        <f>YEAR(TimeEntry[[#This Row],[WkEnd]])</f>
        <v>2018</v>
      </c>
      <c r="S831" s="9">
        <f>WEEKNUM(TimeEntry[[#This Row],[WkEnd]])</f>
        <v>45</v>
      </c>
      <c r="T831" s="9" t="str">
        <f>TimeEntry[[#This Row],[Year]]&amp;"-"&amp;TimeEntry[[#This Row],[WkNo]]</f>
        <v>2018-45</v>
      </c>
    </row>
    <row r="832" spans="1:20" x14ac:dyDescent="0.25">
      <c r="A832" s="6">
        <f>MOD(IF(ROW()=2,0.1,IF(INDEX(TimeEntry[WkEnd],ROW()-1)  =  INDEX(TimeEntry[WkEnd],ROW()-2),    INDEX(TimeEntry[format],ROW()-2),    INDEX(TimeEntry[format],ROW()-2)    +1)),2)</f>
        <v>1.1000000000000001</v>
      </c>
      <c r="B832" s="7"/>
      <c r="C832" s="8">
        <v>43403</v>
      </c>
      <c r="D832" s="8"/>
      <c r="E832" s="1" t="s">
        <v>467</v>
      </c>
      <c r="F832" s="8">
        <f>IF(TimeEntry[[#This Row],[Date]]=0,F831,C832+(7-Q832))</f>
        <v>43408</v>
      </c>
      <c r="G832" s="35" t="str">
        <f>INDEX(projects[Charge_Code],MATCH(TimeEntry[[#This Row],[Project_ID]],projects[Project_ID],0))</f>
        <v>262218-08 CAFA</v>
      </c>
      <c r="H832" s="1" t="str">
        <f t="shared" si="16"/>
        <v>Normal Time</v>
      </c>
      <c r="I832" s="1"/>
      <c r="J832" s="15">
        <v>7.5</v>
      </c>
      <c r="K832" s="15"/>
      <c r="L832" s="15"/>
      <c r="M832" s="15"/>
      <c r="N832" s="15"/>
      <c r="O832" s="15" t="str">
        <f>INDEX(projects[job number],MATCH(TimeEntry[[#This Row],[Project_ID]], projects[Project_ID],0))</f>
        <v>262218-08</v>
      </c>
      <c r="P832" s="15" t="str">
        <f>INDEX(projects[Project_Name],MATCH(TimeEntry[[#This Row],[Project_ID]], projects[Project_ID],0))</f>
        <v>CAFA</v>
      </c>
      <c r="Q832" s="1">
        <f>IF(TimeEntry[[#This Row],[Date]]=0,"",WEEKDAY(C832,2))</f>
        <v>2</v>
      </c>
      <c r="R832" s="9">
        <f>YEAR(TimeEntry[[#This Row],[WkEnd]])</f>
        <v>2018</v>
      </c>
      <c r="S832" s="9">
        <f>WEEKNUM(TimeEntry[[#This Row],[WkEnd]])</f>
        <v>45</v>
      </c>
      <c r="T832" s="9" t="str">
        <f>TimeEntry[[#This Row],[Year]]&amp;"-"&amp;TimeEntry[[#This Row],[WkNo]]</f>
        <v>2018-45</v>
      </c>
    </row>
    <row r="833" spans="1:20" x14ac:dyDescent="0.25">
      <c r="A833" s="6">
        <f>MOD(IF(ROW()=2,0.1,IF(INDEX(TimeEntry[WkEnd],ROW()-1)  =  INDEX(TimeEntry[WkEnd],ROW()-2),    INDEX(TimeEntry[format],ROW()-2),    INDEX(TimeEntry[format],ROW()-2)    +1)),2)</f>
        <v>1.1000000000000001</v>
      </c>
      <c r="B833" s="7"/>
      <c r="C833" s="8">
        <v>43404</v>
      </c>
      <c r="D833" s="8"/>
      <c r="E833" s="1" t="s">
        <v>471</v>
      </c>
      <c r="F833" s="8">
        <f>IF(TimeEntry[[#This Row],[Date]]=0,F832,C833+(7-Q833))</f>
        <v>43408</v>
      </c>
      <c r="G833" s="35" t="str">
        <f>INDEX(projects[Charge_Code],MATCH(TimeEntry[[#This Row],[Project_ID]],projects[Project_ID],0))</f>
        <v>261723-02 SMP</v>
      </c>
      <c r="H833" s="1" t="str">
        <f t="shared" si="16"/>
        <v>Normal Time</v>
      </c>
      <c r="I833" s="1"/>
      <c r="J833" s="15">
        <v>7.5</v>
      </c>
      <c r="K833" s="15"/>
      <c r="L833" s="15"/>
      <c r="M833" s="15"/>
      <c r="N833" s="15"/>
      <c r="O833" s="15" t="str">
        <f>INDEX(projects[job number],MATCH(TimeEntry[[#This Row],[Project_ID]], projects[Project_ID],0))</f>
        <v>261723-02</v>
      </c>
      <c r="P833" s="15" t="str">
        <f>INDEX(projects[Project_Name],MATCH(TimeEntry[[#This Row],[Project_ID]], projects[Project_ID],0))</f>
        <v>SMP</v>
      </c>
      <c r="Q833" s="1">
        <f>IF(TimeEntry[[#This Row],[Date]]=0,"",WEEKDAY(C833,2))</f>
        <v>3</v>
      </c>
      <c r="R833" s="9">
        <f>YEAR(TimeEntry[[#This Row],[WkEnd]])</f>
        <v>2018</v>
      </c>
      <c r="S833" s="9">
        <f>WEEKNUM(TimeEntry[[#This Row],[WkEnd]])</f>
        <v>45</v>
      </c>
      <c r="T833" s="9" t="str">
        <f>TimeEntry[[#This Row],[Year]]&amp;"-"&amp;TimeEntry[[#This Row],[WkNo]]</f>
        <v>2018-45</v>
      </c>
    </row>
    <row r="834" spans="1:20" x14ac:dyDescent="0.25">
      <c r="A834" s="6">
        <f>MOD(IF(ROW()=2,0.1,IF(INDEX(TimeEntry[WkEnd],ROW()-1)  =  INDEX(TimeEntry[WkEnd],ROW()-2),    INDEX(TimeEntry[format],ROW()-2),    INDEX(TimeEntry[format],ROW()-2)    +1)),2)</f>
        <v>1.1000000000000001</v>
      </c>
      <c r="B834" s="7"/>
      <c r="C834" s="8">
        <v>43405</v>
      </c>
      <c r="D834" s="8"/>
      <c r="E834" s="1" t="s">
        <v>475</v>
      </c>
      <c r="F834" s="8">
        <f>IF(TimeEntry[[#This Row],[Date]]=0,F833,C834+(7-Q834))</f>
        <v>43408</v>
      </c>
      <c r="G834" s="35" t="str">
        <f>INDEX(projects[Charge_Code],MATCH(TimeEntry[[#This Row],[Project_ID]],projects[Project_ID],0))</f>
        <v>264744-00 WLW</v>
      </c>
      <c r="H834" s="1" t="str">
        <f t="shared" si="16"/>
        <v>Normal Time</v>
      </c>
      <c r="I834" s="1"/>
      <c r="J834" s="15">
        <v>3.75</v>
      </c>
      <c r="K834" s="15"/>
      <c r="L834" s="15"/>
      <c r="M834" s="15"/>
      <c r="N834" s="15"/>
      <c r="O834" s="15" t="str">
        <f>INDEX(projects[job number],MATCH(TimeEntry[[#This Row],[Project_ID]], projects[Project_ID],0))</f>
        <v>264744-00</v>
      </c>
      <c r="P834" s="15" t="str">
        <f>INDEX(projects[Project_Name],MATCH(TimeEntry[[#This Row],[Project_ID]], projects[Project_ID],0))</f>
        <v>WLW</v>
      </c>
      <c r="Q834" s="1">
        <f>IF(TimeEntry[[#This Row],[Date]]=0,"",WEEKDAY(C834,2))</f>
        <v>4</v>
      </c>
      <c r="R834" s="9">
        <f>YEAR(TimeEntry[[#This Row],[WkEnd]])</f>
        <v>2018</v>
      </c>
      <c r="S834" s="9">
        <f>WEEKNUM(TimeEntry[[#This Row],[WkEnd]])</f>
        <v>45</v>
      </c>
      <c r="T834" s="9" t="str">
        <f>TimeEntry[[#This Row],[Year]]&amp;"-"&amp;TimeEntry[[#This Row],[WkNo]]</f>
        <v>2018-45</v>
      </c>
    </row>
    <row r="835" spans="1:20" x14ac:dyDescent="0.25">
      <c r="A835" s="6">
        <f>MOD(IF(ROW()=2,0.1,IF(INDEX(TimeEntry[WkEnd],ROW()-1)  =  INDEX(TimeEntry[WkEnd],ROW()-2),    INDEX(TimeEntry[format],ROW()-2),    INDEX(TimeEntry[format],ROW()-2)    +1)),2)</f>
        <v>1.1000000000000001</v>
      </c>
      <c r="B835" s="7"/>
      <c r="C835" s="8">
        <v>43405</v>
      </c>
      <c r="D835" s="8"/>
      <c r="E835" s="1" t="s">
        <v>486</v>
      </c>
      <c r="F835" s="8">
        <f>IF(TimeEntry[[#This Row],[Date]]=0,F834,C835+(7-Q835))</f>
        <v>43408</v>
      </c>
      <c r="G835" s="35" t="str">
        <f>INDEX(projects[Charge_Code],MATCH(TimeEntry[[#This Row],[Project_ID]],projects[Project_ID],0))</f>
        <v>074103-30 Engagement cohort</v>
      </c>
      <c r="H835" s="1" t="str">
        <f t="shared" si="16"/>
        <v>Normal Time</v>
      </c>
      <c r="I835" s="1"/>
      <c r="J835" s="15">
        <v>3.75</v>
      </c>
      <c r="K835" s="15"/>
      <c r="L835" s="15"/>
      <c r="M835" s="15"/>
      <c r="N835" s="15"/>
      <c r="O835" s="15" t="str">
        <f>INDEX(projects[job number],MATCH(TimeEntry[[#This Row],[Project_ID]], projects[Project_ID],0))</f>
        <v>074103-30</v>
      </c>
      <c r="P835" s="15" t="str">
        <f>INDEX(projects[Project_Name],MATCH(TimeEntry[[#This Row],[Project_ID]], projects[Project_ID],0))</f>
        <v>Engagement cohort</v>
      </c>
      <c r="Q835" s="1">
        <f>IF(TimeEntry[[#This Row],[Date]]=0,"",WEEKDAY(C835,2))</f>
        <v>4</v>
      </c>
      <c r="R835" s="9">
        <f>YEAR(TimeEntry[[#This Row],[WkEnd]])</f>
        <v>2018</v>
      </c>
      <c r="S835" s="9">
        <f>WEEKNUM(TimeEntry[[#This Row],[WkEnd]])</f>
        <v>45</v>
      </c>
      <c r="T835" s="9" t="str">
        <f>TimeEntry[[#This Row],[Year]]&amp;"-"&amp;TimeEntry[[#This Row],[WkNo]]</f>
        <v>2018-45</v>
      </c>
    </row>
    <row r="836" spans="1:20" x14ac:dyDescent="0.25">
      <c r="A836" s="6">
        <f>MOD(IF(ROW()=2,0.1,IF(INDEX(TimeEntry[WkEnd],ROW()-1)  =  INDEX(TimeEntry[WkEnd],ROW()-2),    INDEX(TimeEntry[format],ROW()-2),    INDEX(TimeEntry[format],ROW()-2)    +1)),2)</f>
        <v>1.1000000000000001</v>
      </c>
      <c r="B836" s="7"/>
      <c r="C836" s="8">
        <v>43406</v>
      </c>
      <c r="D836" s="8"/>
      <c r="E836" s="1" t="s">
        <v>471</v>
      </c>
      <c r="F836" s="8">
        <f>IF(TimeEntry[[#This Row],[Date]]=0,F835,C836+(7-Q836))</f>
        <v>43408</v>
      </c>
      <c r="G836" s="35" t="str">
        <f>INDEX(projects[Charge_Code],MATCH(TimeEntry[[#This Row],[Project_ID]],projects[Project_ID],0))</f>
        <v>261723-02 SMP</v>
      </c>
      <c r="H836" s="1" t="str">
        <f t="shared" si="16"/>
        <v>Normal Time</v>
      </c>
      <c r="I836" s="1"/>
      <c r="J836" s="15">
        <v>7.5</v>
      </c>
      <c r="K836" s="15"/>
      <c r="L836" s="15"/>
      <c r="M836" s="15"/>
      <c r="N836" s="15"/>
      <c r="O836" s="15" t="str">
        <f>INDEX(projects[job number],MATCH(TimeEntry[[#This Row],[Project_ID]], projects[Project_ID],0))</f>
        <v>261723-02</v>
      </c>
      <c r="P836" s="15" t="str">
        <f>INDEX(projects[Project_Name],MATCH(TimeEntry[[#This Row],[Project_ID]], projects[Project_ID],0))</f>
        <v>SMP</v>
      </c>
      <c r="Q836" s="1">
        <f>IF(TimeEntry[[#This Row],[Date]]=0,"",WEEKDAY(C836,2))</f>
        <v>5</v>
      </c>
      <c r="R836" s="9">
        <f>YEAR(TimeEntry[[#This Row],[WkEnd]])</f>
        <v>2018</v>
      </c>
      <c r="S836" s="9">
        <f>WEEKNUM(TimeEntry[[#This Row],[WkEnd]])</f>
        <v>45</v>
      </c>
      <c r="T836" s="9" t="str">
        <f>TimeEntry[[#This Row],[Year]]&amp;"-"&amp;TimeEntry[[#This Row],[WkNo]]</f>
        <v>2018-45</v>
      </c>
    </row>
    <row r="837" spans="1:20" x14ac:dyDescent="0.25">
      <c r="A837" s="3" t="s">
        <v>99</v>
      </c>
      <c r="C837" s="3"/>
      <c r="T837" s="3">
        <f>SUBTOTAL(103,TimeEntry[WkRef])</f>
        <v>835</v>
      </c>
    </row>
  </sheetData>
  <phoneticPr fontId="2" type="noConversion"/>
  <conditionalFormatting sqref="B838:Q1801 Q402:T402 Q417:T417 Q774:T774 Q779:T779 Q791:T791 Q800:T800 B152:B836 O403:T416 O780:T790 O792:T799 O801:T836 O163:T401 O418:T773 O775:T778 C1:N1 O2:T2 C75:P836 C62:D74 F62:G74 Q75:T162 J62:T74 C52:G61 I52:T61 B52:B148 G2:H2 I31:T50 B31:G50 H2:H836">
    <cfRule type="expression" dxfId="134" priority="51">
      <formula>$A1=1.1</formula>
    </cfRule>
  </conditionalFormatting>
  <conditionalFormatting sqref="I154">
    <cfRule type="expression" dxfId="133" priority="33">
      <formula>$A154=1.1</formula>
    </cfRule>
  </conditionalFormatting>
  <conditionalFormatting sqref="I152:I153">
    <cfRule type="expression" dxfId="132" priority="27">
      <formula>$A152=1.1</formula>
    </cfRule>
  </conditionalFormatting>
  <conditionalFormatting sqref="B151">
    <cfRule type="expression" dxfId="131" priority="25">
      <formula>$A151=1.1</formula>
    </cfRule>
  </conditionalFormatting>
  <conditionalFormatting sqref="B150">
    <cfRule type="expression" dxfId="130" priority="24">
      <formula>$A150=1.1</formula>
    </cfRule>
  </conditionalFormatting>
  <conditionalFormatting sqref="B149">
    <cfRule type="expression" dxfId="129" priority="23">
      <formula>$A149=1.1</formula>
    </cfRule>
  </conditionalFormatting>
  <conditionalFormatting sqref="P145:P162 P111:P141">
    <cfRule type="expression" dxfId="128" priority="12">
      <formula>$A111=1.1</formula>
    </cfRule>
  </conditionalFormatting>
  <conditionalFormatting sqref="P144">
    <cfRule type="expression" dxfId="127" priority="11">
      <formula>$A144=1.1</formula>
    </cfRule>
  </conditionalFormatting>
  <conditionalFormatting sqref="P143">
    <cfRule type="expression" dxfId="126" priority="10">
      <formula>$A143=1.1</formula>
    </cfRule>
  </conditionalFormatting>
  <conditionalFormatting sqref="P142">
    <cfRule type="expression" dxfId="125" priority="9">
      <formula>$A142=1.1</formula>
    </cfRule>
  </conditionalFormatting>
  <conditionalFormatting sqref="B2:F2 I2:N2">
    <cfRule type="expression" dxfId="124" priority="5">
      <formula>$A2=1.1</formula>
    </cfRule>
  </conditionalFormatting>
  <conditionalFormatting sqref="E62:E74">
    <cfRule type="expression" dxfId="123" priority="4">
      <formula>$A62=1.1</formula>
    </cfRule>
  </conditionalFormatting>
  <conditionalFormatting sqref="I62:I74">
    <cfRule type="expression" dxfId="122" priority="3">
      <formula>$A62=1.1</formula>
    </cfRule>
  </conditionalFormatting>
  <conditionalFormatting sqref="B51:G51 I51:T51">
    <cfRule type="expression" dxfId="121" priority="2">
      <formula>$A51=1.1</formula>
    </cfRule>
  </conditionalFormatting>
  <conditionalFormatting sqref="B3:T30">
    <cfRule type="expression" dxfId="120" priority="1">
      <formula>$A3=1.1</formula>
    </cfRule>
  </conditionalFormatting>
  <dataValidations count="2">
    <dataValidation type="list" allowBlank="1" showInputMessage="1" showErrorMessage="1" sqref="C205:E205" xr:uid="{0D0E6C57-5C8F-4E70-B4BD-1293579F81DF}">
      <formula1>INDIRECT("ProjectsCurrent[Project]")</formula1>
    </dataValidation>
    <dataValidation type="list" allowBlank="1" showInputMessage="1" showErrorMessage="1" sqref="E3:E87"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601</v>
      </c>
      <c r="F1" s="36" t="s">
        <v>602</v>
      </c>
      <c r="G1" s="36" t="s">
        <v>603</v>
      </c>
      <c r="H1" s="36" t="s">
        <v>604</v>
      </c>
      <c r="I1" s="36" t="s">
        <v>605</v>
      </c>
    </row>
    <row r="2" spans="1:9" x14ac:dyDescent="0.25">
      <c r="A2" s="26">
        <v>44129</v>
      </c>
      <c r="B2" s="2" t="s">
        <v>366</v>
      </c>
      <c r="C2" s="2" t="s">
        <v>365</v>
      </c>
      <c r="D2" s="2" t="s">
        <v>508</v>
      </c>
      <c r="F2" s="36">
        <v>2</v>
      </c>
    </row>
    <row r="3" spans="1:9" x14ac:dyDescent="0.25">
      <c r="A3" s="26">
        <v>44129</v>
      </c>
      <c r="B3" s="2" t="s">
        <v>366</v>
      </c>
      <c r="C3" s="2" t="s">
        <v>365</v>
      </c>
      <c r="D3" s="2" t="s">
        <v>507</v>
      </c>
      <c r="F3" s="36">
        <v>5.5</v>
      </c>
    </row>
    <row r="4" spans="1:9" x14ac:dyDescent="0.25">
      <c r="A4" s="26">
        <v>44129</v>
      </c>
      <c r="B4" s="2" t="s">
        <v>366</v>
      </c>
      <c r="C4" s="2" t="s">
        <v>365</v>
      </c>
      <c r="D4" s="2" t="s">
        <v>505</v>
      </c>
      <c r="E4" s="36">
        <v>5</v>
      </c>
    </row>
    <row r="5" spans="1:9" x14ac:dyDescent="0.25">
      <c r="A5" s="26">
        <v>44129</v>
      </c>
      <c r="B5" s="2" t="s">
        <v>366</v>
      </c>
      <c r="C5" s="2" t="s">
        <v>365</v>
      </c>
      <c r="D5" s="2" t="s">
        <v>504</v>
      </c>
      <c r="E5" s="36">
        <v>2.5</v>
      </c>
    </row>
    <row r="6" spans="1:9" x14ac:dyDescent="0.25">
      <c r="A6" s="2" t="s">
        <v>509</v>
      </c>
      <c r="E6" s="36">
        <v>7.5</v>
      </c>
      <c r="F6" s="36">
        <v>7.5</v>
      </c>
    </row>
    <row r="7" spans="1:9" x14ac:dyDescent="0.25">
      <c r="A7" s="26">
        <v>44122</v>
      </c>
      <c r="B7" s="2" t="s">
        <v>366</v>
      </c>
      <c r="C7" s="2" t="s">
        <v>365</v>
      </c>
      <c r="D7" s="2" t="s">
        <v>500</v>
      </c>
      <c r="I7" s="36">
        <v>3.5</v>
      </c>
    </row>
    <row r="8" spans="1:9" x14ac:dyDescent="0.25">
      <c r="A8" s="26">
        <v>44122</v>
      </c>
      <c r="B8" s="2" t="s">
        <v>366</v>
      </c>
      <c r="C8" s="2" t="s">
        <v>365</v>
      </c>
      <c r="D8" s="2" t="s">
        <v>502</v>
      </c>
      <c r="I8" s="36">
        <v>4</v>
      </c>
    </row>
    <row r="9" spans="1:9" x14ac:dyDescent="0.25">
      <c r="A9" s="26">
        <v>44122</v>
      </c>
      <c r="B9" s="2" t="s">
        <v>366</v>
      </c>
      <c r="C9" s="2" t="s">
        <v>365</v>
      </c>
      <c r="D9" s="2" t="s">
        <v>499</v>
      </c>
      <c r="H9" s="36">
        <v>4.5</v>
      </c>
    </row>
    <row r="10" spans="1:9" x14ac:dyDescent="0.25">
      <c r="A10" s="26">
        <v>44122</v>
      </c>
      <c r="B10" s="2" t="s">
        <v>366</v>
      </c>
      <c r="C10" s="2" t="s">
        <v>365</v>
      </c>
      <c r="D10" s="2" t="s">
        <v>498</v>
      </c>
      <c r="H10" s="36">
        <v>3</v>
      </c>
    </row>
    <row r="11" spans="1:9" x14ac:dyDescent="0.25">
      <c r="A11" s="26">
        <v>44122</v>
      </c>
      <c r="B11" s="2" t="s">
        <v>366</v>
      </c>
      <c r="C11" s="2" t="s">
        <v>365</v>
      </c>
      <c r="D11" s="2" t="s">
        <v>497</v>
      </c>
      <c r="G11" s="36">
        <v>5.5</v>
      </c>
    </row>
    <row r="12" spans="1:9" x14ac:dyDescent="0.25">
      <c r="A12" s="26">
        <v>44122</v>
      </c>
      <c r="B12" s="2" t="s">
        <v>366</v>
      </c>
      <c r="C12" s="2" t="s">
        <v>365</v>
      </c>
      <c r="D12" s="2" t="s">
        <v>496</v>
      </c>
      <c r="G12" s="36">
        <v>2</v>
      </c>
    </row>
    <row r="13" spans="1:9" x14ac:dyDescent="0.25">
      <c r="A13" s="26">
        <v>44122</v>
      </c>
      <c r="B13" s="2" t="s">
        <v>366</v>
      </c>
      <c r="C13" s="2" t="s">
        <v>365</v>
      </c>
      <c r="D13" s="2" t="s">
        <v>495</v>
      </c>
      <c r="F13" s="36">
        <v>3</v>
      </c>
    </row>
    <row r="14" spans="1:9" x14ac:dyDescent="0.25">
      <c r="A14" s="26">
        <v>44122</v>
      </c>
      <c r="B14" s="2" t="s">
        <v>366</v>
      </c>
      <c r="C14" s="2" t="s">
        <v>365</v>
      </c>
      <c r="D14" s="2" t="s">
        <v>494</v>
      </c>
      <c r="F14" s="36">
        <v>1</v>
      </c>
    </row>
    <row r="15" spans="1:9" x14ac:dyDescent="0.25">
      <c r="A15" s="26">
        <v>44122</v>
      </c>
      <c r="B15" s="2" t="s">
        <v>366</v>
      </c>
      <c r="C15" s="2" t="s">
        <v>365</v>
      </c>
      <c r="D15" s="2" t="s">
        <v>493</v>
      </c>
      <c r="F15" s="36">
        <v>3.5</v>
      </c>
    </row>
    <row r="16" spans="1:9" x14ac:dyDescent="0.25">
      <c r="A16" s="26">
        <v>44122</v>
      </c>
      <c r="B16" s="2" t="s">
        <v>366</v>
      </c>
      <c r="C16" s="2" t="s">
        <v>365</v>
      </c>
      <c r="D16" s="2" t="s">
        <v>492</v>
      </c>
      <c r="E16" s="36">
        <v>3.5</v>
      </c>
    </row>
    <row r="17" spans="1:9" x14ac:dyDescent="0.25">
      <c r="A17" s="26">
        <v>44122</v>
      </c>
      <c r="B17" s="2" t="s">
        <v>366</v>
      </c>
      <c r="C17" s="2" t="s">
        <v>365</v>
      </c>
      <c r="D17" s="2" t="s">
        <v>491</v>
      </c>
      <c r="E17" s="36">
        <v>2</v>
      </c>
    </row>
    <row r="18" spans="1:9" x14ac:dyDescent="0.25">
      <c r="A18" s="26">
        <v>44122</v>
      </c>
      <c r="B18" s="2" t="s">
        <v>366</v>
      </c>
      <c r="C18" s="2" t="s">
        <v>365</v>
      </c>
      <c r="D18" s="2" t="s">
        <v>490</v>
      </c>
      <c r="E18" s="36">
        <v>2</v>
      </c>
    </row>
    <row r="19" spans="1:9" x14ac:dyDescent="0.25">
      <c r="A19" s="26">
        <v>44122</v>
      </c>
      <c r="B19" s="2" t="s">
        <v>390</v>
      </c>
      <c r="C19" s="2" t="s">
        <v>365</v>
      </c>
      <c r="D19" s="2" t="s">
        <v>501</v>
      </c>
    </row>
    <row r="20" spans="1:9" x14ac:dyDescent="0.25">
      <c r="A20" s="2" t="s">
        <v>510</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500</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513</v>
      </c>
      <c r="E175" s="36">
        <v>7.5</v>
      </c>
    </row>
    <row r="176" spans="1:5" ht="30" x14ac:dyDescent="0.25">
      <c r="A176" s="26">
        <v>44003</v>
      </c>
      <c r="B176" s="2" t="s">
        <v>366</v>
      </c>
      <c r="C176" s="2" t="s">
        <v>365</v>
      </c>
      <c r="D176" s="2" t="s">
        <v>208</v>
      </c>
    </row>
    <row r="177" spans="1:5" x14ac:dyDescent="0.25">
      <c r="A177" s="2" t="s">
        <v>514</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515</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516</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517</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518</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519</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520</v>
      </c>
      <c r="E223" s="36">
        <v>37.5</v>
      </c>
    </row>
    <row r="224" spans="1:5" x14ac:dyDescent="0.25">
      <c r="A224" s="26">
        <v>43954</v>
      </c>
      <c r="B224" s="2" t="s">
        <v>366</v>
      </c>
      <c r="C224" s="2" t="s">
        <v>365</v>
      </c>
      <c r="D224" s="2" t="s">
        <v>107</v>
      </c>
      <c r="E224" s="36">
        <v>37.5</v>
      </c>
    </row>
    <row r="225" spans="1:5" x14ac:dyDescent="0.25">
      <c r="A225" s="2" t="s">
        <v>521</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522</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523</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524</v>
      </c>
      <c r="E234" s="36">
        <v>37.5</v>
      </c>
    </row>
    <row r="235" spans="1:5" x14ac:dyDescent="0.25">
      <c r="A235" s="26">
        <v>43926</v>
      </c>
      <c r="B235" s="2" t="s">
        <v>431</v>
      </c>
      <c r="C235" s="2" t="s">
        <v>365</v>
      </c>
      <c r="D235" s="2" t="s">
        <v>107</v>
      </c>
      <c r="E235" s="36">
        <v>37.5</v>
      </c>
    </row>
    <row r="236" spans="1:5" x14ac:dyDescent="0.25">
      <c r="A236" s="2" t="s">
        <v>525</v>
      </c>
      <c r="E236" s="36">
        <v>37.5</v>
      </c>
    </row>
    <row r="237" spans="1:5" x14ac:dyDescent="0.25">
      <c r="A237" s="26">
        <v>43919</v>
      </c>
      <c r="B237" s="2" t="s">
        <v>431</v>
      </c>
      <c r="C237" s="2" t="s">
        <v>365</v>
      </c>
      <c r="D237" s="2" t="s">
        <v>107</v>
      </c>
      <c r="E237" s="36">
        <v>37.5</v>
      </c>
    </row>
    <row r="238" spans="1:5" x14ac:dyDescent="0.25">
      <c r="A238" s="2" t="s">
        <v>526</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527</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528</v>
      </c>
      <c r="E244" s="36">
        <v>37.5</v>
      </c>
    </row>
    <row r="245" spans="1:5" x14ac:dyDescent="0.25">
      <c r="A245" s="26">
        <v>43898</v>
      </c>
      <c r="B245" s="2" t="s">
        <v>431</v>
      </c>
      <c r="C245" s="2" t="s">
        <v>365</v>
      </c>
      <c r="D245" s="2" t="s">
        <v>107</v>
      </c>
      <c r="E245" s="36">
        <v>37.5</v>
      </c>
    </row>
    <row r="246" spans="1:5" x14ac:dyDescent="0.25">
      <c r="A246" s="2" t="s">
        <v>529</v>
      </c>
      <c r="E246" s="36">
        <v>37.5</v>
      </c>
    </row>
    <row r="247" spans="1:5" x14ac:dyDescent="0.25">
      <c r="A247" s="26">
        <v>43891</v>
      </c>
      <c r="B247" s="2" t="s">
        <v>431</v>
      </c>
      <c r="C247" s="2" t="s">
        <v>365</v>
      </c>
      <c r="D247" s="2" t="s">
        <v>107</v>
      </c>
      <c r="E247" s="36">
        <v>37.5</v>
      </c>
    </row>
    <row r="248" spans="1:5" x14ac:dyDescent="0.25">
      <c r="A248" s="2" t="s">
        <v>530</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531</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532</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533</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534</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535</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536</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537</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538</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539</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540</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541</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542</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543</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544</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545</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546</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547</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548</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549</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550</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551</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552</v>
      </c>
      <c r="E329" s="36">
        <v>37.5</v>
      </c>
    </row>
    <row r="330" spans="1:5" x14ac:dyDescent="0.25">
      <c r="A330" s="26">
        <v>43730</v>
      </c>
      <c r="B330" s="2" t="s">
        <v>421</v>
      </c>
      <c r="C330" s="2" t="s">
        <v>365</v>
      </c>
      <c r="D330" s="2" t="s">
        <v>107</v>
      </c>
      <c r="E330" s="36">
        <v>37.5</v>
      </c>
    </row>
    <row r="331" spans="1:5" x14ac:dyDescent="0.25">
      <c r="A331" s="2" t="s">
        <v>553</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554</v>
      </c>
      <c r="E335" s="36">
        <v>37.5</v>
      </c>
    </row>
    <row r="336" spans="1:5" x14ac:dyDescent="0.25">
      <c r="A336" s="26">
        <v>43716</v>
      </c>
      <c r="B336" s="2" t="s">
        <v>373</v>
      </c>
      <c r="C336" s="2" t="s">
        <v>365</v>
      </c>
      <c r="D336" s="2" t="s">
        <v>107</v>
      </c>
      <c r="E336" s="36">
        <v>37.5</v>
      </c>
    </row>
    <row r="337" spans="1:5" x14ac:dyDescent="0.25">
      <c r="A337" s="2" t="s">
        <v>555</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556</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557</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558</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559</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560</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561</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562</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563</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564</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565</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566</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567</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568</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569</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570</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571</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572</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573</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574</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575</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576</v>
      </c>
      <c r="E427" s="36">
        <v>37.5</v>
      </c>
    </row>
    <row r="428" spans="1:5" x14ac:dyDescent="0.25">
      <c r="A428" s="26">
        <v>43562</v>
      </c>
      <c r="B428" s="2" t="s">
        <v>429</v>
      </c>
      <c r="C428" s="2" t="s">
        <v>365</v>
      </c>
      <c r="D428" s="2" t="s">
        <v>107</v>
      </c>
      <c r="E428" s="36">
        <v>37.5</v>
      </c>
    </row>
    <row r="429" spans="1:5" x14ac:dyDescent="0.25">
      <c r="A429" s="2" t="s">
        <v>577</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578</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579</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580</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581</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582</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583</v>
      </c>
      <c r="E458" s="36">
        <v>37.5</v>
      </c>
    </row>
    <row r="459" spans="1:5" x14ac:dyDescent="0.25">
      <c r="A459" s="26">
        <v>43513</v>
      </c>
      <c r="B459" s="2" t="s">
        <v>373</v>
      </c>
      <c r="C459" s="2" t="s">
        <v>365</v>
      </c>
      <c r="D459" s="2" t="s">
        <v>107</v>
      </c>
      <c r="E459" s="36">
        <v>37.5</v>
      </c>
    </row>
    <row r="460" spans="1:5" x14ac:dyDescent="0.25">
      <c r="A460" s="2" t="s">
        <v>584</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585</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586</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587</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588</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589</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590</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591</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592</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593</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594</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595</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596</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597</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598</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599</v>
      </c>
      <c r="E553" s="36">
        <v>37.5</v>
      </c>
    </row>
    <row r="554" spans="1:9" x14ac:dyDescent="0.25">
      <c r="A554" s="2" t="s">
        <v>173</v>
      </c>
      <c r="B554" s="2" t="s">
        <v>128</v>
      </c>
      <c r="C554" s="2" t="s">
        <v>365</v>
      </c>
      <c r="D554" s="2" t="s">
        <v>107</v>
      </c>
    </row>
    <row r="555" spans="1:9" x14ac:dyDescent="0.25">
      <c r="A555" s="2" t="s">
        <v>600</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511</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512</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7.xml>�� 
</file>

<file path=customXml/item8.xml>�� 
</file>

<file path=customXml/item9.xml>�� 
</file>

<file path=customXml/item10.xml>�� 
</file>

<file path=customXml/item11.xml><?xml version="1.0" encoding="utf-8"?>
<?mso-contentType ?>
<FormTemplates xmlns="http://schemas.microsoft.com/sharepoint/v3/contenttype/forms">
  <Display>DocumentLibraryForm</Display>
  <Edit>DocumentLibraryForm</Edit>
  <New>DocumentLibraryForm</New>
</FormTemplates>
</file>

<file path=customXml/item12.xml>�� 
</file>

<file path=customXml/item13.xml>�� 
</file>

<file path=customXml/item14.xml>�� 
</file>

<file path=customXml/item15.xml>�� 
</file>

<file path=customXml/item16.xml>�� 
</file>

<file path=customXml/item17.xml>�� 
</file>

<file path=customXml/item18.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9.xml>�� 
</file>

<file path=customXml/item20.xml>�� 
</file>

<file path=customXml/itemProps1.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2.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3.xml><?xml version="1.0" encoding="utf-8"?>
<ds:datastoreItem xmlns:ds="http://schemas.openxmlformats.org/officeDocument/2006/customXml" ds:itemID="{1A7C51EE-C6F3-4B8A-AA87-9AC64D35D4C1}">
  <ds:schemaRefs/>
</ds:datastoreItem>
</file>

<file path=customXml/itemProps4.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5.xml><?xml version="1.0" encoding="utf-8"?>
<ds:datastoreItem xmlns:ds="http://schemas.openxmlformats.org/officeDocument/2006/customXml" ds:itemID="{98951001-3A09-4A05-855A-3DDD09797274}">
  <ds:schemaRefs/>
</ds:datastoreItem>
</file>

<file path=customXml/itemProps6.xml><?xml version="1.0" encoding="utf-8"?>
<ds:datastoreItem xmlns:ds="http://schemas.openxmlformats.org/officeDocument/2006/customXml" ds:itemID="{942A9908-A0E4-49FE-B1BB-EAF326896089}">
  <ds:schemaRefs>
    <ds:schemaRef ds:uri="http://schemas.microsoft.com/office/2006/metadata/properties"/>
    <ds:schemaRef ds:uri="43bcb968-bace-442f-a65f-908538f58f8c"/>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bdb01c88-af54-46ef-8b38-c11759485684"/>
    <ds:schemaRef ds:uri="http://purl.org/dc/elements/1.1/"/>
    <ds:schemaRef ds:uri="http://www.w3.org/XML/1998/namespace"/>
    <ds:schemaRef ds:uri="http://purl.org/dc/dcmitype/"/>
  </ds:schemaRefs>
</ds:datastoreItem>
</file>

<file path=customXml/itemProps7.xml><?xml version="1.0" encoding="utf-8"?>
<ds:datastoreItem xmlns:ds="http://schemas.openxmlformats.org/officeDocument/2006/customXml" ds:itemID="{DC7054FA-548F-40DA-987E-EF917B5232AB}">
  <ds:schemaRefs/>
</ds:datastoreItem>
</file>

<file path=customXml/itemProps8.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9.xml><?xml version="1.0" encoding="utf-8"?>
<ds:datastoreItem xmlns:ds="http://schemas.openxmlformats.org/officeDocument/2006/customXml" ds:itemID="{F3385EF0-6AEE-43C9-ABE2-BF4FF2905B22}">
  <ds:schemaRefs/>
</ds:datastoreItem>
</file>

<file path=customXml/itemProps10.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1.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2.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13.xml><?xml version="1.0" encoding="utf-8"?>
<ds:datastoreItem xmlns:ds="http://schemas.openxmlformats.org/officeDocument/2006/customXml" ds:itemID="{7518042F-EDA9-491F-BED1-C069724EC681}">
  <ds:schemaRefs/>
</ds:datastoreItem>
</file>

<file path=customXml/itemProps14.xml><?xml version="1.0" encoding="utf-8"?>
<ds:datastoreItem xmlns:ds="http://schemas.openxmlformats.org/officeDocument/2006/customXml" ds:itemID="{45EA3649-79E5-4A29-AF78-8930AA22DAC9}">
  <ds:schemaRefs/>
</ds:datastoreItem>
</file>

<file path=customXml/itemProps15.xml><?xml version="1.0" encoding="utf-8"?>
<ds:datastoreItem xmlns:ds="http://schemas.openxmlformats.org/officeDocument/2006/customXml" ds:itemID="{32D2B9CA-A507-4C7B-A9AD-C847415FFCA9}">
  <ds:schemaRefs/>
</ds:datastoreItem>
</file>

<file path=customXml/itemProps16.xml><?xml version="1.0" encoding="utf-8"?>
<ds:datastoreItem xmlns:ds="http://schemas.openxmlformats.org/officeDocument/2006/customXml" ds:itemID="{AB6FF0C2-3AE8-4231-8424-E9FDA0093A80}">
  <ds:schemaRefs/>
</ds:datastoreItem>
</file>

<file path=customXml/itemProps17.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18.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9.xml><?xml version="1.0" encoding="utf-8"?>
<ds:datastoreItem xmlns:ds="http://schemas.openxmlformats.org/officeDocument/2006/customXml" ds:itemID="{0BABE401-687C-4AD8-9506-691FF0D22381}">
  <ds:schemaRefs/>
</ds:datastoreItem>
</file>

<file path=customXml/itemProps20.xml><?xml version="1.0" encoding="utf-8"?>
<ds:datastoreItem xmlns:ds="http://schemas.openxmlformats.org/officeDocument/2006/customXml" ds:itemID="{73902325-FBB9-4FE4-BA2D-014A0E9E130C}">
  <ds:schemaRefs>
    <ds:schemaRef ds:uri="http://gemini/pivotcustomization/TableCountInSandbox"/>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2020-11-23T09:48:17Z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